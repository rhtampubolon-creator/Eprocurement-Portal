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/bidder-list/"/>
    </mc:Choice>
  </mc:AlternateContent>
  <xr:revisionPtr revIDLastSave="17" documentId="8_{FBB0399A-97FE-4E95-BAC3-7E802A5037D4}" xr6:coauthVersionLast="47" xr6:coauthVersionMax="47" xr10:uidLastSave="{112A36C9-EC39-4A13-9C7D-FAC30DBE9567}"/>
  <bookViews>
    <workbookView xWindow="-120" yWindow="-120" windowWidth="29040" windowHeight="15720" xr2:uid="{00000000-000D-0000-FFFF-FFFF00000000}"/>
  </bookViews>
  <sheets>
    <sheet name="Multiple_Email" sheetId="2" r:id="rId1"/>
    <sheet name="FIND" sheetId="5" state="hidden" r:id="rId2"/>
    <sheet name="Support" sheetId="4" state="hidden" r:id="rId3"/>
  </sheets>
  <externalReferences>
    <externalReference r:id="rId4"/>
  </externalReferences>
  <definedNames>
    <definedName name="NameComp">'[1]List of Companies'!$B$7:$B$4998</definedName>
    <definedName name="_xlnm.Print_Area" localSheetId="1">FIND!$B$1:$Q$162</definedName>
    <definedName name="_xlnm.Print_Area" localSheetId="0">Multiple_Email!$A$1:$K$23</definedName>
    <definedName name="Z_21980691_FA9B_4378_84B0_D4A65EDCBD12_.wvu.Cols" localSheetId="0" hidden="1">Multiple_Email!#REF!,Multiple_Email!$L:$XFD</definedName>
    <definedName name="Z_21980691_FA9B_4378_84B0_D4A65EDCBD12_.wvu.PrintArea" localSheetId="0" hidden="1">Multiple_Email!$A$1:$K$23</definedName>
    <definedName name="Z_21980691_FA9B_4378_84B0_D4A65EDCBD12_.wvu.Rows" localSheetId="0" hidden="1">Multiple_Email!$25:$1048576,Multiple_Email!$14:$23</definedName>
  </definedNames>
  <calcPr calcId="191028" iterate="1"/>
  <customWorkbookViews>
    <customWorkbookView name="R. Haposan Tampubolon - Personal View" guid="{21980691-FA9B-4378-84B0-D4A65EDCBD12}" mergeInterval="0" personalView="1" maximized="1" showHorizontalScroll="0" showVerticalScroll="0" xWindow="-192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5" l="1" a="1"/>
  <c r="K6" i="5" s="1"/>
  <c r="B39" i="5" a="1"/>
  <c r="B39" i="5" s="1"/>
  <c r="G7" i="5" a="1"/>
  <c r="G7" i="5" s="1"/>
  <c r="B7" i="5" a="1"/>
  <c r="B7" i="5" s="1"/>
  <c r="D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<sst xmlns="http://schemas.openxmlformats.org/spreadsheetml/2006/main" count="77" uniqueCount="67">
  <si>
    <t>Time</t>
  </si>
  <si>
    <t>SEND EMAIL MULTIPLE</t>
  </si>
  <si>
    <t>Company</t>
  </si>
  <si>
    <t>to</t>
  </si>
  <si>
    <t>cc</t>
  </si>
  <si>
    <t>RFQ</t>
  </si>
  <si>
    <t>Attch PR</t>
  </si>
  <si>
    <t>Attch TC</t>
  </si>
  <si>
    <t>DI</t>
  </si>
  <si>
    <t>Lg</t>
  </si>
  <si>
    <t>Info Tender</t>
  </si>
  <si>
    <t>RH</t>
  </si>
  <si>
    <t>Haposan Tampubolon</t>
  </si>
  <si>
    <t>robertiagus.haposan@alamtri.com</t>
  </si>
  <si>
    <t>MSW Jakarta</t>
  </si>
  <si>
    <t>Menara Karya 27th Floor, Jl. HR Rasuna Said X-5 Kav 1-2 Jakarta 12950</t>
  </si>
  <si>
    <t>AB</t>
  </si>
  <si>
    <t>Arthur Bramiyana</t>
  </si>
  <si>
    <t>WA/telp -- 081253935887</t>
  </si>
  <si>
    <t>arthur.bramiyana@adaro.com</t>
  </si>
  <si>
    <t>arthur.bramiyana@alamtri.com</t>
  </si>
  <si>
    <t>MSW Kalimantan</t>
  </si>
  <si>
    <t>JI. Ahmad Yani Km 7 RT.001 RW.001 
Kel. Mabuun, Kabupaten Tabalong - Tanjung 71571 Kalimantan Selatan</t>
  </si>
  <si>
    <t>DBS</t>
  </si>
  <si>
    <t>Dian Bangkit Setyadi</t>
  </si>
  <si>
    <t>WA/telp -- 0815718579067</t>
  </si>
  <si>
    <t>dian.styadi@adaro.com</t>
  </si>
  <si>
    <t>dian.styadi@alamtri.com</t>
  </si>
  <si>
    <t>FSL</t>
  </si>
  <si>
    <t>Firdaus Septyan Luthfy</t>
  </si>
  <si>
    <t>WA/telp -- 081325028055</t>
  </si>
  <si>
    <t>firdaus.luthfy@adaro.com</t>
  </si>
  <si>
    <t>firdaus.luthfy@alamtri.com</t>
  </si>
  <si>
    <t>FR</t>
  </si>
  <si>
    <t>Fazal Ridwan</t>
  </si>
  <si>
    <t>WA/telp -- 081314181166</t>
  </si>
  <si>
    <t>fazal.ridwan@alamtri.com</t>
  </si>
  <si>
    <t>R</t>
  </si>
  <si>
    <t>Rajudinnoor</t>
  </si>
  <si>
    <t>WA/telp -- 087756019498</t>
  </si>
  <si>
    <t>rajudinnoor@adaro.com</t>
  </si>
  <si>
    <t>rajudinnoor@alamtri.com</t>
  </si>
  <si>
    <t xml:space="preserve">JI. Ahmad Yani Km 7 RT.001 RW.001 
Kel. Mabuun, Kabupaten Tabalong - Tanjung 71571 Kalimantan Selatan </t>
  </si>
  <si>
    <t>ME</t>
  </si>
  <si>
    <t>EL</t>
  </si>
  <si>
    <t>IC</t>
  </si>
  <si>
    <t>CHE</t>
  </si>
  <si>
    <t>HSE</t>
  </si>
  <si>
    <t>IT</t>
  </si>
  <si>
    <t>Consumable</t>
  </si>
  <si>
    <t>Contractor</t>
  </si>
  <si>
    <t>Consultant</t>
  </si>
  <si>
    <t>Groceries</t>
  </si>
  <si>
    <t>ATK</t>
  </si>
  <si>
    <t>Medic Supplies</t>
  </si>
  <si>
    <t>GT</t>
  </si>
  <si>
    <t>Sole Agent</t>
  </si>
  <si>
    <t>PO25</t>
  </si>
  <si>
    <t>Company Name</t>
  </si>
  <si>
    <t>Core Business</t>
  </si>
  <si>
    <t>Lokasi</t>
  </si>
  <si>
    <t>Count</t>
  </si>
  <si>
    <t>PO No</t>
  </si>
  <si>
    <t>Company Name (by PO and Code)</t>
  </si>
  <si>
    <t>No PO</t>
  </si>
  <si>
    <t>Search</t>
  </si>
  <si>
    <t>No 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</si>
</sst>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_);_(* \(#,##0\);_(* &quot;-&quot;_);_(@_)"/>
    <numFmt numFmtId="165" formatCode="_(* #,##0.00_);_(* \(#,##0.00\);_(* &quot;-&quot;??_);_(@_)"/>
    <numFmt numFmtId="166" formatCode="dddd\ \/\ dd\ mmm\ yyyy"/>
    <numFmt numFmtId="167" formatCode="&quot;Rp&quot;#,##0.0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</font>
    <font>
      <sz val="5"/>
      <name val="Palatino Linotype"/>
      <family val="1"/>
    </font>
    <font>
      <sz val="15"/>
      <name val="Palatino Linotype"/>
      <family val="1"/>
    </font>
    <font>
      <sz val="8"/>
      <name val="Palatino Linotype"/>
      <family val="1"/>
    </font>
    <font>
      <sz val="8"/>
      <color theme="1"/>
      <name val="Palatino Linotype"/>
      <family val="1"/>
    </font>
    <font>
      <sz val="3"/>
      <name val="Palatino Linotype"/>
      <family val="1"/>
    </font>
    <font>
      <sz val="4"/>
      <color theme="10"/>
      <name val="Palatino Linotype"/>
      <family val="1"/>
    </font>
    <font>
      <sz val="4"/>
      <name val="Palatino Linotype"/>
      <family val="1"/>
    </font>
    <font>
      <b/>
      <sz val="10"/>
      <color theme="1"/>
      <name val="Calibri"/>
      <family val="2"/>
      <scheme val="minor"/>
    </font>
    <font>
      <sz val="15"/>
      <color theme="1"/>
      <name val="Palatino Linotype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BF1E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7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6" borderId="6" applyNumberFormat="0" applyAlignment="0" applyProtection="0"/>
    <xf numFmtId="0" fontId="19" fillId="6" borderId="5" applyNumberFormat="0" applyAlignment="0" applyProtection="0"/>
    <xf numFmtId="0" fontId="20" fillId="0" borderId="7" applyNumberFormat="0" applyFill="0" applyAlignment="0" applyProtection="0"/>
    <xf numFmtId="0" fontId="21" fillId="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1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26" fillId="0" borderId="0" xfId="0" applyFont="1"/>
    <xf numFmtId="0" fontId="26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27" fillId="0" borderId="11" xfId="4" applyFont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31" fillId="0" borderId="11" xfId="0" applyFont="1" applyBorder="1" applyAlignment="1" applyProtection="1">
      <alignment horizontal="center" vertical="center" wrapText="1"/>
      <protection locked="0" hidden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6" fillId="0" borderId="11" xfId="1" applyBorder="1" applyAlignment="1" applyProtection="1">
      <alignment horizontal="left" vertical="center"/>
    </xf>
    <xf numFmtId="0" fontId="6" fillId="0" borderId="11" xfId="1" applyBorder="1" applyAlignment="1" applyProtection="1">
      <alignment vertical="center"/>
    </xf>
    <xf numFmtId="0" fontId="5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 applyProtection="1">
      <alignment horizontal="center" vertical="center" wrapText="1"/>
      <protection hidden="1"/>
    </xf>
    <xf numFmtId="0" fontId="29" fillId="33" borderId="11" xfId="0" applyFont="1" applyFill="1" applyBorder="1" applyAlignment="1" applyProtection="1">
      <alignment horizontal="center" vertical="center" wrapText="1"/>
      <protection hidden="1"/>
    </xf>
    <xf numFmtId="0" fontId="29" fillId="33" borderId="11" xfId="0" applyFont="1" applyFill="1" applyBorder="1" applyAlignment="1" applyProtection="1">
      <alignment horizontal="center" vertical="center"/>
      <protection hidden="1"/>
    </xf>
    <xf numFmtId="0" fontId="27" fillId="0" borderId="11" xfId="0" applyFont="1" applyBorder="1" applyAlignment="1" applyProtection="1">
      <alignment horizontal="center" vertical="center" wrapText="1"/>
      <protection hidden="1"/>
    </xf>
    <xf numFmtId="0" fontId="32" fillId="0" borderId="11" xfId="1" applyFont="1" applyBorder="1" applyAlignment="1" applyProtection="1">
      <alignment horizontal="center" vertical="center" wrapText="1"/>
      <protection hidden="1"/>
    </xf>
    <xf numFmtId="166" fontId="31" fillId="0" borderId="11" xfId="0" applyNumberFormat="1" applyFont="1" applyBorder="1" applyAlignment="1" applyProtection="1">
      <alignment horizontal="center" vertical="center" wrapText="1"/>
      <protection hidden="1"/>
    </xf>
    <xf numFmtId="0" fontId="29" fillId="38" borderId="11" xfId="0" applyFont="1" applyFill="1" applyBorder="1" applyAlignment="1" applyProtection="1">
      <alignment horizontal="center" vertical="center" wrapText="1"/>
      <protection locked="0"/>
    </xf>
    <xf numFmtId="0" fontId="29" fillId="38" borderId="11" xfId="4" applyFont="1" applyFill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  <protection locked="0"/>
    </xf>
    <xf numFmtId="0" fontId="26" fillId="35" borderId="0" xfId="0" applyFont="1" applyFill="1"/>
    <xf numFmtId="0" fontId="26" fillId="35" borderId="0" xfId="0" applyFont="1" applyFill="1" applyAlignment="1">
      <alignment vertical="top" wrapText="1"/>
    </xf>
    <xf numFmtId="0" fontId="26" fillId="35" borderId="0" xfId="0" applyFont="1" applyFill="1" applyAlignment="1">
      <alignment wrapText="1"/>
    </xf>
    <xf numFmtId="0" fontId="26" fillId="35" borderId="0" xfId="0" applyFont="1" applyFill="1" applyAlignment="1">
      <alignment horizontal="center" vertical="center"/>
    </xf>
    <xf numFmtId="0" fontId="34" fillId="33" borderId="1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30" fillId="33" borderId="0" xfId="0" applyFont="1" applyFill="1" applyAlignment="1" applyProtection="1">
      <alignment horizontal="center" vertical="center" wrapText="1"/>
      <protection locked="0"/>
    </xf>
    <xf numFmtId="0" fontId="26" fillId="39" borderId="11" xfId="0" applyFont="1" applyFill="1" applyBorder="1" applyAlignment="1" applyProtection="1">
      <alignment vertical="center" wrapText="1"/>
      <protection locked="0"/>
    </xf>
    <xf numFmtId="0" fontId="26" fillId="0" borderId="0" xfId="0" applyFont="1" applyAlignment="1">
      <alignment vertical="center" wrapText="1"/>
    </xf>
    <xf numFmtId="0" fontId="26" fillId="36" borderId="12" xfId="0" applyFont="1" applyFill="1" applyBorder="1" applyAlignment="1" applyProtection="1">
      <alignment vertical="center" wrapText="1"/>
      <protection locked="0"/>
    </xf>
    <xf numFmtId="0" fontId="26" fillId="0" borderId="13" xfId="0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33" borderId="11" xfId="0" applyFont="1" applyFill="1" applyBorder="1" applyAlignment="1" applyProtection="1">
      <alignment horizontal="center" vertical="center" wrapText="1"/>
      <protection locked="0"/>
    </xf>
    <xf numFmtId="0" fontId="26" fillId="0" borderId="11" xfId="0" applyFont="1" applyBorder="1" applyAlignment="1">
      <alignment vertical="center" wrapText="1"/>
    </xf>
    <xf numFmtId="0" fontId="26" fillId="33" borderId="11" xfId="0" applyFont="1" applyFill="1" applyBorder="1" applyAlignment="1">
      <alignment horizontal="center" vertical="center" wrapText="1"/>
    </xf>
    <xf numFmtId="0" fontId="28" fillId="37" borderId="11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167" fontId="35" fillId="39" borderId="16" xfId="0" applyNumberFormat="1" applyFont="1" applyFill="1" applyBorder="1" applyAlignment="1" applyProtection="1">
      <alignment horizontal="center" vertical="center" wrapText="1"/>
      <protection hidden="1"/>
    </xf>
    <xf numFmtId="167" fontId="35" fillId="39" borderId="17" xfId="0" applyNumberFormat="1" applyFont="1" applyFill="1" applyBorder="1" applyAlignment="1" applyProtection="1">
      <alignment horizontal="center" vertical="center" wrapText="1"/>
      <protection hidden="1"/>
    </xf>
    <xf numFmtId="167" fontId="35" fillId="39" borderId="18" xfId="0" applyNumberFormat="1" applyFont="1" applyFill="1" applyBorder="1" applyAlignment="1" applyProtection="1">
      <alignment horizontal="center" vertical="center" wrapText="1"/>
      <protection hidden="1"/>
    </xf>
    <xf numFmtId="0" fontId="28" fillId="37" borderId="11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center" vertical="center" wrapText="1"/>
    </xf>
    <xf numFmtId="0" fontId="28" fillId="34" borderId="0" xfId="0" applyFont="1" applyFill="1" applyAlignment="1" applyProtection="1">
      <alignment horizontal="center" vertical="center" wrapText="1"/>
      <protection locked="0"/>
    </xf>
    <xf numFmtId="0" fontId="28" fillId="34" borderId="1" xfId="0" applyFont="1" applyFill="1" applyBorder="1" applyAlignment="1" applyProtection="1">
      <alignment horizontal="center" vertical="center" wrapText="1"/>
      <protection locked="0"/>
    </xf>
  </cellXfs>
  <cellStyles count="60">
    <cellStyle name="20% - Accent1" xfId="34" builtinId="30" customBuiltin="1"/>
    <cellStyle name="20% - Accent2" xfId="38" builtinId="34" customBuiltin="1"/>
    <cellStyle name="20% - Accent3" xfId="42" builtinId="38" customBuiltin="1"/>
    <cellStyle name="20% - Accent4" xfId="46" builtinId="42" customBuiltin="1"/>
    <cellStyle name="20% - Accent5" xfId="50" builtinId="46" customBuiltin="1"/>
    <cellStyle name="20% - Accent6" xfId="54" builtinId="50" customBuiltin="1"/>
    <cellStyle name="40% - Accent1" xfId="35" builtinId="31" customBuiltin="1"/>
    <cellStyle name="40% - Accent2" xfId="39" builtinId="35" customBuiltin="1"/>
    <cellStyle name="40% - Accent3" xfId="43" builtinId="39" customBuiltin="1"/>
    <cellStyle name="40% - Accent4" xfId="47" builtinId="43" customBuiltin="1"/>
    <cellStyle name="40% - Accent5" xfId="51" builtinId="47" customBuiltin="1"/>
    <cellStyle name="40% - Accent6" xfId="55" builtinId="51" customBuiltin="1"/>
    <cellStyle name="60% - Accent1" xfId="36" builtinId="32" customBuiltin="1"/>
    <cellStyle name="60% - Accent2" xfId="40" builtinId="36" customBuiltin="1"/>
    <cellStyle name="60% - Accent3" xfId="44" builtinId="40" customBuiltin="1"/>
    <cellStyle name="60% - Accent4" xfId="48" builtinId="44" customBuiltin="1"/>
    <cellStyle name="60% - Accent5" xfId="52" builtinId="48" customBuiltin="1"/>
    <cellStyle name="60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Bad" xfId="23" builtinId="27" customBuiltin="1"/>
    <cellStyle name="Calculation" xfId="27" builtinId="22" customBuiltin="1"/>
    <cellStyle name="Check Cell" xfId="29" builtinId="23" customBuiltin="1"/>
    <cellStyle name="Comma [0] 2" xfId="3" xr:uid="{00000000-0005-0000-0000-00001B000000}"/>
    <cellStyle name="Comma 2" xfId="5" xr:uid="{00000000-0005-0000-0000-00001C000000}"/>
    <cellStyle name="Comma 2 2" xfId="8" xr:uid="{00000000-0005-0000-0000-00001D000000}"/>
    <cellStyle name="Comma 3" xfId="9" xr:uid="{00000000-0005-0000-0000-00001E000000}"/>
    <cellStyle name="Comma 4" xfId="10" xr:uid="{00000000-0005-0000-0000-00001F000000}"/>
    <cellStyle name="Comma 5" xfId="11" xr:uid="{00000000-0005-0000-0000-000020000000}"/>
    <cellStyle name="Comma 6" xfId="12" xr:uid="{00000000-0005-0000-0000-000021000000}"/>
    <cellStyle name="Excel Built-in Normal" xfId="7" xr:uid="{00000000-0005-0000-0000-000022000000}"/>
    <cellStyle name="Explanatory Text" xfId="31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yperlink" xfId="1" builtinId="8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2" xr:uid="{00000000-0005-0000-0000-00002E000000}"/>
    <cellStyle name="Normal 3" xfId="4" xr:uid="{00000000-0005-0000-0000-00002F000000}"/>
    <cellStyle name="Normal 4" xfId="13" xr:uid="{00000000-0005-0000-0000-000030000000}"/>
    <cellStyle name="Normal 5" xfId="6" xr:uid="{00000000-0005-0000-0000-000031000000}"/>
    <cellStyle name="Normal 6" xfId="14" xr:uid="{00000000-0005-0000-0000-000032000000}"/>
    <cellStyle name="Normal 7" xfId="16" xr:uid="{00000000-0005-0000-0000-000033000000}"/>
    <cellStyle name="Normal 8" xfId="57" xr:uid="{00000000-0005-0000-0000-000034000000}"/>
    <cellStyle name="Normal 9" xfId="59" xr:uid="{3093C823-7807-4476-B008-7B313EB5422D}"/>
    <cellStyle name="Note 2" xfId="58" xr:uid="{00000000-0005-0000-0000-000035000000}"/>
    <cellStyle name="Output" xfId="26" builtinId="21" customBuiltin="1"/>
    <cellStyle name="Percent 2" xfId="15" xr:uid="{00000000-0005-0000-0000-000037000000}"/>
    <cellStyle name="Title" xfId="17" builtinId="15" customBuiltin="1"/>
    <cellStyle name="Total" xfId="32" builtinId="25" customBuiltin="1"/>
    <cellStyle name="Warning Text" xfId="30" builtinId="11" customBuiltin="1"/>
  </cellStyles>
  <dxfs count="0"/>
  <tableStyles count="1" defaultTableStyle="TableStyleMedium9" defaultPivotStyle="PivotStyleLight16">
    <tableStyle name="Invisible" pivot="0" table="0" count="0" xr9:uid="{2DB760A2-575B-4543-9633-E0D07E63B31D}"/>
  </tableStyles>
  <colors>
    <mruColors>
      <color rgb="FFDBF1E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174171</xdr:colOff>
      <xdr:row>1</xdr:row>
      <xdr:rowOff>203480</xdr:rowOff>
    </xdr:to>
    <xdr:pic>
      <xdr:nvPicPr>
        <xdr:cNvPr id="11" name="Picture 10" descr="A blue and white logo&#10;&#10;AI-generated content may be incorrect.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023257" cy="415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932390</xdr:colOff>
      <xdr:row>0</xdr:row>
      <xdr:rowOff>82826</xdr:rowOff>
    </xdr:from>
    <xdr:to>
      <xdr:col>1</xdr:col>
      <xdr:colOff>1583027</xdr:colOff>
      <xdr:row>2</xdr:row>
      <xdr:rowOff>71579</xdr:rowOff>
    </xdr:to>
    <xdr:sp macro="[0]!RFQ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7E3A2E-3AF1-497B-BB82-8BB145C74474}"/>
            </a:ext>
          </a:extLst>
        </xdr:cNvPr>
        <xdr:cNvSpPr/>
      </xdr:nvSpPr>
      <xdr:spPr>
        <a:xfrm>
          <a:off x="1286176" y="82826"/>
          <a:ext cx="650637" cy="36975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>
              <a:latin typeface="Palatino Linotype" panose="02040502050505030304" pitchFamily="18" charset="0"/>
            </a:rPr>
            <a:t>RFQ</a:t>
          </a:r>
        </a:p>
      </xdr:txBody>
    </xdr:sp>
    <xdr:clientData/>
  </xdr:twoCellAnchor>
  <xdr:twoCellAnchor editAs="absolute">
    <xdr:from>
      <xdr:col>1</xdr:col>
      <xdr:colOff>170395</xdr:colOff>
      <xdr:row>0</xdr:row>
      <xdr:rowOff>82826</xdr:rowOff>
    </xdr:from>
    <xdr:to>
      <xdr:col>1</xdr:col>
      <xdr:colOff>825174</xdr:colOff>
      <xdr:row>2</xdr:row>
      <xdr:rowOff>71579</xdr:rowOff>
    </xdr:to>
    <xdr:sp macro="[0]!BDLs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2EF6636-F0E5-4CAE-850D-EB09CB4285A4}"/>
            </a:ext>
          </a:extLst>
        </xdr:cNvPr>
        <xdr:cNvSpPr/>
      </xdr:nvSpPr>
      <xdr:spPr>
        <a:xfrm>
          <a:off x="524181" y="82826"/>
          <a:ext cx="654779" cy="36975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>
              <a:latin typeface="Palatino Linotype" panose="02040502050505030304" pitchFamily="18" charset="0"/>
            </a:rPr>
            <a:t>BDL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likasi%20Data\New%20Aplikasi\Admin%20-%20RHT.xlsm" TargetMode="External"/><Relationship Id="rId1" Type="http://schemas.openxmlformats.org/officeDocument/2006/relationships/externalLinkPath" Target="EProcurement/Admin%20-%20R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FQ Admin"/>
      <sheetName val="List of Companies"/>
      <sheetName val="PVendor"/>
      <sheetName val="Vendor_365"/>
      <sheetName val="Contract"/>
      <sheetName val="Support"/>
      <sheetName val="Initial_Corebusiness"/>
      <sheetName val="Report"/>
      <sheetName val="Sheet1"/>
      <sheetName val="Sheet3"/>
      <sheetName val="SUM Report"/>
      <sheetName val="List Name Phone"/>
      <sheetName val="List of Items WS"/>
      <sheetName val="Admin - RHT"/>
    </sheetNames>
    <sheetDataSet>
      <sheetData sheetId="0"/>
      <sheetData sheetId="1">
        <row r="6">
          <cell r="B6" t="str">
            <v>PR100010510 (Line 2)</v>
          </cell>
        </row>
      </sheetData>
      <sheetData sheetId="2">
        <row r="7">
          <cell r="B7" t="str">
            <v>Gama Tritunggal Pratama, PT</v>
          </cell>
        </row>
        <row r="8">
          <cell r="B8" t="str">
            <v>Jaya Multi Usaha, CV</v>
          </cell>
        </row>
        <row r="9">
          <cell r="B9" t="str">
            <v>Supercon Reksa Buana</v>
          </cell>
        </row>
        <row r="10">
          <cell r="B10" t="str">
            <v>Punj Llyod Pte Ltd</v>
          </cell>
        </row>
        <row r="11">
          <cell r="B11" t="str">
            <v>Punj Llyod Indonesia, PT</v>
          </cell>
        </row>
        <row r="12">
          <cell r="B12" t="str">
            <v>Siemens Indonesia, PT</v>
          </cell>
        </row>
        <row r="13">
          <cell r="B13" t="str">
            <v>Poyry Indonesia, PT</v>
          </cell>
        </row>
        <row r="14">
          <cell r="B14" t="str">
            <v>Berkat Manunggal Jaya, PT</v>
          </cell>
        </row>
        <row r="15">
          <cell r="B15" t="str">
            <v>Duta Permata Murni</v>
          </cell>
        </row>
        <row r="16">
          <cell r="B16" t="str">
            <v>Dragon Star</v>
          </cell>
        </row>
        <row r="17">
          <cell r="B17" t="str">
            <v>Bina Mandiri Stationery</v>
          </cell>
        </row>
        <row r="18">
          <cell r="B18" t="str">
            <v>Hadiputranto</v>
          </cell>
        </row>
        <row r="19">
          <cell r="B19" t="str">
            <v>Soemadipraja &amp; Taher</v>
          </cell>
        </row>
        <row r="20">
          <cell r="B20" t="str">
            <v>Tri Dharma Proteksi</v>
          </cell>
        </row>
        <row r="21">
          <cell r="B21" t="str">
            <v>Jagat Oriental Tours &amp; Travel</v>
          </cell>
        </row>
        <row r="22">
          <cell r="B22" t="str">
            <v>Garis Idea Mas</v>
          </cell>
        </row>
        <row r="23">
          <cell r="B23" t="str">
            <v>Akhmad Akhmadji</v>
          </cell>
        </row>
        <row r="24">
          <cell r="B24" t="str">
            <v>Tanjung Viesta</v>
          </cell>
        </row>
        <row r="25">
          <cell r="B25" t="str">
            <v>Harrisma Informatika Jaya</v>
          </cell>
        </row>
        <row r="26">
          <cell r="B26" t="str">
            <v>Poyry Energy</v>
          </cell>
        </row>
        <row r="27">
          <cell r="B27" t="str">
            <v>Akraya International, PT</v>
          </cell>
        </row>
        <row r="28">
          <cell r="B28" t="str">
            <v>Puri Denpasar Hotel</v>
          </cell>
        </row>
        <row r="29">
          <cell r="B29" t="str">
            <v>Other Vendor</v>
          </cell>
        </row>
        <row r="30">
          <cell r="B30" t="str">
            <v>Humberg Lie, SH</v>
          </cell>
        </row>
        <row r="31">
          <cell r="B31" t="str">
            <v>Karyadeka Pancamurni</v>
          </cell>
        </row>
        <row r="32">
          <cell r="B32" t="str">
            <v>Jasapower Indonesia, PT</v>
          </cell>
        </row>
        <row r="33">
          <cell r="B33" t="str">
            <v>Alam Tri Abadi, PT</v>
          </cell>
        </row>
        <row r="34">
          <cell r="B34" t="str">
            <v>Widjoyo Computer</v>
          </cell>
        </row>
        <row r="35">
          <cell r="B35" t="str">
            <v>Kantor Akuntan Publik Rintis,Jumadi,Rianto &amp; Rekan</v>
          </cell>
        </row>
        <row r="36">
          <cell r="B36" t="str">
            <v>Punj Lloyd Indonesia - Site</v>
          </cell>
        </row>
        <row r="37">
          <cell r="B37" t="str">
            <v>Bumi Alai Sentosa, PT</v>
          </cell>
        </row>
        <row r="38">
          <cell r="B38" t="str">
            <v>Marsh Indonesia, PT</v>
          </cell>
        </row>
        <row r="39">
          <cell r="B39" t="str">
            <v>AJ Manulife Indonesia,. PT</v>
          </cell>
        </row>
        <row r="40">
          <cell r="B40" t="str">
            <v>Tax Payable art. 21</v>
          </cell>
        </row>
        <row r="41">
          <cell r="B41" t="str">
            <v>Tax Payable art. 23</v>
          </cell>
        </row>
        <row r="42">
          <cell r="B42" t="str">
            <v>Tax Payable art. 25</v>
          </cell>
        </row>
        <row r="43">
          <cell r="B43" t="str">
            <v>Tax Payable art. 26</v>
          </cell>
        </row>
        <row r="44">
          <cell r="B44" t="str">
            <v>Tax Payable art. 29</v>
          </cell>
        </row>
        <row r="45">
          <cell r="B45" t="str">
            <v>Tax Payable art 4 (2)</v>
          </cell>
        </row>
        <row r="46">
          <cell r="B46" t="str">
            <v>VAT in Payable</v>
          </cell>
        </row>
        <row r="47">
          <cell r="B47" t="str">
            <v>Tax Payable art. 15</v>
          </cell>
        </row>
        <row r="48">
          <cell r="B48" t="str">
            <v>PPRSH Setiabudi Residences</v>
          </cell>
        </row>
        <row r="49">
          <cell r="B49" t="str">
            <v>Adaro Indonesia, PT</v>
          </cell>
        </row>
        <row r="50">
          <cell r="B50" t="str">
            <v>Sinar Alam Duta Perdana, PT</v>
          </cell>
        </row>
        <row r="51">
          <cell r="B51" t="str">
            <v>Mubarakah , Toko</v>
          </cell>
        </row>
        <row r="52">
          <cell r="B52" t="str">
            <v>Anugrah Mandiri Putra Tabalong, PT</v>
          </cell>
        </row>
        <row r="53">
          <cell r="B53" t="str">
            <v>Wisata Dewa, PT</v>
          </cell>
        </row>
        <row r="54">
          <cell r="B54" t="str">
            <v>Taka Precision Manufacturing Indonesia, PT</v>
          </cell>
        </row>
        <row r="55">
          <cell r="B55" t="str">
            <v>Nusantara Compnet Integrator, PT</v>
          </cell>
        </row>
        <row r="56">
          <cell r="B56" t="str">
            <v>Cipta Com</v>
          </cell>
        </row>
        <row r="57">
          <cell r="B57" t="str">
            <v>Trikarsa Sempurna Sistemindo, PT</v>
          </cell>
        </row>
        <row r="58">
          <cell r="B58" t="str">
            <v>Multi Selaras Abadi, PT</v>
          </cell>
        </row>
        <row r="59">
          <cell r="B59" t="str">
            <v>Abenza Indonesia, PT</v>
          </cell>
        </row>
        <row r="60">
          <cell r="B60" t="str">
            <v>Pruftechnik Condition, PT</v>
          </cell>
        </row>
        <row r="61">
          <cell r="B61" t="str">
            <v>Astra Graphia, Tbk, PT</v>
          </cell>
        </row>
        <row r="62">
          <cell r="B62" t="str">
            <v>Haji Usnan Electric, CV</v>
          </cell>
        </row>
        <row r="63">
          <cell r="B63" t="str">
            <v>Baratjaya Sentosa Perkasa, PT</v>
          </cell>
        </row>
        <row r="64">
          <cell r="B64" t="str">
            <v>Hotel Aston Tanjung</v>
          </cell>
        </row>
        <row r="65">
          <cell r="B65" t="str">
            <v>KOPEGTEL Banjarmasin</v>
          </cell>
        </row>
        <row r="66">
          <cell r="B66" t="str">
            <v>Tanjung Prima Persada, PT</v>
          </cell>
        </row>
        <row r="67">
          <cell r="B67" t="str">
            <v>Telkomsel, PT</v>
          </cell>
        </row>
        <row r="68">
          <cell r="B68" t="str">
            <v>Mitra Integrasi Informatika, PT</v>
          </cell>
        </row>
        <row r="69">
          <cell r="B69" t="str">
            <v>Nurindo Abdikarya, PT</v>
          </cell>
        </row>
        <row r="70">
          <cell r="B70" t="str">
            <v>Nuansa Nirmana Artistika, PT</v>
          </cell>
        </row>
        <row r="71">
          <cell r="B71" t="str">
            <v>Prima Safety, CV</v>
          </cell>
        </row>
        <row r="72">
          <cell r="B72" t="str">
            <v>Caraka Yasa, PT</v>
          </cell>
        </row>
        <row r="73">
          <cell r="B73" t="str">
            <v>Samator Gas Industri, PT</v>
          </cell>
        </row>
        <row r="74">
          <cell r="B74" t="str">
            <v>Nusantara Stroke &amp; Med Center</v>
          </cell>
        </row>
        <row r="75">
          <cell r="B75" t="str">
            <v>Agreeya Solutions Indonesia, PT</v>
          </cell>
        </row>
        <row r="76">
          <cell r="B76" t="str">
            <v>Indonesia Magma Chain, PT</v>
          </cell>
        </row>
        <row r="77">
          <cell r="B77" t="str">
            <v>Kawan Lama Solusi, PT</v>
          </cell>
        </row>
        <row r="78">
          <cell r="B78" t="str">
            <v>Traktor Nusantara, PT</v>
          </cell>
        </row>
        <row r="79">
          <cell r="B79" t="str">
            <v>Cindra Kasih, PT</v>
          </cell>
        </row>
        <row r="80">
          <cell r="B80" t="str">
            <v>Haerde Dwipayana, PT</v>
          </cell>
        </row>
        <row r="81">
          <cell r="B81" t="str">
            <v>MDS Services, CV</v>
          </cell>
        </row>
        <row r="82">
          <cell r="B82" t="str">
            <v>AlamTri Resources Indonesia, Tbk</v>
          </cell>
        </row>
        <row r="83">
          <cell r="B83" t="str">
            <v>Hotel Rattan Inn</v>
          </cell>
        </row>
        <row r="84">
          <cell r="B84" t="str">
            <v>PPLH Unlam</v>
          </cell>
        </row>
        <row r="85">
          <cell r="B85" t="str">
            <v>EPTCO Dian Persada, PT</v>
          </cell>
        </row>
        <row r="87">
          <cell r="B87" t="str">
            <v>Pusaka Tandi, PT</v>
          </cell>
        </row>
        <row r="88">
          <cell r="B88" t="str">
            <v>PP Graha Irama</v>
          </cell>
        </row>
        <row r="89">
          <cell r="B89" t="str">
            <v>Tricon Dos Sejahtera, PT</v>
          </cell>
        </row>
        <row r="90">
          <cell r="B90" t="str">
            <v>Fiqry Jasa Utama, PT</v>
          </cell>
        </row>
        <row r="91">
          <cell r="B91" t="str">
            <v>Berca Hardayaperkasa, PT</v>
          </cell>
        </row>
        <row r="92">
          <cell r="B92" t="str">
            <v>Menara, CV</v>
          </cell>
        </row>
        <row r="93">
          <cell r="B93" t="str">
            <v>Bening Persada ,CV</v>
          </cell>
        </row>
        <row r="94">
          <cell r="B94" t="str">
            <v>Persek. Citra Asri Pratama</v>
          </cell>
        </row>
        <row r="95">
          <cell r="B95" t="str">
            <v>Envitech Perkasa, PT</v>
          </cell>
        </row>
        <row r="96">
          <cell r="B96" t="str">
            <v>Wahana Yasa Trans Energi, PT</v>
          </cell>
        </row>
        <row r="97">
          <cell r="B97" t="str">
            <v>Telkom Indonesia (Persero), Tbk</v>
          </cell>
        </row>
        <row r="98">
          <cell r="B98" t="str">
            <v>Sumber Waja Fortuna, PT</v>
          </cell>
        </row>
        <row r="99">
          <cell r="B99" t="str">
            <v>Benefit Sumber Daya Manusia, PT</v>
          </cell>
        </row>
        <row r="100">
          <cell r="B100" t="str">
            <v>Panasea, Lab Kinik</v>
          </cell>
        </row>
        <row r="101">
          <cell r="B101" t="str">
            <v>Prodia Widyahusada, PT</v>
          </cell>
        </row>
        <row r="102">
          <cell r="B102" t="str">
            <v>ISS Catering Services Balikpapan, PT</v>
          </cell>
        </row>
        <row r="103">
          <cell r="B103" t="str">
            <v>Tirta Investama, PT</v>
          </cell>
        </row>
        <row r="104">
          <cell r="B104" t="str">
            <v>CG Power Systems Indonesia, PT</v>
          </cell>
        </row>
        <row r="105">
          <cell r="B105" t="str">
            <v>Balai Besar Keramik</v>
          </cell>
        </row>
        <row r="106">
          <cell r="B106" t="str">
            <v>Graha Usaha Teknik, PT</v>
          </cell>
        </row>
        <row r="107">
          <cell r="B107" t="str">
            <v>Borneo Power Services, PT</v>
          </cell>
        </row>
        <row r="108">
          <cell r="B108" t="str">
            <v>Nurfitrizal</v>
          </cell>
        </row>
        <row r="109">
          <cell r="B109" t="str">
            <v>Handiono Kurnia Apartm STC</v>
          </cell>
        </row>
        <row r="110">
          <cell r="B110" t="str">
            <v>Arsinda Muda Selaras Sejahtera, PT</v>
          </cell>
        </row>
        <row r="111">
          <cell r="B111" t="str">
            <v>Propernas Griya Utama, PT</v>
          </cell>
        </row>
        <row r="112">
          <cell r="B112" t="str">
            <v>Heppylia</v>
          </cell>
        </row>
        <row r="113">
          <cell r="B113" t="str">
            <v>Niaga Prima Paramitra, PT</v>
          </cell>
        </row>
        <row r="114">
          <cell r="B114" t="str">
            <v>Global Lestari, CV</v>
          </cell>
        </row>
        <row r="115">
          <cell r="B115" t="str">
            <v>Pandu Siwi Sentosa, PT</v>
          </cell>
        </row>
        <row r="116">
          <cell r="B116" t="str">
            <v>Ecolab International Indonesia, PT</v>
          </cell>
        </row>
        <row r="117">
          <cell r="B117" t="str">
            <v>ANP Engineering, PT</v>
          </cell>
        </row>
        <row r="118">
          <cell r="B118" t="str">
            <v>ABM Global Solutions, PT</v>
          </cell>
        </row>
        <row r="119">
          <cell r="B119" t="str">
            <v>Bellagio Mansion</v>
          </cell>
        </row>
        <row r="120">
          <cell r="B120" t="str">
            <v>Century Computer</v>
          </cell>
        </row>
        <row r="121">
          <cell r="B121" t="str">
            <v>Maranatha, CV</v>
          </cell>
        </row>
        <row r="122">
          <cell r="B122" t="str">
            <v>Roy Taylor, CV</v>
          </cell>
        </row>
        <row r="123">
          <cell r="B123" t="str">
            <v>Toko 99 Elektronik</v>
          </cell>
        </row>
        <row r="124">
          <cell r="B124" t="str">
            <v>Ztech Indonesia, PT</v>
          </cell>
        </row>
        <row r="125">
          <cell r="B125" t="str">
            <v>Eroink Jaya Sakti, CV</v>
          </cell>
        </row>
        <row r="126">
          <cell r="B126" t="str">
            <v>Mardi Mulyo, PT</v>
          </cell>
        </row>
        <row r="127">
          <cell r="B127" t="str">
            <v>Adinda, CV</v>
          </cell>
        </row>
        <row r="128">
          <cell r="B128" t="str">
            <v>Intani Jaya Semesta, PT</v>
          </cell>
        </row>
        <row r="129">
          <cell r="B129" t="str">
            <v>ALKS, CV</v>
          </cell>
        </row>
        <row r="130">
          <cell r="B130" t="str">
            <v>Restu Tanjung Permai, PT</v>
          </cell>
        </row>
        <row r="131">
          <cell r="B131" t="str">
            <v>Restu Tanjung Permai, CV (Catering)</v>
          </cell>
        </row>
        <row r="132">
          <cell r="B132" t="str">
            <v>Oscar Gemilang Jaya, PT</v>
          </cell>
        </row>
        <row r="133">
          <cell r="B133" t="str">
            <v>Meubel Utomo</v>
          </cell>
        </row>
        <row r="134">
          <cell r="B134" t="str">
            <v>Global Arta Borneo, PT</v>
          </cell>
        </row>
        <row r="135">
          <cell r="B135" t="str">
            <v>Global Armada Borneo, PT</v>
          </cell>
        </row>
        <row r="136">
          <cell r="B136" t="str">
            <v>Demitra Karsa Perdana, PT</v>
          </cell>
        </row>
        <row r="137">
          <cell r="B137" t="str">
            <v>Sembilan Jaya Abadi, CV</v>
          </cell>
        </row>
        <row r="138">
          <cell r="B138" t="str">
            <v>Kurita Indonesia, PT</v>
          </cell>
        </row>
        <row r="139">
          <cell r="B139" t="str">
            <v>Surya Biru Murni Acetylene, PT</v>
          </cell>
        </row>
        <row r="140">
          <cell r="B140" t="str">
            <v>Rante Mutiara Insani, PT</v>
          </cell>
        </row>
        <row r="141">
          <cell r="B141" t="str">
            <v>Siam Karya Husna, PT</v>
          </cell>
        </row>
        <row r="142">
          <cell r="B142" t="str">
            <v>Bina Pertiwi, PT</v>
          </cell>
        </row>
        <row r="143">
          <cell r="B143" t="str">
            <v>Bangun Tata Banua, PT</v>
          </cell>
        </row>
        <row r="144">
          <cell r="B144" t="str">
            <v>Bening Water Technologies, PT</v>
          </cell>
        </row>
        <row r="145">
          <cell r="B145" t="str">
            <v>AlamTri Power Indonesia, PT</v>
          </cell>
        </row>
        <row r="146">
          <cell r="B146" t="str">
            <v>Surveyor Indonesia, PT</v>
          </cell>
        </row>
        <row r="147">
          <cell r="B147" t="str">
            <v>Eksakta Sinergi Indonesia, PT</v>
          </cell>
        </row>
        <row r="148">
          <cell r="B148" t="str">
            <v>ISS Indonesia, PT</v>
          </cell>
        </row>
        <row r="149">
          <cell r="B149" t="str">
            <v>Trakindo Utama, PT</v>
          </cell>
        </row>
        <row r="150">
          <cell r="B150" t="str">
            <v>Tiki Jalur Nugrana Ekakurir, PT</v>
          </cell>
        </row>
        <row r="151">
          <cell r="B151" t="str">
            <v>Jagabuana Utama, PT</v>
          </cell>
        </row>
        <row r="152">
          <cell r="B152" t="str">
            <v>Bharat Heavy Electrical Limited</v>
          </cell>
        </row>
        <row r="153">
          <cell r="B153" t="str">
            <v>United Tractors, PT Tbk</v>
          </cell>
        </row>
        <row r="154">
          <cell r="B154" t="str">
            <v>Tatitu Indonesia, PT</v>
          </cell>
        </row>
        <row r="155">
          <cell r="B155" t="str">
            <v>Atamora Tehnik Makmur, PT</v>
          </cell>
        </row>
        <row r="156">
          <cell r="B156" t="str">
            <v>Bumi Bangun Perkasa, PT</v>
          </cell>
        </row>
        <row r="157">
          <cell r="B157" t="str">
            <v>Century, CV</v>
          </cell>
        </row>
        <row r="158">
          <cell r="B158" t="str">
            <v>ABB Sakti Industri, PT</v>
          </cell>
        </row>
        <row r="159">
          <cell r="B159" t="str">
            <v>Atlas Copco Indonesia, PT</v>
          </cell>
        </row>
        <row r="160">
          <cell r="B160" t="str">
            <v>Banjar Bearing Sentosa, PT</v>
          </cell>
        </row>
        <row r="161">
          <cell r="B161" t="str">
            <v>Surya, CV</v>
          </cell>
        </row>
        <row r="162">
          <cell r="B162" t="str">
            <v>Indo Tehnik Tanjung Tabalong, PT</v>
          </cell>
        </row>
        <row r="163">
          <cell r="B163" t="str">
            <v>Shellindo Utama Indonesia, PT</v>
          </cell>
        </row>
        <row r="164">
          <cell r="B164" t="str">
            <v>KSB Indonesia, PT</v>
          </cell>
        </row>
        <row r="165">
          <cell r="B165" t="str">
            <v>Multi Tarex Mulia Int'l, PT</v>
          </cell>
        </row>
        <row r="166">
          <cell r="B166" t="str">
            <v>ZC Industries, PT</v>
          </cell>
        </row>
        <row r="167">
          <cell r="B167" t="str">
            <v>Wahana Intimas Nusantara, CV</v>
          </cell>
        </row>
        <row r="168">
          <cell r="B168" t="str">
            <v>Permata Dwitunggal Abadi, PT</v>
          </cell>
        </row>
        <row r="169">
          <cell r="B169" t="str">
            <v>XL Axiata Tbk, PT</v>
          </cell>
        </row>
        <row r="170">
          <cell r="B170" t="str">
            <v>MSA Indonesia, PT</v>
          </cell>
        </row>
        <row r="171">
          <cell r="B171" t="str">
            <v>Chandra Batuah Alam Lestari, PT</v>
          </cell>
        </row>
        <row r="172">
          <cell r="B172" t="str">
            <v>Intrias Mandiri Sejati, PT</v>
          </cell>
        </row>
        <row r="173">
          <cell r="B173" t="str">
            <v>Mitra Pinasthika Mustika Rent, PT</v>
          </cell>
        </row>
        <row r="174">
          <cell r="B174" t="str">
            <v>Kusuma Teknik Persada, PT</v>
          </cell>
        </row>
        <row r="175">
          <cell r="B175" t="str">
            <v>Raja Listrik Indonesia, PT</v>
          </cell>
        </row>
        <row r="176">
          <cell r="B176" t="str">
            <v>Putra Andalan Perkasa, PT</v>
          </cell>
        </row>
        <row r="177">
          <cell r="B177" t="str">
            <v>Summa Sanjaya Surya Satria, PT</v>
          </cell>
        </row>
        <row r="178">
          <cell r="B178" t="str">
            <v>Indonesian Marine, PT</v>
          </cell>
        </row>
        <row r="179">
          <cell r="B179" t="str">
            <v>SLS Bearindo, PT</v>
          </cell>
        </row>
        <row r="180">
          <cell r="B180" t="str">
            <v>Harapan Cipta Marga Mulia, PT</v>
          </cell>
        </row>
        <row r="181">
          <cell r="B181" t="str">
            <v>Koperasi Makmur Sejahtera</v>
          </cell>
        </row>
        <row r="182">
          <cell r="B182" t="str">
            <v>Sinto Cahaya Tanamo, PT</v>
          </cell>
        </row>
        <row r="183">
          <cell r="B183" t="str">
            <v>KAP Sriyadi Elly Sugeng Dan Rekan</v>
          </cell>
        </row>
        <row r="184">
          <cell r="B184" t="str">
            <v>Hendra Soenardi &amp; RE</v>
          </cell>
        </row>
        <row r="185">
          <cell r="B185" t="str">
            <v>Borneo Maju Jaya, PT</v>
          </cell>
        </row>
        <row r="186">
          <cell r="B186" t="str">
            <v>Perwira Sentra Officindo, PT</v>
          </cell>
        </row>
        <row r="187">
          <cell r="B187" t="str">
            <v>Indoparts, CV</v>
          </cell>
        </row>
        <row r="188">
          <cell r="B188" t="str">
            <v>Sahara Persada, PT</v>
          </cell>
        </row>
        <row r="189">
          <cell r="B189" t="str">
            <v>Crown Worldwide Indonesia, PT</v>
          </cell>
        </row>
        <row r="190">
          <cell r="B190" t="str">
            <v>Bio Elektrikal, CV</v>
          </cell>
        </row>
        <row r="191">
          <cell r="B191" t="str">
            <v>Sari Mulia, RS</v>
          </cell>
        </row>
        <row r="192">
          <cell r="B192" t="str">
            <v>Pertamina Bina Medika, PT</v>
          </cell>
        </row>
        <row r="193">
          <cell r="B193" t="str">
            <v>Vhipa Mulia Pratama, PT</v>
          </cell>
        </row>
        <row r="194">
          <cell r="B194" t="str">
            <v>Jaya Listrik, CV</v>
          </cell>
        </row>
        <row r="195">
          <cell r="B195" t="str">
            <v>Rajendra T, CV</v>
          </cell>
        </row>
        <row r="196">
          <cell r="B196" t="str">
            <v>Loka Manggala, PT</v>
          </cell>
        </row>
        <row r="197">
          <cell r="B197" t="str">
            <v>Panca Tehnik Tanjung, PT</v>
          </cell>
        </row>
        <row r="198">
          <cell r="B198" t="str">
            <v>Karunia Pratama Lintas Teknologi, PT</v>
          </cell>
        </row>
        <row r="199">
          <cell r="B199" t="str">
            <v>Petrolab Services, PT</v>
          </cell>
        </row>
        <row r="200">
          <cell r="B200" t="str">
            <v>Borneo Karya Jaya, CV</v>
          </cell>
        </row>
        <row r="201">
          <cell r="B201" t="str">
            <v>SOS International, Yayasan</v>
          </cell>
        </row>
        <row r="202">
          <cell r="B202" t="str">
            <v>Eaglebrugmann Indonesia, PT</v>
          </cell>
        </row>
        <row r="203">
          <cell r="B203" t="str">
            <v>Winn Metals, PT</v>
          </cell>
        </row>
        <row r="204">
          <cell r="B204" t="str">
            <v>Indolok Bakti Utama, PT</v>
          </cell>
        </row>
        <row r="205">
          <cell r="B205" t="str">
            <v>Mandiri Dinamika Sejahtera, PT</v>
          </cell>
        </row>
        <row r="206">
          <cell r="B206" t="str">
            <v>Megatradindo Internasional, PT</v>
          </cell>
        </row>
        <row r="207">
          <cell r="B207" t="str">
            <v>Sinergi Bersama Mandiri, PT</v>
          </cell>
        </row>
        <row r="208">
          <cell r="B208" t="str">
            <v>Total Prime Engineering, PT</v>
          </cell>
        </row>
        <row r="209">
          <cell r="B209" t="str">
            <v>YO Engineering, CV</v>
          </cell>
        </row>
        <row r="210">
          <cell r="B210" t="str">
            <v>Cakra Perkasa Jayamulia, PT</v>
          </cell>
        </row>
        <row r="211">
          <cell r="B211" t="str">
            <v>Benteng Api Technic, PT</v>
          </cell>
        </row>
        <row r="212">
          <cell r="B212" t="str">
            <v>Antares Jaya Gemilang Prima, PT</v>
          </cell>
        </row>
        <row r="213">
          <cell r="B213" t="str">
            <v>Victor Teknologi Indonesia, PT</v>
          </cell>
        </row>
        <row r="214">
          <cell r="B214" t="str">
            <v>Putranata Adi Mandiri, PT</v>
          </cell>
        </row>
        <row r="215">
          <cell r="B215" t="str">
            <v>Tabalong Inti Mitra, PT</v>
          </cell>
        </row>
        <row r="216">
          <cell r="B216" t="str">
            <v>Unggul Tekno Filter, PT</v>
          </cell>
        </row>
        <row r="217">
          <cell r="B217" t="str">
            <v>Endress+Hauser Indonesia, PT</v>
          </cell>
        </row>
        <row r="218">
          <cell r="B218" t="str">
            <v>Berkah Mandiri Utama, CV</v>
          </cell>
        </row>
        <row r="219">
          <cell r="B219" t="str">
            <v>Mitra Buana Komputindo, PT</v>
          </cell>
        </row>
        <row r="220">
          <cell r="B220" t="str">
            <v>Dayaniaga Ekaselaras, PT</v>
          </cell>
        </row>
        <row r="221">
          <cell r="B221" t="str">
            <v>Percetakan Tulip</v>
          </cell>
        </row>
        <row r="222">
          <cell r="B222" t="str">
            <v>Arthapusaka Mitra Sakti, PT</v>
          </cell>
        </row>
        <row r="223">
          <cell r="B223" t="str">
            <v>Andalan Tiga Berlian, PT</v>
          </cell>
        </row>
        <row r="224">
          <cell r="B224" t="str">
            <v>Global Haditech, PT</v>
          </cell>
        </row>
        <row r="225">
          <cell r="B225" t="str">
            <v>Emira Energi, PT</v>
          </cell>
        </row>
        <row r="226">
          <cell r="B226" t="str">
            <v>Ekatama Barizki, PT</v>
          </cell>
        </row>
        <row r="227">
          <cell r="B227" t="str">
            <v>Sefas Pelindotama, PT</v>
          </cell>
        </row>
        <row r="228">
          <cell r="B228" t="str">
            <v>Pratama Setya Nusantara, PT</v>
          </cell>
        </row>
        <row r="229">
          <cell r="B229" t="str">
            <v>Kalindo Prima Tara, PT</v>
          </cell>
        </row>
        <row r="230">
          <cell r="B230" t="str">
            <v>Trimitra Teknik Global, PT</v>
          </cell>
        </row>
        <row r="231">
          <cell r="B231" t="str">
            <v>Nolfin Internasional, PT</v>
          </cell>
        </row>
        <row r="232">
          <cell r="B232" t="str">
            <v>Intraco Penta Tbk, PT</v>
          </cell>
        </row>
        <row r="233">
          <cell r="B233" t="str">
            <v>Sabar Jaya, CV</v>
          </cell>
        </row>
        <row r="234">
          <cell r="B234" t="str">
            <v>Mitra Sandang Utama, CV</v>
          </cell>
        </row>
        <row r="235">
          <cell r="B235" t="str">
            <v>Taman Baru, PT</v>
          </cell>
        </row>
        <row r="236">
          <cell r="B236" t="str">
            <v>Alpha Gaya Bhakti Pertiwi, PT</v>
          </cell>
        </row>
        <row r="237">
          <cell r="B237" t="str">
            <v>Rendez Indonesia, PT</v>
          </cell>
        </row>
        <row r="238">
          <cell r="B238" t="str">
            <v>Gema Industrial, PT</v>
          </cell>
        </row>
        <row r="239">
          <cell r="B239" t="str">
            <v>Tunas Tasik, PT</v>
          </cell>
        </row>
        <row r="240">
          <cell r="B240" t="str">
            <v>Art Borneo Raya, CV</v>
          </cell>
        </row>
        <row r="241">
          <cell r="B241" t="str">
            <v>Bintang Anugrah Sehati, PT</v>
          </cell>
        </row>
        <row r="242">
          <cell r="B242" t="str">
            <v>Howden UK Limited</v>
          </cell>
        </row>
        <row r="243">
          <cell r="B243" t="str">
            <v>Lexindo Kencana Mandiri, PT</v>
          </cell>
        </row>
        <row r="244">
          <cell r="B244" t="str">
            <v>Panca Mas, CV</v>
          </cell>
        </row>
        <row r="245">
          <cell r="B245" t="str">
            <v>Cipta Semesta Lestari, PT</v>
          </cell>
        </row>
        <row r="246">
          <cell r="B246" t="str">
            <v>Multitech Industrial Indonesia, PT</v>
          </cell>
        </row>
        <row r="247">
          <cell r="B247" t="str">
            <v>Krisbow Indonesia, PT</v>
          </cell>
        </row>
        <row r="248">
          <cell r="B248" t="str">
            <v>Mitra Usaha Katiga, PT</v>
          </cell>
        </row>
        <row r="249">
          <cell r="B249" t="str">
            <v>Taka Turbomachinery Indonesia, PT</v>
          </cell>
        </row>
        <row r="250">
          <cell r="B250" t="str">
            <v>Vikara Indoprima Perkasa, PT</v>
          </cell>
        </row>
        <row r="251">
          <cell r="B251" t="str">
            <v>Melati Mulya Nusantara, PT</v>
          </cell>
        </row>
        <row r="252">
          <cell r="B252" t="str">
            <v>Tunas Karya Borneo, PT</v>
          </cell>
        </row>
        <row r="253">
          <cell r="B253" t="str">
            <v>Catur Inti Chemical, PT</v>
          </cell>
        </row>
        <row r="254">
          <cell r="B254" t="str">
            <v>Luhur Mulialestari, PT</v>
          </cell>
        </row>
        <row r="255">
          <cell r="B255" t="str">
            <v>Kapuas Kencana Jaya, PT</v>
          </cell>
        </row>
        <row r="256">
          <cell r="B256" t="str">
            <v>Petro Gama Industri, PT</v>
          </cell>
        </row>
        <row r="257">
          <cell r="B257" t="str">
            <v>Seltech Utama, PT</v>
          </cell>
        </row>
        <row r="258">
          <cell r="B258" t="str">
            <v>Global Satria Aji, PT</v>
          </cell>
        </row>
        <row r="259">
          <cell r="B259" t="str">
            <v>Blessindo Prima Sarana, PT</v>
          </cell>
        </row>
        <row r="260">
          <cell r="B260" t="str">
            <v>Nana Global Indonesia, PT</v>
          </cell>
        </row>
        <row r="261">
          <cell r="B261" t="str">
            <v>Trimitra Wahana Sukses, PT</v>
          </cell>
        </row>
        <row r="262">
          <cell r="B262" t="str">
            <v>Mulia Solusindo, PT</v>
          </cell>
        </row>
        <row r="263">
          <cell r="B263" t="str">
            <v>Outsourcindo, PT</v>
          </cell>
        </row>
        <row r="264">
          <cell r="B264" t="str">
            <v>Indo Makmur Mandiri, PT</v>
          </cell>
        </row>
        <row r="265">
          <cell r="B265" t="str">
            <v>Tjokro Bersaudara Tanjungindo, PT</v>
          </cell>
        </row>
        <row r="266">
          <cell r="B266" t="str">
            <v>Karya Teknik Perkasa, PT</v>
          </cell>
        </row>
        <row r="267">
          <cell r="B267" t="str">
            <v>Eonchemicals Putra, PT</v>
          </cell>
        </row>
        <row r="268">
          <cell r="B268" t="str">
            <v>Sinar Surya Lestari, PT</v>
          </cell>
        </row>
        <row r="269">
          <cell r="B269" t="str">
            <v>Alfa Teknik Mandiri Makmur, PT</v>
          </cell>
        </row>
        <row r="270">
          <cell r="B270" t="str">
            <v>Sinar Kharisma Mitra Agung, PT</v>
          </cell>
        </row>
        <row r="271">
          <cell r="B271" t="str">
            <v>Tawada Graha, PT</v>
          </cell>
        </row>
        <row r="272">
          <cell r="B272" t="str">
            <v>Sanggadelima Nusantara, PT</v>
          </cell>
        </row>
        <row r="273">
          <cell r="B273" t="str">
            <v>Adijaya Mitra Perkasa, PT</v>
          </cell>
        </row>
        <row r="274">
          <cell r="B274" t="str">
            <v>Tjokro Bersaudara Banjarindo, PT</v>
          </cell>
        </row>
        <row r="275">
          <cell r="B275" t="str">
            <v>Linco Baxo Benelux .B.V</v>
          </cell>
        </row>
        <row r="276">
          <cell r="B276" t="str">
            <v>Invira, CV</v>
          </cell>
        </row>
        <row r="277">
          <cell r="B277" t="str">
            <v>MHE-Demag Indonesia, PT</v>
          </cell>
        </row>
        <row r="278">
          <cell r="B278" t="str">
            <v>Logistic One Solution, PT</v>
          </cell>
        </row>
        <row r="279">
          <cell r="B279" t="str">
            <v>TNT Skypak International Express, PT</v>
          </cell>
        </row>
        <row r="280">
          <cell r="B280" t="str">
            <v>Cominco Mitra Perkasa, PT</v>
          </cell>
        </row>
        <row r="281">
          <cell r="B281" t="str">
            <v>Multisindo Rekayasa Industri, CV</v>
          </cell>
        </row>
        <row r="282">
          <cell r="B282" t="str">
            <v>Siwali Swantika, PT</v>
          </cell>
        </row>
        <row r="283">
          <cell r="B283" t="str">
            <v>Wisata Donelia Sejahtera, PT</v>
          </cell>
        </row>
        <row r="284">
          <cell r="B284" t="str">
            <v>Bali Sarana Sejahtera, PT</v>
          </cell>
        </row>
        <row r="285">
          <cell r="B285" t="str">
            <v>Dwijaya Sentral Sarana, PT</v>
          </cell>
        </row>
        <row r="286">
          <cell r="B286" t="str">
            <v>Pilar Presisi Indonesia, PT</v>
          </cell>
        </row>
        <row r="287">
          <cell r="B287" t="str">
            <v>Putera Instrumenindo, PT</v>
          </cell>
        </row>
        <row r="288">
          <cell r="B288" t="str">
            <v>Rollent Indonesia, PT</v>
          </cell>
        </row>
        <row r="289">
          <cell r="B289" t="str">
            <v>Indoporlen, PT</v>
          </cell>
        </row>
        <row r="290">
          <cell r="B290" t="str">
            <v>Solusi Total Komputindo, PT</v>
          </cell>
        </row>
        <row r="291">
          <cell r="B291" t="str">
            <v>Vertech Perdana, PT</v>
          </cell>
        </row>
        <row r="292">
          <cell r="B292" t="str">
            <v>Amptron Instrumindo, PT</v>
          </cell>
        </row>
        <row r="293">
          <cell r="B293" t="str">
            <v>Simenteknindo, PT</v>
          </cell>
        </row>
        <row r="294">
          <cell r="B294" t="str">
            <v>Dunia Saftindo, PT</v>
          </cell>
        </row>
        <row r="295">
          <cell r="B295" t="str">
            <v>Tiga Putri Abadi, CV</v>
          </cell>
        </row>
        <row r="296">
          <cell r="B296" t="str">
            <v>Menara Alfasemesta, PT</v>
          </cell>
        </row>
        <row r="297">
          <cell r="B297" t="str">
            <v>Ampera, CV</v>
          </cell>
        </row>
        <row r="298">
          <cell r="B298" t="str">
            <v>Edmi Indonesia, PT</v>
          </cell>
        </row>
        <row r="299">
          <cell r="B299" t="str">
            <v>Aditana Inti Perdana, PT</v>
          </cell>
        </row>
        <row r="300">
          <cell r="B300" t="str">
            <v>Yabestindo Mitra Utama, PT</v>
          </cell>
        </row>
        <row r="301">
          <cell r="B301" t="str">
            <v>Festo, PT</v>
          </cell>
        </row>
        <row r="302">
          <cell r="B302" t="str">
            <v>Sinar Mahaputera Mandaga Bakti, PT</v>
          </cell>
        </row>
        <row r="303">
          <cell r="B303" t="str">
            <v>Sumber Berlian Motors, PT</v>
          </cell>
        </row>
        <row r="304">
          <cell r="B304" t="str">
            <v>Bima Kaltim Utama, PT</v>
          </cell>
        </row>
        <row r="305">
          <cell r="B305" t="str">
            <v>Enggal Sukses Perkasa, PT</v>
          </cell>
        </row>
        <row r="306">
          <cell r="B306" t="str">
            <v>Andisa Karya Mandiri, PT</v>
          </cell>
        </row>
        <row r="307">
          <cell r="B307" t="str">
            <v>Qanita Hotel, PT</v>
          </cell>
        </row>
        <row r="308">
          <cell r="B308" t="str">
            <v>MTS Indonesia, PT</v>
          </cell>
        </row>
        <row r="309">
          <cell r="B309" t="str">
            <v>Bem-Vindo Jaya, PT</v>
          </cell>
        </row>
        <row r="310">
          <cell r="B310" t="str">
            <v>Dwihasta Pirusa, PT</v>
          </cell>
        </row>
        <row r="311">
          <cell r="B311" t="str">
            <v>Asia Megamas Internasional, PT</v>
          </cell>
        </row>
        <row r="312">
          <cell r="B312" t="str">
            <v>Hagna Movward Inovasi, PT</v>
          </cell>
        </row>
        <row r="313">
          <cell r="B313" t="str">
            <v>Sucofindo, PT</v>
          </cell>
        </row>
        <row r="314">
          <cell r="B314" t="str">
            <v>Sulzer Indonesia, PT</v>
          </cell>
        </row>
        <row r="315">
          <cell r="B315" t="str">
            <v>Duta Sarana Engineering, PT</v>
          </cell>
        </row>
        <row r="316">
          <cell r="B316" t="str">
            <v>Triguna Mandala, PT</v>
          </cell>
        </row>
        <row r="317">
          <cell r="B317" t="str">
            <v>Mubaroqah, CV</v>
          </cell>
        </row>
        <row r="318">
          <cell r="B318" t="str">
            <v>Ramadhan, CV</v>
          </cell>
        </row>
        <row r="319">
          <cell r="B319" t="str">
            <v>Mitra Usaha, CV</v>
          </cell>
        </row>
        <row r="320">
          <cell r="B320" t="str">
            <v>Alphacipta Computindo, PT</v>
          </cell>
        </row>
        <row r="321">
          <cell r="B321" t="str">
            <v>Wibon Kreasi Mandiri, PT</v>
          </cell>
        </row>
        <row r="322">
          <cell r="B322" t="str">
            <v>Unilab Perdana, PT</v>
          </cell>
        </row>
        <row r="323">
          <cell r="B323" t="str">
            <v>Yokogawa Indonesia, PT</v>
          </cell>
        </row>
        <row r="324">
          <cell r="B324" t="str">
            <v>Surya Maju Mapan, PT</v>
          </cell>
        </row>
        <row r="325">
          <cell r="B325" t="str">
            <v>Fajar Mas Murni, PT</v>
          </cell>
        </row>
        <row r="326">
          <cell r="B326" t="str">
            <v>Sumber Rezeki Maburai Anto, CV</v>
          </cell>
        </row>
        <row r="327">
          <cell r="B327" t="str">
            <v>Graha Lestari Jaya, PT</v>
          </cell>
        </row>
        <row r="328">
          <cell r="B328" t="str">
            <v>Now Indonesia, PT</v>
          </cell>
        </row>
        <row r="329">
          <cell r="B329" t="str">
            <v>Kwarsa Hexagon, PT</v>
          </cell>
        </row>
        <row r="330">
          <cell r="B330" t="str">
            <v>Power System Indonesia, PT</v>
          </cell>
        </row>
        <row r="331">
          <cell r="B331" t="str">
            <v>Filtras Indonesia, PT</v>
          </cell>
        </row>
        <row r="332">
          <cell r="B332" t="str">
            <v>Inesev, PT</v>
          </cell>
        </row>
        <row r="333">
          <cell r="B333" t="str">
            <v>Pacific Dwiyasa Putra, PT</v>
          </cell>
        </row>
        <row r="334">
          <cell r="B334" t="str">
            <v>Smart Solusindo, PT</v>
          </cell>
        </row>
        <row r="335">
          <cell r="B335" t="str">
            <v>Tabalong Putra Persada, CV</v>
          </cell>
        </row>
        <row r="336">
          <cell r="B336" t="str">
            <v>Nugraha, CV</v>
          </cell>
        </row>
        <row r="337">
          <cell r="B337" t="str">
            <v>Tritama Mitra Lestari, PT</v>
          </cell>
        </row>
        <row r="338">
          <cell r="B338" t="str">
            <v>Borneo Ground, CV</v>
          </cell>
        </row>
        <row r="339">
          <cell r="B339" t="str">
            <v>Amri Niaga Utama, PT</v>
          </cell>
        </row>
        <row r="340">
          <cell r="B340" t="str">
            <v>Intraparr Nusantara, PT</v>
          </cell>
        </row>
        <row r="341">
          <cell r="B341" t="str">
            <v>Sumber Berkah Lestari, CV</v>
          </cell>
        </row>
        <row r="342">
          <cell r="B342" t="str">
            <v>AF Consult Ltd</v>
          </cell>
        </row>
        <row r="343">
          <cell r="B343" t="str">
            <v>Agon Pacific Co., Ltd</v>
          </cell>
        </row>
        <row r="344">
          <cell r="B344" t="str">
            <v>Kin Kitra Kencana, PT</v>
          </cell>
        </row>
        <row r="345">
          <cell r="B345" t="str">
            <v>Citra Van Titipan Kilat, PT</v>
          </cell>
        </row>
        <row r="346">
          <cell r="B346" t="str">
            <v>Bambang Djaja, PT</v>
          </cell>
        </row>
        <row r="347">
          <cell r="B347" t="str">
            <v>Hydromart Utama Indonesia, PT</v>
          </cell>
        </row>
        <row r="348">
          <cell r="B348" t="str">
            <v>Wifgasindo Dinamika Instrument Engineering, PT</v>
          </cell>
        </row>
        <row r="349">
          <cell r="B349" t="str">
            <v>Cakra Instrumindo Utama, PT</v>
          </cell>
        </row>
        <row r="350">
          <cell r="B350" t="str">
            <v>Guna Elektro, PT</v>
          </cell>
        </row>
        <row r="351">
          <cell r="B351" t="str">
            <v>Karya Perdana, CV</v>
          </cell>
        </row>
        <row r="352">
          <cell r="B352" t="str">
            <v>Maju Langgeng Mandiri, PT</v>
          </cell>
        </row>
        <row r="353">
          <cell r="B353" t="str">
            <v>Sarana Prima Lestari, CV</v>
          </cell>
        </row>
        <row r="354">
          <cell r="B354" t="str">
            <v>Quartee Technologies, PT</v>
          </cell>
        </row>
        <row r="355">
          <cell r="B355" t="str">
            <v>Indo Jaya Perkasa Lubricant, PT</v>
          </cell>
        </row>
        <row r="356">
          <cell r="B356" t="str">
            <v>Rande Buana Teknik, PT</v>
          </cell>
        </row>
        <row r="357">
          <cell r="B357" t="str">
            <v>Asih Eka Abadi, PT</v>
          </cell>
        </row>
        <row r="358">
          <cell r="B358" t="str">
            <v>Stanindo Artha Langgeng, PT</v>
          </cell>
        </row>
        <row r="359">
          <cell r="B359" t="str">
            <v>General Supply &amp; Services Indonesia, PT</v>
          </cell>
        </row>
        <row r="360">
          <cell r="B360" t="str">
            <v>Yanfa Putra Alam, PT</v>
          </cell>
        </row>
        <row r="361">
          <cell r="B361" t="str">
            <v>Lapi ITB, PT</v>
          </cell>
        </row>
        <row r="362">
          <cell r="B362" t="str">
            <v>Prima Saftindo Elektrika, PT</v>
          </cell>
        </row>
        <row r="363">
          <cell r="B363" t="str">
            <v>Tiara Vibrasindo Pratama, PT</v>
          </cell>
        </row>
        <row r="364">
          <cell r="B364" t="str">
            <v>Budi Anugrah Bersama, PT</v>
          </cell>
        </row>
        <row r="365">
          <cell r="B365" t="str">
            <v>Andhika Digdaya Manunggal, PT</v>
          </cell>
        </row>
        <row r="366">
          <cell r="B366" t="str">
            <v>SWTS Indonesia, PT</v>
          </cell>
        </row>
        <row r="367">
          <cell r="B367" t="str">
            <v>Sekar Adi Karya, PT</v>
          </cell>
        </row>
        <row r="368">
          <cell r="B368" t="str">
            <v>Sinar Bintang Albar, PT</v>
          </cell>
        </row>
        <row r="369">
          <cell r="B369" t="str">
            <v>Pusindo Murniraya, PT</v>
          </cell>
        </row>
        <row r="370">
          <cell r="B370" t="str">
            <v>Casa Terra Mandiri Indonesia, PT</v>
          </cell>
        </row>
        <row r="371">
          <cell r="B371" t="str">
            <v>Mectron Engineering Indonesia, PT</v>
          </cell>
        </row>
        <row r="372">
          <cell r="B372" t="str">
            <v>Mastrainco Suryadaya, PT</v>
          </cell>
        </row>
        <row r="373">
          <cell r="B373" t="str">
            <v>Sentral Teknik Wicaksana, PT</v>
          </cell>
        </row>
        <row r="374">
          <cell r="B374" t="str">
            <v>Gridtech Indonesia, PT</v>
          </cell>
        </row>
        <row r="375">
          <cell r="B375" t="str">
            <v>Niatsae Prakarsa Indonesia, PT</v>
          </cell>
        </row>
        <row r="376">
          <cell r="B376" t="str">
            <v>Lintas Prima Energi, PT</v>
          </cell>
        </row>
        <row r="377">
          <cell r="B377" t="str">
            <v>Donaldson Filtration Indonesia, PT</v>
          </cell>
        </row>
        <row r="378">
          <cell r="B378" t="str">
            <v>Karya Energi Indonesia, PT</v>
          </cell>
        </row>
        <row r="379">
          <cell r="B379" t="str">
            <v>Expert Data Voice Solution, PT</v>
          </cell>
        </row>
        <row r="380">
          <cell r="B380" t="str">
            <v>Aqpa Indonesia, PT</v>
          </cell>
        </row>
        <row r="381">
          <cell r="B381" t="str">
            <v>THYSSENKRUPP TECHNOLOGIES INDONESIA, PT</v>
          </cell>
        </row>
        <row r="382">
          <cell r="B382" t="str">
            <v>Multi Transs Utama, PT</v>
          </cell>
        </row>
        <row r="383">
          <cell r="B383" t="str">
            <v>Cahaya Murni, CV</v>
          </cell>
        </row>
        <row r="384">
          <cell r="B384" t="str">
            <v>Trimitra Bangun Karyatama, PT</v>
          </cell>
        </row>
        <row r="385">
          <cell r="B385" t="str">
            <v>Greentek Elektrikal Indonesia, PT</v>
          </cell>
        </row>
        <row r="386">
          <cell r="B386" t="str">
            <v>Gevana, PT</v>
          </cell>
        </row>
        <row r="387">
          <cell r="B387" t="str">
            <v>Suprabakti Mandiri, PT</v>
          </cell>
        </row>
        <row r="388">
          <cell r="B388" t="str">
            <v>Pohon Mas Sejahtera, PT</v>
          </cell>
        </row>
        <row r="389">
          <cell r="B389" t="str">
            <v>Viktori Profindo Industri, PT</v>
          </cell>
        </row>
        <row r="390">
          <cell r="B390" t="str">
            <v>Tirta Jaya Primakarsa, PT</v>
          </cell>
        </row>
        <row r="391">
          <cell r="B391" t="str">
            <v>Bumi Cahaya Unggul, PT</v>
          </cell>
        </row>
        <row r="392">
          <cell r="B392" t="str">
            <v>Duta Perkasa, CV</v>
          </cell>
        </row>
        <row r="393">
          <cell r="B393" t="str">
            <v>Lagas Mandiri, PT</v>
          </cell>
        </row>
        <row r="394">
          <cell r="B394" t="str">
            <v>Takari Kokoh Sejahtera, PT</v>
          </cell>
        </row>
        <row r="395">
          <cell r="B395" t="str">
            <v>Berkat Jaya Komputindo, PT</v>
          </cell>
        </row>
        <row r="396">
          <cell r="B396" t="str">
            <v>Donny Herlinda, PT</v>
          </cell>
        </row>
        <row r="397">
          <cell r="B397" t="str">
            <v>Halley and Mellowes Australasia, PT</v>
          </cell>
        </row>
        <row r="398">
          <cell r="B398" t="str">
            <v>Wiya System Solution, PT</v>
          </cell>
        </row>
        <row r="399">
          <cell r="B399" t="str">
            <v>ABB Power Grids Indonesia, PT</v>
          </cell>
        </row>
        <row r="400">
          <cell r="B400" t="str">
            <v>Simentari Abdhi Bina, PT</v>
          </cell>
        </row>
        <row r="401">
          <cell r="B401" t="str">
            <v>Energy Trans Martabe, PT</v>
          </cell>
        </row>
        <row r="402">
          <cell r="B402" t="str">
            <v>Vistra Utama, PT</v>
          </cell>
        </row>
        <row r="403">
          <cell r="B403" t="str">
            <v>Mitra Wira Pratama, PT</v>
          </cell>
        </row>
        <row r="404">
          <cell r="B404" t="str">
            <v>Medic Trust Inc, PT</v>
          </cell>
        </row>
        <row r="405">
          <cell r="B405" t="str">
            <v>Powerindo Prima Perkasa, PT</v>
          </cell>
        </row>
        <row r="406">
          <cell r="B406" t="str">
            <v>Sola Anugerah Oilfield, PT</v>
          </cell>
        </row>
        <row r="407">
          <cell r="B407" t="str">
            <v>Berkat Putra Medika, CV</v>
          </cell>
        </row>
        <row r="408">
          <cell r="B408" t="str">
            <v>Narmada Setia, PT</v>
          </cell>
        </row>
        <row r="409">
          <cell r="B409" t="str">
            <v>Banjar Permata Dua, PT</v>
          </cell>
        </row>
        <row r="410">
          <cell r="B410" t="str">
            <v>Satria Bengawan, PT</v>
          </cell>
        </row>
        <row r="411">
          <cell r="B411" t="str">
            <v>Selco Indonesia, PT</v>
          </cell>
        </row>
        <row r="412">
          <cell r="B412" t="str">
            <v>Prasadha Pamunah Limbah Industri, PT</v>
          </cell>
        </row>
        <row r="413">
          <cell r="B413" t="str">
            <v>Biru Jaya Abadi, PT</v>
          </cell>
        </row>
        <row r="414">
          <cell r="B414" t="str">
            <v>Mandiri Era Utama, PT</v>
          </cell>
        </row>
        <row r="415">
          <cell r="B415" t="str">
            <v>Creo Eramas Abadi, PT</v>
          </cell>
        </row>
        <row r="416">
          <cell r="B416" t="str">
            <v>Ekatama Putra Perkasa, PT</v>
          </cell>
        </row>
        <row r="417">
          <cell r="B417" t="str">
            <v>Sehati, CV</v>
          </cell>
        </row>
        <row r="418">
          <cell r="B418" t="str">
            <v>Mega Mitra Abadi, PT</v>
          </cell>
        </row>
        <row r="419">
          <cell r="B419" t="str">
            <v>Adika Mitra Sehati, PT</v>
          </cell>
        </row>
        <row r="420">
          <cell r="B420" t="str">
            <v>Multiprima Indosejahtera, PT</v>
          </cell>
        </row>
        <row r="421">
          <cell r="B421" t="str">
            <v>Hydac Technology Indonesia, PT</v>
          </cell>
        </row>
        <row r="422">
          <cell r="B422" t="str">
            <v>Insan Bisnis dan Industri Manufaktur Indonesia, PT</v>
          </cell>
        </row>
        <row r="423">
          <cell r="B423" t="str">
            <v>Sinar Mutiara Cakrabuana, PT</v>
          </cell>
        </row>
        <row r="424">
          <cell r="B424" t="str">
            <v>PPSDM KEBTKE</v>
          </cell>
        </row>
        <row r="425">
          <cell r="B425" t="str">
            <v>Permintex Sinergi Indonesia, PT</v>
          </cell>
        </row>
        <row r="426">
          <cell r="B426" t="str">
            <v>Indonesia Bulk Terminal, PT</v>
          </cell>
        </row>
        <row r="427">
          <cell r="B427" t="str">
            <v>Golden Pratama Engineering, PT</v>
          </cell>
        </row>
        <row r="428">
          <cell r="B428" t="str">
            <v>Pertamina, PT (Persero)</v>
          </cell>
        </row>
        <row r="429">
          <cell r="B429" t="str">
            <v>Digital Akurasi, PT</v>
          </cell>
        </row>
        <row r="430">
          <cell r="B430" t="str">
            <v>Paradhya Ista Teknik, PT</v>
          </cell>
        </row>
        <row r="431">
          <cell r="B431" t="str">
            <v>Samudra Karya Mustika, PT</v>
          </cell>
        </row>
        <row r="432">
          <cell r="B432" t="str">
            <v>Aneka Alat Teknik, CV</v>
          </cell>
        </row>
        <row r="433">
          <cell r="B433" t="str">
            <v>Berkat Amira, CV</v>
          </cell>
        </row>
        <row r="434">
          <cell r="B434" t="str">
            <v>Pasifik Berlian Natiusindo, PT</v>
          </cell>
        </row>
        <row r="435">
          <cell r="B435" t="str">
            <v>Delta Indonesia Pranenggar, PT</v>
          </cell>
        </row>
        <row r="436">
          <cell r="B436" t="str">
            <v>Alpha Kencana Perkasa, PT</v>
          </cell>
        </row>
        <row r="437">
          <cell r="B437" t="str">
            <v>Adhigana Perkasa Mandiri, PT</v>
          </cell>
        </row>
        <row r="438">
          <cell r="B438" t="str">
            <v>Azhar Beruntung, UD</v>
          </cell>
        </row>
        <row r="439">
          <cell r="B439" t="str">
            <v>Dinamika Solusi Informatika, PT</v>
          </cell>
        </row>
        <row r="440">
          <cell r="B440" t="str">
            <v>Octocomm Asia, PT</v>
          </cell>
        </row>
        <row r="441">
          <cell r="B441" t="str">
            <v>Cahaya Indo Mitra Berkarya, PT</v>
          </cell>
        </row>
        <row r="442">
          <cell r="B442" t="str">
            <v>KSB Sales Indonesia, PT</v>
          </cell>
        </row>
        <row r="443">
          <cell r="B443" t="str">
            <v>Ali Shahab</v>
          </cell>
        </row>
        <row r="444">
          <cell r="B444" t="str">
            <v>Wahana Safety Indonesia, PT</v>
          </cell>
        </row>
        <row r="445">
          <cell r="B445" t="str">
            <v>Anugerah Kualitas Lingkungan Madani Indonesia, PT</v>
          </cell>
        </row>
        <row r="446">
          <cell r="B446" t="str">
            <v>Sumberdaya Sewatama, PT</v>
          </cell>
        </row>
        <row r="447">
          <cell r="B447" t="str">
            <v>Trimitra Wisesa Abadi, PT</v>
          </cell>
        </row>
        <row r="448">
          <cell r="B448" t="str">
            <v>Cipta Krida Bahari, PT</v>
          </cell>
        </row>
        <row r="449">
          <cell r="B449" t="str">
            <v>MARCOM SRL</v>
          </cell>
        </row>
        <row r="450">
          <cell r="B450" t="str">
            <v>Berkat Partindo Abadi, PT</v>
          </cell>
        </row>
        <row r="451">
          <cell r="B451" t="str">
            <v>Viktori Profindo Automation, PT</v>
          </cell>
        </row>
        <row r="452">
          <cell r="B452" t="str">
            <v>Alkon Trainindo Utama, PT</v>
          </cell>
        </row>
        <row r="453">
          <cell r="B453" t="str">
            <v>Bengkel Mobil Arif Jaya Mandiri</v>
          </cell>
        </row>
        <row r="454">
          <cell r="B454" t="str">
            <v>Yunia, CV</v>
          </cell>
        </row>
        <row r="455">
          <cell r="B455" t="str">
            <v>Anugrah Andalan Bestindo, PT</v>
          </cell>
        </row>
        <row r="456">
          <cell r="B456" t="str">
            <v>Indotech Citra Sinergi, PT</v>
          </cell>
        </row>
        <row r="457">
          <cell r="B457" t="str">
            <v>Fadnov Airtech Indonesia, PT</v>
          </cell>
        </row>
        <row r="458">
          <cell r="B458" t="str">
            <v>Allsys Solutions, PT</v>
          </cell>
        </row>
        <row r="459">
          <cell r="B459" t="str">
            <v>Ardh Global Indonesia, PT</v>
          </cell>
        </row>
        <row r="460">
          <cell r="B460" t="str">
            <v>Global Energitama, PT</v>
          </cell>
        </row>
        <row r="461">
          <cell r="B461" t="str">
            <v>Bengkel Ampera</v>
          </cell>
        </row>
        <row r="462">
          <cell r="B462" t="str">
            <v>Transavia Otomasi Pratama, PT</v>
          </cell>
        </row>
        <row r="463">
          <cell r="B463" t="str">
            <v>Lamindo Prima Mandiri, PT</v>
          </cell>
        </row>
        <row r="464">
          <cell r="B464" t="str">
            <v>Berkat Keselamatan Dunia, PT</v>
          </cell>
        </row>
        <row r="465">
          <cell r="B465" t="str">
            <v>Gamma Energi Pratama, PT</v>
          </cell>
        </row>
        <row r="466">
          <cell r="B466" t="str">
            <v>Alfa Pegasus, PT</v>
          </cell>
        </row>
        <row r="467">
          <cell r="B467" t="str">
            <v>Yayasan Pendidikan Kristen ORA et LABORA</v>
          </cell>
        </row>
        <row r="468">
          <cell r="B468" t="str">
            <v>Manunggal Rizky Agung (Maritza Mart), CV</v>
          </cell>
        </row>
        <row r="469">
          <cell r="B469" t="str">
            <v>Radian Fokus Mandiri, CV</v>
          </cell>
        </row>
        <row r="470">
          <cell r="B470" t="str">
            <v>Amanda Sejahtera Abadi, PT</v>
          </cell>
        </row>
        <row r="471">
          <cell r="B471" t="str">
            <v>Otto Sukses Jaya Perkasa, PT</v>
          </cell>
        </row>
        <row r="472">
          <cell r="B472" t="str">
            <v>Berlian Sejahtera Teknik, PT</v>
          </cell>
        </row>
        <row r="473">
          <cell r="B473" t="str">
            <v>Sinergi Safetypreneur Multiusaha, PT</v>
          </cell>
        </row>
        <row r="474">
          <cell r="B474" t="str">
            <v>Guest House September</v>
          </cell>
        </row>
        <row r="475">
          <cell r="B475" t="str">
            <v>Comestoarra Bentarra Noesantarra, PT</v>
          </cell>
        </row>
        <row r="476">
          <cell r="B476" t="str">
            <v>Arita Prima Indonesia Tbk, PT</v>
          </cell>
        </row>
        <row r="477">
          <cell r="B477" t="str">
            <v>Ciputra Liang Court, PT</v>
          </cell>
        </row>
        <row r="478">
          <cell r="B478" t="str">
            <v>Tentra Eka Pratama, PT</v>
          </cell>
        </row>
        <row r="479">
          <cell r="B479" t="str">
            <v>Gading Mas Utama, PT</v>
          </cell>
        </row>
        <row r="480">
          <cell r="B480" t="str">
            <v>Anugrah Analisis Sempurna, PT</v>
          </cell>
        </row>
        <row r="481">
          <cell r="B481" t="str">
            <v>Rahmat Parna Sakti, CV</v>
          </cell>
        </row>
        <row r="482">
          <cell r="B482" t="str">
            <v>Patrari Jaya Utama, PT</v>
          </cell>
        </row>
        <row r="483">
          <cell r="B483" t="str">
            <v>Ardiwijaya Prima Indonesia, PT</v>
          </cell>
        </row>
        <row r="484">
          <cell r="B484" t="str">
            <v>Mff Oilfield Services and Engineering, PT</v>
          </cell>
        </row>
        <row r="485">
          <cell r="B485" t="str">
            <v>Ginting &amp; Reksodiputro</v>
          </cell>
        </row>
        <row r="486">
          <cell r="B486" t="str">
            <v>Citra Wahana Sekar Buana, PT</v>
          </cell>
        </row>
        <row r="487">
          <cell r="B487" t="str">
            <v>Ultra Medica Sejahtera, PT</v>
          </cell>
        </row>
        <row r="488">
          <cell r="B488" t="str">
            <v>Tunas Dielektrika Nusantara, PT</v>
          </cell>
        </row>
        <row r="489">
          <cell r="B489" t="str">
            <v>Samiu Mitra Utama, PT</v>
          </cell>
        </row>
        <row r="490">
          <cell r="B490" t="str">
            <v>SparkBeyond Pte Ltd</v>
          </cell>
        </row>
        <row r="491">
          <cell r="B491" t="str">
            <v>Jashen Mitra Sinergi, PT</v>
          </cell>
        </row>
        <row r="492">
          <cell r="B492" t="str">
            <v>Berkat Pratama Teknik, CV</v>
          </cell>
        </row>
        <row r="493">
          <cell r="B493" t="str">
            <v>Pertamina Patra Niaga, PT</v>
          </cell>
        </row>
        <row r="494">
          <cell r="B494" t="str">
            <v>Helix Elektrindo, PT</v>
          </cell>
        </row>
        <row r="495">
          <cell r="B495" t="str">
            <v>Sarana Solusindo Informatika, PT</v>
          </cell>
        </row>
        <row r="496">
          <cell r="B496" t="str">
            <v>Carsurin, PT</v>
          </cell>
        </row>
        <row r="497">
          <cell r="B497" t="str">
            <v>Tiga Saudara Teknik, PT</v>
          </cell>
        </row>
        <row r="498">
          <cell r="B498" t="str">
            <v>Pelangi Dwiwarna, CV</v>
          </cell>
        </row>
        <row r="499">
          <cell r="B499" t="str">
            <v>Winston Indonesia, PT</v>
          </cell>
        </row>
        <row r="500">
          <cell r="B500" t="str">
            <v>Shazayn Rezeki Abadi, PT</v>
          </cell>
        </row>
        <row r="501">
          <cell r="B501" t="str">
            <v>Ataya Teknik Mulia, PT</v>
          </cell>
        </row>
        <row r="502">
          <cell r="B502" t="str">
            <v>Alamtri Minerals Indonesia Tbk, PT</v>
          </cell>
        </row>
        <row r="503">
          <cell r="B503" t="str">
            <v>Jaya Mandiri Sentosa, CV</v>
          </cell>
        </row>
        <row r="504">
          <cell r="B504" t="str">
            <v>Panca Global Solusindo, PT</v>
          </cell>
        </row>
        <row r="505">
          <cell r="B505" t="str">
            <v>Powerbrain Automasi Energi, PT</v>
          </cell>
        </row>
        <row r="506">
          <cell r="B506" t="str">
            <v>Metro Winata, PT</v>
          </cell>
        </row>
        <row r="507">
          <cell r="B507" t="str">
            <v>Sentra Tanjung Jaya, CV</v>
          </cell>
        </row>
        <row r="508">
          <cell r="B508" t="str">
            <v>Axel Jaya Cakraniaga, PT</v>
          </cell>
        </row>
        <row r="509">
          <cell r="B509" t="str">
            <v>Delta Abadi Sentosa, PT</v>
          </cell>
        </row>
        <row r="510">
          <cell r="B510" t="str">
            <v>Cipta Dua Power Frans Diesel, PT</v>
          </cell>
        </row>
        <row r="511">
          <cell r="B511" t="str">
            <v>Kharisma Data Technology, PT</v>
          </cell>
        </row>
        <row r="512">
          <cell r="B512" t="str">
            <v>Duzazys Prima Enjeniring, PT</v>
          </cell>
        </row>
        <row r="513">
          <cell r="B513" t="str">
            <v>Ellight Prima Indonesia, PT</v>
          </cell>
        </row>
        <row r="514">
          <cell r="B514" t="str">
            <v>Datanet Sistem Integrasi, PT</v>
          </cell>
        </row>
        <row r="515">
          <cell r="B515" t="str">
            <v>Bhakti Ratutama Jaya, PT</v>
          </cell>
        </row>
        <row r="516">
          <cell r="B516" t="str">
            <v>Lotus Inti Pratama, PT</v>
          </cell>
        </row>
        <row r="517">
          <cell r="B517" t="str">
            <v>Andalan Gaya Bhakti Pratama, PT</v>
          </cell>
        </row>
        <row r="518">
          <cell r="B518" t="str">
            <v>Pacific Tractor Indonesia, PT</v>
          </cell>
        </row>
        <row r="519">
          <cell r="B519" t="str">
            <v>Ran Kreasi Mandiri, CV</v>
          </cell>
        </row>
        <row r="520">
          <cell r="B520" t="str">
            <v>Mitra Energi Abadi, PT</v>
          </cell>
        </row>
        <row r="521">
          <cell r="B521" t="str">
            <v>Grama Bazita Maintenance Indonesia, PT</v>
          </cell>
        </row>
        <row r="522">
          <cell r="B522" t="str">
            <v>Black Jaguar Corporindo, CV</v>
          </cell>
        </row>
        <row r="523">
          <cell r="B523" t="str">
            <v>Binabusana Internusa, PT</v>
          </cell>
        </row>
        <row r="524">
          <cell r="B524" t="str">
            <v>Ketel Uap Indonesia, PT</v>
          </cell>
        </row>
        <row r="525">
          <cell r="B525" t="str">
            <v>Inti Dharma Global Indo, PT</v>
          </cell>
        </row>
        <row r="526">
          <cell r="B526" t="str">
            <v>Wutama Mitra Niaga, CV</v>
          </cell>
        </row>
        <row r="527">
          <cell r="B527" t="str">
            <v>Louserindo Megah Permai, PT</v>
          </cell>
        </row>
        <row r="528">
          <cell r="B528" t="str">
            <v>Adhikarilab Indonesia, PT</v>
          </cell>
        </row>
        <row r="529">
          <cell r="B529" t="str">
            <v>Rustan Consulting, PT</v>
          </cell>
        </row>
        <row r="530">
          <cell r="B530" t="str">
            <v>Eshael Indonesia, PT</v>
          </cell>
        </row>
        <row r="531">
          <cell r="B531" t="str">
            <v>Suprima Mitra Adihusada, PT</v>
          </cell>
        </row>
        <row r="532">
          <cell r="B532" t="str">
            <v>Radius Allkindo Electric, PT</v>
          </cell>
        </row>
        <row r="533">
          <cell r="B533" t="str">
            <v>Radius Alkindo Electric, PT</v>
          </cell>
        </row>
        <row r="534">
          <cell r="B534" t="str">
            <v>Mumpuni Inti Mandiri, PT</v>
          </cell>
        </row>
        <row r="535">
          <cell r="B535" t="str">
            <v>Hidup Baru Perdana Abadi, PT</v>
          </cell>
        </row>
        <row r="536">
          <cell r="B536" t="str">
            <v>Invaltech System Indonesia, PT</v>
          </cell>
        </row>
        <row r="537">
          <cell r="B537" t="str">
            <v>Technical South East Asia, PT</v>
          </cell>
        </row>
        <row r="538">
          <cell r="B538" t="str">
            <v>Citra Tanjung Lestari Indah, PT</v>
          </cell>
        </row>
        <row r="539">
          <cell r="B539" t="str">
            <v>Ganesha Wirya Pratama, PT</v>
          </cell>
        </row>
        <row r="540">
          <cell r="B540" t="str">
            <v>Hitachi Sakti Energy Indonesia, PT</v>
          </cell>
        </row>
        <row r="541">
          <cell r="B541" t="str">
            <v>Wonders Anaqie, CV</v>
          </cell>
        </row>
        <row r="542">
          <cell r="B542" t="str">
            <v>Phoenix Bumiputera, PT</v>
          </cell>
        </row>
        <row r="543">
          <cell r="B543" t="str">
            <v>Jaya Induksi Elektrik, PT</v>
          </cell>
        </row>
        <row r="544">
          <cell r="B544" t="str">
            <v>Malakoff Technicals Solutions Sdn Bhd</v>
          </cell>
        </row>
        <row r="545">
          <cell r="B545" t="str">
            <v>Sedgwick Adjuster Indonesia, PT</v>
          </cell>
        </row>
        <row r="546">
          <cell r="B546" t="str">
            <v>Gamamitra Setia, PT</v>
          </cell>
        </row>
        <row r="547">
          <cell r="B547" t="str">
            <v>Kerta Gaya Pusaka, PT</v>
          </cell>
        </row>
        <row r="548">
          <cell r="B548" t="str">
            <v>Kalibrasi Instrumen Bersama, PT</v>
          </cell>
        </row>
        <row r="549">
          <cell r="B549" t="str">
            <v>Andalan Nusantara Teknologi, PT</v>
          </cell>
        </row>
        <row r="550">
          <cell r="B550" t="str">
            <v>Afghan Jaya Abadi, PT</v>
          </cell>
        </row>
        <row r="551">
          <cell r="B551" t="str">
            <v>Padi Hijau Buana, PT</v>
          </cell>
        </row>
        <row r="552">
          <cell r="B552" t="str">
            <v>Arjuna Mas Abadi, PT</v>
          </cell>
        </row>
        <row r="553">
          <cell r="B553" t="str">
            <v>HOFZ Indonesia, PT</v>
          </cell>
        </row>
        <row r="554">
          <cell r="B554" t="str">
            <v>Surya Sakti Sukses, PT</v>
          </cell>
        </row>
        <row r="555">
          <cell r="B555" t="str">
            <v>Tirta Bhuvana Abadi, PT</v>
          </cell>
        </row>
        <row r="556">
          <cell r="B556" t="str">
            <v>Upperwest Nusa Optima, PT</v>
          </cell>
        </row>
        <row r="557">
          <cell r="B557" t="str">
            <v>Sakura Elevator Indonesia Corp, PT</v>
          </cell>
        </row>
        <row r="558">
          <cell r="B558" t="str">
            <v>Gunung Moria Mega Prima, PT</v>
          </cell>
        </row>
        <row r="559">
          <cell r="B559" t="str">
            <v>Porti Multi Indonesia, PT</v>
          </cell>
        </row>
        <row r="560">
          <cell r="B560" t="str">
            <v>Sabda Duta Paramitha, PT</v>
          </cell>
        </row>
        <row r="561">
          <cell r="B561" t="str">
            <v>Magna Sardo, PT</v>
          </cell>
        </row>
        <row r="562">
          <cell r="B562" t="str">
            <v>Kalimantan Tehnik Mandiri, PT</v>
          </cell>
        </row>
        <row r="563">
          <cell r="B563" t="str">
            <v>Tekno Logika Utama, PT</v>
          </cell>
        </row>
        <row r="564">
          <cell r="B564" t="str">
            <v>Petrocom Nusa Synergy, PT</v>
          </cell>
        </row>
        <row r="565">
          <cell r="B565" t="str">
            <v>Kehatilab Indonesia, PT</v>
          </cell>
        </row>
        <row r="566">
          <cell r="B566" t="str">
            <v>Sertifikasi Mandiri Sejahtera, PT</v>
          </cell>
        </row>
        <row r="567">
          <cell r="B567" t="str">
            <v>Karya Asri Persada, PT</v>
          </cell>
        </row>
        <row r="568">
          <cell r="B568" t="str">
            <v>Tax Payable art. 22</v>
          </cell>
        </row>
        <row r="569">
          <cell r="B569" t="str">
            <v>Surya Solusi Sejahtera, PT</v>
          </cell>
        </row>
        <row r="570">
          <cell r="B570" t="str">
            <v>Mitrasoft Infonet, PT</v>
          </cell>
        </row>
        <row r="571">
          <cell r="B571" t="str">
            <v>Carakamas Intialam, PT</v>
          </cell>
        </row>
        <row r="572">
          <cell r="B572" t="str">
            <v>Gaung Umar Energi, PT</v>
          </cell>
        </row>
        <row r="573">
          <cell r="B573" t="str">
            <v>Kajianlogam Persada, PT</v>
          </cell>
        </row>
        <row r="574">
          <cell r="B574" t="str">
            <v>TUV SUD Indonesia, PT</v>
          </cell>
        </row>
        <row r="575">
          <cell r="B575" t="str">
            <v>Tanjung Baru 63, PT</v>
          </cell>
        </row>
        <row r="576">
          <cell r="B576" t="str">
            <v>Bintang Mandiri, CV</v>
          </cell>
        </row>
        <row r="577">
          <cell r="B577" t="str">
            <v>Thea Theo Stationary, PT</v>
          </cell>
        </row>
        <row r="578">
          <cell r="B578" t="str">
            <v>Sentrapart Niaga Utama, PT</v>
          </cell>
        </row>
        <row r="579">
          <cell r="B579" t="str">
            <v>Amarta Multi Sinergy, PT</v>
          </cell>
        </row>
        <row r="580">
          <cell r="B580" t="str">
            <v>Norgantara Andalan Mandiri Indonesia, PT</v>
          </cell>
        </row>
        <row r="581">
          <cell r="B581" t="str">
            <v>Memiontec Indonesia, PT</v>
          </cell>
        </row>
        <row r="582">
          <cell r="B582" t="str">
            <v>Surya Citra, CV</v>
          </cell>
        </row>
        <row r="583">
          <cell r="B583" t="str">
            <v>Agri Multi Lestari, PT</v>
          </cell>
        </row>
        <row r="584">
          <cell r="B584" t="str">
            <v>Puspetindo, PT</v>
          </cell>
        </row>
        <row r="585">
          <cell r="B585" t="str">
            <v>Growrich Indonesia, PT</v>
          </cell>
        </row>
        <row r="586">
          <cell r="B586" t="str">
            <v>Reva Enterprise (HK) CO., LTD</v>
          </cell>
        </row>
        <row r="587">
          <cell r="B587" t="str">
            <v>Mia Tama, CV</v>
          </cell>
        </row>
        <row r="588">
          <cell r="B588" t="str">
            <v>Transways Expressindo, PT</v>
          </cell>
        </row>
        <row r="589">
          <cell r="B589" t="str">
            <v>Triputra Electric Abadi, PT</v>
          </cell>
        </row>
        <row r="590">
          <cell r="B590" t="str">
            <v>Kelompok Swadaya Masyarakat Pengelola TPS 3R</v>
          </cell>
        </row>
        <row r="591">
          <cell r="B591" t="str">
            <v>Jembo Cable Company Tbk, PT</v>
          </cell>
        </row>
        <row r="592">
          <cell r="B592" t="str">
            <v>Heksa Instrumen Sinergi, PT</v>
          </cell>
        </row>
        <row r="593">
          <cell r="B593" t="str">
            <v>Mytech Engineering, PT</v>
          </cell>
        </row>
        <row r="594">
          <cell r="B594" t="str">
            <v>Restu Tanjung Permai Katering Servis, PT</v>
          </cell>
        </row>
        <row r="595">
          <cell r="B595" t="str">
            <v>Adaro Persada Mandiri, PT</v>
          </cell>
        </row>
        <row r="596">
          <cell r="B596" t="str">
            <v>Altros Teknologi, PT</v>
          </cell>
        </row>
        <row r="597">
          <cell r="B597" t="str">
            <v>Password Ritel Sistem Indonesia, PT</v>
          </cell>
        </row>
        <row r="598">
          <cell r="B598" t="str">
            <v>Hijau Muda Lestari, CV</v>
          </cell>
        </row>
        <row r="599">
          <cell r="B599" t="str">
            <v>Sembilan Jaya Abadi Resources, PT</v>
          </cell>
        </row>
        <row r="600">
          <cell r="B600" t="str">
            <v>Supra Surya Indonesia, PT</v>
          </cell>
        </row>
        <row r="601">
          <cell r="B601" t="str">
            <v>Envilab Indonesia, PT</v>
          </cell>
        </row>
        <row r="602">
          <cell r="B602" t="str">
            <v>Agape Trikarsa Libratama, PT</v>
          </cell>
        </row>
        <row r="603">
          <cell r="B603" t="str">
            <v>Total Solusi Instrument, PT</v>
          </cell>
        </row>
        <row r="604">
          <cell r="B604" t="str">
            <v>DCN Indonesia, PT</v>
          </cell>
        </row>
        <row r="605">
          <cell r="B605" t="str">
            <v>Elang Mas Indoasia, PT</v>
          </cell>
        </row>
        <row r="606">
          <cell r="B606" t="str">
            <v>Panca Aneka Niaga, PT</v>
          </cell>
        </row>
        <row r="607">
          <cell r="B607" t="str">
            <v>Streamer Electrik Indonesia, PT</v>
          </cell>
        </row>
        <row r="608">
          <cell r="B608" t="str">
            <v>Berkat Mandiri Utama Tanjung, PT</v>
          </cell>
        </row>
        <row r="609">
          <cell r="B609" t="str">
            <v>Dwi Surya Abadi Kharisma, PT</v>
          </cell>
        </row>
        <row r="610">
          <cell r="B610" t="str">
            <v>CBC Indonesia, PT</v>
          </cell>
        </row>
        <row r="611">
          <cell r="B611" t="str">
            <v>Artam Borneo Automatika, PT</v>
          </cell>
        </row>
        <row r="612">
          <cell r="B612" t="str">
            <v>Wiratama Sistem Integrasi, PT</v>
          </cell>
        </row>
        <row r="613">
          <cell r="B613" t="str">
            <v>Dankha Dian Kurnia, PT</v>
          </cell>
        </row>
        <row r="614">
          <cell r="B614" t="str">
            <v>ITS Science Indonesia, PT</v>
          </cell>
        </row>
        <row r="615">
          <cell r="B615" t="str">
            <v>Graha Survei Indonesia, PT</v>
          </cell>
        </row>
        <row r="616">
          <cell r="B616" t="str">
            <v>Wahana Ciptasinatria, PT</v>
          </cell>
        </row>
        <row r="617">
          <cell r="B617" t="str">
            <v>Riyana Dinamika Mandiri, PT</v>
          </cell>
        </row>
        <row r="618">
          <cell r="B618" t="str">
            <v>Emkaha, PT</v>
          </cell>
        </row>
        <row r="619">
          <cell r="B619" t="str">
            <v>Triatra Sinergi Pratama, PT</v>
          </cell>
        </row>
        <row r="620">
          <cell r="B620" t="str">
            <v>Adaro Mining Technologies, PT</v>
          </cell>
        </row>
        <row r="621">
          <cell r="B621" t="str">
            <v>Eksperta Adi Manusia, PT</v>
          </cell>
        </row>
        <row r="622">
          <cell r="B622" t="str">
            <v>Andalan Mutu Energi, PT</v>
          </cell>
        </row>
        <row r="623">
          <cell r="B623" t="str">
            <v>ATW Sejahtera, PT</v>
          </cell>
        </row>
        <row r="624">
          <cell r="B624" t="str">
            <v>Teco Multiguna Elektro, PT</v>
          </cell>
        </row>
        <row r="625">
          <cell r="B625" t="str">
            <v>Interjaya Suryamegah, PT</v>
          </cell>
        </row>
        <row r="626">
          <cell r="B626" t="str">
            <v>Adaro Logistics, PT</v>
          </cell>
        </row>
        <row r="627">
          <cell r="B627" t="str">
            <v>Harapan Bahtera Internusa, PT</v>
          </cell>
        </row>
        <row r="628">
          <cell r="B628" t="str">
            <v>Properindo Enviro Tech, PT</v>
          </cell>
        </row>
        <row r="629">
          <cell r="B629" t="str">
            <v>Results Design Consultant, CV</v>
          </cell>
        </row>
        <row r="630">
          <cell r="B630" t="str">
            <v>Vanris, CV</v>
          </cell>
        </row>
        <row r="631">
          <cell r="B631" t="str">
            <v>Aka Prima Komputindo, PT</v>
          </cell>
        </row>
        <row r="632">
          <cell r="B632" t="str">
            <v>Cahaya Mitra Saftindo, PT</v>
          </cell>
        </row>
        <row r="633">
          <cell r="B633" t="str">
            <v>Pandu Equator Prima, PT</v>
          </cell>
        </row>
        <row r="634">
          <cell r="B634" t="str">
            <v>Sutrakabel Intimandiri, PT</v>
          </cell>
        </row>
        <row r="635">
          <cell r="B635" t="str">
            <v>Daha Surya Persada, PT</v>
          </cell>
        </row>
        <row r="636">
          <cell r="B636" t="str">
            <v>JJ-LAPP Cable Indonesia, PT</v>
          </cell>
        </row>
        <row r="637">
          <cell r="B637" t="str">
            <v>Proweldindo, PT</v>
          </cell>
        </row>
        <row r="638">
          <cell r="B638" t="str">
            <v>Biro Jasa Ining</v>
          </cell>
        </row>
        <row r="639">
          <cell r="B639" t="str">
            <v>Serasi Autoraya, PT</v>
          </cell>
        </row>
        <row r="640">
          <cell r="B640" t="str">
            <v>Gapura Kembar Teknindo, PT</v>
          </cell>
        </row>
        <row r="641">
          <cell r="B641" t="str">
            <v>Selaras Daya Utama, PT</v>
          </cell>
        </row>
        <row r="642">
          <cell r="B642" t="str">
            <v>Mitra Borneo Indah, PT</v>
          </cell>
        </row>
        <row r="643">
          <cell r="B643" t="str">
            <v>Indomobil Global Transportasi, PT</v>
          </cell>
        </row>
        <row r="644">
          <cell r="B644" t="str">
            <v>Aneka Mitra Cipta, PT</v>
          </cell>
        </row>
        <row r="645">
          <cell r="B645" t="str">
            <v>Ranadityo Sukses Makmur, PT</v>
          </cell>
        </row>
        <row r="646">
          <cell r="B646" t="str">
            <v>Total Raya Energi, PT</v>
          </cell>
        </row>
        <row r="647">
          <cell r="B647" t="str">
            <v>Polydaya Fiberindo Indah, PT</v>
          </cell>
        </row>
        <row r="648">
          <cell r="B648" t="str">
            <v>Promitra Prima Indonesia, PT</v>
          </cell>
        </row>
        <row r="649">
          <cell r="B649" t="str">
            <v>Westindo Esa Perkasa, PT</v>
          </cell>
        </row>
        <row r="650">
          <cell r="B650" t="str">
            <v>Indostar Security, PT</v>
          </cell>
        </row>
        <row r="651">
          <cell r="B651" t="str">
            <v>Central Elektrindo Mandiri, PT</v>
          </cell>
        </row>
        <row r="652">
          <cell r="B652" t="str">
            <v>Pola Proserve Engineering, PT</v>
          </cell>
        </row>
        <row r="653">
          <cell r="B653" t="str">
            <v>Prokalindo Global Presisi, PT</v>
          </cell>
        </row>
        <row r="654">
          <cell r="B654" t="str">
            <v>Jakarta Prima Cranes, PT</v>
          </cell>
        </row>
        <row r="655">
          <cell r="B655" t="str">
            <v>Lienetic Jaya, PT</v>
          </cell>
        </row>
        <row r="656">
          <cell r="B656" t="str">
            <v>Pansel Multi Indoguna, CV</v>
          </cell>
        </row>
        <row r="657">
          <cell r="B657" t="str">
            <v>Fahri Bersaudara, CV</v>
          </cell>
        </row>
        <row r="658">
          <cell r="B658" t="str">
            <v>Rinas Bangun Sejahtera, PT</v>
          </cell>
        </row>
        <row r="659">
          <cell r="B659" t="str">
            <v>Kogelahar Borneo, PT</v>
          </cell>
        </row>
        <row r="660">
          <cell r="B660" t="str">
            <v>Raihan Teknik Utama, PT</v>
          </cell>
        </row>
        <row r="661">
          <cell r="B661" t="str">
            <v>Multi Mas, CV</v>
          </cell>
        </row>
        <row r="662">
          <cell r="B662" t="str">
            <v>Xservice, CV</v>
          </cell>
        </row>
        <row r="663">
          <cell r="B663" t="str">
            <v>Borneo Energi Sejahtera, CV</v>
          </cell>
        </row>
        <row r="664">
          <cell r="B664" t="str">
            <v>Teknik Cahaya Mandiri, CV</v>
          </cell>
        </row>
        <row r="665">
          <cell r="B665" t="str">
            <v>Taichyun Industries Indonesia, PT</v>
          </cell>
        </row>
        <row r="666">
          <cell r="B666" t="str">
            <v>Gamako Ekakarsa, PT</v>
          </cell>
        </row>
        <row r="667">
          <cell r="B667" t="str">
            <v>Vendor dummy for upload beginning balance</v>
          </cell>
        </row>
        <row r="668">
          <cell r="B668" t="str">
            <v>IOL Indonesia, PT</v>
          </cell>
        </row>
        <row r="669">
          <cell r="B669" t="str">
            <v>Cendekia Muda Sejahtera, CV</v>
          </cell>
        </row>
        <row r="670">
          <cell r="B670" t="str">
            <v>Alpha Bumi Persada, PT</v>
          </cell>
        </row>
        <row r="671">
          <cell r="B671" t="str">
            <v>Kiko Energy Indonesia, PT</v>
          </cell>
        </row>
        <row r="672">
          <cell r="B672" t="str">
            <v>Bumi Hijau Motor, PT</v>
          </cell>
        </row>
        <row r="673">
          <cell r="B673" t="str">
            <v>Hexa Integra Electrica, PT</v>
          </cell>
        </row>
        <row r="674">
          <cell r="B674" t="str">
            <v>Gema Mandiri Konsultan, CV</v>
          </cell>
        </row>
        <row r="675">
          <cell r="B675" t="str">
            <v>Mutu Indonesia Gemilang Global, PT</v>
          </cell>
        </row>
        <row r="676">
          <cell r="B676" t="str">
            <v>Janji Karya Teknik Inspeksi, PT</v>
          </cell>
        </row>
        <row r="677">
          <cell r="B677" t="str">
            <v>PLN Nusantara Power Services, PT</v>
          </cell>
        </row>
        <row r="678">
          <cell r="B678" t="str">
            <v>Bizar Abdi Prima, PT</v>
          </cell>
        </row>
        <row r="679">
          <cell r="B679" t="str">
            <v>SMC Automation Indonesia, PT</v>
          </cell>
        </row>
        <row r="680">
          <cell r="B680" t="str">
            <v>Solusi Cita Mandala, PT</v>
          </cell>
        </row>
        <row r="681">
          <cell r="B681" t="str">
            <v>Marmin, PT</v>
          </cell>
        </row>
        <row r="682">
          <cell r="B682" t="str">
            <v>Gala Jaya (Banjarmasin), PT</v>
          </cell>
        </row>
        <row r="683">
          <cell r="B683" t="str">
            <v>R</v>
          </cell>
        </row>
        <row r="684">
          <cell r="B684" t="str">
            <v>Hyprowira Adhitama, PT</v>
          </cell>
        </row>
        <row r="685">
          <cell r="B685" t="str">
            <v>Pancamas Putramandiri, PT</v>
          </cell>
        </row>
        <row r="686">
          <cell r="B686" t="str">
            <v>Borneo Energi Harapan, CV</v>
          </cell>
        </row>
        <row r="687">
          <cell r="B687" t="str">
            <v>Control System Arena Para Nusa, PT</v>
          </cell>
        </row>
        <row r="688">
          <cell r="B688" t="str">
            <v>AEG Power Solutions Pte Ltd</v>
          </cell>
        </row>
        <row r="689">
          <cell r="B689" t="str">
            <v>Alfa Jaya Energy, CV</v>
          </cell>
        </row>
        <row r="690">
          <cell r="B690" t="str">
            <v>Alkabelt Sejahtera Bersama, PT</v>
          </cell>
        </row>
        <row r="691">
          <cell r="B691" t="str">
            <v>ALS Indonesia, PT</v>
          </cell>
        </row>
        <row r="692">
          <cell r="B692" t="str">
            <v>Amanah Nusantara Sejahtera, PT</v>
          </cell>
        </row>
        <row r="693">
          <cell r="B693" t="str">
            <v>Arisco Mandiri, PT</v>
          </cell>
        </row>
        <row r="694">
          <cell r="B694" t="str">
            <v>Arjuna Wijaya Karya, PT</v>
          </cell>
        </row>
        <row r="695">
          <cell r="B695" t="str">
            <v>Arlisco Elektrika Perkasa, PT</v>
          </cell>
        </row>
        <row r="696">
          <cell r="B696" t="str">
            <v>Astha Bumi Valve, PT</v>
          </cell>
        </row>
        <row r="697">
          <cell r="B697" t="str">
            <v>Bandar Aneka Teknik Indonesia, PT</v>
          </cell>
        </row>
        <row r="698">
          <cell r="B698" t="str">
            <v>Banti Indonesia, PT</v>
          </cell>
        </row>
        <row r="699">
          <cell r="B699" t="str">
            <v>Barcol Nusantara, PT</v>
          </cell>
        </row>
        <row r="700">
          <cell r="B700" t="str">
            <v>Benua Kharisma Instrument, PT</v>
          </cell>
        </row>
        <row r="701">
          <cell r="B701" t="str">
            <v>Bestflow System, PT</v>
          </cell>
        </row>
        <row r="702">
          <cell r="B702" t="str">
            <v>Biliton Jaya Raya, PT</v>
          </cell>
        </row>
        <row r="703">
          <cell r="B703" t="str">
            <v>Borneo Statewide Bearing, PT</v>
          </cell>
        </row>
        <row r="704">
          <cell r="B704" t="str">
            <v>Bromindo Mekar Mitra, PT</v>
          </cell>
        </row>
        <row r="705">
          <cell r="B705" t="str">
            <v>Buana Cahayatama, PT</v>
          </cell>
        </row>
        <row r="706">
          <cell r="B706" t="str">
            <v>Cahaya Pengajaran Abadi, PT</v>
          </cell>
        </row>
        <row r="707">
          <cell r="B707" t="str">
            <v>Catek Jaya, CV</v>
          </cell>
        </row>
        <row r="708">
          <cell r="B708" t="str">
            <v>Central Teknindo Abadiperkasa, PT</v>
          </cell>
        </row>
        <row r="709">
          <cell r="B709" t="str">
            <v>Citra Telemindo Perkasa, PT</v>
          </cell>
        </row>
        <row r="710">
          <cell r="B710" t="str">
            <v>Comtech Global Indonesia, PT</v>
          </cell>
        </row>
        <row r="711">
          <cell r="B711" t="str">
            <v>Ecosindo Laboranusa, PT</v>
          </cell>
        </row>
        <row r="712">
          <cell r="B712" t="str">
            <v>Elang Dwi Mitra, PT</v>
          </cell>
        </row>
        <row r="713">
          <cell r="B713" t="str">
            <v>Elmecon Multikencana, PT</v>
          </cell>
        </row>
        <row r="714">
          <cell r="B714" t="str">
            <v>Enexde Hakit, PT</v>
          </cell>
        </row>
        <row r="715">
          <cell r="B715" t="str">
            <v>Eticon Rekayasa Teknik, PT</v>
          </cell>
        </row>
        <row r="716">
          <cell r="B716" t="str">
            <v>Fajar Benua Indopack, PT</v>
          </cell>
        </row>
        <row r="717">
          <cell r="B717" t="str">
            <v>Firetech Perkasa, PT</v>
          </cell>
        </row>
        <row r="718">
          <cell r="B718" t="str">
            <v>Forbes Marshall Indonesia, PT</v>
          </cell>
        </row>
        <row r="719">
          <cell r="B719" t="str">
            <v>Fortuna Aneka Gemilang, PT</v>
          </cell>
        </row>
        <row r="720">
          <cell r="B720" t="str">
            <v>Gamuk Gajendra Group, PT</v>
          </cell>
        </row>
        <row r="721">
          <cell r="B721" t="str">
            <v>Garuda Teknik Asia, PT</v>
          </cell>
        </row>
        <row r="722">
          <cell r="B722" t="str">
            <v>Geomax Reka Optima, PT</v>
          </cell>
        </row>
        <row r="723">
          <cell r="B723" t="str">
            <v>Glory Elektrik Indonesia, PT</v>
          </cell>
        </row>
        <row r="724">
          <cell r="B724" t="str">
            <v>Goltens Indonesia, PT</v>
          </cell>
        </row>
        <row r="725">
          <cell r="B725" t="str">
            <v>Graha Mutu Persada, PT</v>
          </cell>
        </row>
        <row r="726">
          <cell r="B726" t="str">
            <v>Gresindo Mandiri Utama, PT</v>
          </cell>
        </row>
        <row r="727">
          <cell r="B727" t="str">
            <v>Haitek Cipta Berlian, PT</v>
          </cell>
        </row>
        <row r="728">
          <cell r="B728" t="str">
            <v>Hartech Indonesia, PT</v>
          </cell>
        </row>
        <row r="729">
          <cell r="B729" t="str">
            <v>Hartekprima Listrindo, PT</v>
          </cell>
        </row>
        <row r="730">
          <cell r="B730" t="str">
            <v>Indo Base Harapan, PT</v>
          </cell>
        </row>
        <row r="731">
          <cell r="B731" t="str">
            <v>Indomultimeter Test Instruments, PT</v>
          </cell>
        </row>
        <row r="732">
          <cell r="B732" t="str">
            <v>Indoparta Nusantara, PT</v>
          </cell>
        </row>
        <row r="733">
          <cell r="B733" t="str">
            <v>Intan Global Sinergi, PT</v>
          </cell>
        </row>
        <row r="734">
          <cell r="B734" t="str">
            <v>Intertek Utama Services, PT</v>
          </cell>
        </row>
        <row r="735">
          <cell r="B735" t="str">
            <v>Inti Surya Laboratorium, PT</v>
          </cell>
        </row>
        <row r="736">
          <cell r="B736" t="str">
            <v>Joelco Dunamos Solusindo, PT</v>
          </cell>
        </row>
        <row r="737">
          <cell r="B737" t="str">
            <v>Kabelindo, PT</v>
          </cell>
        </row>
        <row r="738">
          <cell r="B738" t="str">
            <v>Kaliman, PT</v>
          </cell>
        </row>
        <row r="739">
          <cell r="B739" t="str">
            <v>Kalmer Siloam Mahakam, PT</v>
          </cell>
        </row>
        <row r="740">
          <cell r="B740" t="str">
            <v>Kalsa Triapsara Utama, PT</v>
          </cell>
        </row>
        <row r="741">
          <cell r="B741" t="str">
            <v>Karya Bersatu Lestari, PT</v>
          </cell>
        </row>
        <row r="742">
          <cell r="B742" t="str">
            <v>Kesawa Citra Integra , PT</v>
          </cell>
        </row>
        <row r="743">
          <cell r="B743" t="str">
            <v>Kreasi Utama Mandiri, PT</v>
          </cell>
        </row>
        <row r="744">
          <cell r="B744" t="str">
            <v>Kurnia Safety Supplies, PT</v>
          </cell>
        </row>
        <row r="745">
          <cell r="B745" t="str">
            <v>Libratama, PT</v>
          </cell>
        </row>
        <row r="746">
          <cell r="B746" t="str">
            <v>Life Cycle Indonesia, PT</v>
          </cell>
        </row>
        <row r="747">
          <cell r="B747" t="str">
            <v>Lima Makmur Jaya, PT</v>
          </cell>
        </row>
        <row r="748">
          <cell r="B748" t="str">
            <v>Maha Data Solusi, PT</v>
          </cell>
        </row>
        <row r="749">
          <cell r="B749" t="str">
            <v>Majasakti Teknik, PT</v>
          </cell>
        </row>
        <row r="750">
          <cell r="B750" t="str">
            <v>Menara Sinar Agung, CV</v>
          </cell>
        </row>
        <row r="751">
          <cell r="B751" t="str">
            <v>Misumi Indonesia, PT</v>
          </cell>
        </row>
        <row r="752">
          <cell r="B752" t="str">
            <v>Mitra Beltindo Jaya, PT</v>
          </cell>
        </row>
        <row r="753">
          <cell r="B753" t="str">
            <v>Mitra Keluarga Sehati, CV</v>
          </cell>
        </row>
        <row r="754">
          <cell r="B754" t="str">
            <v>Mitra Raharjatama, PT</v>
          </cell>
        </row>
        <row r="755">
          <cell r="B755" t="str">
            <v>Mitra Safa Senusantara, CV</v>
          </cell>
        </row>
        <row r="756">
          <cell r="B756" t="str">
            <v>Monotaro Indonesia, PT</v>
          </cell>
        </row>
        <row r="757">
          <cell r="B757" t="str">
            <v>Multi Cakra Pratama, PT</v>
          </cell>
        </row>
        <row r="758">
          <cell r="B758" t="str">
            <v>Multi Jaya Mesindotama, PT</v>
          </cell>
        </row>
        <row r="759">
          <cell r="B759" t="str">
            <v>Multico Equipment Indonesia, PT</v>
          </cell>
        </row>
        <row r="760">
          <cell r="B760" t="str">
            <v>Multidaya Prima Lestari, PT</v>
          </cell>
        </row>
        <row r="761">
          <cell r="B761" t="str">
            <v>Multikarya Asia Pasifik Raya, PT</v>
          </cell>
        </row>
        <row r="762">
          <cell r="B762" t="str">
            <v>Murni Dharma Karya, PT</v>
          </cell>
        </row>
        <row r="763">
          <cell r="B763" t="str">
            <v>Mustika Jaya Tracktor, PT</v>
          </cell>
        </row>
        <row r="764">
          <cell r="B764" t="str">
            <v>National Global Technology, PT</v>
          </cell>
        </row>
        <row r="765">
          <cell r="B765" t="str">
            <v>New Praktika Alkesindo, PT</v>
          </cell>
        </row>
        <row r="766">
          <cell r="B766" t="str">
            <v>Niaga Global Internusa, PT</v>
          </cell>
        </row>
        <row r="767">
          <cell r="B767" t="str">
            <v>Ometracto Arya Samanta, PT</v>
          </cell>
        </row>
        <row r="768">
          <cell r="B768" t="str">
            <v>Paducandi Lestari, PT</v>
          </cell>
        </row>
        <row r="769">
          <cell r="B769" t="str">
            <v>Panda Tehnik, PT</v>
          </cell>
        </row>
        <row r="770">
          <cell r="B770" t="str">
            <v>Perumda Tabalong Jaya Persada</v>
          </cell>
        </row>
        <row r="771">
          <cell r="B771" t="str">
            <v>Piranti Nusantara Teknologi, PT</v>
          </cell>
        </row>
        <row r="772">
          <cell r="B772" t="str">
            <v>Platindo Karya Prima, PT</v>
          </cell>
        </row>
        <row r="773">
          <cell r="B773" t="str">
            <v>PM Control System, PT</v>
          </cell>
        </row>
        <row r="774">
          <cell r="B774" t="str">
            <v>Polydaya Fiberindo Indah, PT</v>
          </cell>
        </row>
        <row r="775">
          <cell r="B775" t="str">
            <v>Prima Akurasi Solusindo, PT</v>
          </cell>
        </row>
        <row r="776">
          <cell r="B776" t="str">
            <v>Pro Engineering Utama, PT</v>
          </cell>
        </row>
        <row r="777">
          <cell r="B777" t="str">
            <v>Ran Reklame, CV</v>
          </cell>
        </row>
        <row r="778">
          <cell r="B778" t="str">
            <v>Reftech Jaya Optima, PT</v>
          </cell>
        </row>
        <row r="779">
          <cell r="B779" t="str">
            <v>Sahabat Energi Persada, PT</v>
          </cell>
        </row>
        <row r="780">
          <cell r="B780" t="str">
            <v>Sampulu Adi Jaya Perkasa, PT</v>
          </cell>
        </row>
        <row r="781">
          <cell r="B781" t="str">
            <v>Sarana Teknik Mekanika, PT</v>
          </cell>
        </row>
        <row r="782">
          <cell r="B782" t="str">
            <v>Satu Aneka Bearing, PT</v>
          </cell>
        </row>
        <row r="783">
          <cell r="B783" t="str">
            <v>Satu Power Indonesia, PT</v>
          </cell>
        </row>
        <row r="784">
          <cell r="B784" t="str">
            <v>Sedaya Mitra Sejahtera, PT</v>
          </cell>
        </row>
        <row r="785">
          <cell r="B785" t="str">
            <v>Sejahtera Oli Internasional, PT</v>
          </cell>
        </row>
        <row r="786">
          <cell r="B786" t="str">
            <v>Sentratek Adiprestasi, PT</v>
          </cell>
        </row>
        <row r="787">
          <cell r="B787" t="str">
            <v>SGS Indonesia, PT</v>
          </cell>
        </row>
        <row r="788">
          <cell r="B788" t="str">
            <v>Sibara Bestari Indonesia, PT</v>
          </cell>
        </row>
        <row r="789">
          <cell r="B789" t="str">
            <v>Sagempal Pasir Emas, PT</v>
          </cell>
        </row>
        <row r="790">
          <cell r="B790" t="str">
            <v>Sinar Electric Jaya, PT</v>
          </cell>
        </row>
        <row r="791">
          <cell r="B791" t="str">
            <v>Sinergi Indo Pranata, PT</v>
          </cell>
        </row>
        <row r="792">
          <cell r="B792" t="str">
            <v>Sky Energi Indonesia Tbk, PT</v>
          </cell>
        </row>
        <row r="793">
          <cell r="B793" t="str">
            <v>Sri Cahaya Manunggal, PT</v>
          </cell>
        </row>
        <row r="794">
          <cell r="B794" t="str">
            <v>Sucaco, PT (Supreme Cable)</v>
          </cell>
        </row>
        <row r="795">
          <cell r="B795" t="str">
            <v>Sukses Mulia Raya, PT</v>
          </cell>
        </row>
        <row r="796">
          <cell r="B796" t="str">
            <v>Summit Solar Tech, PT</v>
          </cell>
        </row>
        <row r="797">
          <cell r="B797" t="str">
            <v>Synergi Inti Utama, PT</v>
          </cell>
        </row>
        <row r="798">
          <cell r="B798" t="str">
            <v>Tanjung Baru 63, PT</v>
          </cell>
        </row>
        <row r="799">
          <cell r="B799" t="str">
            <v>Torako, PT</v>
          </cell>
        </row>
        <row r="800">
          <cell r="B800" t="str">
            <v>Totalfire Indonesia, PT</v>
          </cell>
        </row>
        <row r="801">
          <cell r="B801" t="str">
            <v>Trafo Solusi Engineering, PT</v>
          </cell>
        </row>
        <row r="802">
          <cell r="B802" t="str">
            <v>Trafoindo Prima Perkasa, PT</v>
          </cell>
        </row>
        <row r="803">
          <cell r="B803" t="str">
            <v>Tri Arga Kencana, PT</v>
          </cell>
        </row>
        <row r="804">
          <cell r="B804" t="str">
            <v>Tribhakti Inspektama, PT</v>
          </cell>
        </row>
        <row r="805">
          <cell r="B805" t="str">
            <v>Trilistrindo Pratama, PT</v>
          </cell>
        </row>
        <row r="806">
          <cell r="B806" t="str">
            <v xml:space="preserve">Trimitra Karya Cipta, PT </v>
          </cell>
        </row>
        <row r="807">
          <cell r="B807" t="str">
            <v>Trusur Unggul Teknusa, PT</v>
          </cell>
        </row>
        <row r="808">
          <cell r="B808" t="str">
            <v>Tsurumi Pompa Indonesia, PT</v>
          </cell>
        </row>
        <row r="809">
          <cell r="B809" t="str">
            <v>Valui Persada Engineering, PT</v>
          </cell>
        </row>
        <row r="810">
          <cell r="B810" t="str">
            <v>Venturer Shinta Success, PT</v>
          </cell>
        </row>
        <row r="811">
          <cell r="B811" t="str">
            <v>Victorindo Pratama Mandiri, PT</v>
          </cell>
        </row>
        <row r="812">
          <cell r="B812" t="str">
            <v>Wangun Sari Pratama, PT</v>
          </cell>
        </row>
        <row r="813">
          <cell r="B813" t="str">
            <v>Widjaja Teknik Utama, PT</v>
          </cell>
        </row>
        <row r="814">
          <cell r="B814" t="str">
            <v>XD Sakti Indonesia, PT</v>
          </cell>
        </row>
        <row r="815">
          <cell r="B815" t="str">
            <v>Yoga Bangun Persada, PT</v>
          </cell>
        </row>
        <row r="816">
          <cell r="B816" t="str">
            <v>Uno Solusi Teknik, CV</v>
          </cell>
        </row>
        <row r="817">
          <cell r="B817" t="str">
            <v>ODG Nusantara Jaya, PT</v>
          </cell>
        </row>
        <row r="818">
          <cell r="B818" t="str">
            <v>Multindo Technology Utama, PT</v>
          </cell>
        </row>
        <row r="819">
          <cell r="B819" t="str">
            <v>Jaga Karya Mandiri, PT</v>
          </cell>
        </row>
        <row r="820">
          <cell r="B820" t="str">
            <v>Mardika Sarana Engineering, PT</v>
          </cell>
        </row>
        <row r="821">
          <cell r="B821" t="str">
            <v>Pahala Mitra Elektrik, PT</v>
          </cell>
        </row>
        <row r="822">
          <cell r="B822" t="str">
            <v>Mulya Jatra, PT</v>
          </cell>
        </row>
        <row r="823">
          <cell r="B823" t="str">
            <v>Inti Dwijaya Sentosa, CV</v>
          </cell>
        </row>
        <row r="824">
          <cell r="B824" t="str">
            <v>Catur Anagata Buana, PT</v>
          </cell>
        </row>
        <row r="825">
          <cell r="B825" t="str">
            <v>Mandika Sarana Engineering, PT</v>
          </cell>
        </row>
        <row r="826">
          <cell r="B826" t="str">
            <v>Siemens Energy Indonesia, PT</v>
          </cell>
        </row>
        <row r="827">
          <cell r="B827" t="str">
            <v>Gunung Mas Sakti Abadi, PT</v>
          </cell>
        </row>
        <row r="828">
          <cell r="B828" t="str">
            <v>Proteknik Mega Persada, PT</v>
          </cell>
        </row>
        <row r="829">
          <cell r="B829" t="str">
            <v>Lautan Air Indonesia, PT</v>
          </cell>
        </row>
        <row r="830">
          <cell r="B830" t="str">
            <v>Metito Indonesia, PT</v>
          </cell>
        </row>
        <row r="831">
          <cell r="B831" t="str">
            <v>Powerindo Kimia Mineral, PT</v>
          </cell>
        </row>
        <row r="832">
          <cell r="B832" t="str">
            <v>Strivechem Indonesia, PT</v>
          </cell>
        </row>
        <row r="833">
          <cell r="B833" t="str">
            <v>Pelita Pusaka Indomedika, CV</v>
          </cell>
        </row>
        <row r="834">
          <cell r="B834" t="str">
            <v>Asosiasi Produsen Listrik Swasta Indonesia</v>
          </cell>
        </row>
        <row r="835">
          <cell r="B835" t="str">
            <v>Sri Astuti B</v>
          </cell>
        </row>
        <row r="836">
          <cell r="B836" t="str">
            <v>Jogja Smart Indotama</v>
          </cell>
        </row>
        <row r="837">
          <cell r="B837" t="str">
            <v>Duta Indomandiri, PT</v>
          </cell>
        </row>
        <row r="838">
          <cell r="B838" t="str">
            <v>Millbank, Tweed, Hadley &amp; Mccloy, Llp</v>
          </cell>
        </row>
        <row r="839">
          <cell r="B839" t="str">
            <v>Serikat Pekerja MSW</v>
          </cell>
        </row>
        <row r="840">
          <cell r="B840" t="str">
            <v>RS PONDOK INDAH</v>
          </cell>
        </row>
        <row r="841">
          <cell r="B841" t="str">
            <v>RS SARI MULIA INDAH</v>
          </cell>
        </row>
        <row r="842">
          <cell r="B842" t="str">
            <v>RS PREMIER BINTARO</v>
          </cell>
        </row>
        <row r="843">
          <cell r="B843" t="str">
            <v>RS MEDISTRA</v>
          </cell>
        </row>
        <row r="844">
          <cell r="B844" t="str">
            <v>RS PERMATA CIBUBUR</v>
          </cell>
        </row>
        <row r="845">
          <cell r="B845" t="str">
            <v>RS HERMINA BEKASI</v>
          </cell>
        </row>
        <row r="846">
          <cell r="B846" t="str">
            <v>RS PERMATA</v>
          </cell>
        </row>
        <row r="847">
          <cell r="B847" t="str">
            <v>RS CIPUTRA MITRA  HOSPITAL</v>
          </cell>
        </row>
        <row r="848">
          <cell r="B848" t="str">
            <v>RS MITRA KELUARGA</v>
          </cell>
        </row>
        <row r="849">
          <cell r="B849" t="str">
            <v>RS EMC PEKAYON</v>
          </cell>
        </row>
        <row r="850">
          <cell r="B850" t="str">
            <v>RS HERMINA GALAXY</v>
          </cell>
        </row>
        <row r="851">
          <cell r="B851" t="str">
            <v>RS ABDI WALUYO</v>
          </cell>
        </row>
        <row r="852">
          <cell r="B852" t="str">
            <v>RS METROPOLITAN MEDICAL CENTRE (MMC)</v>
          </cell>
        </row>
        <row r="853">
          <cell r="B853" t="str">
            <v>RS MEILIA</v>
          </cell>
        </row>
        <row r="854">
          <cell r="B854" t="str">
            <v>RS ULIN BANJARMASIN</v>
          </cell>
        </row>
        <row r="855">
          <cell r="B855" t="str">
            <v>RS BRAWIJAYA HOSPITAL SAHARJO</v>
          </cell>
        </row>
        <row r="856">
          <cell r="B856" t="str">
            <v>Diva Bersama, CV</v>
          </cell>
        </row>
        <row r="857">
          <cell r="B857" t="str">
            <v>Duta Terang Rubberindo, PT</v>
          </cell>
        </row>
        <row r="858">
          <cell r="B858" t="str">
            <v>DCT Total Solusindo, PT</v>
          </cell>
        </row>
        <row r="859">
          <cell r="B859" t="str">
            <v>AMB Indonesia, PT</v>
          </cell>
        </row>
        <row r="860">
          <cell r="B860" t="str">
            <v>Dynamic Boiler Nusantara, PT</v>
          </cell>
        </row>
        <row r="861">
          <cell r="B861" t="str">
            <v>Menara Alfa Semesta, PT</v>
          </cell>
        </row>
        <row r="862">
          <cell r="B862" t="str">
            <v>Norgantara Surya Perkasa, PT</v>
          </cell>
        </row>
        <row r="863">
          <cell r="B863" t="str">
            <v>Nusafluid Solusi Utama, PT</v>
          </cell>
        </row>
        <row r="864">
          <cell r="B864" t="str">
            <v>Polaris Instrumentasi Dinamika, PT</v>
          </cell>
        </row>
        <row r="865">
          <cell r="B865" t="str">
            <v>Pratama Graha Semesta, PT</v>
          </cell>
        </row>
        <row r="866">
          <cell r="B866" t="str">
            <v>Starvi Nusa Gemilang, PT</v>
          </cell>
        </row>
        <row r="867">
          <cell r="B867" t="str">
            <v>Wahana Mitra Sukses, PT</v>
          </cell>
        </row>
        <row r="868">
          <cell r="B868" t="str">
            <v>ATW Solar, PT</v>
          </cell>
        </row>
        <row r="869">
          <cell r="B869" t="str">
            <v>Banua Maju Jaya, CV</v>
          </cell>
        </row>
        <row r="870">
          <cell r="B870" t="str">
            <v>Benteng Reka Energi, PT</v>
          </cell>
        </row>
        <row r="871">
          <cell r="B871" t="str">
            <v>Berkat Daya Laksana, CV</v>
          </cell>
        </row>
        <row r="872">
          <cell r="B872" t="str">
            <v>Bertha Sinar Teknik, PT</v>
          </cell>
        </row>
        <row r="873">
          <cell r="B873" t="str">
            <v>Besttoflow System, PT</v>
          </cell>
        </row>
        <row r="874">
          <cell r="B874" t="str">
            <v>Biotech Indo Gemilang, PT</v>
          </cell>
        </row>
        <row r="875">
          <cell r="B875" t="str">
            <v>Biro Jasa Inning</v>
          </cell>
        </row>
        <row r="876">
          <cell r="B876" t="str">
            <v>Bisan Electric, PT</v>
          </cell>
        </row>
        <row r="877">
          <cell r="B877" t="str">
            <v>Central Diesel, PT</v>
          </cell>
        </row>
        <row r="878">
          <cell r="B878" t="str">
            <v>Deka Adhinusa, PT</v>
          </cell>
        </row>
        <row r="879">
          <cell r="B879" t="str">
            <v>Dielektrika Persada Teknik, PT</v>
          </cell>
        </row>
        <row r="880">
          <cell r="B880" t="str">
            <v>Fortuna Anekamulti Gemilang, PT</v>
          </cell>
        </row>
        <row r="881">
          <cell r="B881" t="str">
            <v>Golden Kanezka Scafolding, PT</v>
          </cell>
        </row>
        <row r="882">
          <cell r="B882" t="str">
            <v>Graha Sumber Prima Elektronik, PT</v>
          </cell>
        </row>
        <row r="883">
          <cell r="B883" t="str">
            <v>Hanju Nusantara Power, PT</v>
          </cell>
        </row>
        <row r="884">
          <cell r="B884" t="str">
            <v>Harmoni Indo Tehnik, PT</v>
          </cell>
        </row>
        <row r="885">
          <cell r="B885" t="str">
            <v>Karya Bersama Industri, PT</v>
          </cell>
        </row>
        <row r="886">
          <cell r="B886" t="str">
            <v>Karya Informasi Nusantara, PT</v>
          </cell>
        </row>
        <row r="887">
          <cell r="B887" t="str">
            <v>Kawan Lama Sejahtera, PT</v>
          </cell>
        </row>
        <row r="888">
          <cell r="B888" t="str">
            <v>Mapin Sinergi, CV</v>
          </cell>
        </row>
        <row r="889">
          <cell r="B889" t="str">
            <v>Mitra Baru, CV</v>
          </cell>
        </row>
        <row r="890">
          <cell r="B890" t="str">
            <v>Mitra Sinar Bintang, PT</v>
          </cell>
        </row>
        <row r="891">
          <cell r="B891" t="str">
            <v>Mitra Usaha Balikpapan, CV</v>
          </cell>
        </row>
        <row r="892">
          <cell r="B892" t="str">
            <v>Pelangi Dwi Warna, CV</v>
          </cell>
        </row>
        <row r="893">
          <cell r="B893" t="str">
            <v>Rajawali Mandiri Conveyor, PT</v>
          </cell>
        </row>
        <row r="894">
          <cell r="B894" t="str">
            <v>Sahabat Waskita Teknik, PT</v>
          </cell>
        </row>
        <row r="895">
          <cell r="B895" t="str">
            <v>Sky Energy Indonesia  Tbk, PT</v>
          </cell>
        </row>
        <row r="896">
          <cell r="B896" t="str">
            <v>Stomil Indonesia, PT</v>
          </cell>
        </row>
        <row r="897">
          <cell r="B897" t="str">
            <v>Surya Nusantara Safety, CV</v>
          </cell>
        </row>
        <row r="898">
          <cell r="B898" t="str">
            <v>Takano Redho Indonesia, PT</v>
          </cell>
        </row>
        <row r="899">
          <cell r="B899" t="str">
            <v>Utomo Juragan Atap Surya Indonesia, PT</v>
          </cell>
        </row>
        <row r="900">
          <cell r="B900" t="str">
            <v>Valvindo Megah, PT</v>
          </cell>
        </row>
        <row r="901">
          <cell r="B901" t="str">
            <v>Eka Hospital, PT</v>
          </cell>
        </row>
        <row r="902">
          <cell r="B902" t="str">
            <v>IBS Insurance Broking Service, PT</v>
          </cell>
        </row>
        <row r="903">
          <cell r="B903" t="str">
            <v>KANTOR KONSULTAN AKTUARIA RIANA DAN REKAN</v>
          </cell>
        </row>
        <row r="904">
          <cell r="B904" t="str">
            <v>TEMPORARY VENDOR</v>
          </cell>
        </row>
        <row r="905">
          <cell r="B905" t="str">
            <v>Aneka Tambang Tbk, PT</v>
          </cell>
        </row>
        <row r="906">
          <cell r="B906" t="str">
            <v>Telekomunikasi Selular, PT</v>
          </cell>
        </row>
        <row r="907">
          <cell r="B907" t="str">
            <v>Dunamis Intermaster, PT</v>
          </cell>
        </row>
        <row r="908">
          <cell r="B908" t="str">
            <v>PPM MANAJEMEN</v>
          </cell>
        </row>
        <row r="909">
          <cell r="B909" t="str">
            <v>Trans Borneo Anugerah Mandiri, PT</v>
          </cell>
        </row>
        <row r="910">
          <cell r="B910" t="str">
            <v>Dinda Pradana Insurance Broker, PT</v>
          </cell>
        </row>
        <row r="911">
          <cell r="B911" t="str">
            <v>Bank Mandiri Tbk, PT</v>
          </cell>
        </row>
        <row r="912">
          <cell r="B912" t="str">
            <v>LEMBAGA MANAJEMEN PRASETIYA MULYA</v>
          </cell>
        </row>
        <row r="913">
          <cell r="B913" t="str">
            <v>KAP RINTIS, JUMADI, RIANTO &amp; REKAN</v>
          </cell>
        </row>
        <row r="914">
          <cell r="B914" t="str">
            <v>Telekomunikasi Indonesia Tbk, PT</v>
          </cell>
        </row>
        <row r="915">
          <cell r="B915" t="str">
            <v>Bunda Medik (Rs Bunda), PT</v>
          </cell>
        </row>
        <row r="916">
          <cell r="B916" t="str">
            <v>TITIPAN KILAT (CV. TIKI)</v>
          </cell>
        </row>
        <row r="917">
          <cell r="B917" t="str">
            <v>Siloam International Hospitals, PT</v>
          </cell>
        </row>
        <row r="918">
          <cell r="B918" t="str">
            <v>Allera Karya Indonesia, PT</v>
          </cell>
        </row>
        <row r="919">
          <cell r="B919" t="str">
            <v>Dunamis Intra Sarana, PT</v>
          </cell>
        </row>
        <row r="920">
          <cell r="B920" t="str">
            <v>Water Laboratory Nusantara Indonesia, PT</v>
          </cell>
        </row>
        <row r="921">
          <cell r="B921" t="str">
            <v>Indomonang Jadi, PT</v>
          </cell>
        </row>
        <row r="922">
          <cell r="B922" t="str">
            <v>Pengelolaan Dokumentasi Indonesia, CV</v>
          </cell>
        </row>
        <row r="923">
          <cell r="B923" t="str">
            <v>Wcs Abyakta Nawasena, PT</v>
          </cell>
        </row>
        <row r="924">
          <cell r="B924" t="str">
            <v>JEC EYE HOSPITAL</v>
          </cell>
        </row>
        <row r="925">
          <cell r="B925" t="str">
            <v>KLINIK MULIA MEDIKA</v>
          </cell>
        </row>
        <row r="926">
          <cell r="B926" t="str">
            <v>KLINIK SIKAMALI</v>
          </cell>
        </row>
        <row r="927">
          <cell r="B927" t="str">
            <v>KELOMPOK SWADAYA MASYARAKAT PENGELOLA TPS</v>
          </cell>
        </row>
        <row r="928">
          <cell r="B928" t="str">
            <v>Wiratama Sistem Energi, PT</v>
          </cell>
        </row>
        <row r="929">
          <cell r="B929" t="str">
            <v>Andalan Energi Investama, PT</v>
          </cell>
        </row>
        <row r="930">
          <cell r="B930" t="str">
            <v>Niaga Indo Alam, PT</v>
          </cell>
        </row>
        <row r="931">
          <cell r="B931" t="str">
            <v>Hatfield Indonesia, PT</v>
          </cell>
        </row>
        <row r="932">
          <cell r="B932" t="str">
            <v>Indonusa Bio Energy, PT</v>
          </cell>
        </row>
        <row r="933">
          <cell r="B933" t="str">
            <v>Komoro Energy Indonesia, PT</v>
          </cell>
        </row>
        <row r="934">
          <cell r="B934" t="str">
            <v>Shafwah Energy Indonesia, PT</v>
          </cell>
        </row>
        <row r="935">
          <cell r="B935" t="str">
            <v>BENK Biomass Energy Kalimantan</v>
          </cell>
        </row>
        <row r="936">
          <cell r="B936" t="str">
            <v>Biomassa Energy Nusantara, PT</v>
          </cell>
        </row>
        <row r="937">
          <cell r="B937" t="str">
            <v>Prima Khatulistiwa Sinergi, PT</v>
          </cell>
        </row>
        <row r="938">
          <cell r="B938" t="str">
            <v>Alam Kencana Indonesia, PT</v>
          </cell>
        </row>
        <row r="939">
          <cell r="B939" t="str">
            <v>Madani Alam Kalimantan, PT</v>
          </cell>
        </row>
        <row r="940">
          <cell r="B940" t="str">
            <v>Andaxcon Jaya Teknik, PT</v>
          </cell>
        </row>
        <row r="941">
          <cell r="B941" t="str">
            <v>Bens Karya Abadi, PT</v>
          </cell>
        </row>
        <row r="942">
          <cell r="B942" t="str">
            <v>Varley Indonesia, PT</v>
          </cell>
        </row>
        <row r="943">
          <cell r="B943" t="str">
            <v>Damai Sentosa Utama, PT</v>
          </cell>
        </row>
        <row r="944">
          <cell r="B944" t="str">
            <v>Bhantini Mitra Jaya, PT</v>
          </cell>
        </row>
        <row r="945">
          <cell r="B945" t="str">
            <v>Guntala Karya Abadi, PT</v>
          </cell>
        </row>
        <row r="946">
          <cell r="B946" t="str">
            <v>Borneo Renewable Optima, PT</v>
          </cell>
        </row>
        <row r="947">
          <cell r="B947" t="str">
            <v>Ricon Masinta Pratama, PT</v>
          </cell>
        </row>
        <row r="948">
          <cell r="B948" t="str">
            <v>Jaya Sentral Cemerlang, PT</v>
          </cell>
        </row>
        <row r="949">
          <cell r="B949" t="str">
            <v>Wahana Inti Selaras, PT</v>
          </cell>
        </row>
        <row r="950">
          <cell r="B950" t="str">
            <v>Bumi Alam Seraya, PT</v>
          </cell>
        </row>
        <row r="951">
          <cell r="B951" t="str">
            <v>Teknik Persada Mandiri, PT</v>
          </cell>
        </row>
        <row r="952">
          <cell r="B952" t="str">
            <v>CTEC Intertrade Indonesia, PT</v>
          </cell>
        </row>
        <row r="953">
          <cell r="B953" t="str">
            <v>Sanyang International Trade, PT</v>
          </cell>
        </row>
        <row r="954">
          <cell r="B954" t="str">
            <v>TSI Laboratory Indonesia, PT</v>
          </cell>
        </row>
        <row r="955">
          <cell r="B955" t="str">
            <v>KJPP Anna</v>
          </cell>
        </row>
        <row r="956">
          <cell r="B956" t="str">
            <v>Mutu Agung Lestari, PT</v>
          </cell>
        </row>
        <row r="957">
          <cell r="B957" t="str">
            <v>TUV Rheinland Indonesia, PT</v>
          </cell>
        </row>
        <row r="958">
          <cell r="B958" t="str">
            <v>Nocola IoT Solution, PT</v>
          </cell>
        </row>
        <row r="959">
          <cell r="B959" t="str">
            <v>KJPP ANA DAN REKAN BANJARMASIN</v>
          </cell>
        </row>
        <row r="960">
          <cell r="B960" t="str">
            <v>Teratai Widjaja, PT</v>
          </cell>
        </row>
        <row r="961">
          <cell r="B961" t="str">
            <v>SUROWIDJOJO &amp; CO</v>
          </cell>
        </row>
        <row r="962">
          <cell r="B962" t="str">
            <v>Borneo Tandayu Perkasa, PT</v>
          </cell>
        </row>
        <row r="963">
          <cell r="B963" t="str">
            <v>Katiga Sarana Raharja, PT</v>
          </cell>
        </row>
        <row r="964">
          <cell r="B964" t="str">
            <v>Mega Prakarsa Enginering Indonesia, PT</v>
          </cell>
        </row>
        <row r="965">
          <cell r="B965" t="str">
            <v>APAQ Group Indonesia, PT</v>
          </cell>
        </row>
        <row r="966">
          <cell r="B966" t="str">
            <v>Mesindo Tekninesia, PT</v>
          </cell>
        </row>
        <row r="967">
          <cell r="B967" t="str">
            <v>Zidan Putra Gemilang, PT</v>
          </cell>
        </row>
        <row r="968">
          <cell r="B968" t="str">
            <v>Vando Teknik Solusi, PT</v>
          </cell>
        </row>
        <row r="969">
          <cell r="B969" t="str">
            <v>Advanced Analytics Asia Laboratories, PT</v>
          </cell>
        </row>
        <row r="970">
          <cell r="B970" t="str">
            <v>Halqilab Karya Indonesia, PT</v>
          </cell>
        </row>
        <row r="971">
          <cell r="B971" t="str">
            <v>Genau Loka Gantari, PT</v>
          </cell>
        </row>
        <row r="972">
          <cell r="B972" t="str">
            <v>Mandiri Transforma Global, PT</v>
          </cell>
        </row>
        <row r="973">
          <cell r="B973" t="str">
            <v>Bright Sinergi Global, PT</v>
          </cell>
        </row>
        <row r="974">
          <cell r="B974" t="str">
            <v>Eksperta Adi Manusa, PT</v>
          </cell>
        </row>
        <row r="975">
          <cell r="B975" t="str">
            <v>Sukses Mandiri Jaya Gemilang, PT</v>
          </cell>
        </row>
        <row r="976">
          <cell r="B976" t="str">
            <v>Hexalindo Mitra Perkasa, PT</v>
          </cell>
        </row>
        <row r="977">
          <cell r="B977" t="str">
            <v>Prabu Jaya Tunggal, PT</v>
          </cell>
        </row>
        <row r="978">
          <cell r="B978" t="str">
            <v>Tuv Rheinland Indonesia, PT</v>
          </cell>
        </row>
        <row r="979">
          <cell r="B979" t="str">
            <v>Schneider Electric Indonesia, PT</v>
          </cell>
        </row>
      </sheetData>
      <sheetData sheetId="3"/>
      <sheetData sheetId="4"/>
      <sheetData sheetId="5"/>
      <sheetData sheetId="6">
        <row r="7">
          <cell r="Z7" t="str">
            <v>6100DA300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33.001.002.0036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500">
            <a:latin typeface="Palatino Linotype" panose="0204050205050503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rthur.bramiyana@adaro.com" TargetMode="External"/><Relationship Id="rId3" Type="http://schemas.openxmlformats.org/officeDocument/2006/relationships/hyperlink" Target="mailto:fazal.ridwan@alamtri.com" TargetMode="External"/><Relationship Id="rId7" Type="http://schemas.openxmlformats.org/officeDocument/2006/relationships/hyperlink" Target="mailto:rajudinnoor@adaro.com" TargetMode="External"/><Relationship Id="rId2" Type="http://schemas.openxmlformats.org/officeDocument/2006/relationships/hyperlink" Target="mailto:rajudinnoor@alamtri.com" TargetMode="External"/><Relationship Id="rId1" Type="http://schemas.openxmlformats.org/officeDocument/2006/relationships/hyperlink" Target="mailto:robertiagus.haposan@alamtri.com" TargetMode="External"/><Relationship Id="rId6" Type="http://schemas.openxmlformats.org/officeDocument/2006/relationships/hyperlink" Target="mailto:robertiagus.haposan@alamtri.com" TargetMode="External"/><Relationship Id="rId5" Type="http://schemas.openxmlformats.org/officeDocument/2006/relationships/hyperlink" Target="mailto:dian.styadi@alamtri.com" TargetMode="External"/><Relationship Id="rId10" Type="http://schemas.openxmlformats.org/officeDocument/2006/relationships/hyperlink" Target="mailto:firdaus.luthfy@adaro.com" TargetMode="External"/><Relationship Id="rId4" Type="http://schemas.openxmlformats.org/officeDocument/2006/relationships/hyperlink" Target="mailto:arthur.bramiyana@alamtri.com" TargetMode="External"/><Relationship Id="rId9" Type="http://schemas.openxmlformats.org/officeDocument/2006/relationships/hyperlink" Target="mailto:dian.styadi@ada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6A9C-5D24-4FF0-B594-820D12D502BA}">
  <sheetPr codeName="Sheet5">
    <tabColor rgb="FFFFC000"/>
    <pageSetUpPr fitToPage="1"/>
  </sheetPr>
  <dimension ref="A1:N24"/>
  <sheetViews>
    <sheetView showGridLines="0" tabSelected="1" view="pageBreakPreview" zoomScale="145" zoomScaleNormal="175" zoomScaleSheetLayoutView="145" workbookViewId="0">
      <pane xSplit="11" ySplit="10" topLeftCell="XFA11" activePane="bottomRight" state="frozen"/>
      <selection pane="topRight" activeCell="S1" sqref="S1"/>
      <selection pane="bottomLeft" activeCell="A13" sqref="A13"/>
      <selection pane="bottomRight" activeCell="D4" sqref="D4"/>
    </sheetView>
  </sheetViews>
  <sheetFormatPr defaultColWidth="0" defaultRowHeight="15" zeroHeight="1" outlineLevelRow="1" x14ac:dyDescent="0.3"/>
  <cols>
    <col min="1" max="1" width="12.7109375" style="3" customWidth="1"/>
    <col min="2" max="2" width="30.7109375" style="5" customWidth="1"/>
    <col min="3" max="3" width="12.7109375" style="5" customWidth="1"/>
    <col min="4" max="4" width="30.7109375" style="2" customWidth="1"/>
    <col min="5" max="5" width="12" style="2" customWidth="1"/>
    <col min="6" max="6" width="11.7109375" style="5" customWidth="1"/>
    <col min="7" max="8" width="12.7109375" style="2" customWidth="1"/>
    <col min="9" max="9" width="4" style="2" customWidth="1"/>
    <col min="10" max="10" width="4" style="8" customWidth="1"/>
    <col min="11" max="11" width="11" style="2" customWidth="1"/>
    <col min="12" max="13" width="9.140625" style="2" hidden="1"/>
    <col min="14" max="14" width="4.42578125" style="2" hidden="1"/>
    <col min="15" max="16384" width="9.140625" style="2" hidden="1"/>
  </cols>
  <sheetData>
    <row r="1" spans="1:13" ht="16.5" customHeight="1" x14ac:dyDescent="0.3">
      <c r="A1" s="50" t="s">
        <v>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49"/>
      <c r="M1" s="49"/>
    </row>
    <row r="2" spans="1:13" ht="16.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49"/>
      <c r="M2" s="49"/>
    </row>
    <row r="3" spans="1:13" s="4" customFormat="1" ht="15" customHeight="1" x14ac:dyDescent="0.2">
      <c r="A3" s="16" t="s">
        <v>2</v>
      </c>
      <c r="B3" s="16" t="s">
        <v>3</v>
      </c>
      <c r="C3" s="16" t="s">
        <v>4</v>
      </c>
      <c r="D3" s="17" t="s">
        <v>5</v>
      </c>
      <c r="E3" s="16" t="s">
        <v>66</v>
      </c>
      <c r="F3" s="16" t="s">
        <v>0</v>
      </c>
      <c r="G3" s="21" t="s">
        <v>6</v>
      </c>
      <c r="H3" s="16" t="s">
        <v>7</v>
      </c>
      <c r="I3" s="22" t="s">
        <v>8</v>
      </c>
      <c r="J3" s="22" t="s">
        <v>9</v>
      </c>
      <c r="K3" s="22" t="s">
        <v>10</v>
      </c>
    </row>
    <row r="4" spans="1:13" s="6" customFormat="1" ht="16.5" customHeight="1" x14ac:dyDescent="0.2">
      <c r="A4" s="18"/>
      <c r="B4" s="19"/>
      <c r="C4" s="15"/>
      <c r="D4" s="15"/>
      <c r="E4" s="15"/>
      <c r="F4" s="20"/>
      <c r="G4" s="9"/>
      <c r="H4" s="15"/>
      <c r="I4" s="7"/>
      <c r="J4" s="7"/>
      <c r="K4" s="23"/>
    </row>
    <row r="5" spans="1:13" s="6" customFormat="1" ht="16.5" customHeight="1" x14ac:dyDescent="0.2">
      <c r="A5" s="18"/>
      <c r="B5" s="19"/>
      <c r="C5" s="15"/>
      <c r="D5" s="15"/>
      <c r="E5" s="15"/>
      <c r="F5" s="20"/>
      <c r="G5" s="9"/>
      <c r="H5" s="15"/>
      <c r="I5" s="7"/>
      <c r="J5" s="7"/>
      <c r="K5" s="23"/>
    </row>
    <row r="6" spans="1:13" s="6" customFormat="1" ht="16.5" customHeight="1" x14ac:dyDescent="0.2">
      <c r="A6" s="18"/>
      <c r="B6" s="19"/>
      <c r="C6" s="15"/>
      <c r="D6" s="15"/>
      <c r="E6" s="15"/>
      <c r="F6" s="20"/>
      <c r="G6" s="9"/>
      <c r="H6" s="15"/>
      <c r="I6" s="7"/>
      <c r="J6" s="7"/>
      <c r="K6" s="23"/>
    </row>
    <row r="7" spans="1:13" s="6" customFormat="1" ht="16.5" customHeight="1" x14ac:dyDescent="0.2">
      <c r="A7" s="18"/>
      <c r="B7" s="19"/>
      <c r="C7" s="15"/>
      <c r="D7" s="15"/>
      <c r="E7" s="15"/>
      <c r="F7" s="20"/>
      <c r="G7" s="9"/>
      <c r="H7" s="15"/>
      <c r="I7" s="7"/>
      <c r="J7" s="7"/>
      <c r="K7" s="23"/>
    </row>
    <row r="8" spans="1:13" s="6" customFormat="1" ht="16.5" customHeight="1" x14ac:dyDescent="0.2">
      <c r="A8" s="18"/>
      <c r="B8" s="19"/>
      <c r="C8" s="15"/>
      <c r="D8" s="15"/>
      <c r="E8" s="15"/>
      <c r="F8" s="20"/>
      <c r="G8" s="9"/>
      <c r="H8" s="15"/>
      <c r="I8" s="7"/>
      <c r="J8" s="7"/>
      <c r="K8" s="23"/>
    </row>
    <row r="9" spans="1:13" s="6" customFormat="1" ht="16.5" customHeight="1" x14ac:dyDescent="0.2">
      <c r="A9" s="18"/>
      <c r="B9" s="19"/>
      <c r="C9" s="15"/>
      <c r="D9" s="15"/>
      <c r="E9" s="15"/>
      <c r="F9" s="20"/>
      <c r="G9" s="9"/>
      <c r="H9" s="15"/>
      <c r="I9" s="7"/>
      <c r="J9" s="7"/>
      <c r="K9" s="23"/>
    </row>
    <row r="10" spans="1:13" s="6" customFormat="1" ht="16.5" customHeight="1" x14ac:dyDescent="0.2">
      <c r="A10" s="18"/>
      <c r="B10" s="19"/>
      <c r="C10" s="15"/>
      <c r="D10" s="15"/>
      <c r="E10" s="15"/>
      <c r="F10" s="20"/>
      <c r="G10" s="9"/>
      <c r="H10" s="15"/>
      <c r="I10" s="7"/>
      <c r="J10" s="7"/>
      <c r="K10" s="23"/>
    </row>
    <row r="11" spans="1:13" s="6" customFormat="1" ht="16.5" customHeight="1" x14ac:dyDescent="0.2">
      <c r="A11" s="18"/>
      <c r="B11" s="19"/>
      <c r="C11" s="15"/>
      <c r="D11" s="15"/>
      <c r="E11" s="15"/>
      <c r="F11" s="20"/>
      <c r="G11" s="9"/>
      <c r="H11" s="15"/>
      <c r="I11" s="7"/>
      <c r="J11" s="7"/>
      <c r="K11" s="23"/>
    </row>
    <row r="12" spans="1:13" s="6" customFormat="1" ht="16.5" customHeight="1" x14ac:dyDescent="0.2">
      <c r="A12" s="18"/>
      <c r="B12" s="19"/>
      <c r="C12" s="15"/>
      <c r="D12" s="15"/>
      <c r="E12" s="15"/>
      <c r="F12" s="20"/>
      <c r="G12" s="9"/>
      <c r="H12" s="15"/>
      <c r="I12" s="7"/>
      <c r="J12" s="7"/>
      <c r="K12" s="23"/>
    </row>
    <row r="13" spans="1:13" s="6" customFormat="1" ht="16.5" customHeight="1" x14ac:dyDescent="0.2">
      <c r="A13" s="18"/>
      <c r="B13" s="19"/>
      <c r="C13" s="15"/>
      <c r="D13" s="15"/>
      <c r="E13" s="15"/>
      <c r="F13" s="20"/>
      <c r="G13" s="9"/>
      <c r="H13" s="15"/>
      <c r="I13" s="7"/>
      <c r="J13" s="7"/>
      <c r="K13" s="23"/>
    </row>
    <row r="14" spans="1:13" s="6" customFormat="1" ht="16.5" customHeight="1" outlineLevel="1" x14ac:dyDescent="0.2">
      <c r="A14" s="18"/>
      <c r="B14" s="19"/>
      <c r="C14" s="15"/>
      <c r="D14" s="15"/>
      <c r="E14" s="15"/>
      <c r="F14" s="20"/>
      <c r="G14" s="9"/>
      <c r="H14" s="15"/>
      <c r="I14" s="7"/>
      <c r="J14" s="7"/>
      <c r="K14" s="23"/>
    </row>
    <row r="15" spans="1:13" s="6" customFormat="1" ht="16.5" customHeight="1" outlineLevel="1" x14ac:dyDescent="0.2">
      <c r="A15" s="18"/>
      <c r="B15" s="19"/>
      <c r="C15" s="15"/>
      <c r="D15" s="15"/>
      <c r="E15" s="15"/>
      <c r="F15" s="20"/>
      <c r="G15" s="9"/>
      <c r="H15" s="15"/>
      <c r="I15" s="7"/>
      <c r="J15" s="7"/>
      <c r="K15" s="23"/>
    </row>
    <row r="16" spans="1:13" s="6" customFormat="1" ht="16.5" customHeight="1" outlineLevel="1" x14ac:dyDescent="0.2">
      <c r="A16" s="18"/>
      <c r="B16" s="19"/>
      <c r="C16" s="15"/>
      <c r="D16" s="15"/>
      <c r="E16" s="15"/>
      <c r="F16" s="20"/>
      <c r="G16" s="9"/>
      <c r="H16" s="15"/>
      <c r="I16" s="7"/>
      <c r="J16" s="7"/>
      <c r="K16" s="23"/>
    </row>
    <row r="17" spans="1:11" s="6" customFormat="1" ht="16.5" customHeight="1" outlineLevel="1" x14ac:dyDescent="0.2">
      <c r="A17" s="18"/>
      <c r="B17" s="19"/>
      <c r="C17" s="15"/>
      <c r="D17" s="15"/>
      <c r="E17" s="15"/>
      <c r="F17" s="20"/>
      <c r="G17" s="9"/>
      <c r="H17" s="15"/>
      <c r="I17" s="7"/>
      <c r="J17" s="7"/>
      <c r="K17" s="23"/>
    </row>
    <row r="18" spans="1:11" s="6" customFormat="1" ht="16.5" customHeight="1" outlineLevel="1" x14ac:dyDescent="0.2">
      <c r="A18" s="18"/>
      <c r="B18" s="19"/>
      <c r="C18" s="15"/>
      <c r="D18" s="15"/>
      <c r="E18" s="15"/>
      <c r="F18" s="20"/>
      <c r="G18" s="9"/>
      <c r="H18" s="15"/>
      <c r="I18" s="7"/>
      <c r="J18" s="7"/>
      <c r="K18" s="23"/>
    </row>
    <row r="19" spans="1:11" s="6" customFormat="1" ht="16.5" customHeight="1" outlineLevel="1" x14ac:dyDescent="0.2">
      <c r="A19" s="18"/>
      <c r="B19" s="19"/>
      <c r="C19" s="15"/>
      <c r="D19" s="15"/>
      <c r="E19" s="15"/>
      <c r="F19" s="20"/>
      <c r="G19" s="9"/>
      <c r="H19" s="15"/>
      <c r="I19" s="7"/>
      <c r="J19" s="7"/>
      <c r="K19" s="23"/>
    </row>
    <row r="20" spans="1:11" s="6" customFormat="1" ht="16.5" customHeight="1" outlineLevel="1" x14ac:dyDescent="0.2">
      <c r="A20" s="18"/>
      <c r="B20" s="19"/>
      <c r="C20" s="15"/>
      <c r="D20" s="15"/>
      <c r="E20" s="15"/>
      <c r="F20" s="20"/>
      <c r="G20" s="9"/>
      <c r="H20" s="15"/>
      <c r="I20" s="7"/>
      <c r="J20" s="7"/>
      <c r="K20" s="23"/>
    </row>
    <row r="21" spans="1:11" s="6" customFormat="1" ht="16.5" customHeight="1" outlineLevel="1" x14ac:dyDescent="0.2">
      <c r="A21" s="18"/>
      <c r="B21" s="19"/>
      <c r="C21" s="15"/>
      <c r="D21" s="15"/>
      <c r="E21" s="15"/>
      <c r="F21" s="20"/>
      <c r="G21" s="9"/>
      <c r="H21" s="15"/>
      <c r="I21" s="7"/>
      <c r="J21" s="7"/>
      <c r="K21" s="23"/>
    </row>
    <row r="22" spans="1:11" s="6" customFormat="1" ht="16.5" customHeight="1" outlineLevel="1" x14ac:dyDescent="0.2">
      <c r="A22" s="18"/>
      <c r="B22" s="19"/>
      <c r="C22" s="15"/>
      <c r="D22" s="15"/>
      <c r="E22" s="15"/>
      <c r="F22" s="20"/>
      <c r="G22" s="9"/>
      <c r="H22" s="15"/>
      <c r="I22" s="7"/>
      <c r="J22" s="7"/>
      <c r="K22" s="23"/>
    </row>
    <row r="23" spans="1:11" s="6" customFormat="1" ht="16.5" customHeight="1" outlineLevel="1" x14ac:dyDescent="0.2">
      <c r="A23" s="18"/>
      <c r="B23" s="19"/>
      <c r="C23" s="15"/>
      <c r="D23" s="15"/>
      <c r="E23" s="15"/>
      <c r="F23" s="20"/>
      <c r="G23" s="9"/>
      <c r="H23" s="15"/>
      <c r="I23" s="7"/>
      <c r="J23" s="7"/>
      <c r="K23" s="23"/>
    </row>
    <row r="24" spans="1:11" hidden="1" x14ac:dyDescent="0.3">
      <c r="A24" s="25"/>
      <c r="B24" s="26"/>
      <c r="C24" s="26"/>
      <c r="D24" s="24"/>
      <c r="E24" s="24"/>
      <c r="F24" s="26"/>
      <c r="G24" s="24"/>
      <c r="H24" s="24"/>
      <c r="I24" s="24"/>
      <c r="J24" s="27"/>
      <c r="K24" s="24"/>
    </row>
  </sheetData>
  <sheetProtection formatCells="0" formatColumns="0" formatRows="0" insertColumns="0" insertRows="0" selectLockedCells="1" sort="0"/>
  <customSheetViews>
    <customSheetView guid="{21980691-FA9B-4378-84B0-D4A65EDCBD12}" scale="160" showPageBreaks="1" showGridLines="0" fitToPage="1" printArea="1" hiddenRows="1" hiddenColumns="1" view="pageBreakPreview">
      <pane xSplit="3" ySplit="5" topLeftCell="E6" activePane="bottomRight" state="frozen"/>
      <selection pane="bottomRight" activeCell="P6" sqref="P6"/>
      <pageMargins left="0" right="0" top="0" bottom="0" header="0" footer="0"/>
      <pageSetup paperSize="9" orientation="landscape" horizontalDpi="1200" verticalDpi="1200" r:id="rId1"/>
    </customSheetView>
  </customSheetViews>
  <mergeCells count="2">
    <mergeCell ref="L1:M2"/>
    <mergeCell ref="A1:K2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0D4B-EB26-4F27-98C0-90F12859CC12}">
  <sheetPr codeName="Sheet3"/>
  <dimension ref="B4:Q41"/>
  <sheetViews>
    <sheetView showGridLines="0" view="pageBreakPreview" zoomScale="70" zoomScaleNormal="130" zoomScaleSheetLayoutView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M10" sqref="M10"/>
    </sheetView>
  </sheetViews>
  <sheetFormatPr defaultColWidth="21.42578125" defaultRowHeight="15" x14ac:dyDescent="0.2"/>
  <cols>
    <col min="1" max="1" width="5.28515625" style="32" customWidth="1"/>
    <col min="2" max="2" width="41.42578125" style="32" customWidth="1"/>
    <col min="3" max="4" width="21.42578125" style="4"/>
    <col min="5" max="5" width="12.85546875" style="4" customWidth="1"/>
    <col min="6" max="6" width="6.42578125" style="32" customWidth="1"/>
    <col min="7" max="7" width="36.5703125" style="32" customWidth="1"/>
    <col min="8" max="8" width="16.140625" style="4" customWidth="1"/>
    <col min="9" max="9" width="21.42578125" style="4"/>
    <col min="10" max="10" width="4.85546875" style="4" customWidth="1"/>
    <col min="11" max="11" width="13.85546875" style="4" customWidth="1"/>
    <col min="12" max="12" width="21.42578125" style="4"/>
    <col min="13" max="13" width="33" style="4" customWidth="1"/>
    <col min="14" max="14" width="14.7109375" style="4" customWidth="1"/>
    <col min="15" max="15" width="40.85546875" style="4" customWidth="1"/>
    <col min="16" max="16384" width="21.42578125" style="32"/>
  </cols>
  <sheetData>
    <row r="4" spans="2:17" ht="35.1" customHeight="1" x14ac:dyDescent="0.2">
      <c r="B4" s="31"/>
      <c r="C4" s="42" t="s">
        <v>65</v>
      </c>
    </row>
    <row r="5" spans="2:17" ht="35.1" customHeight="1" x14ac:dyDescent="0.2">
      <c r="B5" s="33" t="s">
        <v>57</v>
      </c>
      <c r="C5" s="42" t="s">
        <v>64</v>
      </c>
      <c r="K5" s="30" t="s">
        <v>44</v>
      </c>
    </row>
    <row r="6" spans="2:17" ht="43.5" x14ac:dyDescent="0.2">
      <c r="B6" s="48" t="s">
        <v>58</v>
      </c>
      <c r="C6" s="43" t="s">
        <v>59</v>
      </c>
      <c r="D6" s="43" t="s">
        <v>60</v>
      </c>
      <c r="E6" s="43" t="s">
        <v>61</v>
      </c>
      <c r="F6" s="44"/>
      <c r="G6" s="48" t="s">
        <v>63</v>
      </c>
      <c r="H6" s="43" t="s">
        <v>59</v>
      </c>
      <c r="I6" s="43" t="s">
        <v>62</v>
      </c>
      <c r="K6" s="45" t="str" cm="1">
        <f t="array" ref="K6:Q36">_xlfn.TAKE(_xlfn.VSTACK(
   {"No_MX","No_365","Company Name","Company Status","Detail Core Business","Core Business","Location"},
   _xlfn._xlws.FILTER(
      _xlfn.HSTACK(
         [1]!Table1[Company],[1]!Table1[Vendor_365],
         [1]!Table1[Company Name],
         [1]!Table1[Company Status],[1]!Table1[Detail Core Business],[1]!Table1[Core Business],
[1]!Table1[Lokasi]
      ),
      INDEX([1]!Table1[#Data],,
            MATCH(K5, [1]!Table1[#Headers], 0)
      )=TRUE
   )
),31)</f>
        <v>No_MX</v>
      </c>
      <c r="L6" s="46" t="str">
        <v>No_365</v>
      </c>
      <c r="M6" s="46" t="str">
        <v>Company Name</v>
      </c>
      <c r="N6" s="46" t="str">
        <v>Company Status</v>
      </c>
      <c r="O6" s="47" t="str">
        <v>Detail Core Business</v>
      </c>
      <c r="P6" s="47" t="str">
        <v>Core Business</v>
      </c>
      <c r="Q6" s="47" t="str">
        <v>Location</v>
      </c>
    </row>
    <row r="7" spans="2:17" ht="60" customHeight="1" x14ac:dyDescent="0.2">
      <c r="B7" s="41" t="str" cm="1">
        <f t="array" ref="B7:E36">IFERROR(
  _xlfn.TAKE(
    _xlfn.LET(
      _xlpm.key, TRIM(CLEAN(B4)),
      _xlpm.detail, [1]!Table3[Line PO Detail]&amp;"",
      _xlpm.ok, ISNUMBER(IFERROR(SEARCH(_xlpm.key, _xlpm.detail), "")),
      _xlpm.v, _xlfn._xlws.FILTER([1]!Table3[vendorname], _xlpm.ok, ""),
      _xlpm.cg_raw, _xlfn._xlws.FILTER([1]!Table3[commoditygroup], _xlpm.ok, ""),
      _xlpm.u, _xlfn.UNIQUE(_xlpm.v),
      _xlpm.cg, _xlfn.XLOOKUP(_xlpm.u, _xlpm.v, _xlpm.cg_raw, ""),
      _xlpm.norm, _xlfn.LAMBDA(_xlpm.x, UPPER(TRIM(CLEAN(SUBSTITUTE(_xlpm.x&amp;"", CHAR(160), " ")))) ),
      _xlpm.u_norm, _xlfn.MAP(_xlpm.u, _xlpm.norm),
      _xlpm.comp_norm, _xlfn.MAP([1]!Table1[Company Name], _xlpm.norm),
      _xlpm.lokasi, _xlfn.XLOOKUP(
        _xlpm.u_norm,
        _xlpm.comp_norm,
        [1]!Table1[Lokasi],
        ""
      ),
      _xlpm.ones, _xlfn.SEQUENCE(ROWS(_xlpm.v),1,1,0)^0,
      _xlpm.c, MMULT(TRANSPOSE(--(_xlpm.v=TRANSPOSE(_xlpm.u))), _xlpm.ones),
      _xlfn._xlws.SORT(_xlfn.HSTACK(_xlpm.u, _xlpm.cg, _xlpm.lokasi, _xlpm.c), 4, -1)
    ),
    30
  ),
  ""
)</f>
        <v>Berkat Amira, CV</v>
      </c>
      <c r="C7" s="29" t="str">
        <v>COMMON</v>
      </c>
      <c r="D7" s="29" t="str">
        <v>Tanjung, Tabalong</v>
      </c>
      <c r="E7" s="29">
        <v>853</v>
      </c>
      <c r="G7" s="34" t="str" cm="1">
        <f t="array" ref="G7:I36">_xlfn.TAKE(
  _xlfn.UNIQUE(
    _xlfn._xlws.FILTER(
      _xlfn.HSTACK(
        [1]!Table3[vendorname],
        [1]!Table3[commoditygroup],[1]!Table3[ponum2]
      ),
      IFERROR(ISNUMBER(SEARCH(B4, [1]!Table3[Line PO Detail])), FALSE)
      * (LEFT([1]!Table3[ponum], 4)=B5)
      * ([1]!Table3[status]="CLOSE")
    )
  ),
  30
)</f>
        <v>Graha Usaha Teknik, PT</v>
      </c>
      <c r="H7" s="35">
        <v>0</v>
      </c>
      <c r="I7" s="35" t="str">
        <v>PO25000005</v>
      </c>
      <c r="K7" s="29" t="str">
        <v>V-000048</v>
      </c>
      <c r="L7" s="29" t="str">
        <v>DVL</v>
      </c>
      <c r="M7" s="29" t="str">
        <v>Taka Precision Manufacturing Indonesia, PT</v>
      </c>
      <c r="N7" s="29" t="str">
        <v>SJ - MT</v>
      </c>
      <c r="O7" s="29" t="str">
        <v>Service Jasa - Maintenance</v>
      </c>
      <c r="P7" s="29" t="str">
        <v/>
      </c>
      <c r="Q7" s="29">
        <v>0</v>
      </c>
    </row>
    <row r="8" spans="2:17" ht="60" customHeight="1" x14ac:dyDescent="0.2">
      <c r="B8" s="41" t="str">
        <v>Borneo Karya Jaya, CV</v>
      </c>
      <c r="C8" s="29" t="str">
        <v>COMMON</v>
      </c>
      <c r="D8" s="29" t="str">
        <v>Tanjung, Tabalong</v>
      </c>
      <c r="E8" s="29">
        <v>771</v>
      </c>
      <c r="G8" s="36" t="str">
        <v>Suprabakti Mandiri, PT</v>
      </c>
      <c r="H8" s="37" t="str">
        <v>MECHANICAL</v>
      </c>
      <c r="I8" s="37" t="str">
        <v>PO25000007</v>
      </c>
      <c r="K8" s="29" t="str">
        <v>V-000054</v>
      </c>
      <c r="L8" s="29" t="str">
        <v>VD01-000037866</v>
      </c>
      <c r="M8" s="29" t="str">
        <v>Pruftechnik Condition, PT</v>
      </c>
      <c r="N8" s="29" t="str">
        <v>AD - PRUF</v>
      </c>
      <c r="O8" s="29" t="str">
        <v>Authorized Distributor - Pruftechnik</v>
      </c>
      <c r="P8" s="29" t="str">
        <v>Fluke 
Condition monitoring, vibration analysis, laser shaft alignment, balancing, reliability/maintenance rotating equipment.</v>
      </c>
      <c r="Q8" s="29" t="str">
        <v>Jakarta</v>
      </c>
    </row>
    <row r="9" spans="2:17" ht="60" customHeight="1" x14ac:dyDescent="0.2">
      <c r="B9" s="41" t="str">
        <v>Sehati, CV</v>
      </c>
      <c r="C9" s="29" t="str">
        <v>COMMON</v>
      </c>
      <c r="D9" s="29" t="str">
        <v>Tanjung, Tabalong</v>
      </c>
      <c r="E9" s="29">
        <v>670</v>
      </c>
      <c r="G9" s="36" t="str">
        <v>Suprabakti Mandiri, PT</v>
      </c>
      <c r="H9" s="37" t="str">
        <v>COMMON</v>
      </c>
      <c r="I9" s="37" t="str">
        <v>PO25000007</v>
      </c>
      <c r="K9" s="29" t="str">
        <v>V-000101</v>
      </c>
      <c r="L9" s="29" t="str">
        <v>VD01-000037814</v>
      </c>
      <c r="M9" s="29" t="str">
        <v>Graha Usaha Teknik, PT</v>
      </c>
      <c r="N9" s="29" t="str">
        <v>SJ - MT
SJ - EL</v>
      </c>
      <c r="O9" s="29" t="str">
        <v>Service Jasa - Maintenance
Service Jasa - Electrical</v>
      </c>
      <c r="P9" s="29" t="str">
        <v/>
      </c>
      <c r="Q9" s="29" t="str">
        <v>Jakarta</v>
      </c>
    </row>
    <row r="10" spans="2:17" ht="60" customHeight="1" x14ac:dyDescent="0.2">
      <c r="B10" s="41" t="str">
        <v>Kurita Indonesia, PT</v>
      </c>
      <c r="C10" s="29" t="str">
        <v>OPERATIONS</v>
      </c>
      <c r="D10" s="29" t="str">
        <v>Bekasi</v>
      </c>
      <c r="E10" s="29">
        <v>628</v>
      </c>
      <c r="G10" s="36" t="str">
        <v>Trakindo Utama, PT</v>
      </c>
      <c r="H10" s="37">
        <v>0</v>
      </c>
      <c r="I10" s="37" t="str">
        <v>PO25000009</v>
      </c>
      <c r="K10" s="29" t="str">
        <v>V-000170</v>
      </c>
      <c r="L10" s="29" t="str">
        <v>VD01-000037876</v>
      </c>
      <c r="M10" s="29" t="str">
        <v>Raja Listrik Indonesia, PT</v>
      </c>
      <c r="N10" s="29" t="str">
        <v>GT - EL
GT - IC</v>
      </c>
      <c r="O10" s="29" t="str">
        <v>General Trading - Elektrical
General Trading - Instrument</v>
      </c>
      <c r="P10" s="29" t="str">
        <v>Electrical</v>
      </c>
      <c r="Q10" s="29" t="str">
        <v>Tangerang</v>
      </c>
    </row>
    <row r="11" spans="2:17" ht="60" customHeight="1" x14ac:dyDescent="0.2">
      <c r="B11" s="41" t="str">
        <v>Perwira Sentra Officindo, PT</v>
      </c>
      <c r="C11" s="29" t="str">
        <v>ELECTRICAL</v>
      </c>
      <c r="D11" s="29" t="str">
        <v>Jakarta</v>
      </c>
      <c r="E11" s="29">
        <v>530</v>
      </c>
      <c r="G11" s="36" t="str">
        <v>Vhipa Mulia Pratama, PT</v>
      </c>
      <c r="H11" s="37" t="str">
        <v>ELECTRICAL</v>
      </c>
      <c r="I11" s="37" t="str">
        <v>PO25000010</v>
      </c>
      <c r="K11" s="29" t="str">
        <v>V-000180</v>
      </c>
      <c r="L11" s="29" t="str">
        <v>VD01-000029445</v>
      </c>
      <c r="M11" s="29" t="str">
        <v>Borneo Maju Jaya, PT</v>
      </c>
      <c r="N11" s="29" t="str">
        <v>GT - EL
SJ - EL
SJ - IC</v>
      </c>
      <c r="O11" s="29" t="str">
        <v>General Trading - Elektrical
Service Jasa - Electrical
Service Jasa - Instrument</v>
      </c>
      <c r="P11" s="29" t="str">
        <v>Electrical</v>
      </c>
      <c r="Q11" s="29" t="str">
        <v>Banjarmasin</v>
      </c>
    </row>
    <row r="12" spans="2:17" ht="60" customHeight="1" x14ac:dyDescent="0.2">
      <c r="B12" s="41" t="str">
        <v>Sumberdaya Sewatama, PT</v>
      </c>
      <c r="C12" s="29" t="str">
        <v>ELECTRICAL</v>
      </c>
      <c r="D12" s="29">
        <v>0</v>
      </c>
      <c r="E12" s="29">
        <v>508</v>
      </c>
      <c r="G12" s="36" t="str">
        <v>Greentek Elektrikal Indonesia, PT</v>
      </c>
      <c r="H12" s="37" t="str">
        <v>ELECTRICAL</v>
      </c>
      <c r="I12" s="37" t="str">
        <v>PO25000011</v>
      </c>
      <c r="K12" s="29" t="str">
        <v>V-000189</v>
      </c>
      <c r="L12" s="29" t="str">
        <v>VD01-000029549</v>
      </c>
      <c r="M12" s="29" t="str">
        <v>Jaya Listrik, CV</v>
      </c>
      <c r="N12" s="29" t="str">
        <v>GT - EL
SJ - EL</v>
      </c>
      <c r="O12" s="29" t="str">
        <v>General Trading - Elektrical
Service Jasa - Electrical</v>
      </c>
      <c r="P12" s="29" t="str">
        <v xml:space="preserve">Service </v>
      </c>
      <c r="Q12" s="29" t="str">
        <v>Banjarmasin</v>
      </c>
    </row>
    <row r="13" spans="2:17" ht="60" customHeight="1" x14ac:dyDescent="0.2">
      <c r="B13" s="41" t="str">
        <v>Adijaya Mitra Perkasa, PT</v>
      </c>
      <c r="C13" s="29">
        <v>0</v>
      </c>
      <c r="D13" s="29" t="str">
        <v>Semarang</v>
      </c>
      <c r="E13" s="29">
        <v>319</v>
      </c>
      <c r="G13" s="36" t="str">
        <v>Borneo Maju Jaya, PT</v>
      </c>
      <c r="H13" s="37" t="str">
        <v>ELECTRICAL</v>
      </c>
      <c r="I13" s="37" t="str">
        <v>PO25000012</v>
      </c>
      <c r="K13" s="29" t="str">
        <v>V-000202</v>
      </c>
      <c r="L13" s="29" t="str">
        <v>DVL</v>
      </c>
      <c r="M13" s="29" t="str">
        <v>Sinergi Bersama Mandiri, PT</v>
      </c>
      <c r="N13" s="29" t="str">
        <v>GT - EL</v>
      </c>
      <c r="O13" s="29" t="str">
        <v>General Trading - Elektrical</v>
      </c>
      <c r="P13" s="29" t="str">
        <v/>
      </c>
      <c r="Q13" s="29" t="str">
        <v>Bandung</v>
      </c>
    </row>
    <row r="14" spans="2:17" ht="60" customHeight="1" x14ac:dyDescent="0.2">
      <c r="B14" s="41" t="str">
        <v>Sarana Prima Lestari, CV</v>
      </c>
      <c r="C14" s="29" t="str">
        <v>MECHANICAL</v>
      </c>
      <c r="D14" s="29" t="str">
        <v>Banjarmasin</v>
      </c>
      <c r="E14" s="29">
        <v>303</v>
      </c>
      <c r="G14" s="36" t="str">
        <v>Restu Tanjung Permai, PT</v>
      </c>
      <c r="H14" s="37">
        <v>0</v>
      </c>
      <c r="I14" s="37" t="str">
        <v>PO25000013</v>
      </c>
      <c r="K14" s="29" t="str">
        <v>V-000207</v>
      </c>
      <c r="L14" s="29" t="str">
        <v>VD01-000037881</v>
      </c>
      <c r="M14" s="29" t="str">
        <v>Antares Jaya Gemilang Prima, PT</v>
      </c>
      <c r="N14" s="29" t="str">
        <v>GT - EL
GT - IC</v>
      </c>
      <c r="O14" s="29" t="str">
        <v>General Trading - Elektrical
General Trading - Instrument</v>
      </c>
      <c r="P14" s="29" t="str">
        <v>Electrical</v>
      </c>
      <c r="Q14" s="29" t="str">
        <v>Surabaya</v>
      </c>
    </row>
    <row r="15" spans="2:17" ht="60" customHeight="1" x14ac:dyDescent="0.2">
      <c r="B15" s="41" t="str">
        <v>Berkat Pratama Teknik, CV</v>
      </c>
      <c r="C15" s="29" t="str">
        <v>MECHANICAL</v>
      </c>
      <c r="D15" s="29" t="str">
        <v>Banjarmasin</v>
      </c>
      <c r="E15" s="29">
        <v>297</v>
      </c>
      <c r="G15" s="36" t="str">
        <v>Pelangi Dwiwarna, CV</v>
      </c>
      <c r="H15" s="37" t="str">
        <v>COMMON</v>
      </c>
      <c r="I15" s="37" t="str">
        <v>PO25000015</v>
      </c>
      <c r="K15" s="29" t="str">
        <v>V-000212</v>
      </c>
      <c r="L15" s="29" t="str">
        <v>VD01-000037882</v>
      </c>
      <c r="M15" s="29" t="str">
        <v>Endress+Hauser Indonesia, PT</v>
      </c>
      <c r="N15" s="29" t="str">
        <v>GT - IC
GT - EL</v>
      </c>
      <c r="O15" s="29" t="str">
        <v>General Trading - Instrument
General Trading - Elektrical</v>
      </c>
      <c r="P15" s="29" t="str">
        <v/>
      </c>
      <c r="Q15" s="29" t="str">
        <v>Jakarta</v>
      </c>
    </row>
    <row r="16" spans="2:17" ht="60" customHeight="1" x14ac:dyDescent="0.2">
      <c r="B16" s="41" t="str">
        <v>Alfa Teknik Mandiri Makmur, PT</v>
      </c>
      <c r="C16" s="29" t="str">
        <v>ELECTRICAL</v>
      </c>
      <c r="D16" s="29" t="str">
        <v>Jakarta</v>
      </c>
      <c r="E16" s="29">
        <v>292</v>
      </c>
      <c r="G16" s="36" t="str">
        <v>Sehati, CV</v>
      </c>
      <c r="H16" s="37" t="str">
        <v>COMMON</v>
      </c>
      <c r="I16" s="37" t="str">
        <v>PO25000016</v>
      </c>
      <c r="K16" s="29" t="str">
        <v>V-000233</v>
      </c>
      <c r="L16" s="29" t="str">
        <v>VD01-000034711</v>
      </c>
      <c r="M16" s="29" t="str">
        <v>Gema Industrial, PT</v>
      </c>
      <c r="N16" s="29" t="str">
        <v>GT - EL</v>
      </c>
      <c r="O16" s="29" t="str">
        <v>General Trading - Elektrical</v>
      </c>
      <c r="P16" s="29" t="str">
        <v>Electrical</v>
      </c>
      <c r="Q16" s="29" t="str">
        <v>Jakarta</v>
      </c>
    </row>
    <row r="17" spans="2:17" ht="60" customHeight="1" x14ac:dyDescent="0.2">
      <c r="B17" s="41" t="str">
        <v>SIEMENS</v>
      </c>
      <c r="C17" s="29" t="str">
        <v>MECHANICAL</v>
      </c>
      <c r="D17" s="29" t="str">
        <v/>
      </c>
      <c r="E17" s="29">
        <v>270</v>
      </c>
      <c r="G17" s="36" t="str">
        <v>Sehati, CV</v>
      </c>
      <c r="H17" s="37" t="str">
        <v>MECHANICAL</v>
      </c>
      <c r="I17" s="37" t="str">
        <v>PO25000017</v>
      </c>
      <c r="K17" s="29" t="str">
        <v>V-000258</v>
      </c>
      <c r="L17" s="29" t="str">
        <v>VD01-000035071</v>
      </c>
      <c r="M17" s="29" t="str">
        <v>Outsourcindo, PT</v>
      </c>
      <c r="N17" s="29" t="str">
        <v>GT - ME
GT - EL
GT - IC</v>
      </c>
      <c r="O17" s="29" t="str">
        <v>General Trading - Mechanical
General Trading - Elektrical
General Trading - Instrument</v>
      </c>
      <c r="P17" s="29" t="str">
        <v>Mechanical</v>
      </c>
      <c r="Q17" s="29" t="str">
        <v>Jakarta</v>
      </c>
    </row>
    <row r="18" spans="2:17" ht="60" customHeight="1" x14ac:dyDescent="0.2">
      <c r="B18" s="41" t="str">
        <v>Gema Industrial, PT</v>
      </c>
      <c r="C18" s="29" t="str">
        <v>ELECTRICAL</v>
      </c>
      <c r="D18" s="29" t="str">
        <v>Jakarta</v>
      </c>
      <c r="E18" s="29">
        <v>237</v>
      </c>
      <c r="G18" s="36" t="str">
        <v>Crown Worldwide Indonesia, PT</v>
      </c>
      <c r="H18" s="37">
        <v>0</v>
      </c>
      <c r="I18" s="37" t="str">
        <v>PO25000019</v>
      </c>
      <c r="K18" s="29" t="str">
        <v>V-000267</v>
      </c>
      <c r="L18" s="29" t="str">
        <v>VD01-000037895</v>
      </c>
      <c r="M18" s="29" t="str">
        <v>Sanggadelima Nusantara, PT</v>
      </c>
      <c r="N18" s="29" t="str">
        <v>GT - EL</v>
      </c>
      <c r="O18" s="29" t="str">
        <v>General Trading - Elektrical</v>
      </c>
      <c r="P18" s="29" t="str">
        <v>Transformer Testing &amp; Aseesment</v>
      </c>
      <c r="Q18" s="29" t="str">
        <v>Bekasi</v>
      </c>
    </row>
    <row r="19" spans="2:17" ht="60" customHeight="1" x14ac:dyDescent="0.2">
      <c r="B19" s="41" t="str">
        <v>Pertamina Patra Niaga, PT</v>
      </c>
      <c r="C19" s="29" t="str">
        <v>OPERATIONS</v>
      </c>
      <c r="D19" s="29" t="str">
        <v>Jakarta</v>
      </c>
      <c r="E19" s="29">
        <v>230</v>
      </c>
      <c r="G19" s="36" t="str">
        <v>Crown Worldwide Indonesia, PT</v>
      </c>
      <c r="H19" s="37">
        <v>0</v>
      </c>
      <c r="I19" s="37" t="str">
        <v>PO25000020</v>
      </c>
      <c r="K19" s="29" t="str">
        <v>V-000286</v>
      </c>
      <c r="L19" s="29" t="str">
        <v>DVL</v>
      </c>
      <c r="M19" s="29" t="str">
        <v>Vertech Perdana, PT</v>
      </c>
      <c r="N19" s="29" t="str">
        <v>GT - IC</v>
      </c>
      <c r="O19" s="29" t="str">
        <v>General Trading - Instrument</v>
      </c>
      <c r="P19" s="29" t="str">
        <v>Electrical</v>
      </c>
      <c r="Q19" s="29" t="str">
        <v>Bogor</v>
      </c>
    </row>
    <row r="20" spans="2:17" ht="60" customHeight="1" x14ac:dyDescent="0.2">
      <c r="B20" s="41" t="str">
        <v>Trakindo Utama, PT</v>
      </c>
      <c r="C20" s="29">
        <v>0</v>
      </c>
      <c r="D20" s="29" t="str">
        <v>Jakarta</v>
      </c>
      <c r="E20" s="29">
        <v>223</v>
      </c>
      <c r="G20" s="36" t="str">
        <v>Andalan Gaya Bhakti Pratama, PT</v>
      </c>
      <c r="H20" s="37" t="str">
        <v>MECHANICAL</v>
      </c>
      <c r="I20" s="37" t="str">
        <v>PO25000021</v>
      </c>
      <c r="K20" s="29" t="str">
        <v>V-000288</v>
      </c>
      <c r="L20" s="29" t="str">
        <v>VD01-000037899</v>
      </c>
      <c r="M20" s="29" t="str">
        <v>Simenteknindo, PT</v>
      </c>
      <c r="N20" s="29" t="str">
        <v>GT - EL</v>
      </c>
      <c r="O20" s="29" t="str">
        <v>General Trading - Elektrical</v>
      </c>
      <c r="P20" s="29" t="str">
        <v>Electrical</v>
      </c>
      <c r="Q20" s="29" t="str">
        <v>Tangerang</v>
      </c>
    </row>
    <row r="21" spans="2:17" ht="60" customHeight="1" x14ac:dyDescent="0.2">
      <c r="B21" s="41" t="str">
        <v>Indo Tehnik Tanjung Tabalong, PT</v>
      </c>
      <c r="C21" s="29" t="str">
        <v>COMMON</v>
      </c>
      <c r="D21" s="29" t="str">
        <v>Tanjung, Tabalong</v>
      </c>
      <c r="E21" s="29">
        <v>203</v>
      </c>
      <c r="G21" s="36" t="str">
        <v>Sehati, CV</v>
      </c>
      <c r="H21" s="37" t="str">
        <v>ELECTRICAL</v>
      </c>
      <c r="I21" s="37" t="str">
        <v>PO25000023</v>
      </c>
      <c r="K21" s="29" t="str">
        <v>V-000293</v>
      </c>
      <c r="L21" s="29" t="str">
        <v>VD01-000037901</v>
      </c>
      <c r="M21" s="29" t="str">
        <v>Edmi Indonesia, PT</v>
      </c>
      <c r="N21" s="29" t="str">
        <v>AD - EDMI</v>
      </c>
      <c r="O21" s="29" t="str">
        <v>Authorized Distributor - Edmi</v>
      </c>
      <c r="P21" s="29" t="str">
        <v>AD Edmi</v>
      </c>
      <c r="Q21" s="29" t="str">
        <v>Jakarta</v>
      </c>
    </row>
    <row r="22" spans="2:17" ht="60" customHeight="1" x14ac:dyDescent="0.2">
      <c r="B22" s="41" t="str">
        <v>Greentek Elektrikal Indonesia, PT</v>
      </c>
      <c r="C22" s="29" t="str">
        <v>WORKSHOP</v>
      </c>
      <c r="D22" s="29" t="str">
        <v>Jakarta</v>
      </c>
      <c r="E22" s="29">
        <v>183</v>
      </c>
      <c r="G22" s="36" t="str">
        <v>Sehati, CV</v>
      </c>
      <c r="H22" s="37" t="str">
        <v>COMMON</v>
      </c>
      <c r="I22" s="37" t="str">
        <v>PO25000023</v>
      </c>
      <c r="K22" s="29" t="str">
        <v>V-000305</v>
      </c>
      <c r="L22" s="29" t="str">
        <v>VD01-000037904</v>
      </c>
      <c r="M22" s="29" t="str">
        <v>Dwihasta Pirusa, PT</v>
      </c>
      <c r="N22" s="29" t="str">
        <v>GT</v>
      </c>
      <c r="O22" s="29" t="str">
        <v>General Trading</v>
      </c>
      <c r="P22" s="29" t="str">
        <v>General Trading</v>
      </c>
      <c r="Q22" s="29" t="str">
        <v>Jakarta</v>
      </c>
    </row>
    <row r="23" spans="2:17" ht="60" customHeight="1" x14ac:dyDescent="0.2">
      <c r="B23" s="41" t="str">
        <v>Bima Kaltim Utama, PT</v>
      </c>
      <c r="C23" s="29">
        <v>0</v>
      </c>
      <c r="D23" s="29" t="str">
        <v>Balikpapan</v>
      </c>
      <c r="E23" s="29">
        <v>181</v>
      </c>
      <c r="G23" s="36" t="str">
        <v>Indo Tehnik Tanjung Tabalong, PT</v>
      </c>
      <c r="H23" s="37" t="str">
        <v>MECHANICAL</v>
      </c>
      <c r="I23" s="37" t="str">
        <v>PO25000024</v>
      </c>
      <c r="K23" s="29" t="str">
        <v>V-000310</v>
      </c>
      <c r="L23" s="29" t="str">
        <v>VD01-000037905</v>
      </c>
      <c r="M23" s="29" t="str">
        <v>Duta Sarana Engineering, PT</v>
      </c>
      <c r="N23" s="29" t="str">
        <v>GT - ME
SJ - ME</v>
      </c>
      <c r="O23" s="29" t="str">
        <v>General Trading - Mechanical
Service Jasa - Mechanical</v>
      </c>
      <c r="P23" s="29" t="str">
        <v>Transformer Testing &amp; Aseesment</v>
      </c>
      <c r="Q23" s="29" t="str">
        <v>Surabaya</v>
      </c>
    </row>
    <row r="24" spans="2:17" ht="60" customHeight="1" x14ac:dyDescent="0.2">
      <c r="B24" s="41" t="str">
        <v>Mitra Integrasi Informatika, PT</v>
      </c>
      <c r="C24" s="29">
        <v>0</v>
      </c>
      <c r="D24" s="29" t="str">
        <v>Jakarta</v>
      </c>
      <c r="E24" s="29">
        <v>178</v>
      </c>
      <c r="G24" s="36" t="str">
        <v>Alfa Teknik Mandiri Makmur, PT</v>
      </c>
      <c r="H24" s="37" t="str">
        <v>COMMON</v>
      </c>
      <c r="I24" s="37" t="str">
        <v>PO25000025</v>
      </c>
      <c r="K24" s="29" t="str">
        <v>V-000341</v>
      </c>
      <c r="L24" s="29" t="str">
        <v>DVL</v>
      </c>
      <c r="M24" s="29" t="str">
        <v>Bambang Djaja, PT</v>
      </c>
      <c r="N24" s="29" t="str">
        <v/>
      </c>
      <c r="O24" s="29">
        <v>0</v>
      </c>
      <c r="P24" s="29" t="str">
        <v>Electrical</v>
      </c>
      <c r="Q24" s="29" t="str">
        <v>Jakarta</v>
      </c>
    </row>
    <row r="25" spans="2:17" ht="60" customHeight="1" x14ac:dyDescent="0.2">
      <c r="B25" s="41" t="str">
        <v>Bio Elektrikal, CV</v>
      </c>
      <c r="C25" s="29">
        <v>0</v>
      </c>
      <c r="D25" s="29" t="str">
        <v>Banjarbaru</v>
      </c>
      <c r="E25" s="29">
        <v>176</v>
      </c>
      <c r="G25" s="36" t="str">
        <v>Perwira Sentra Officindo, PT</v>
      </c>
      <c r="H25" s="37" t="str">
        <v>ELECTRICAL</v>
      </c>
      <c r="I25" s="37" t="str">
        <v>PO25000026</v>
      </c>
      <c r="K25" s="29" t="str">
        <v>V-000349</v>
      </c>
      <c r="L25" s="29" t="str">
        <v>VD01-000037912</v>
      </c>
      <c r="M25" s="29" t="str">
        <v>Quartee Technologies, PT</v>
      </c>
      <c r="N25" s="29" t="str">
        <v>GT - EL
GT - IC</v>
      </c>
      <c r="O25" s="29" t="str">
        <v>General Trading - Elektrical
General Trading - Instrument</v>
      </c>
      <c r="P25" s="29" t="str">
        <v>Siemens</v>
      </c>
      <c r="Q25" s="29">
        <v>0</v>
      </c>
    </row>
    <row r="26" spans="2:17" ht="60" customHeight="1" x14ac:dyDescent="0.2">
      <c r="B26" s="41" t="str">
        <v>Borneo Maju Jaya, PT</v>
      </c>
      <c r="C26" s="29" t="str">
        <v>ELECTRICAL</v>
      </c>
      <c r="D26" s="29" t="str">
        <v>Banjarmasin</v>
      </c>
      <c r="E26" s="29">
        <v>160</v>
      </c>
      <c r="G26" s="38" t="str">
        <v>Perwira Sentra Officindo, PT</v>
      </c>
      <c r="H26" s="39" t="str">
        <v>ELECTRICAL</v>
      </c>
      <c r="I26" s="39" t="str">
        <v>PO25000027</v>
      </c>
      <c r="K26" s="29" t="str">
        <v>V-000353</v>
      </c>
      <c r="L26" s="29" t="str">
        <v>VD01-000037914</v>
      </c>
      <c r="M26" s="29" t="str">
        <v>Stanindo Artha Langgeng, PT</v>
      </c>
      <c r="N26" s="29" t="str">
        <v>GT</v>
      </c>
      <c r="O26" s="29" t="str">
        <v>General Trading</v>
      </c>
      <c r="P26" s="29" t="str">
        <v>Trading</v>
      </c>
      <c r="Q26" s="29" t="str">
        <v>Jakarta</v>
      </c>
    </row>
    <row r="27" spans="2:17" ht="60" customHeight="1" x14ac:dyDescent="0.2">
      <c r="B27" s="41" t="str">
        <v>ISS Indonesia, PT</v>
      </c>
      <c r="C27" s="29">
        <v>0</v>
      </c>
      <c r="D27" s="29" t="str">
        <v>Jakarta</v>
      </c>
      <c r="E27" s="29">
        <v>156</v>
      </c>
      <c r="G27" s="41" t="str">
        <v>JJ-LAPP Cable Indonesia, PT</v>
      </c>
      <c r="H27" s="29" t="str">
        <v>ELECTRICAL</v>
      </c>
      <c r="I27" s="29" t="str">
        <v>PO25000028</v>
      </c>
      <c r="K27" s="29" t="str">
        <v>V-000357</v>
      </c>
      <c r="L27" s="29" t="str">
        <v>VD01-000037915</v>
      </c>
      <c r="M27" s="29" t="str">
        <v>Prima Saftindo Elektrika, PT</v>
      </c>
      <c r="N27" s="29" t="str">
        <v>GT - EL
SJ - EL</v>
      </c>
      <c r="O27" s="29" t="str">
        <v>General Trading - Elektrical
Service Jasa - Electrical</v>
      </c>
      <c r="P27" s="29" t="str">
        <v>Baterry</v>
      </c>
      <c r="Q27" s="29" t="str">
        <v>Jakarta</v>
      </c>
    </row>
    <row r="28" spans="2:17" ht="60" customHeight="1" x14ac:dyDescent="0.2">
      <c r="B28" s="41" t="str">
        <v>Kin Kitra Kencana, PT</v>
      </c>
      <c r="C28" s="29" t="str">
        <v>INSTRUMENT</v>
      </c>
      <c r="D28" s="29" t="str">
        <v>Jakarta</v>
      </c>
      <c r="E28" s="29">
        <v>144</v>
      </c>
      <c r="G28" s="41" t="str">
        <v>Mitra Integrasi Informatika, PT</v>
      </c>
      <c r="H28" s="29">
        <v>0</v>
      </c>
      <c r="I28" s="29" t="str">
        <v>PO25000031</v>
      </c>
      <c r="K28" s="29" t="str">
        <v>V-000369</v>
      </c>
      <c r="L28" s="29" t="str">
        <v>VD01-000035228</v>
      </c>
      <c r="M28" s="29" t="str">
        <v>Gridtech Indonesia, PT</v>
      </c>
      <c r="N28" s="29" t="str">
        <v>GT
SJ - EL
SJ - IC</v>
      </c>
      <c r="O28" s="29" t="str">
        <v>General Trading
Service Jasa - Electrical
Service Jasa - Instrument</v>
      </c>
      <c r="P28" s="29" t="str">
        <v>Electrical</v>
      </c>
      <c r="Q28" s="29" t="str">
        <v>Jakarta</v>
      </c>
    </row>
    <row r="29" spans="2:17" ht="60" customHeight="1" x14ac:dyDescent="0.2">
      <c r="B29" s="41" t="str">
        <v>Sekar Adi Karya, PT</v>
      </c>
      <c r="C29" s="29">
        <v>0</v>
      </c>
      <c r="D29" s="29" t="str">
        <v>Tanjung, Tabalong</v>
      </c>
      <c r="E29" s="29">
        <v>134</v>
      </c>
      <c r="G29" s="41" t="str">
        <v>Adaro Indonesia, PT</v>
      </c>
      <c r="H29" s="29" t="str">
        <v>OPERATIONS</v>
      </c>
      <c r="I29" s="29" t="str">
        <v>PO25000032</v>
      </c>
      <c r="K29" s="29" t="str">
        <v>V-000381</v>
      </c>
      <c r="L29" s="29" t="str">
        <v>VD01-000035668</v>
      </c>
      <c r="M29" s="29" t="str">
        <v>Greentek Elektrikal Indonesia, PT</v>
      </c>
      <c r="N29" s="29" t="str">
        <v>GT - EL
GT - IC</v>
      </c>
      <c r="O29" s="29" t="str">
        <v>General Trading - Elektrical
General Trading - Instrument</v>
      </c>
      <c r="P29" s="29" t="str">
        <v>Electrical</v>
      </c>
      <c r="Q29" s="29" t="str">
        <v>Jakarta</v>
      </c>
    </row>
    <row r="30" spans="2:17" ht="60" customHeight="1" x14ac:dyDescent="0.2">
      <c r="B30" s="41" t="str">
        <v>Vhipa Mulia Pratama, PT</v>
      </c>
      <c r="C30" s="29" t="str">
        <v>MECHANICAL</v>
      </c>
      <c r="D30" s="29" t="str">
        <v>Jakarta</v>
      </c>
      <c r="E30" s="29">
        <v>130</v>
      </c>
      <c r="G30" s="41" t="str">
        <v>Vhipa Mulia Pratama, PT</v>
      </c>
      <c r="H30" s="29" t="str">
        <v>COMMON</v>
      </c>
      <c r="I30" s="29" t="str">
        <v>PO25000033</v>
      </c>
      <c r="K30" s="29" t="str">
        <v>V-000382</v>
      </c>
      <c r="L30" s="29" t="str">
        <v>VD01-000035049</v>
      </c>
      <c r="M30" s="29" t="str">
        <v>Gevana, PT</v>
      </c>
      <c r="N30" s="29" t="str">
        <v>GT - ME
GT - EL
GT - IC</v>
      </c>
      <c r="O30" s="29" t="str">
        <v>General Trading - Mechanical
General Trading - Elektrical
General Trading - Instrument</v>
      </c>
      <c r="P30" s="29" t="str">
        <v>GT</v>
      </c>
      <c r="Q30" s="29" t="str">
        <v>Jakarta</v>
      </c>
    </row>
    <row r="31" spans="2:17" ht="60" customHeight="1" x14ac:dyDescent="0.2">
      <c r="B31" s="41" t="str">
        <v>Antares Jaya Gemilang Prima, PT</v>
      </c>
      <c r="C31" s="29" t="str">
        <v>INSTRUMENT</v>
      </c>
      <c r="D31" s="29" t="str">
        <v>Surabaya</v>
      </c>
      <c r="E31" s="29">
        <v>127</v>
      </c>
      <c r="G31" s="41" t="str">
        <v>Vhipa Mulia Pratama, PT</v>
      </c>
      <c r="H31" s="29" t="str">
        <v>OPERATIONS</v>
      </c>
      <c r="I31" s="29" t="str">
        <v>PO25000033</v>
      </c>
      <c r="K31" s="29" t="str">
        <v>V-000402</v>
      </c>
      <c r="L31" s="29" t="str">
        <v>VD01-000035237</v>
      </c>
      <c r="M31" s="29" t="str">
        <v>Sola Anugerah Oilfield, PT</v>
      </c>
      <c r="N31" s="29" t="str">
        <v>GT - ME
GT - EL</v>
      </c>
      <c r="O31" s="29" t="str">
        <v>General Trading - Mechanical
General Trading - Elektrical</v>
      </c>
      <c r="P31" s="29" t="str">
        <v>General Trading</v>
      </c>
      <c r="Q31" s="29" t="str">
        <v>Balikpapan</v>
      </c>
    </row>
    <row r="32" spans="2:17" ht="60" customHeight="1" x14ac:dyDescent="0.2">
      <c r="B32" s="41" t="str">
        <v>Bhakti Ratutama Jaya, PT</v>
      </c>
      <c r="C32" s="29" t="str">
        <v>ELECTRICAL</v>
      </c>
      <c r="D32" s="29">
        <v>0</v>
      </c>
      <c r="E32" s="29">
        <v>122</v>
      </c>
      <c r="G32" s="41" t="str">
        <v>Petro Gama Industri, PT</v>
      </c>
      <c r="H32" s="29" t="str">
        <v>ELECTRICAL</v>
      </c>
      <c r="I32" s="29" t="str">
        <v>PO25000035</v>
      </c>
      <c r="K32" s="29" t="str">
        <v>V-000447</v>
      </c>
      <c r="L32" s="29" t="str">
        <v>VD01-000035040</v>
      </c>
      <c r="M32" s="29" t="str">
        <v>Viktori Profindo Automation, PT</v>
      </c>
      <c r="N32" s="29" t="str">
        <v>GT - IC
GT - EL</v>
      </c>
      <c r="O32" s="29" t="str">
        <v>General Trading - Instrument
General Trading - Elektrical</v>
      </c>
      <c r="P32" s="29" t="str">
        <v/>
      </c>
      <c r="Q32" s="29" t="str">
        <v>Surabaya</v>
      </c>
    </row>
    <row r="33" spans="2:17" ht="60" customHeight="1" x14ac:dyDescent="0.2">
      <c r="B33" s="41" t="str">
        <v>Astra Graphia, Tbk, PT</v>
      </c>
      <c r="C33" s="29">
        <v>0</v>
      </c>
      <c r="D33" s="29" t="str">
        <v>Jakarta</v>
      </c>
      <c r="E33" s="29">
        <v>116</v>
      </c>
      <c r="G33" s="41" t="str">
        <v>Rollent Indonesia, PT</v>
      </c>
      <c r="H33" s="29" t="str">
        <v>MECHANICAL</v>
      </c>
      <c r="I33" s="29" t="str">
        <v>PO25000036</v>
      </c>
      <c r="K33" s="29" t="str">
        <v>V-000467</v>
      </c>
      <c r="L33" s="29" t="str">
        <v>VD01-000035559</v>
      </c>
      <c r="M33" s="29" t="str">
        <v>Amanda Sejahtera Abadi, PT</v>
      </c>
      <c r="N33" s="29" t="str">
        <v>SJ - MT</v>
      </c>
      <c r="O33" s="29" t="str">
        <v>Service Jasa - Maintenance</v>
      </c>
      <c r="P33" s="29" t="str">
        <v>Rewinding</v>
      </c>
      <c r="Q33" s="29" t="str">
        <v>Tanjung, Tabalong</v>
      </c>
    </row>
    <row r="34" spans="2:17" ht="60" customHeight="1" x14ac:dyDescent="0.2">
      <c r="B34" s="41" t="str">
        <v>Sola Anugerah Oilfield, PT</v>
      </c>
      <c r="C34" s="29" t="str">
        <v>ELECTRICAL</v>
      </c>
      <c r="D34" s="29" t="str">
        <v>Balikpapan</v>
      </c>
      <c r="E34" s="29">
        <v>114</v>
      </c>
      <c r="G34" s="41" t="str">
        <v>Sola Anugerah Oilfield, PT</v>
      </c>
      <c r="H34" s="29" t="str">
        <v>COMMON</v>
      </c>
      <c r="I34" s="29" t="str">
        <v>PO25000037</v>
      </c>
      <c r="K34" s="29" t="str">
        <v>V-000488</v>
      </c>
      <c r="L34" s="29" t="str">
        <v>VD01-000037944</v>
      </c>
      <c r="M34" s="29" t="str">
        <v>Jashen Mitra Sinergi, PT</v>
      </c>
      <c r="N34" s="29" t="str">
        <v>CN - EL
SJ - EL</v>
      </c>
      <c r="O34" s="29" t="str">
        <v>Construction - Electrical
Service Jasa - Electrical</v>
      </c>
      <c r="P34" s="29" t="str">
        <v>Trading</v>
      </c>
      <c r="Q34" s="29" t="str">
        <v>Bandung</v>
      </c>
    </row>
    <row r="35" spans="2:17" ht="60" customHeight="1" x14ac:dyDescent="0.2">
      <c r="B35" s="41" t="str">
        <v>Putera Instrumenindo, PT</v>
      </c>
      <c r="C35" s="29" t="str">
        <v>INSTRUMENT</v>
      </c>
      <c r="D35" s="29" t="str">
        <v>Bekasi</v>
      </c>
      <c r="E35" s="29">
        <v>113</v>
      </c>
      <c r="G35" s="41" t="str">
        <v>Sola Anugerah Oilfield, PT</v>
      </c>
      <c r="H35" s="29" t="str">
        <v>ELECTRICAL</v>
      </c>
      <c r="I35" s="29" t="str">
        <v>PO25000037</v>
      </c>
      <c r="K35" s="29" t="str">
        <v>V-000501</v>
      </c>
      <c r="L35" s="29" t="str">
        <v>VD01-000037947</v>
      </c>
      <c r="M35" s="29" t="str">
        <v>Panca Global Solusindo, PT</v>
      </c>
      <c r="N35" s="29" t="str">
        <v>GT - EL
SJ - MT
GT - ME</v>
      </c>
      <c r="O35" s="29" t="str">
        <v>General Trading - Elektrical
Service Jasa - Maintenance
General Trading - Mechanical</v>
      </c>
      <c r="P35" s="29" t="str">
        <v>Electrical, HSE, Part Genset</v>
      </c>
      <c r="Q35" s="29" t="str">
        <v>Bandung</v>
      </c>
    </row>
    <row r="36" spans="2:17" ht="60" customHeight="1" x14ac:dyDescent="0.2">
      <c r="B36" s="41" t="str">
        <v>Grama Bazita Maintenance Indonesia, PT</v>
      </c>
      <c r="C36" s="29">
        <v>0</v>
      </c>
      <c r="D36" s="29">
        <v>0</v>
      </c>
      <c r="E36" s="29">
        <v>110</v>
      </c>
      <c r="G36" s="41" t="str">
        <v>Axel Jaya Cakraniaga, PT</v>
      </c>
      <c r="H36" s="29" t="str">
        <v>COMMON</v>
      </c>
      <c r="I36" s="29" t="str">
        <v>PO25000038</v>
      </c>
      <c r="K36" s="29" t="str">
        <v>V-000536</v>
      </c>
      <c r="L36" s="29" t="str">
        <v>VD01-000003349</v>
      </c>
      <c r="M36" s="29" t="str">
        <v>Citra Tanjung Lestari Indah, PT</v>
      </c>
      <c r="N36" s="29" t="str">
        <v>SJ - EL</v>
      </c>
      <c r="O36" s="29" t="str">
        <v>Service Jasa - Electrical</v>
      </c>
      <c r="P36" s="29">
        <v>0</v>
      </c>
      <c r="Q36" s="29" t="str">
        <v>Tanjung, Tabalong</v>
      </c>
    </row>
    <row r="38" spans="2:17" x14ac:dyDescent="0.2">
      <c r="B38" s="40"/>
    </row>
    <row r="39" spans="2:17" ht="87" customHeight="1" x14ac:dyDescent="0.2">
      <c r="B39" s="29" t="str" cm="1">
        <f t="array" ref="B39">IF(B38="","",IFERROR(
  _xlfn.LET(
    _xlpm.x, _xlfn.UNIQUE(_xlfn._xlws.FILTER(
      [1]!Table3[ponum2]&amp;CHAR(10)&amp;
      [1]!Table3[itemnum]&amp;CHAR(10)&amp;
      [1]!Table3[vendorname]&amp;CHAR(10)&amp;
      TEXT([1]!Table3[unitcost],"0.00")&amp;CHAR(10)&amp;
      TEXT([1]!Table3[exchangedate],"dd mmm yy"),
      ([1]!Table3[itemnum]=B38),
      ""
    )),
    _xlpm.n, ROWS(_xlpm.x),
    IF(_xlpm.n&gt;=5, _xlfn.TAKE(_xlpm.x, -5), _xlpm.x)
  ),
""))</f>
        <v/>
      </c>
    </row>
    <row r="40" spans="2:17" ht="87" customHeight="1" x14ac:dyDescent="0.2">
      <c r="B40" s="29"/>
    </row>
    <row r="41" spans="2:17" ht="87" customHeight="1" x14ac:dyDescent="0.2">
      <c r="B41" s="29"/>
    </row>
  </sheetData>
  <pageMargins left="0.7" right="0.7" top="0.75" bottom="0.75" header="0.3" footer="0.3"/>
  <pageSetup scale="2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8A5DB2-8DE3-4AA1-B1E9-8DDF11D8FF4B}">
          <x14:formula1>
            <xm:f>Support!$C$12:$C$25</xm:f>
          </x14:formula1>
          <xm:sqref>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D688-0225-4570-AE39-3AA76724F79A}">
  <sheetPr codeName="Sheet4">
    <tabColor rgb="FF92D050"/>
  </sheetPr>
  <dimension ref="B5:J25"/>
  <sheetViews>
    <sheetView showGridLines="0" zoomScale="85" zoomScaleNormal="85" workbookViewId="0">
      <selection activeCell="E20" sqref="E20"/>
    </sheetView>
  </sheetViews>
  <sheetFormatPr defaultRowHeight="12.75" x14ac:dyDescent="0.2"/>
  <cols>
    <col min="3" max="3" width="20.42578125" bestFit="1" customWidth="1"/>
    <col min="4" max="4" width="23.42578125" bestFit="1" customWidth="1"/>
    <col min="5" max="6" width="30" bestFit="1" customWidth="1"/>
    <col min="7" max="7" width="21.85546875" bestFit="1" customWidth="1"/>
    <col min="8" max="8" width="36.28515625" customWidth="1"/>
  </cols>
  <sheetData>
    <row r="5" spans="2:10" ht="41.25" customHeight="1" x14ac:dyDescent="0.2">
      <c r="B5" s="10" t="s">
        <v>11</v>
      </c>
      <c r="C5" s="11" t="s">
        <v>12</v>
      </c>
      <c r="D5" s="11" t="str">
        <f>"WA/telp -- 081918645406"</f>
        <v>WA/telp -- 081918645406</v>
      </c>
      <c r="E5" s="12" t="s">
        <v>13</v>
      </c>
      <c r="F5" s="12" t="s">
        <v>13</v>
      </c>
      <c r="G5" s="10" t="s">
        <v>14</v>
      </c>
      <c r="H5" s="11" t="s">
        <v>15</v>
      </c>
      <c r="J5" s="14"/>
    </row>
    <row r="6" spans="2:10" ht="41.25" customHeight="1" x14ac:dyDescent="0.2">
      <c r="B6" s="10" t="s">
        <v>16</v>
      </c>
      <c r="C6" s="11" t="s">
        <v>17</v>
      </c>
      <c r="D6" s="11" t="s">
        <v>18</v>
      </c>
      <c r="E6" s="12" t="s">
        <v>19</v>
      </c>
      <c r="F6" s="12" t="s">
        <v>20</v>
      </c>
      <c r="G6" s="10" t="s">
        <v>21</v>
      </c>
      <c r="H6" s="11" t="s">
        <v>22</v>
      </c>
    </row>
    <row r="7" spans="2:10" ht="41.25" customHeight="1" x14ac:dyDescent="0.2">
      <c r="B7" s="10" t="s">
        <v>23</v>
      </c>
      <c r="C7" s="11" t="s">
        <v>24</v>
      </c>
      <c r="D7" s="11" t="s">
        <v>25</v>
      </c>
      <c r="E7" s="13" t="s">
        <v>26</v>
      </c>
      <c r="F7" s="13" t="s">
        <v>27</v>
      </c>
      <c r="G7" s="10" t="s">
        <v>14</v>
      </c>
      <c r="H7" s="11" t="s">
        <v>15</v>
      </c>
    </row>
    <row r="8" spans="2:10" ht="41.25" customHeight="1" x14ac:dyDescent="0.2">
      <c r="B8" s="10" t="s">
        <v>28</v>
      </c>
      <c r="C8" s="11" t="s">
        <v>29</v>
      </c>
      <c r="D8" s="11" t="s">
        <v>30</v>
      </c>
      <c r="E8" s="12" t="s">
        <v>31</v>
      </c>
      <c r="F8" s="12" t="s">
        <v>32</v>
      </c>
      <c r="G8" s="10" t="s">
        <v>14</v>
      </c>
      <c r="H8" s="11" t="s">
        <v>15</v>
      </c>
    </row>
    <row r="9" spans="2:10" ht="41.25" customHeight="1" x14ac:dyDescent="0.2">
      <c r="B9" s="10" t="s">
        <v>33</v>
      </c>
      <c r="C9" s="11" t="s">
        <v>34</v>
      </c>
      <c r="D9" s="11" t="s">
        <v>35</v>
      </c>
      <c r="E9" s="12"/>
      <c r="F9" s="12" t="s">
        <v>36</v>
      </c>
      <c r="G9" s="10" t="s">
        <v>14</v>
      </c>
      <c r="H9" s="11" t="s">
        <v>15</v>
      </c>
    </row>
    <row r="10" spans="2:10" ht="41.25" customHeight="1" x14ac:dyDescent="0.2">
      <c r="B10" s="10" t="s">
        <v>37</v>
      </c>
      <c r="C10" s="11" t="s">
        <v>38</v>
      </c>
      <c r="D10" s="11" t="s">
        <v>39</v>
      </c>
      <c r="E10" s="12" t="s">
        <v>40</v>
      </c>
      <c r="F10" s="12" t="s">
        <v>41</v>
      </c>
      <c r="G10" s="10" t="s">
        <v>21</v>
      </c>
      <c r="H10" s="11" t="s">
        <v>42</v>
      </c>
    </row>
    <row r="11" spans="2:10" x14ac:dyDescent="0.2">
      <c r="B11" s="1"/>
      <c r="C11" s="1"/>
      <c r="D11" s="1"/>
      <c r="E11" s="1"/>
      <c r="F11" s="1"/>
    </row>
    <row r="12" spans="2:10" x14ac:dyDescent="0.2">
      <c r="C12" s="28" t="s">
        <v>43</v>
      </c>
    </row>
    <row r="13" spans="2:10" x14ac:dyDescent="0.2">
      <c r="C13" s="28" t="s">
        <v>44</v>
      </c>
    </row>
    <row r="14" spans="2:10" x14ac:dyDescent="0.2">
      <c r="C14" s="28" t="s">
        <v>45</v>
      </c>
    </row>
    <row r="15" spans="2:10" x14ac:dyDescent="0.2">
      <c r="C15" s="28" t="s">
        <v>46</v>
      </c>
    </row>
    <row r="16" spans="2:10" x14ac:dyDescent="0.2">
      <c r="C16" s="28" t="s">
        <v>47</v>
      </c>
    </row>
    <row r="17" spans="3:3" x14ac:dyDescent="0.2">
      <c r="C17" s="28" t="s">
        <v>48</v>
      </c>
    </row>
    <row r="18" spans="3:3" x14ac:dyDescent="0.2">
      <c r="C18" s="28" t="s">
        <v>49</v>
      </c>
    </row>
    <row r="19" spans="3:3" x14ac:dyDescent="0.2">
      <c r="C19" s="28" t="s">
        <v>50</v>
      </c>
    </row>
    <row r="20" spans="3:3" x14ac:dyDescent="0.2">
      <c r="C20" s="28" t="s">
        <v>51</v>
      </c>
    </row>
    <row r="21" spans="3:3" x14ac:dyDescent="0.2">
      <c r="C21" s="28" t="s">
        <v>52</v>
      </c>
    </row>
    <row r="22" spans="3:3" x14ac:dyDescent="0.2">
      <c r="C22" s="28" t="s">
        <v>53</v>
      </c>
    </row>
    <row r="23" spans="3:3" x14ac:dyDescent="0.2">
      <c r="C23" s="28" t="s">
        <v>54</v>
      </c>
    </row>
    <row r="24" spans="3:3" x14ac:dyDescent="0.2">
      <c r="C24" s="28" t="s">
        <v>55</v>
      </c>
    </row>
    <row r="25" spans="3:3" x14ac:dyDescent="0.2">
      <c r="C25" s="28" t="s">
        <v>56</v>
      </c>
    </row>
  </sheetData>
  <customSheetViews>
    <customSheetView guid="{21980691-FA9B-4378-84B0-D4A65EDCBD12}" scale="85" showGridLines="0" state="hidden">
      <selection activeCell="H17" sqref="H17"/>
      <pageMargins left="0" right="0" top="0" bottom="0" header="0" footer="0"/>
    </customSheetView>
  </customSheetViews>
  <hyperlinks>
    <hyperlink ref="F5" r:id="rId1" xr:uid="{D73F6B47-4EAA-46DE-B624-89A9DD9DBAE3}"/>
    <hyperlink ref="F10" r:id="rId2" xr:uid="{6649502C-DE55-4DD0-A2F1-F45DEC199329}"/>
    <hyperlink ref="F9" r:id="rId3" xr:uid="{E59CB5D4-E0D6-47C9-8B44-F8456AAC40A4}"/>
    <hyperlink ref="F6" r:id="rId4" xr:uid="{97A241D1-095B-46A1-8C84-DD5B69163961}"/>
    <hyperlink ref="F7" r:id="rId5" xr:uid="{99403C08-874F-408F-876F-E928617EF529}"/>
    <hyperlink ref="E5" r:id="rId6" xr:uid="{1E70D621-76B2-44CD-B59E-7B918B069D69}"/>
    <hyperlink ref="E10" r:id="rId7" xr:uid="{B24BCA5C-1D1C-4C81-BE46-7C97DB363805}"/>
    <hyperlink ref="E6" r:id="rId8" xr:uid="{102C217E-737C-487F-ADB4-48D96A4E0A6F}"/>
    <hyperlink ref="E7" r:id="rId9" xr:uid="{047CEB37-0260-4D6B-AFE9-74056CB3AF81}"/>
    <hyperlink ref="E8" r:id="rId10" xr:uid="{C612CC9C-02F4-4C61-91AE-9ABDB503DC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Multiple_Email</vt:lpstr>
      <vt:lpstr>FIND</vt:lpstr>
      <vt:lpstr>Support</vt:lpstr>
      <vt:lpstr>FIND!Print_Area</vt:lpstr>
      <vt:lpstr>Multiple_Email!Print_Area</vt:lpstr>
    </vt:vector>
  </TitlesOfParts>
  <Manager/>
  <Company>ptmsw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rosalinda</dc:creator>
  <cp:keywords/>
  <dc:description/>
  <cp:lastModifiedBy>R. Haposan Tampubolon</cp:lastModifiedBy>
  <cp:revision/>
  <cp:lastPrinted>2026-04-29T03:31:08Z</cp:lastPrinted>
  <dcterms:created xsi:type="dcterms:W3CDTF">2007-12-28T03:06:40Z</dcterms:created>
  <dcterms:modified xsi:type="dcterms:W3CDTF">2026-07-28T01:42:41Z</dcterms:modified>
  <cp:category/>
  <cp:contentStatus/>
</cp:coreProperties>
</file>