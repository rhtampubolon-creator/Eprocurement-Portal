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alamtri-my.sharepoint.com/personal/rhaposan_alamtri_com/Documents/Dokumen/Eportal/MSW_EProcurement_ForgotPassword_Complete/Template/"/>
    </mc:Choice>
  </mc:AlternateContent>
  <xr:revisionPtr revIDLastSave="280" documentId="14_{D111C2A5-8709-435E-B811-C07C415AAEF2}" xr6:coauthVersionLast="47" xr6:coauthVersionMax="47" xr10:uidLastSave="{89D3308D-62FB-4C19-99A2-580CEE8B32A7}"/>
  <bookViews>
    <workbookView xWindow="-120" yWindow="-120" windowWidth="29040" windowHeight="15720" tabRatio="774" xr2:uid="{00000000-000D-0000-FFFF-FFFF00000000}"/>
  </bookViews>
  <sheets>
    <sheet name="10V" sheetId="32" r:id="rId1"/>
    <sheet name="9V" sheetId="20" r:id="rId2"/>
    <sheet name="8V" sheetId="22" r:id="rId3"/>
    <sheet name="7V" sheetId="26" r:id="rId4"/>
    <sheet name="6V" sheetId="27" r:id="rId5"/>
    <sheet name="5V" sheetId="28" r:id="rId6"/>
    <sheet name="4V" sheetId="29" r:id="rId7"/>
    <sheet name="3V" sheetId="30" r:id="rId8"/>
  </sheets>
  <definedNames>
    <definedName name="_xlnm._FilterDatabase" localSheetId="0" hidden="1">'10V'!$C$21:$F$59</definedName>
    <definedName name="_xlnm._FilterDatabase" localSheetId="7" hidden="1">'3V'!$C$21:$F$58</definedName>
    <definedName name="_xlnm._FilterDatabase" localSheetId="6" hidden="1">'4V'!$C$21:$F$58</definedName>
    <definedName name="_xlnm._FilterDatabase" localSheetId="5" hidden="1">'5V'!$C$21:$F$58</definedName>
    <definedName name="_xlnm._FilterDatabase" localSheetId="4" hidden="1">'6V'!$C$21:$F$58</definedName>
    <definedName name="_xlnm._FilterDatabase" localSheetId="3" hidden="1">'7V'!$C$21:$F$58</definedName>
    <definedName name="_xlnm._FilterDatabase" localSheetId="2" hidden="1">'8V'!$C$21:$F$58</definedName>
    <definedName name="_xlnm._FilterDatabase" localSheetId="1" hidden="1">'9V'!$C$21:$F$58</definedName>
    <definedName name="Counterpart">#REF!</definedName>
    <definedName name="No">#REF!</definedName>
    <definedName name="_xlnm.Print_Area" localSheetId="0">'10V'!$B$4:$BF$60</definedName>
    <definedName name="_xlnm.Print_Area" localSheetId="7">'3V'!$B$4:$W$59</definedName>
    <definedName name="_xlnm.Print_Area" localSheetId="6">'4V'!$B$4:$AB$59</definedName>
    <definedName name="_xlnm.Print_Area" localSheetId="5">'5V'!$B$4:$AG$59</definedName>
    <definedName name="_xlnm.Print_Area" localSheetId="4">'6V'!$B$4:$AL$59</definedName>
    <definedName name="_xlnm.Print_Area" localSheetId="3">'7V'!$B$4:$AQ$59</definedName>
    <definedName name="_xlnm.Print_Area" localSheetId="2">'8V'!$B$4:$AV$59</definedName>
    <definedName name="_xlnm.Print_Area" localSheetId="1">'9V'!$B$4:$BA$59</definedName>
    <definedName name="_xlnm.Print_Titles" localSheetId="7">'3V'!$4:$21</definedName>
    <definedName name="_xlnm.Print_Titles" localSheetId="6">'4V'!$4:$21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49" i="27" l="1" a="1"/>
  <c r="BH48" i="27" a="1"/>
  <c r="BH47" i="27" a="1"/>
  <c r="BH46" i="27" a="1"/>
  <c r="BH45" i="27" a="1"/>
  <c r="BH44" i="27" a="1"/>
  <c r="BH43" i="27" a="1"/>
  <c r="BH42" i="27" a="1"/>
  <c r="BH41" i="27" a="1"/>
  <c r="BH40" i="27" a="1"/>
  <c r="BH39" i="27" a="1"/>
  <c r="BH38" i="27" a="1"/>
  <c r="BH37" i="27" a="1"/>
  <c r="BH36" i="27" a="1"/>
  <c r="BH35" i="27" a="1"/>
  <c r="BH34" i="27" a="1"/>
  <c r="BH33" i="27" a="1"/>
  <c r="BH32" i="27" a="1"/>
  <c r="BH31" i="27" a="1"/>
  <c r="BH30" i="27" a="1"/>
  <c r="BH29" i="27" a="1"/>
  <c r="BH28" i="27" a="1"/>
  <c r="BH27" i="27" a="1"/>
  <c r="BH26" i="27" a="1"/>
  <c r="BH25" i="27" a="1"/>
  <c r="BH24" i="27" a="1"/>
  <c r="BH23" i="27" a="1"/>
  <c r="BH22" i="27" a="1"/>
  <c r="BB49" i="28" a="1"/>
  <c r="BB48" i="28" a="1"/>
  <c r="BB47" i="28" a="1"/>
  <c r="BB46" i="28" a="1"/>
  <c r="BB45" i="28" a="1"/>
  <c r="BB44" i="28" a="1"/>
  <c r="BB43" i="28" a="1"/>
  <c r="BB42" i="28" a="1"/>
  <c r="BB41" i="28" a="1"/>
  <c r="BB40" i="28" a="1"/>
  <c r="BB39" i="28" a="1"/>
  <c r="BB38" i="28" a="1"/>
  <c r="BB37" i="28" a="1"/>
  <c r="BB36" i="28" a="1"/>
  <c r="BB35" i="28" a="1"/>
  <c r="BB34" i="28" a="1"/>
  <c r="BB33" i="28" a="1"/>
  <c r="BB32" i="28" a="1"/>
  <c r="BB31" i="28" a="1"/>
  <c r="BB30" i="28" a="1"/>
  <c r="BB29" i="28" a="1"/>
  <c r="BB28" i="28" a="1"/>
  <c r="BB27" i="28" a="1"/>
  <c r="BB26" i="28" a="1"/>
  <c r="BB25" i="28" a="1"/>
  <c r="BB24" i="28" a="1"/>
  <c r="BB23" i="28" a="1"/>
  <c r="BB22" i="28" a="1"/>
  <c r="AV49" i="29" a="1"/>
  <c r="AV48" i="29" a="1"/>
  <c r="AV47" i="29" a="1"/>
  <c r="AV46" i="29" a="1"/>
  <c r="AV45" i="29" a="1"/>
  <c r="AV44" i="29" a="1"/>
  <c r="AV43" i="29" a="1"/>
  <c r="AV42" i="29" a="1"/>
  <c r="AV41" i="29" a="1"/>
  <c r="AV40" i="29" a="1"/>
  <c r="AV39" i="29" a="1"/>
  <c r="AV38" i="29" a="1"/>
  <c r="AV37" i="29" a="1"/>
  <c r="AV36" i="29" a="1"/>
  <c r="AV35" i="29" a="1"/>
  <c r="AV34" i="29" a="1"/>
  <c r="AV33" i="29" a="1"/>
  <c r="AV32" i="29" a="1"/>
  <c r="AV31" i="29" a="1"/>
  <c r="AV30" i="29" a="1"/>
  <c r="AV29" i="29" a="1"/>
  <c r="AV28" i="29" a="1"/>
  <c r="AV27" i="29" a="1"/>
  <c r="AV26" i="29" a="1"/>
  <c r="AV25" i="29" a="1"/>
  <c r="AV24" i="29" a="1"/>
  <c r="AV23" i="29" a="1"/>
  <c r="AV22" i="29" a="1"/>
  <c r="AP49" i="30" a="1"/>
  <c r="AP48" i="30" a="1"/>
  <c r="AP47" i="30" a="1"/>
  <c r="AP46" i="30" a="1"/>
  <c r="AP45" i="30" a="1"/>
  <c r="AP44" i="30" a="1"/>
  <c r="AP43" i="30" a="1"/>
  <c r="AP42" i="30" a="1"/>
  <c r="AP41" i="30" a="1"/>
  <c r="AP40" i="30" a="1"/>
  <c r="AP39" i="30" a="1"/>
  <c r="AP38" i="30" a="1"/>
  <c r="AP37" i="30" a="1"/>
  <c r="AP36" i="30" a="1"/>
  <c r="AP35" i="30" a="1"/>
  <c r="AP34" i="30" a="1"/>
  <c r="AP33" i="30" a="1"/>
  <c r="AP32" i="30" a="1"/>
  <c r="AP31" i="30" a="1"/>
  <c r="AP30" i="30" a="1"/>
  <c r="AP29" i="30" a="1"/>
  <c r="AP28" i="30" a="1"/>
  <c r="AP27" i="30" a="1"/>
  <c r="AP26" i="30" a="1"/>
  <c r="AP25" i="30" a="1"/>
  <c r="AP24" i="30" a="1"/>
  <c r="AP23" i="30" a="1"/>
  <c r="AP22" i="30" a="1"/>
  <c r="BN49" i="26" a="1"/>
  <c r="BN48" i="26" a="1"/>
  <c r="BN47" i="26" a="1"/>
  <c r="BN46" i="26" a="1"/>
  <c r="BN45" i="26" a="1"/>
  <c r="BN44" i="26" a="1"/>
  <c r="BN43" i="26" a="1"/>
  <c r="BN42" i="26" a="1"/>
  <c r="BN41" i="26" a="1"/>
  <c r="BN40" i="26" a="1"/>
  <c r="BN39" i="26" a="1"/>
  <c r="BN38" i="26" a="1"/>
  <c r="BN37" i="26" a="1"/>
  <c r="BN36" i="26" a="1"/>
  <c r="BN35" i="26" a="1"/>
  <c r="BN34" i="26" a="1"/>
  <c r="BN33" i="26" a="1"/>
  <c r="BN32" i="26" a="1"/>
  <c r="BN31" i="26" a="1"/>
  <c r="BN30" i="26" a="1"/>
  <c r="BN29" i="26" a="1"/>
  <c r="BN28" i="26" a="1"/>
  <c r="BN27" i="26" a="1"/>
  <c r="BN26" i="26" a="1"/>
  <c r="BN25" i="26" a="1"/>
  <c r="BN24" i="26" a="1"/>
  <c r="BN23" i="26" a="1"/>
  <c r="BN22" i="26" a="1"/>
  <c r="BT23" i="22" a="1"/>
  <c r="BT49" i="22" a="1"/>
  <c r="BT48" i="22" a="1"/>
  <c r="BT47" i="22" a="1"/>
  <c r="BT46" i="22" a="1"/>
  <c r="BT45" i="22" a="1"/>
  <c r="BT44" i="22" a="1"/>
  <c r="BT43" i="22" a="1"/>
  <c r="BT42" i="22" a="1"/>
  <c r="BT41" i="22" a="1"/>
  <c r="BT40" i="22" a="1"/>
  <c r="BT39" i="22" a="1"/>
  <c r="BT38" i="22" a="1"/>
  <c r="BT37" i="22" a="1"/>
  <c r="BT36" i="22" a="1"/>
  <c r="BT35" i="22" a="1"/>
  <c r="BT34" i="22" a="1"/>
  <c r="BT33" i="22" a="1"/>
  <c r="BT32" i="22" a="1"/>
  <c r="BT31" i="22" a="1"/>
  <c r="BT30" i="22" a="1"/>
  <c r="BT29" i="22" a="1"/>
  <c r="BT28" i="22" a="1"/>
  <c r="BT27" i="22" a="1"/>
  <c r="BT26" i="22" a="1"/>
  <c r="BT25" i="22" a="1"/>
  <c r="BT24" i="22" a="1"/>
  <c r="BT22" i="22" a="1"/>
  <c r="BZ49" i="20" a="1"/>
  <c r="BZ48" i="20" a="1"/>
  <c r="BZ47" i="20" a="1"/>
  <c r="BZ46" i="20" a="1"/>
  <c r="BZ45" i="20" a="1"/>
  <c r="BZ44" i="20" a="1"/>
  <c r="BZ43" i="20" a="1"/>
  <c r="BZ42" i="20" a="1"/>
  <c r="BZ41" i="20" a="1"/>
  <c r="BZ40" i="20" a="1"/>
  <c r="BZ39" i="20" a="1"/>
  <c r="BZ38" i="20" a="1"/>
  <c r="BZ37" i="20" a="1"/>
  <c r="BZ36" i="20" a="1"/>
  <c r="BZ35" i="20" a="1"/>
  <c r="BZ34" i="20" a="1"/>
  <c r="BZ33" i="20" a="1"/>
  <c r="BZ32" i="20" a="1"/>
  <c r="BZ31" i="20" a="1"/>
  <c r="BZ30" i="20" a="1"/>
  <c r="BZ29" i="20" a="1"/>
  <c r="BZ28" i="20" a="1"/>
  <c r="BZ27" i="20" a="1"/>
  <c r="BZ26" i="20" a="1"/>
  <c r="BZ25" i="20" a="1"/>
  <c r="BZ24" i="20" a="1"/>
  <c r="BZ23" i="20" a="1"/>
  <c r="BZ22" i="20" a="1"/>
  <c r="CF50" i="32" a="1"/>
  <c r="CF49" i="32" a="1"/>
  <c r="CF48" i="32" a="1"/>
  <c r="CF47" i="32" a="1"/>
  <c r="CF46" i="32" a="1"/>
  <c r="CF45" i="32" a="1"/>
  <c r="CF44" i="32" a="1"/>
  <c r="CF43" i="32" a="1"/>
  <c r="CF42" i="32" a="1"/>
  <c r="CF41" i="32" a="1"/>
  <c r="CF40" i="32" a="1"/>
  <c r="CF39" i="32" a="1"/>
  <c r="CF38" i="32" a="1"/>
  <c r="CF37" i="32" a="1"/>
  <c r="CF36" i="32" a="1"/>
  <c r="CF35" i="32" a="1"/>
  <c r="CF34" i="32" a="1"/>
  <c r="CF33" i="32" a="1"/>
  <c r="CF32" i="32" a="1"/>
  <c r="CF31" i="32" a="1"/>
  <c r="CF30" i="32" a="1"/>
  <c r="CF29" i="32" a="1"/>
  <c r="CF28" i="32" a="1"/>
  <c r="CF27" i="32" a="1"/>
  <c r="CF26" i="32" a="1"/>
  <c r="CF25" i="32" a="1"/>
  <c r="CF24" i="32" a="1"/>
  <c r="CF23" i="32" a="1"/>
  <c r="CF22" i="32" a="1"/>
  <c r="AS49" i="22"/>
  <c r="AS48" i="22"/>
  <c r="AS47" i="22"/>
  <c r="AS46" i="22"/>
  <c r="AS45" i="22"/>
  <c r="AS44" i="22"/>
  <c r="AS43" i="22"/>
  <c r="AS42" i="22"/>
  <c r="AS41" i="22"/>
  <c r="AS40" i="22"/>
  <c r="AS39" i="22"/>
  <c r="AS38" i="22"/>
  <c r="AS37" i="22"/>
  <c r="AS36" i="22"/>
  <c r="AS35" i="22"/>
  <c r="AS34" i="22"/>
  <c r="AS33" i="22"/>
  <c r="AS32" i="22"/>
  <c r="AS31" i="22"/>
  <c r="AS30" i="22"/>
  <c r="AS29" i="22"/>
  <c r="AS28" i="22"/>
  <c r="AS27" i="22"/>
  <c r="AS26" i="22"/>
  <c r="AS25" i="22"/>
  <c r="AS24" i="22"/>
  <c r="AS23" i="22"/>
  <c r="AS22" i="22"/>
  <c r="AN49" i="22"/>
  <c r="AN48" i="22"/>
  <c r="AN47" i="22"/>
  <c r="AN46" i="22"/>
  <c r="AN45" i="22"/>
  <c r="AN44" i="22"/>
  <c r="AN43" i="22"/>
  <c r="AN42" i="22"/>
  <c r="AN41" i="22"/>
  <c r="AN40" i="22"/>
  <c r="AN39" i="22"/>
  <c r="AN38" i="22"/>
  <c r="AN37" i="22"/>
  <c r="AN36" i="22"/>
  <c r="AN35" i="22"/>
  <c r="AN34" i="22"/>
  <c r="AN33" i="22"/>
  <c r="AN32" i="22"/>
  <c r="AN31" i="22"/>
  <c r="AN30" i="22"/>
  <c r="AN29" i="22"/>
  <c r="AN28" i="22"/>
  <c r="AN27" i="22"/>
  <c r="AN26" i="22"/>
  <c r="AN25" i="22"/>
  <c r="AN24" i="22"/>
  <c r="AN23" i="22"/>
  <c r="AN22" i="22"/>
  <c r="AI49" i="22"/>
  <c r="AI48" i="22"/>
  <c r="AI47" i="22"/>
  <c r="AI46" i="22"/>
  <c r="AI45" i="22"/>
  <c r="AI44" i="22"/>
  <c r="AI43" i="22"/>
  <c r="AI42" i="22"/>
  <c r="AI41" i="22"/>
  <c r="AI40" i="22"/>
  <c r="AI39" i="22"/>
  <c r="AI38" i="22"/>
  <c r="AI37" i="22"/>
  <c r="AI36" i="22"/>
  <c r="AI35" i="22"/>
  <c r="AI34" i="22"/>
  <c r="AI33" i="22"/>
  <c r="AI32" i="22"/>
  <c r="AI31" i="22"/>
  <c r="AI30" i="22"/>
  <c r="AI29" i="22"/>
  <c r="AI28" i="22"/>
  <c r="AI27" i="22"/>
  <c r="AI26" i="22"/>
  <c r="AI25" i="22"/>
  <c r="AI24" i="22"/>
  <c r="AI23" i="22"/>
  <c r="AI22" i="22"/>
  <c r="AD49" i="22"/>
  <c r="AD48" i="22"/>
  <c r="AD47" i="22"/>
  <c r="AD46" i="22"/>
  <c r="AD45" i="22"/>
  <c r="AD44" i="22"/>
  <c r="AD43" i="22"/>
  <c r="AD42" i="22"/>
  <c r="AD41" i="22"/>
  <c r="AD40" i="22"/>
  <c r="AD39" i="22"/>
  <c r="AD38" i="22"/>
  <c r="AD37" i="22"/>
  <c r="AD36" i="22"/>
  <c r="AD35" i="22"/>
  <c r="AD34" i="22"/>
  <c r="AD33" i="22"/>
  <c r="AD32" i="22"/>
  <c r="AD31" i="22"/>
  <c r="AD30" i="22"/>
  <c r="AD29" i="22"/>
  <c r="AD28" i="22"/>
  <c r="AD27" i="22"/>
  <c r="AD26" i="22"/>
  <c r="AD25" i="22"/>
  <c r="AD24" i="22"/>
  <c r="AD23" i="22"/>
  <c r="AD22" i="22"/>
  <c r="Y49" i="22"/>
  <c r="Y48" i="22"/>
  <c r="Y47" i="22"/>
  <c r="Y46" i="22"/>
  <c r="Y45" i="22"/>
  <c r="Y44" i="22"/>
  <c r="Y43" i="22"/>
  <c r="Y42" i="22"/>
  <c r="Y41" i="22"/>
  <c r="Y40" i="22"/>
  <c r="Y39" i="22"/>
  <c r="Y38" i="22"/>
  <c r="Y37" i="22"/>
  <c r="Y36" i="22"/>
  <c r="Y35" i="22"/>
  <c r="Y34" i="22"/>
  <c r="Y33" i="22"/>
  <c r="Y32" i="22"/>
  <c r="Y31" i="22"/>
  <c r="Y30" i="22"/>
  <c r="Y29" i="22"/>
  <c r="Y28" i="22"/>
  <c r="Y27" i="22"/>
  <c r="Y26" i="22"/>
  <c r="Y25" i="22"/>
  <c r="Y24" i="22"/>
  <c r="Y23" i="22"/>
  <c r="Y22" i="22"/>
  <c r="T49" i="22"/>
  <c r="T48" i="22"/>
  <c r="T47" i="22"/>
  <c r="T46" i="22"/>
  <c r="T45" i="22"/>
  <c r="T44" i="22"/>
  <c r="T43" i="22"/>
  <c r="T42" i="22"/>
  <c r="T41" i="22"/>
  <c r="T40" i="22"/>
  <c r="T39" i="22"/>
  <c r="T38" i="22"/>
  <c r="T37" i="22"/>
  <c r="T36" i="22"/>
  <c r="T35" i="22"/>
  <c r="T34" i="22"/>
  <c r="T33" i="22"/>
  <c r="T32" i="22"/>
  <c r="T31" i="22"/>
  <c r="T30" i="22"/>
  <c r="T29" i="22"/>
  <c r="T28" i="22"/>
  <c r="T27" i="22"/>
  <c r="T26" i="22"/>
  <c r="T25" i="22"/>
  <c r="T24" i="22"/>
  <c r="T23" i="22"/>
  <c r="T22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AN49" i="26"/>
  <c r="AN48" i="26"/>
  <c r="AN47" i="26"/>
  <c r="AN46" i="26"/>
  <c r="AN45" i="26"/>
  <c r="AN44" i="26"/>
  <c r="AN43" i="26"/>
  <c r="AN42" i="26"/>
  <c r="AN41" i="26"/>
  <c r="AN40" i="26"/>
  <c r="AN39" i="26"/>
  <c r="AN38" i="26"/>
  <c r="AN37" i="26"/>
  <c r="AN36" i="26"/>
  <c r="AN35" i="26"/>
  <c r="AN34" i="26"/>
  <c r="AN33" i="26"/>
  <c r="AN32" i="26"/>
  <c r="AN31" i="26"/>
  <c r="AN30" i="26"/>
  <c r="AN29" i="26"/>
  <c r="AN28" i="26"/>
  <c r="AN27" i="26"/>
  <c r="AN26" i="26"/>
  <c r="AN25" i="26"/>
  <c r="AN24" i="26"/>
  <c r="AN23" i="26"/>
  <c r="AN22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32" i="26"/>
  <c r="AI31" i="26"/>
  <c r="AI30" i="26"/>
  <c r="AI29" i="26"/>
  <c r="AI28" i="26"/>
  <c r="AI27" i="26"/>
  <c r="AI26" i="26"/>
  <c r="AI25" i="26"/>
  <c r="AI24" i="26"/>
  <c r="AI23" i="26"/>
  <c r="AI22" i="26"/>
  <c r="AD49" i="26"/>
  <c r="AD48" i="26"/>
  <c r="AD47" i="26"/>
  <c r="AD46" i="26"/>
  <c r="AD45" i="26"/>
  <c r="AD44" i="26"/>
  <c r="AD43" i="26"/>
  <c r="AD42" i="26"/>
  <c r="AD41" i="26"/>
  <c r="AD40" i="26"/>
  <c r="AD39" i="26"/>
  <c r="AD38" i="26"/>
  <c r="AD37" i="26"/>
  <c r="AD36" i="26"/>
  <c r="AD35" i="26"/>
  <c r="AD34" i="26"/>
  <c r="AD33" i="26"/>
  <c r="AD32" i="26"/>
  <c r="AD31" i="26"/>
  <c r="AD30" i="26"/>
  <c r="AD29" i="26"/>
  <c r="AD28" i="26"/>
  <c r="AD27" i="26"/>
  <c r="AD26" i="26"/>
  <c r="AD25" i="26"/>
  <c r="AD24" i="26"/>
  <c r="AD23" i="26"/>
  <c r="AD22" i="26"/>
  <c r="Y49" i="26"/>
  <c r="Y48" i="26"/>
  <c r="Y47" i="26"/>
  <c r="Y46" i="26"/>
  <c r="Y45" i="26"/>
  <c r="Y44" i="26"/>
  <c r="Y43" i="26"/>
  <c r="Y42" i="26"/>
  <c r="Y41" i="26"/>
  <c r="Y40" i="26"/>
  <c r="Y39" i="26"/>
  <c r="Y38" i="26"/>
  <c r="Y37" i="26"/>
  <c r="Y36" i="26"/>
  <c r="Y35" i="26"/>
  <c r="Y34" i="26"/>
  <c r="Y33" i="26"/>
  <c r="Y32" i="26"/>
  <c r="Y31" i="26"/>
  <c r="Y30" i="26"/>
  <c r="Y29" i="26"/>
  <c r="Y28" i="26"/>
  <c r="Y27" i="26"/>
  <c r="Y26" i="26"/>
  <c r="Y25" i="26"/>
  <c r="Y24" i="26"/>
  <c r="Y23" i="26"/>
  <c r="Y22" i="26"/>
  <c r="T49" i="26"/>
  <c r="T48" i="26"/>
  <c r="T47" i="26"/>
  <c r="T46" i="26"/>
  <c r="T45" i="26"/>
  <c r="T44" i="26"/>
  <c r="T43" i="26"/>
  <c r="T42" i="26"/>
  <c r="T41" i="26"/>
  <c r="T40" i="26"/>
  <c r="T39" i="26"/>
  <c r="T38" i="26"/>
  <c r="T37" i="26"/>
  <c r="T36" i="26"/>
  <c r="T35" i="26"/>
  <c r="T34" i="26"/>
  <c r="T33" i="26"/>
  <c r="T32" i="26"/>
  <c r="T31" i="26"/>
  <c r="T30" i="26"/>
  <c r="T29" i="26"/>
  <c r="T28" i="26"/>
  <c r="T27" i="26"/>
  <c r="T26" i="26"/>
  <c r="T25" i="26"/>
  <c r="T24" i="26"/>
  <c r="T23" i="26"/>
  <c r="T22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AI49" i="27"/>
  <c r="AI48" i="27"/>
  <c r="AI47" i="27"/>
  <c r="AI46" i="27"/>
  <c r="AI45" i="27"/>
  <c r="AI44" i="27"/>
  <c r="AI43" i="27"/>
  <c r="AI42" i="27"/>
  <c r="AI41" i="27"/>
  <c r="AI40" i="27"/>
  <c r="AI39" i="27"/>
  <c r="AI38" i="27"/>
  <c r="AI37" i="27"/>
  <c r="AI36" i="27"/>
  <c r="AI35" i="27"/>
  <c r="AI34" i="27"/>
  <c r="AI33" i="27"/>
  <c r="AI32" i="27"/>
  <c r="AI31" i="27"/>
  <c r="AI30" i="27"/>
  <c r="AI29" i="27"/>
  <c r="AI28" i="27"/>
  <c r="AI27" i="27"/>
  <c r="AI26" i="27"/>
  <c r="AI25" i="27"/>
  <c r="AI24" i="27"/>
  <c r="AI23" i="27"/>
  <c r="AI22" i="27"/>
  <c r="AD49" i="27"/>
  <c r="AD48" i="27"/>
  <c r="AD47" i="27"/>
  <c r="AD46" i="27"/>
  <c r="AD45" i="27"/>
  <c r="AD44" i="27"/>
  <c r="AD43" i="27"/>
  <c r="AD42" i="27"/>
  <c r="AD41" i="27"/>
  <c r="AD40" i="27"/>
  <c r="AD39" i="27"/>
  <c r="AD38" i="27"/>
  <c r="AD37" i="27"/>
  <c r="AD36" i="27"/>
  <c r="AD35" i="27"/>
  <c r="AD34" i="27"/>
  <c r="AD33" i="27"/>
  <c r="AD32" i="27"/>
  <c r="AD31" i="27"/>
  <c r="AD30" i="27"/>
  <c r="AD29" i="27"/>
  <c r="AD28" i="27"/>
  <c r="AD27" i="27"/>
  <c r="AD26" i="27"/>
  <c r="AD25" i="27"/>
  <c r="AD24" i="27"/>
  <c r="AD23" i="27"/>
  <c r="AD22" i="27"/>
  <c r="Y49" i="27"/>
  <c r="Y48" i="27"/>
  <c r="Y47" i="27"/>
  <c r="Y46" i="27"/>
  <c r="Y45" i="27"/>
  <c r="Y44" i="27"/>
  <c r="Y43" i="27"/>
  <c r="Y42" i="27"/>
  <c r="Y41" i="27"/>
  <c r="Y40" i="27"/>
  <c r="Y39" i="27"/>
  <c r="Y38" i="27"/>
  <c r="Y37" i="27"/>
  <c r="Y36" i="27"/>
  <c r="Y35" i="27"/>
  <c r="Y34" i="27"/>
  <c r="Y33" i="27"/>
  <c r="Y32" i="27"/>
  <c r="Y31" i="27"/>
  <c r="Y30" i="27"/>
  <c r="Y29" i="27"/>
  <c r="Y28" i="27"/>
  <c r="Y27" i="27"/>
  <c r="Y26" i="27"/>
  <c r="Y25" i="27"/>
  <c r="Y24" i="27"/>
  <c r="Y23" i="27"/>
  <c r="Y22" i="27"/>
  <c r="T49" i="27"/>
  <c r="T48" i="27"/>
  <c r="T47" i="27"/>
  <c r="T46" i="27"/>
  <c r="T45" i="27"/>
  <c r="T44" i="27"/>
  <c r="T43" i="27"/>
  <c r="T42" i="27"/>
  <c r="T41" i="27"/>
  <c r="T40" i="27"/>
  <c r="T39" i="27"/>
  <c r="T38" i="27"/>
  <c r="T37" i="27"/>
  <c r="T36" i="27"/>
  <c r="T35" i="27"/>
  <c r="T34" i="27"/>
  <c r="T33" i="27"/>
  <c r="T32" i="27"/>
  <c r="T31" i="27"/>
  <c r="T30" i="27"/>
  <c r="T29" i="27"/>
  <c r="T28" i="27"/>
  <c r="T27" i="27"/>
  <c r="T26" i="27"/>
  <c r="T25" i="27"/>
  <c r="T24" i="27"/>
  <c r="T23" i="27"/>
  <c r="T22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AD49" i="28"/>
  <c r="AD48" i="28"/>
  <c r="AD47" i="28"/>
  <c r="AD46" i="28"/>
  <c r="AD45" i="28"/>
  <c r="AD44" i="28"/>
  <c r="AD43" i="28"/>
  <c r="AD42" i="28"/>
  <c r="AD41" i="28"/>
  <c r="AD40" i="28"/>
  <c r="AD39" i="28"/>
  <c r="AD38" i="28"/>
  <c r="AD37" i="28"/>
  <c r="AD36" i="28"/>
  <c r="AD35" i="28"/>
  <c r="AD34" i="28"/>
  <c r="AD33" i="28"/>
  <c r="AD32" i="28"/>
  <c r="AD31" i="28"/>
  <c r="AD30" i="28"/>
  <c r="AD29" i="28"/>
  <c r="AD28" i="28"/>
  <c r="AD27" i="28"/>
  <c r="AD26" i="28"/>
  <c r="AD25" i="28"/>
  <c r="AD24" i="28"/>
  <c r="AD23" i="28"/>
  <c r="AD22" i="28"/>
  <c r="Y49" i="28"/>
  <c r="Y48" i="28"/>
  <c r="Y47" i="28"/>
  <c r="Y46" i="28"/>
  <c r="Y45" i="28"/>
  <c r="Y44" i="28"/>
  <c r="Y43" i="28"/>
  <c r="Y42" i="28"/>
  <c r="Y41" i="28"/>
  <c r="Y40" i="28"/>
  <c r="Y39" i="28"/>
  <c r="Y38" i="28"/>
  <c r="Y37" i="28"/>
  <c r="Y36" i="28"/>
  <c r="Y35" i="28"/>
  <c r="Y34" i="28"/>
  <c r="Y33" i="28"/>
  <c r="Y32" i="28"/>
  <c r="Y31" i="28"/>
  <c r="Y30" i="28"/>
  <c r="Y29" i="28"/>
  <c r="Y28" i="28"/>
  <c r="Y27" i="28"/>
  <c r="Y26" i="28"/>
  <c r="Y25" i="28"/>
  <c r="Y24" i="28"/>
  <c r="Y23" i="28"/>
  <c r="Y22" i="28"/>
  <c r="T49" i="28"/>
  <c r="T48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T32" i="28"/>
  <c r="T31" i="28"/>
  <c r="T30" i="28"/>
  <c r="T29" i="28"/>
  <c r="T28" i="28"/>
  <c r="T27" i="28"/>
  <c r="T26" i="28"/>
  <c r="T25" i="28"/>
  <c r="T24" i="28"/>
  <c r="T23" i="28"/>
  <c r="T22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Y49" i="29"/>
  <c r="Y48" i="29"/>
  <c r="Y47" i="29"/>
  <c r="Y46" i="29"/>
  <c r="Y45" i="29"/>
  <c r="Y44" i="29"/>
  <c r="Y43" i="29"/>
  <c r="Y42" i="29"/>
  <c r="Y41" i="29"/>
  <c r="Y40" i="29"/>
  <c r="Y39" i="29"/>
  <c r="Y38" i="29"/>
  <c r="Y37" i="29"/>
  <c r="Y36" i="29"/>
  <c r="Y35" i="29"/>
  <c r="Y34" i="29"/>
  <c r="Y33" i="29"/>
  <c r="Y32" i="29"/>
  <c r="Y31" i="29"/>
  <c r="Y30" i="29"/>
  <c r="Y29" i="29"/>
  <c r="Y28" i="29"/>
  <c r="Y27" i="29"/>
  <c r="Y26" i="29"/>
  <c r="Y25" i="29"/>
  <c r="Y24" i="29"/>
  <c r="Y23" i="29"/>
  <c r="Y22" i="29"/>
  <c r="T49" i="29"/>
  <c r="T48" i="29"/>
  <c r="T47" i="29"/>
  <c r="T46" i="29"/>
  <c r="T45" i="29"/>
  <c r="T44" i="29"/>
  <c r="T43" i="29"/>
  <c r="T42" i="29"/>
  <c r="T41" i="29"/>
  <c r="T40" i="29"/>
  <c r="T39" i="29"/>
  <c r="T38" i="29"/>
  <c r="T37" i="29"/>
  <c r="T36" i="29"/>
  <c r="T35" i="29"/>
  <c r="T34" i="29"/>
  <c r="T33" i="29"/>
  <c r="T32" i="29"/>
  <c r="T31" i="29"/>
  <c r="T30" i="29"/>
  <c r="T29" i="29"/>
  <c r="T28" i="29"/>
  <c r="T27" i="29"/>
  <c r="T26" i="29"/>
  <c r="T25" i="29"/>
  <c r="T24" i="29"/>
  <c r="T23" i="29"/>
  <c r="T22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T49" i="30"/>
  <c r="T48" i="30"/>
  <c r="T47" i="30"/>
  <c r="T46" i="30"/>
  <c r="T45" i="30"/>
  <c r="T44" i="30"/>
  <c r="T43" i="30"/>
  <c r="T42" i="30"/>
  <c r="T41" i="30"/>
  <c r="T40" i="30"/>
  <c r="T39" i="30"/>
  <c r="T38" i="30"/>
  <c r="T37" i="30"/>
  <c r="T36" i="30"/>
  <c r="T35" i="30"/>
  <c r="T34" i="30"/>
  <c r="T33" i="30"/>
  <c r="T32" i="30"/>
  <c r="T31" i="30"/>
  <c r="T30" i="30"/>
  <c r="T29" i="30"/>
  <c r="T28" i="30"/>
  <c r="T27" i="30"/>
  <c r="T26" i="30"/>
  <c r="T25" i="30"/>
  <c r="T24" i="30"/>
  <c r="T23" i="30"/>
  <c r="T22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AX49" i="20"/>
  <c r="AX48" i="20"/>
  <c r="AX47" i="20"/>
  <c r="AX46" i="20"/>
  <c r="AX45" i="20"/>
  <c r="AX44" i="20"/>
  <c r="AX43" i="20"/>
  <c r="AX42" i="20"/>
  <c r="AX41" i="20"/>
  <c r="AX40" i="20"/>
  <c r="AX39" i="20"/>
  <c r="AX38" i="20"/>
  <c r="AX37" i="20"/>
  <c r="AX36" i="20"/>
  <c r="AX35" i="20"/>
  <c r="AX34" i="20"/>
  <c r="AX33" i="20"/>
  <c r="AX32" i="20"/>
  <c r="AX31" i="20"/>
  <c r="AX30" i="20"/>
  <c r="AX29" i="20"/>
  <c r="AX28" i="20"/>
  <c r="AX27" i="20"/>
  <c r="AX26" i="20"/>
  <c r="AX25" i="20"/>
  <c r="AX24" i="20"/>
  <c r="AX23" i="20"/>
  <c r="AX22" i="20"/>
  <c r="AS49" i="20"/>
  <c r="AS48" i="20"/>
  <c r="AS47" i="20"/>
  <c r="AS46" i="20"/>
  <c r="AS45" i="20"/>
  <c r="AS44" i="20"/>
  <c r="AS43" i="20"/>
  <c r="AS42" i="20"/>
  <c r="AS41" i="20"/>
  <c r="AS40" i="20"/>
  <c r="AS39" i="20"/>
  <c r="AS38" i="20"/>
  <c r="AS37" i="20"/>
  <c r="AS36" i="20"/>
  <c r="AS35" i="20"/>
  <c r="AS34" i="20"/>
  <c r="AS33" i="20"/>
  <c r="AS32" i="20"/>
  <c r="AS31" i="20"/>
  <c r="AS30" i="20"/>
  <c r="AS29" i="20"/>
  <c r="AS28" i="20"/>
  <c r="AS27" i="20"/>
  <c r="AS26" i="20"/>
  <c r="AS25" i="20"/>
  <c r="AS24" i="20"/>
  <c r="AS23" i="20"/>
  <c r="AS22" i="20"/>
  <c r="AN49" i="20"/>
  <c r="AN48" i="20"/>
  <c r="AN47" i="20"/>
  <c r="AN46" i="20"/>
  <c r="AN45" i="20"/>
  <c r="AN44" i="20"/>
  <c r="AN43" i="20"/>
  <c r="AN42" i="20"/>
  <c r="AN41" i="20"/>
  <c r="AN40" i="20"/>
  <c r="AN39" i="20"/>
  <c r="AN38" i="20"/>
  <c r="AN37" i="20"/>
  <c r="AN36" i="20"/>
  <c r="AN35" i="20"/>
  <c r="AN34" i="20"/>
  <c r="AN33" i="20"/>
  <c r="AN32" i="20"/>
  <c r="AN31" i="20"/>
  <c r="AN30" i="20"/>
  <c r="AN29" i="20"/>
  <c r="AN28" i="20"/>
  <c r="AN27" i="20"/>
  <c r="AN26" i="20"/>
  <c r="AN25" i="20"/>
  <c r="AN24" i="20"/>
  <c r="AN23" i="20"/>
  <c r="AN22" i="20"/>
  <c r="AI49" i="20"/>
  <c r="AI48" i="20"/>
  <c r="AI47" i="20"/>
  <c r="AI46" i="20"/>
  <c r="AI45" i="20"/>
  <c r="AI44" i="20"/>
  <c r="AI43" i="20"/>
  <c r="AI42" i="20"/>
  <c r="AI41" i="20"/>
  <c r="AI40" i="20"/>
  <c r="AI39" i="20"/>
  <c r="AI38" i="20"/>
  <c r="AI37" i="20"/>
  <c r="AI36" i="20"/>
  <c r="AI35" i="20"/>
  <c r="AI34" i="20"/>
  <c r="AI33" i="20"/>
  <c r="AI32" i="20"/>
  <c r="AI31" i="20"/>
  <c r="AI30" i="20"/>
  <c r="AI29" i="20"/>
  <c r="AI28" i="20"/>
  <c r="AI27" i="20"/>
  <c r="AI26" i="20"/>
  <c r="AI25" i="20"/>
  <c r="AI24" i="20"/>
  <c r="AI23" i="20"/>
  <c r="AI22" i="20"/>
  <c r="AD49" i="20"/>
  <c r="AD48" i="20"/>
  <c r="AD47" i="20"/>
  <c r="AD46" i="20"/>
  <c r="AD45" i="20"/>
  <c r="AD44" i="20"/>
  <c r="AD43" i="20"/>
  <c r="AD42" i="20"/>
  <c r="AD41" i="20"/>
  <c r="AD40" i="20"/>
  <c r="AD39" i="20"/>
  <c r="AD38" i="20"/>
  <c r="AD37" i="20"/>
  <c r="AD36" i="20"/>
  <c r="AD35" i="20"/>
  <c r="AD34" i="20"/>
  <c r="AD33" i="20"/>
  <c r="AD32" i="20"/>
  <c r="AD31" i="20"/>
  <c r="AD30" i="20"/>
  <c r="AD29" i="20"/>
  <c r="AD28" i="20"/>
  <c r="AD27" i="20"/>
  <c r="AD26" i="20"/>
  <c r="AD25" i="20"/>
  <c r="AD24" i="20"/>
  <c r="AD23" i="20"/>
  <c r="AD22" i="20"/>
  <c r="Y49" i="20"/>
  <c r="Y48" i="20"/>
  <c r="Y47" i="20"/>
  <c r="Y46" i="20"/>
  <c r="Y45" i="20"/>
  <c r="Y44" i="20"/>
  <c r="Y43" i="20"/>
  <c r="Y42" i="20"/>
  <c r="Y41" i="20"/>
  <c r="Y40" i="20"/>
  <c r="Y39" i="20"/>
  <c r="Y38" i="20"/>
  <c r="Y37" i="20"/>
  <c r="Y36" i="20"/>
  <c r="Y35" i="20"/>
  <c r="Y34" i="20"/>
  <c r="Y33" i="20"/>
  <c r="Y32" i="20"/>
  <c r="Y31" i="20"/>
  <c r="Y30" i="20"/>
  <c r="Y29" i="20"/>
  <c r="Y28" i="20"/>
  <c r="Y27" i="20"/>
  <c r="Y26" i="20"/>
  <c r="Y25" i="20"/>
  <c r="Y24" i="20"/>
  <c r="Y23" i="20"/>
  <c r="Y22" i="20"/>
  <c r="T49" i="20"/>
  <c r="T48" i="20"/>
  <c r="T47" i="20"/>
  <c r="T46" i="20"/>
  <c r="T45" i="20"/>
  <c r="T44" i="20"/>
  <c r="T43" i="20"/>
  <c r="T42" i="20"/>
  <c r="T41" i="20"/>
  <c r="T40" i="20"/>
  <c r="T39" i="20"/>
  <c r="T38" i="20"/>
  <c r="T37" i="20"/>
  <c r="T36" i="20"/>
  <c r="T35" i="20"/>
  <c r="T34" i="20"/>
  <c r="T33" i="20"/>
  <c r="T32" i="20"/>
  <c r="T31" i="20"/>
  <c r="T30" i="20"/>
  <c r="T29" i="20"/>
  <c r="T28" i="20"/>
  <c r="T27" i="20"/>
  <c r="T26" i="20"/>
  <c r="T25" i="20"/>
  <c r="T24" i="20"/>
  <c r="T23" i="20"/>
  <c r="T22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BC50" i="32"/>
  <c r="BC49" i="32"/>
  <c r="BC48" i="32"/>
  <c r="BC47" i="32"/>
  <c r="BC46" i="32"/>
  <c r="BC45" i="32"/>
  <c r="BC44" i="32"/>
  <c r="BC43" i="32"/>
  <c r="BC42" i="32"/>
  <c r="BC41" i="32"/>
  <c r="BC40" i="32"/>
  <c r="BC39" i="32"/>
  <c r="BC38" i="32"/>
  <c r="BC37" i="32"/>
  <c r="BC36" i="32"/>
  <c r="BC35" i="32"/>
  <c r="BC34" i="32"/>
  <c r="BC33" i="32"/>
  <c r="BC32" i="32"/>
  <c r="BC31" i="32"/>
  <c r="BC30" i="32"/>
  <c r="BC29" i="32"/>
  <c r="BC28" i="32"/>
  <c r="BC27" i="32"/>
  <c r="BC26" i="32"/>
  <c r="BC25" i="32"/>
  <c r="BC24" i="32"/>
  <c r="BC23" i="32"/>
  <c r="BC22" i="32"/>
  <c r="AS50" i="32"/>
  <c r="AS49" i="32"/>
  <c r="AS48" i="32"/>
  <c r="AS47" i="32"/>
  <c r="AS46" i="32"/>
  <c r="AS45" i="32"/>
  <c r="AS44" i="32"/>
  <c r="AS43" i="32"/>
  <c r="AS42" i="32"/>
  <c r="AS41" i="32"/>
  <c r="AS40" i="32"/>
  <c r="AS39" i="32"/>
  <c r="AS38" i="32"/>
  <c r="AS37" i="32"/>
  <c r="AS36" i="32"/>
  <c r="AS35" i="32"/>
  <c r="AS34" i="32"/>
  <c r="AS33" i="32"/>
  <c r="AS32" i="32"/>
  <c r="AS31" i="32"/>
  <c r="AS30" i="32"/>
  <c r="AS29" i="32"/>
  <c r="AS28" i="32"/>
  <c r="AS27" i="32"/>
  <c r="AS26" i="32"/>
  <c r="AS25" i="32"/>
  <c r="AS24" i="32"/>
  <c r="AS23" i="32"/>
  <c r="AS22" i="32"/>
  <c r="AI50" i="32"/>
  <c r="AI49" i="32"/>
  <c r="AI48" i="32"/>
  <c r="AI47" i="32"/>
  <c r="AI46" i="32"/>
  <c r="AI45" i="32"/>
  <c r="AI44" i="32"/>
  <c r="AI43" i="32"/>
  <c r="AI42" i="32"/>
  <c r="AI41" i="32"/>
  <c r="AI40" i="32"/>
  <c r="AI39" i="32"/>
  <c r="AI38" i="32"/>
  <c r="AI37" i="32"/>
  <c r="AI36" i="32"/>
  <c r="AI35" i="32"/>
  <c r="AI34" i="32"/>
  <c r="AI33" i="32"/>
  <c r="AI32" i="32"/>
  <c r="AI31" i="32"/>
  <c r="AI30" i="32"/>
  <c r="AI29" i="32"/>
  <c r="AI28" i="32"/>
  <c r="AI27" i="32"/>
  <c r="AI26" i="32"/>
  <c r="AI25" i="32"/>
  <c r="AI24" i="32"/>
  <c r="AI23" i="32"/>
  <c r="AI22" i="32"/>
  <c r="Y50" i="32"/>
  <c r="Y49" i="32"/>
  <c r="Y48" i="32"/>
  <c r="Y47" i="32"/>
  <c r="Y46" i="32"/>
  <c r="Y45" i="32"/>
  <c r="Y44" i="32"/>
  <c r="Y43" i="32"/>
  <c r="Y42" i="32"/>
  <c r="Y41" i="32"/>
  <c r="Y40" i="32"/>
  <c r="Y39" i="32"/>
  <c r="Y38" i="32"/>
  <c r="Y37" i="32"/>
  <c r="Y36" i="32"/>
  <c r="Y35" i="32"/>
  <c r="Y34" i="32"/>
  <c r="Y33" i="32"/>
  <c r="Y32" i="32"/>
  <c r="Y31" i="32"/>
  <c r="Y30" i="32"/>
  <c r="Y29" i="32"/>
  <c r="Y28" i="32"/>
  <c r="Y27" i="32"/>
  <c r="Y26" i="32"/>
  <c r="Y25" i="32"/>
  <c r="Y24" i="32"/>
  <c r="Y23" i="32"/>
  <c r="Y22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AX50" i="32"/>
  <c r="AX49" i="32"/>
  <c r="AX48" i="32"/>
  <c r="AX47" i="32"/>
  <c r="AX46" i="32"/>
  <c r="AX45" i="32"/>
  <c r="AX44" i="32"/>
  <c r="AX43" i="32"/>
  <c r="AX42" i="32"/>
  <c r="AX41" i="32"/>
  <c r="AX40" i="32"/>
  <c r="AX39" i="32"/>
  <c r="AX38" i="32"/>
  <c r="AX37" i="32"/>
  <c r="AX36" i="32"/>
  <c r="AX35" i="32"/>
  <c r="AX34" i="32"/>
  <c r="AX33" i="32"/>
  <c r="AX32" i="32"/>
  <c r="AX31" i="32"/>
  <c r="AX30" i="32"/>
  <c r="AX29" i="32"/>
  <c r="AX28" i="32"/>
  <c r="AX27" i="32"/>
  <c r="AX26" i="32"/>
  <c r="AX25" i="32"/>
  <c r="AX24" i="32"/>
  <c r="AX23" i="32"/>
  <c r="AX22" i="32"/>
  <c r="AN50" i="32"/>
  <c r="AN49" i="32"/>
  <c r="AN48" i="32"/>
  <c r="AN47" i="32"/>
  <c r="AN46" i="32"/>
  <c r="AN45" i="32"/>
  <c r="AN44" i="32"/>
  <c r="AN43" i="32"/>
  <c r="AN42" i="32"/>
  <c r="AN41" i="32"/>
  <c r="AN40" i="32"/>
  <c r="AN39" i="32"/>
  <c r="AN38" i="32"/>
  <c r="AN37" i="32"/>
  <c r="AN36" i="32"/>
  <c r="AN35" i="32"/>
  <c r="AN34" i="32"/>
  <c r="AN33" i="32"/>
  <c r="AN32" i="32"/>
  <c r="AN31" i="32"/>
  <c r="AN30" i="32"/>
  <c r="AN29" i="32"/>
  <c r="AN28" i="32"/>
  <c r="AN27" i="32"/>
  <c r="AN26" i="32"/>
  <c r="AN25" i="32"/>
  <c r="AN24" i="32"/>
  <c r="AN23" i="32"/>
  <c r="AN22" i="32"/>
  <c r="AD50" i="32"/>
  <c r="AD49" i="32"/>
  <c r="AD48" i="32"/>
  <c r="AD47" i="32"/>
  <c r="AD46" i="32"/>
  <c r="AD45" i="32"/>
  <c r="AD44" i="32"/>
  <c r="AD43" i="32"/>
  <c r="AD42" i="32"/>
  <c r="AD41" i="32"/>
  <c r="AD40" i="32"/>
  <c r="AD39" i="32"/>
  <c r="AD38" i="32"/>
  <c r="AD37" i="32"/>
  <c r="AD36" i="32"/>
  <c r="AD35" i="32"/>
  <c r="AD34" i="32"/>
  <c r="AD33" i="32"/>
  <c r="AD32" i="32"/>
  <c r="AD31" i="32"/>
  <c r="AD30" i="32"/>
  <c r="AD29" i="32"/>
  <c r="AD28" i="32"/>
  <c r="AD27" i="32"/>
  <c r="AD26" i="32"/>
  <c r="AD25" i="32"/>
  <c r="AD24" i="32"/>
  <c r="AD23" i="32"/>
  <c r="AD22" i="32"/>
  <c r="T50" i="32"/>
  <c r="T49" i="32"/>
  <c r="T48" i="32"/>
  <c r="T47" i="32"/>
  <c r="T46" i="32"/>
  <c r="T45" i="32"/>
  <c r="T44" i="32"/>
  <c r="T43" i="32"/>
  <c r="T42" i="32"/>
  <c r="T41" i="32"/>
  <c r="T40" i="32"/>
  <c r="T39" i="32"/>
  <c r="T38" i="32"/>
  <c r="T37" i="32"/>
  <c r="T36" i="32"/>
  <c r="T35" i="32"/>
  <c r="T34" i="32"/>
  <c r="T33" i="32"/>
  <c r="T32" i="32"/>
  <c r="T31" i="32"/>
  <c r="T30" i="32"/>
  <c r="T29" i="32"/>
  <c r="T28" i="32"/>
  <c r="T27" i="32"/>
  <c r="T26" i="32"/>
  <c r="T25" i="32"/>
  <c r="T24" i="32"/>
  <c r="T23" i="32"/>
  <c r="T22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B18" i="22"/>
  <c r="B18" i="20"/>
  <c r="B18" i="32"/>
  <c r="B18" i="30"/>
  <c r="B18" i="29"/>
  <c r="B18" i="28"/>
  <c r="B18" i="27"/>
  <c r="B18" i="26"/>
  <c r="L22" i="30"/>
  <c r="I50" i="20" l="1"/>
  <c r="X58" i="28"/>
  <c r="N58" i="30" l="1"/>
  <c r="P58" i="29"/>
  <c r="S58" i="28"/>
  <c r="S58" i="27"/>
  <c r="X58" i="26"/>
  <c r="AC58" i="22"/>
  <c r="V23" i="30"/>
  <c r="V22" i="30"/>
  <c r="Q23" i="30"/>
  <c r="Q22" i="30"/>
  <c r="L23" i="30"/>
  <c r="V25" i="30"/>
  <c r="V24" i="30"/>
  <c r="Q25" i="30"/>
  <c r="Q24" i="30"/>
  <c r="L25" i="30"/>
  <c r="L24" i="30"/>
  <c r="B23" i="30" l="1"/>
  <c r="BK50" i="32" l="1"/>
  <c r="BK49" i="32"/>
  <c r="BK48" i="32"/>
  <c r="BK47" i="32"/>
  <c r="BK46" i="32"/>
  <c r="BK45" i="32"/>
  <c r="BK44" i="32"/>
  <c r="BK43" i="32"/>
  <c r="BK42" i="32"/>
  <c r="BK41" i="32"/>
  <c r="BK40" i="32"/>
  <c r="BK39" i="32"/>
  <c r="BK38" i="32"/>
  <c r="BK37" i="32"/>
  <c r="BK36" i="32"/>
  <c r="BK35" i="32"/>
  <c r="BK34" i="32"/>
  <c r="BK33" i="32"/>
  <c r="BK32" i="32"/>
  <c r="BK31" i="32"/>
  <c r="BK30" i="32"/>
  <c r="BK29" i="32"/>
  <c r="BK28" i="32"/>
  <c r="BK27" i="32"/>
  <c r="BK26" i="32"/>
  <c r="BK25" i="32"/>
  <c r="BK24" i="32"/>
  <c r="BK23" i="32"/>
  <c r="BK22" i="32"/>
  <c r="AA23" i="28"/>
  <c r="AA22" i="28"/>
  <c r="Q23" i="28"/>
  <c r="Q22" i="28"/>
  <c r="AM59" i="32" l="1"/>
  <c r="AH58" i="20"/>
  <c r="L23" i="28" l="1"/>
  <c r="L22" i="28"/>
  <c r="Z49" i="30" l="1"/>
  <c r="Z48" i="30"/>
  <c r="Z47" i="30"/>
  <c r="Z46" i="30"/>
  <c r="Z45" i="30"/>
  <c r="Z44" i="30"/>
  <c r="Z43" i="30"/>
  <c r="Z42" i="30"/>
  <c r="Z41" i="30"/>
  <c r="Z40" i="30"/>
  <c r="Z39" i="30"/>
  <c r="Z38" i="30"/>
  <c r="Z37" i="30"/>
  <c r="Z36" i="30"/>
  <c r="Z35" i="30"/>
  <c r="Z34" i="30"/>
  <c r="Z33" i="30"/>
  <c r="Z32" i="30"/>
  <c r="Z31" i="30"/>
  <c r="Z30" i="30"/>
  <c r="Z29" i="30"/>
  <c r="Z28" i="30"/>
  <c r="Z27" i="30"/>
  <c r="Z26" i="30"/>
  <c r="Z25" i="30"/>
  <c r="Z24" i="30"/>
  <c r="Z23" i="30"/>
  <c r="Z22" i="30"/>
  <c r="AE49" i="29"/>
  <c r="AE48" i="29"/>
  <c r="AE47" i="29"/>
  <c r="AE46" i="29"/>
  <c r="AE45" i="29"/>
  <c r="AE44" i="29"/>
  <c r="AE43" i="29"/>
  <c r="AE42" i="29"/>
  <c r="AE41" i="29"/>
  <c r="AE40" i="29"/>
  <c r="AE39" i="29"/>
  <c r="AE38" i="29"/>
  <c r="AE37" i="29"/>
  <c r="AE36" i="29"/>
  <c r="AE35" i="29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J49" i="28"/>
  <c r="AJ48" i="28"/>
  <c r="AJ47" i="28"/>
  <c r="AJ46" i="28"/>
  <c r="AJ45" i="28"/>
  <c r="AJ44" i="28"/>
  <c r="AJ43" i="28"/>
  <c r="AJ42" i="28"/>
  <c r="AJ41" i="28"/>
  <c r="AJ40" i="28"/>
  <c r="AJ39" i="28"/>
  <c r="AJ38" i="28"/>
  <c r="AJ37" i="28"/>
  <c r="AJ36" i="28"/>
  <c r="AJ35" i="28"/>
  <c r="AJ34" i="28"/>
  <c r="AJ33" i="28"/>
  <c r="AJ32" i="28"/>
  <c r="AJ31" i="28"/>
  <c r="AJ30" i="28"/>
  <c r="AJ29" i="28"/>
  <c r="AJ28" i="28"/>
  <c r="AJ27" i="28"/>
  <c r="AJ26" i="28"/>
  <c r="AJ25" i="28"/>
  <c r="AJ24" i="28"/>
  <c r="AJ23" i="28"/>
  <c r="AJ22" i="28"/>
  <c r="AO49" i="27"/>
  <c r="AO48" i="27"/>
  <c r="AO47" i="27"/>
  <c r="AO46" i="27"/>
  <c r="AO45" i="27"/>
  <c r="AO44" i="27"/>
  <c r="AO43" i="27"/>
  <c r="AO42" i="27"/>
  <c r="AO41" i="27"/>
  <c r="AO40" i="27"/>
  <c r="AO39" i="27"/>
  <c r="AO38" i="27"/>
  <c r="AO37" i="27"/>
  <c r="AO36" i="27"/>
  <c r="AO35" i="27"/>
  <c r="AO34" i="27"/>
  <c r="AO33" i="27"/>
  <c r="AO32" i="27"/>
  <c r="AO31" i="27"/>
  <c r="AO30" i="27"/>
  <c r="AO29" i="27"/>
  <c r="AO28" i="27"/>
  <c r="AO27" i="27"/>
  <c r="AO26" i="27"/>
  <c r="AO25" i="27"/>
  <c r="AO24" i="27"/>
  <c r="AO23" i="27"/>
  <c r="AO22" i="27"/>
  <c r="AT49" i="26"/>
  <c r="AT48" i="26"/>
  <c r="AT47" i="26"/>
  <c r="AT46" i="26"/>
  <c r="AT45" i="26"/>
  <c r="AT44" i="26"/>
  <c r="AT43" i="26"/>
  <c r="AT42" i="26"/>
  <c r="AT41" i="26"/>
  <c r="AT40" i="26"/>
  <c r="AT39" i="26"/>
  <c r="AT38" i="26"/>
  <c r="AT37" i="26"/>
  <c r="AT36" i="26"/>
  <c r="AT35" i="26"/>
  <c r="AT34" i="26"/>
  <c r="AT33" i="26"/>
  <c r="AT32" i="26"/>
  <c r="AT31" i="26"/>
  <c r="AT30" i="26"/>
  <c r="AT29" i="26"/>
  <c r="AT28" i="26"/>
  <c r="AT27" i="26"/>
  <c r="AT26" i="26"/>
  <c r="AT25" i="26"/>
  <c r="AT24" i="26"/>
  <c r="AT23" i="26"/>
  <c r="AT22" i="26"/>
  <c r="AY49" i="22"/>
  <c r="AY48" i="22"/>
  <c r="AY47" i="22"/>
  <c r="AY46" i="22"/>
  <c r="AY45" i="22"/>
  <c r="AY44" i="22"/>
  <c r="AY43" i="22"/>
  <c r="AY42" i="22"/>
  <c r="AY41" i="22"/>
  <c r="AY40" i="22"/>
  <c r="AY39" i="22"/>
  <c r="AY38" i="22"/>
  <c r="AY37" i="22"/>
  <c r="AY36" i="22"/>
  <c r="AY35" i="22"/>
  <c r="AY34" i="22"/>
  <c r="AY33" i="22"/>
  <c r="AY32" i="22"/>
  <c r="AY31" i="22"/>
  <c r="AY30" i="22"/>
  <c r="AY29" i="22"/>
  <c r="AY28" i="22"/>
  <c r="AY27" i="22"/>
  <c r="AY26" i="22"/>
  <c r="AY25" i="22"/>
  <c r="AY24" i="22"/>
  <c r="AY23" i="22"/>
  <c r="AY22" i="22"/>
  <c r="BD49" i="20"/>
  <c r="BD48" i="20"/>
  <c r="BD47" i="20"/>
  <c r="BD46" i="20"/>
  <c r="BD45" i="20"/>
  <c r="BD44" i="20"/>
  <c r="BD43" i="20"/>
  <c r="BD42" i="20"/>
  <c r="BD41" i="20"/>
  <c r="BD40" i="20"/>
  <c r="BD39" i="20"/>
  <c r="BD38" i="20"/>
  <c r="BD37" i="20"/>
  <c r="BD36" i="20"/>
  <c r="BD35" i="20"/>
  <c r="BD34" i="20"/>
  <c r="BD33" i="20"/>
  <c r="BD32" i="20"/>
  <c r="BD31" i="20"/>
  <c r="BD30" i="20"/>
  <c r="BD29" i="20"/>
  <c r="BD28" i="20"/>
  <c r="BD27" i="20"/>
  <c r="BD26" i="20"/>
  <c r="BD25" i="20"/>
  <c r="BD24" i="20"/>
  <c r="BD23" i="20"/>
  <c r="BD22" i="20"/>
  <c r="BI50" i="32"/>
  <c r="BI49" i="32"/>
  <c r="BI48" i="32"/>
  <c r="BI47" i="32"/>
  <c r="BI46" i="32"/>
  <c r="BI45" i="32"/>
  <c r="BI44" i="32"/>
  <c r="BI43" i="32"/>
  <c r="BI42" i="32"/>
  <c r="BI41" i="32"/>
  <c r="BI40" i="32"/>
  <c r="BI39" i="32"/>
  <c r="BI38" i="32"/>
  <c r="BI37" i="32"/>
  <c r="BI36" i="32"/>
  <c r="BI35" i="32"/>
  <c r="BI34" i="32"/>
  <c r="BI33" i="32"/>
  <c r="BI32" i="32"/>
  <c r="BI31" i="32"/>
  <c r="BI30" i="32"/>
  <c r="BI29" i="32"/>
  <c r="BI28" i="32"/>
  <c r="BI27" i="32"/>
  <c r="BI26" i="32"/>
  <c r="BI25" i="32"/>
  <c r="BI24" i="32"/>
  <c r="BI23" i="32"/>
  <c r="BI22" i="32"/>
  <c r="AU50" i="32" l="1"/>
  <c r="AU49" i="32"/>
  <c r="AU48" i="32"/>
  <c r="AU47" i="32"/>
  <c r="AU46" i="32"/>
  <c r="AU45" i="32"/>
  <c r="AU44" i="32"/>
  <c r="AU43" i="32"/>
  <c r="AU42" i="32"/>
  <c r="AU41" i="32"/>
  <c r="AU40" i="32"/>
  <c r="AU39" i="32"/>
  <c r="AU38" i="32"/>
  <c r="AU37" i="32"/>
  <c r="AU36" i="32"/>
  <c r="AU35" i="32"/>
  <c r="AU34" i="32"/>
  <c r="AU33" i="32"/>
  <c r="AU32" i="32"/>
  <c r="AU31" i="32"/>
  <c r="AU30" i="32"/>
  <c r="AU29" i="32"/>
  <c r="AU28" i="32"/>
  <c r="AU27" i="32"/>
  <c r="AU26" i="32"/>
  <c r="AU25" i="32"/>
  <c r="AU24" i="32"/>
  <c r="AU23" i="32"/>
  <c r="AU22" i="32"/>
  <c r="BR23" i="32"/>
  <c r="BR24" i="32"/>
  <c r="BR25" i="32"/>
  <c r="BR26" i="32"/>
  <c r="BR27" i="32"/>
  <c r="BR28" i="32"/>
  <c r="BR29" i="32"/>
  <c r="BR30" i="32"/>
  <c r="BR31" i="32"/>
  <c r="BR32" i="32"/>
  <c r="BR33" i="32"/>
  <c r="BR34" i="32"/>
  <c r="BR35" i="32"/>
  <c r="BR36" i="32"/>
  <c r="BR37" i="32"/>
  <c r="BR38" i="32"/>
  <c r="BR39" i="32"/>
  <c r="BR40" i="32"/>
  <c r="BR41" i="32"/>
  <c r="BR42" i="32"/>
  <c r="BR43" i="32"/>
  <c r="BR44" i="32"/>
  <c r="BR45" i="32"/>
  <c r="BR46" i="32"/>
  <c r="BR47" i="32"/>
  <c r="BR48" i="32"/>
  <c r="BR49" i="32"/>
  <c r="BR50" i="32"/>
  <c r="N59" i="32"/>
  <c r="I59" i="32"/>
  <c r="BE50" i="32"/>
  <c r="BT50" i="32"/>
  <c r="AZ50" i="32"/>
  <c r="BS50" i="32"/>
  <c r="AP50" i="32"/>
  <c r="BQ50" i="32"/>
  <c r="AK50" i="32"/>
  <c r="AF50" i="32"/>
  <c r="BP50" i="32"/>
  <c r="AA50" i="32"/>
  <c r="BO50" i="32"/>
  <c r="V50" i="32"/>
  <c r="BN50" i="32"/>
  <c r="Q50" i="32"/>
  <c r="BM50" i="32"/>
  <c r="L50" i="32"/>
  <c r="BL50" i="32"/>
  <c r="BE49" i="32"/>
  <c r="BT49" i="32"/>
  <c r="AZ49" i="32"/>
  <c r="BS49" i="32"/>
  <c r="AP49" i="32"/>
  <c r="BQ49" i="32"/>
  <c r="AK49" i="32"/>
  <c r="AF49" i="32"/>
  <c r="BP49" i="32"/>
  <c r="AA49" i="32"/>
  <c r="BO49" i="32"/>
  <c r="V49" i="32"/>
  <c r="BN49" i="32"/>
  <c r="Q49" i="32"/>
  <c r="BM49" i="32"/>
  <c r="L49" i="32"/>
  <c r="BL49" i="32"/>
  <c r="BE48" i="32"/>
  <c r="BT48" i="32"/>
  <c r="AZ48" i="32"/>
  <c r="BS48" i="32"/>
  <c r="AP48" i="32"/>
  <c r="BQ48" i="32"/>
  <c r="AK48" i="32"/>
  <c r="AF48" i="32"/>
  <c r="BP48" i="32"/>
  <c r="AA48" i="32"/>
  <c r="BO48" i="32"/>
  <c r="V48" i="32"/>
  <c r="BN48" i="32"/>
  <c r="Q48" i="32"/>
  <c r="BM48" i="32"/>
  <c r="L48" i="32"/>
  <c r="BL48" i="32"/>
  <c r="BE47" i="32"/>
  <c r="BT47" i="32"/>
  <c r="AZ47" i="32"/>
  <c r="BS47" i="32"/>
  <c r="AP47" i="32"/>
  <c r="BQ47" i="32"/>
  <c r="AK47" i="32"/>
  <c r="AF47" i="32"/>
  <c r="BP47" i="32"/>
  <c r="AA47" i="32"/>
  <c r="BO47" i="32"/>
  <c r="V47" i="32"/>
  <c r="BN47" i="32"/>
  <c r="Q47" i="32"/>
  <c r="BM47" i="32"/>
  <c r="L47" i="32"/>
  <c r="BL47" i="32"/>
  <c r="BE46" i="32"/>
  <c r="BT46" i="32"/>
  <c r="AZ46" i="32"/>
  <c r="BS46" i="32"/>
  <c r="AP46" i="32"/>
  <c r="BQ46" i="32"/>
  <c r="AK46" i="32"/>
  <c r="AF46" i="32"/>
  <c r="BP46" i="32"/>
  <c r="AA46" i="32"/>
  <c r="BO46" i="32"/>
  <c r="V46" i="32"/>
  <c r="BN46" i="32"/>
  <c r="Q46" i="32"/>
  <c r="BM46" i="32"/>
  <c r="L46" i="32"/>
  <c r="BL46" i="32"/>
  <c r="BE45" i="32"/>
  <c r="BT45" i="32"/>
  <c r="AZ45" i="32"/>
  <c r="BS45" i="32"/>
  <c r="AP45" i="32"/>
  <c r="BQ45" i="32"/>
  <c r="AK45" i="32"/>
  <c r="AF45" i="32"/>
  <c r="BP45" i="32"/>
  <c r="AA45" i="32"/>
  <c r="BO45" i="32"/>
  <c r="V45" i="32"/>
  <c r="BN45" i="32"/>
  <c r="Q45" i="32"/>
  <c r="BM45" i="32"/>
  <c r="L45" i="32"/>
  <c r="BL45" i="32"/>
  <c r="BE44" i="32"/>
  <c r="BT44" i="32"/>
  <c r="AZ44" i="32"/>
  <c r="BS44" i="32"/>
  <c r="AP44" i="32"/>
  <c r="BQ44" i="32"/>
  <c r="AK44" i="32"/>
  <c r="AF44" i="32"/>
  <c r="BP44" i="32"/>
  <c r="AA44" i="32"/>
  <c r="BO44" i="32"/>
  <c r="V44" i="32"/>
  <c r="BN44" i="32"/>
  <c r="Q44" i="32"/>
  <c r="BM44" i="32"/>
  <c r="L44" i="32"/>
  <c r="BL44" i="32"/>
  <c r="BE43" i="32"/>
  <c r="BT43" i="32"/>
  <c r="AZ43" i="32"/>
  <c r="BS43" i="32"/>
  <c r="AP43" i="32"/>
  <c r="BQ43" i="32"/>
  <c r="AK43" i="32"/>
  <c r="AF43" i="32"/>
  <c r="BP43" i="32"/>
  <c r="AA43" i="32"/>
  <c r="BO43" i="32"/>
  <c r="V43" i="32"/>
  <c r="BN43" i="32"/>
  <c r="Q43" i="32"/>
  <c r="BM43" i="32"/>
  <c r="L43" i="32"/>
  <c r="BL43" i="32"/>
  <c r="BE42" i="32"/>
  <c r="BT42" i="32"/>
  <c r="AZ42" i="32"/>
  <c r="BS42" i="32"/>
  <c r="AP42" i="32"/>
  <c r="BQ42" i="32"/>
  <c r="AK42" i="32"/>
  <c r="AF42" i="32"/>
  <c r="BP42" i="32"/>
  <c r="AA42" i="32"/>
  <c r="BO42" i="32"/>
  <c r="V42" i="32"/>
  <c r="BN42" i="32"/>
  <c r="Q42" i="32"/>
  <c r="BM42" i="32"/>
  <c r="L42" i="32"/>
  <c r="BL42" i="32"/>
  <c r="BE41" i="32"/>
  <c r="BT41" i="32"/>
  <c r="AZ41" i="32"/>
  <c r="BS41" i="32"/>
  <c r="AP41" i="32"/>
  <c r="BQ41" i="32"/>
  <c r="AK41" i="32"/>
  <c r="AF41" i="32"/>
  <c r="BP41" i="32"/>
  <c r="AA41" i="32"/>
  <c r="BO41" i="32"/>
  <c r="V41" i="32"/>
  <c r="BN41" i="32"/>
  <c r="Q41" i="32"/>
  <c r="BM41" i="32"/>
  <c r="L41" i="32"/>
  <c r="BL41" i="32"/>
  <c r="BE40" i="32"/>
  <c r="BT40" i="32"/>
  <c r="AZ40" i="32"/>
  <c r="BS40" i="32"/>
  <c r="AP40" i="32"/>
  <c r="BQ40" i="32"/>
  <c r="AK40" i="32"/>
  <c r="AF40" i="32"/>
  <c r="BP40" i="32"/>
  <c r="AA40" i="32"/>
  <c r="BO40" i="32"/>
  <c r="V40" i="32"/>
  <c r="BN40" i="32"/>
  <c r="Q40" i="32"/>
  <c r="BM40" i="32"/>
  <c r="L40" i="32"/>
  <c r="BL40" i="32"/>
  <c r="BE39" i="32"/>
  <c r="BT39" i="32"/>
  <c r="AZ39" i="32"/>
  <c r="BS39" i="32"/>
  <c r="AP39" i="32"/>
  <c r="BQ39" i="32"/>
  <c r="AK39" i="32"/>
  <c r="AF39" i="32"/>
  <c r="BP39" i="32"/>
  <c r="AA39" i="32"/>
  <c r="BO39" i="32"/>
  <c r="V39" i="32"/>
  <c r="BN39" i="32"/>
  <c r="Q39" i="32"/>
  <c r="BM39" i="32"/>
  <c r="L39" i="32"/>
  <c r="BL39" i="32"/>
  <c r="BE38" i="32"/>
  <c r="BT38" i="32"/>
  <c r="AZ38" i="32"/>
  <c r="BS38" i="32"/>
  <c r="AP38" i="32"/>
  <c r="BQ38" i="32"/>
  <c r="AK38" i="32"/>
  <c r="AF38" i="32"/>
  <c r="BP38" i="32"/>
  <c r="AA38" i="32"/>
  <c r="BO38" i="32"/>
  <c r="V38" i="32"/>
  <c r="BN38" i="32"/>
  <c r="Q38" i="32"/>
  <c r="BM38" i="32"/>
  <c r="L38" i="32"/>
  <c r="BL38" i="32"/>
  <c r="BE37" i="32"/>
  <c r="BT37" i="32"/>
  <c r="AZ37" i="32"/>
  <c r="BS37" i="32"/>
  <c r="AP37" i="32"/>
  <c r="BQ37" i="32"/>
  <c r="AK37" i="32"/>
  <c r="AF37" i="32"/>
  <c r="BP37" i="32"/>
  <c r="AA37" i="32"/>
  <c r="BO37" i="32"/>
  <c r="V37" i="32"/>
  <c r="BN37" i="32"/>
  <c r="Q37" i="32"/>
  <c r="BM37" i="32"/>
  <c r="L37" i="32"/>
  <c r="BL37" i="32"/>
  <c r="BE36" i="32"/>
  <c r="BT36" i="32"/>
  <c r="AZ36" i="32"/>
  <c r="BS36" i="32"/>
  <c r="AP36" i="32"/>
  <c r="BQ36" i="32"/>
  <c r="AK36" i="32"/>
  <c r="AF36" i="32"/>
  <c r="BP36" i="32"/>
  <c r="AA36" i="32"/>
  <c r="BO36" i="32"/>
  <c r="V36" i="32"/>
  <c r="BN36" i="32"/>
  <c r="Q36" i="32"/>
  <c r="BM36" i="32"/>
  <c r="L36" i="32"/>
  <c r="BL36" i="32"/>
  <c r="BE35" i="32"/>
  <c r="BT35" i="32"/>
  <c r="AZ35" i="32"/>
  <c r="BS35" i="32"/>
  <c r="AP35" i="32"/>
  <c r="BQ35" i="32"/>
  <c r="AK35" i="32"/>
  <c r="AF35" i="32"/>
  <c r="BP35" i="32"/>
  <c r="AA35" i="32"/>
  <c r="BO35" i="32"/>
  <c r="V35" i="32"/>
  <c r="BN35" i="32"/>
  <c r="Q35" i="32"/>
  <c r="BM35" i="32"/>
  <c r="L35" i="32"/>
  <c r="BL35" i="32"/>
  <c r="BE34" i="32"/>
  <c r="BT34" i="32"/>
  <c r="AZ34" i="32"/>
  <c r="BS34" i="32"/>
  <c r="AP34" i="32"/>
  <c r="BQ34" i="32"/>
  <c r="AK34" i="32"/>
  <c r="AF34" i="32"/>
  <c r="BP34" i="32"/>
  <c r="AA34" i="32"/>
  <c r="BO34" i="32"/>
  <c r="V34" i="32"/>
  <c r="BN34" i="32"/>
  <c r="Q34" i="32"/>
  <c r="BM34" i="32"/>
  <c r="L34" i="32"/>
  <c r="BL34" i="32"/>
  <c r="BE33" i="32"/>
  <c r="BT33" i="32"/>
  <c r="AZ33" i="32"/>
  <c r="BS33" i="32"/>
  <c r="AP33" i="32"/>
  <c r="BQ33" i="32"/>
  <c r="AK33" i="32"/>
  <c r="AF33" i="32"/>
  <c r="BP33" i="32"/>
  <c r="AA33" i="32"/>
  <c r="BO33" i="32"/>
  <c r="V33" i="32"/>
  <c r="BN33" i="32"/>
  <c r="Q33" i="32"/>
  <c r="BM33" i="32"/>
  <c r="L33" i="32"/>
  <c r="BL33" i="32"/>
  <c r="BE32" i="32"/>
  <c r="BT32" i="32"/>
  <c r="AZ32" i="32"/>
  <c r="BS32" i="32"/>
  <c r="AP32" i="32"/>
  <c r="BQ32" i="32"/>
  <c r="AK32" i="32"/>
  <c r="AF32" i="32"/>
  <c r="BP32" i="32"/>
  <c r="AA32" i="32"/>
  <c r="BO32" i="32"/>
  <c r="V32" i="32"/>
  <c r="BN32" i="32"/>
  <c r="Q32" i="32"/>
  <c r="BM32" i="32"/>
  <c r="L32" i="32"/>
  <c r="BL32" i="32"/>
  <c r="BE31" i="32"/>
  <c r="BT31" i="32"/>
  <c r="AZ31" i="32"/>
  <c r="BS31" i="32"/>
  <c r="AP31" i="32"/>
  <c r="BQ31" i="32"/>
  <c r="AK31" i="32"/>
  <c r="AF31" i="32"/>
  <c r="BP31" i="32"/>
  <c r="AA31" i="32"/>
  <c r="BO31" i="32"/>
  <c r="V31" i="32"/>
  <c r="BN31" i="32"/>
  <c r="Q31" i="32"/>
  <c r="BM31" i="32"/>
  <c r="L31" i="32"/>
  <c r="BL31" i="32"/>
  <c r="BE30" i="32"/>
  <c r="BT30" i="32"/>
  <c r="AZ30" i="32"/>
  <c r="BS30" i="32"/>
  <c r="AP30" i="32"/>
  <c r="BQ30" i="32"/>
  <c r="AK30" i="32"/>
  <c r="AF30" i="32"/>
  <c r="BP30" i="32"/>
  <c r="AA30" i="32"/>
  <c r="BO30" i="32"/>
  <c r="V30" i="32"/>
  <c r="BN30" i="32"/>
  <c r="Q30" i="32"/>
  <c r="BM30" i="32"/>
  <c r="L30" i="32"/>
  <c r="BL30" i="32"/>
  <c r="BE29" i="32"/>
  <c r="BT29" i="32"/>
  <c r="AZ29" i="32"/>
  <c r="BS29" i="32"/>
  <c r="AP29" i="32"/>
  <c r="BQ29" i="32"/>
  <c r="AK29" i="32"/>
  <c r="AF29" i="32"/>
  <c r="BP29" i="32"/>
  <c r="AA29" i="32"/>
  <c r="BO29" i="32"/>
  <c r="V29" i="32"/>
  <c r="BN29" i="32"/>
  <c r="Q29" i="32"/>
  <c r="BM29" i="32"/>
  <c r="L29" i="32"/>
  <c r="BL29" i="32"/>
  <c r="BE28" i="32"/>
  <c r="BT28" i="32"/>
  <c r="AZ28" i="32"/>
  <c r="BS28" i="32"/>
  <c r="AP28" i="32"/>
  <c r="BQ28" i="32"/>
  <c r="AK28" i="32"/>
  <c r="AF28" i="32"/>
  <c r="BP28" i="32"/>
  <c r="AA28" i="32"/>
  <c r="BO28" i="32"/>
  <c r="V28" i="32"/>
  <c r="BN28" i="32"/>
  <c r="Q28" i="32"/>
  <c r="BM28" i="32"/>
  <c r="L28" i="32"/>
  <c r="BL28" i="32"/>
  <c r="BE27" i="32"/>
  <c r="BT27" i="32"/>
  <c r="AZ27" i="32"/>
  <c r="BS27" i="32"/>
  <c r="AP27" i="32"/>
  <c r="BQ27" i="32"/>
  <c r="AK27" i="32"/>
  <c r="AF27" i="32"/>
  <c r="BP27" i="32"/>
  <c r="AA27" i="32"/>
  <c r="BO27" i="32"/>
  <c r="V27" i="32"/>
  <c r="BN27" i="32"/>
  <c r="Q27" i="32"/>
  <c r="BM27" i="32"/>
  <c r="L27" i="32"/>
  <c r="BL27" i="32"/>
  <c r="BE26" i="32"/>
  <c r="BT26" i="32"/>
  <c r="AZ26" i="32"/>
  <c r="BS26" i="32"/>
  <c r="AP26" i="32"/>
  <c r="BQ26" i="32"/>
  <c r="AK26" i="32"/>
  <c r="AF26" i="32"/>
  <c r="BP26" i="32"/>
  <c r="AA26" i="32"/>
  <c r="BO26" i="32"/>
  <c r="V26" i="32"/>
  <c r="BN26" i="32"/>
  <c r="Q26" i="32"/>
  <c r="BM26" i="32"/>
  <c r="L26" i="32"/>
  <c r="BL26" i="32"/>
  <c r="BE25" i="32"/>
  <c r="BT25" i="32"/>
  <c r="AZ25" i="32"/>
  <c r="BS25" i="32"/>
  <c r="AP25" i="32"/>
  <c r="BQ25" i="32"/>
  <c r="AK25" i="32"/>
  <c r="AF25" i="32"/>
  <c r="BP25" i="32"/>
  <c r="AA25" i="32"/>
  <c r="BO25" i="32"/>
  <c r="V25" i="32"/>
  <c r="BN25" i="32"/>
  <c r="Q25" i="32"/>
  <c r="BM25" i="32"/>
  <c r="L25" i="32"/>
  <c r="BL25" i="32"/>
  <c r="BE24" i="32"/>
  <c r="BT24" i="32"/>
  <c r="AZ24" i="32"/>
  <c r="BS24" i="32"/>
  <c r="AP24" i="32"/>
  <c r="BQ24" i="32"/>
  <c r="AK24" i="32"/>
  <c r="AF24" i="32"/>
  <c r="BP24" i="32"/>
  <c r="AA24" i="32"/>
  <c r="BO24" i="32"/>
  <c r="V24" i="32"/>
  <c r="BN24" i="32"/>
  <c r="Q24" i="32"/>
  <c r="BM24" i="32"/>
  <c r="L24" i="32"/>
  <c r="BL24" i="32"/>
  <c r="BE23" i="32"/>
  <c r="BT23" i="32"/>
  <c r="AZ23" i="32"/>
  <c r="BS23" i="32"/>
  <c r="AP23" i="32"/>
  <c r="BQ23" i="32"/>
  <c r="AK23" i="32"/>
  <c r="AF23" i="32"/>
  <c r="BP23" i="32"/>
  <c r="AA23" i="32"/>
  <c r="BO23" i="32"/>
  <c r="V23" i="32"/>
  <c r="BN23" i="32"/>
  <c r="Q23" i="32"/>
  <c r="BM23" i="32"/>
  <c r="L23" i="32"/>
  <c r="BL23" i="32"/>
  <c r="B23" i="32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E22" i="32"/>
  <c r="AZ22" i="32"/>
  <c r="AP22" i="32"/>
  <c r="AK22" i="32"/>
  <c r="AF22" i="32"/>
  <c r="AA22" i="32"/>
  <c r="V22" i="32"/>
  <c r="Q22" i="32"/>
  <c r="L22" i="32"/>
  <c r="BM18" i="32"/>
  <c r="BN18" i="32" s="1"/>
  <c r="BO18" i="32" s="1"/>
  <c r="BP18" i="32" s="1"/>
  <c r="BQ18" i="32" s="1"/>
  <c r="BR18" i="32" s="1"/>
  <c r="BS18" i="32" s="1"/>
  <c r="BT18" i="32" s="1"/>
  <c r="N10" i="32"/>
  <c r="S10" i="32" s="1"/>
  <c r="X10" i="32" s="1"/>
  <c r="AC10" i="32" s="1"/>
  <c r="AH10" i="32" s="1"/>
  <c r="AM10" i="32" s="1"/>
  <c r="BC8" i="32"/>
  <c r="D59" i="32" s="1"/>
  <c r="AH51" i="32" l="1"/>
  <c r="AH52" i="32" s="1"/>
  <c r="BN22" i="32"/>
  <c r="BN52" i="32" s="1"/>
  <c r="S51" i="32"/>
  <c r="S52" i="32" s="1"/>
  <c r="BT22" i="32"/>
  <c r="BT52" i="32" s="1"/>
  <c r="BB51" i="32"/>
  <c r="BM22" i="32"/>
  <c r="BM51" i="32" s="1"/>
  <c r="N51" i="32"/>
  <c r="BO22" i="32"/>
  <c r="BO51" i="32" s="1"/>
  <c r="X51" i="32"/>
  <c r="X52" i="32" s="1"/>
  <c r="BL22" i="32"/>
  <c r="BL52" i="32" s="1"/>
  <c r="I51" i="32"/>
  <c r="BS22" i="32"/>
  <c r="BS51" i="32" s="1"/>
  <c r="AW51" i="32"/>
  <c r="AW52" i="32" s="1"/>
  <c r="BP22" i="32"/>
  <c r="BP52" i="32" s="1"/>
  <c r="AC51" i="32"/>
  <c r="BQ22" i="32"/>
  <c r="BQ52" i="32" s="1"/>
  <c r="AM51" i="32"/>
  <c r="BR22" i="32"/>
  <c r="BR52" i="32" s="1"/>
  <c r="AR51" i="32"/>
  <c r="AR52" i="32" s="1"/>
  <c r="BS19" i="32"/>
  <c r="AR10" i="32"/>
  <c r="AW10" i="32" s="1"/>
  <c r="BB10" i="32" s="1"/>
  <c r="BT19" i="32"/>
  <c r="CA36" i="32"/>
  <c r="CC36" i="32" s="1"/>
  <c r="BX41" i="32"/>
  <c r="BZ41" i="32" s="1"/>
  <c r="BR19" i="32"/>
  <c r="CA25" i="32"/>
  <c r="CC25" i="32" s="1"/>
  <c r="CA39" i="32"/>
  <c r="CC39" i="32" s="1"/>
  <c r="BU30" i="32"/>
  <c r="BU28" i="32"/>
  <c r="CA26" i="32"/>
  <c r="CC26" i="32" s="1"/>
  <c r="CA48" i="32"/>
  <c r="CC48" i="32" s="1"/>
  <c r="CA27" i="32"/>
  <c r="CC27" i="32" s="1"/>
  <c r="BX27" i="32"/>
  <c r="BX25" i="32"/>
  <c r="BZ25" i="32" s="1"/>
  <c r="BU33" i="32"/>
  <c r="BX31" i="32"/>
  <c r="BZ31" i="32" s="1"/>
  <c r="BU25" i="32"/>
  <c r="CA38" i="32"/>
  <c r="CC38" i="32" s="1"/>
  <c r="BU42" i="32"/>
  <c r="BX29" i="32"/>
  <c r="BZ29" i="32" s="1"/>
  <c r="BU40" i="32"/>
  <c r="BX50" i="32"/>
  <c r="BZ50" i="32" s="1"/>
  <c r="CA35" i="32"/>
  <c r="CA30" i="32"/>
  <c r="BX30" i="32"/>
  <c r="CA50" i="32"/>
  <c r="BX39" i="32"/>
  <c r="BU39" i="32"/>
  <c r="CA45" i="32"/>
  <c r="BX45" i="32"/>
  <c r="BU45" i="32"/>
  <c r="BX36" i="32"/>
  <c r="BU36" i="32"/>
  <c r="BX38" i="32"/>
  <c r="CA40" i="32"/>
  <c r="BX34" i="32"/>
  <c r="BU34" i="32"/>
  <c r="CA34" i="32"/>
  <c r="BU37" i="32"/>
  <c r="CA37" i="32"/>
  <c r="BX37" i="32"/>
  <c r="BX47" i="32"/>
  <c r="BU47" i="32"/>
  <c r="BX32" i="32"/>
  <c r="CA32" i="32"/>
  <c r="BU32" i="32"/>
  <c r="BU26" i="32"/>
  <c r="BX42" i="32"/>
  <c r="BU49" i="32"/>
  <c r="CA49" i="32"/>
  <c r="BX49" i="32"/>
  <c r="BX26" i="32"/>
  <c r="BX35" i="32"/>
  <c r="BU35" i="32"/>
  <c r="BX40" i="32"/>
  <c r="CA46" i="32"/>
  <c r="BX48" i="32"/>
  <c r="BU48" i="32"/>
  <c r="CA28" i="32"/>
  <c r="BX28" i="32"/>
  <c r="BX24" i="32"/>
  <c r="BU24" i="32"/>
  <c r="CA24" i="32"/>
  <c r="CA47" i="32"/>
  <c r="BU23" i="32"/>
  <c r="CA23" i="32"/>
  <c r="BX23" i="32"/>
  <c r="BU27" i="32"/>
  <c r="CA41" i="32"/>
  <c r="BU41" i="32"/>
  <c r="CA29" i="32"/>
  <c r="CA43" i="32"/>
  <c r="BU43" i="32"/>
  <c r="BU38" i="32"/>
  <c r="BX43" i="32"/>
  <c r="BU50" i="32"/>
  <c r="CA31" i="32"/>
  <c r="CA33" i="32"/>
  <c r="BX33" i="32"/>
  <c r="CA42" i="32"/>
  <c r="CA44" i="32"/>
  <c r="BX44" i="32"/>
  <c r="BU44" i="32"/>
  <c r="BX46" i="32"/>
  <c r="BU46" i="32"/>
  <c r="BU29" i="32"/>
  <c r="BU31" i="32"/>
  <c r="AW58" i="32" l="1"/>
  <c r="AW59" i="32" s="1"/>
  <c r="BB58" i="32"/>
  <c r="BB59" i="32" s="1"/>
  <c r="BP51" i="32"/>
  <c r="BN51" i="32"/>
  <c r="BM52" i="32"/>
  <c r="BT51" i="32"/>
  <c r="BR51" i="32"/>
  <c r="BO52" i="32"/>
  <c r="BQ51" i="32"/>
  <c r="BS52" i="32"/>
  <c r="BL51" i="32"/>
  <c r="AM52" i="32"/>
  <c r="AC52" i="32"/>
  <c r="N52" i="32"/>
  <c r="I52" i="32"/>
  <c r="BW31" i="32"/>
  <c r="BV31" i="32"/>
  <c r="BW29" i="32"/>
  <c r="BV29" i="32"/>
  <c r="BW34" i="32"/>
  <c r="BV34" i="32"/>
  <c r="BW42" i="32"/>
  <c r="BV42" i="32"/>
  <c r="BW28" i="32"/>
  <c r="BV28" i="32"/>
  <c r="BW37" i="32"/>
  <c r="BV37" i="32"/>
  <c r="BW27" i="32"/>
  <c r="BV27" i="32"/>
  <c r="BW44" i="32"/>
  <c r="BV44" i="32"/>
  <c r="BW39" i="32"/>
  <c r="BV39" i="32"/>
  <c r="BW32" i="32"/>
  <c r="BV32" i="32"/>
  <c r="BW25" i="32"/>
  <c r="BV25" i="32"/>
  <c r="BW47" i="32"/>
  <c r="BV47" i="32"/>
  <c r="BW33" i="32"/>
  <c r="BV33" i="32"/>
  <c r="BW41" i="32"/>
  <c r="BV41" i="32"/>
  <c r="BW40" i="32"/>
  <c r="BV40" i="32"/>
  <c r="BW46" i="32"/>
  <c r="BV46" i="32"/>
  <c r="BW50" i="32"/>
  <c r="BV50" i="32"/>
  <c r="BW23" i="32"/>
  <c r="BV23" i="32"/>
  <c r="BW30" i="32"/>
  <c r="BV30" i="32"/>
  <c r="BW35" i="32"/>
  <c r="BV35" i="32"/>
  <c r="BW36" i="32"/>
  <c r="BV36" i="32"/>
  <c r="BW24" i="32"/>
  <c r="BV24" i="32"/>
  <c r="BW45" i="32"/>
  <c r="BV45" i="32"/>
  <c r="BW49" i="32"/>
  <c r="BV49" i="32"/>
  <c r="BW26" i="32"/>
  <c r="BV26" i="32"/>
  <c r="BW48" i="32"/>
  <c r="BV48" i="32"/>
  <c r="BW38" i="32"/>
  <c r="BV38" i="32"/>
  <c r="BW43" i="32"/>
  <c r="BV43" i="32"/>
  <c r="CB27" i="32"/>
  <c r="CB36" i="32"/>
  <c r="CB48" i="32"/>
  <c r="CB26" i="32"/>
  <c r="BY27" i="32"/>
  <c r="BY31" i="32"/>
  <c r="CA22" i="32"/>
  <c r="CC22" i="32" s="1"/>
  <c r="BY41" i="32"/>
  <c r="BU22" i="32"/>
  <c r="BV22" i="32" s="1"/>
  <c r="CB25" i="32"/>
  <c r="BX22" i="32"/>
  <c r="BY25" i="32"/>
  <c r="BZ27" i="32"/>
  <c r="CB23" i="32"/>
  <c r="CC23" i="32"/>
  <c r="CC28" i="32"/>
  <c r="CB28" i="32"/>
  <c r="BY49" i="32"/>
  <c r="BZ49" i="32"/>
  <c r="BZ38" i="32"/>
  <c r="BY38" i="32"/>
  <c r="BZ45" i="32"/>
  <c r="BY45" i="32"/>
  <c r="CB44" i="32"/>
  <c r="CC44" i="32"/>
  <c r="BZ43" i="32"/>
  <c r="BY43" i="32"/>
  <c r="BY33" i="32"/>
  <c r="BZ33" i="32"/>
  <c r="CB38" i="32"/>
  <c r="BZ42" i="32"/>
  <c r="BY42" i="32"/>
  <c r="BY47" i="32"/>
  <c r="BZ47" i="32"/>
  <c r="CC33" i="32"/>
  <c r="CB33" i="32"/>
  <c r="CB39" i="32"/>
  <c r="CC31" i="32"/>
  <c r="CB31" i="32"/>
  <c r="CC29" i="32"/>
  <c r="CB29" i="32"/>
  <c r="CC47" i="32"/>
  <c r="CB47" i="32"/>
  <c r="BY40" i="32"/>
  <c r="BZ40" i="32"/>
  <c r="CC24" i="32"/>
  <c r="CB24" i="32"/>
  <c r="CC34" i="32"/>
  <c r="CB34" i="32"/>
  <c r="BZ30" i="32"/>
  <c r="BY30" i="32"/>
  <c r="CC41" i="32"/>
  <c r="CB41" i="32"/>
  <c r="BY35" i="32"/>
  <c r="BZ35" i="32"/>
  <c r="CB32" i="32"/>
  <c r="CC32" i="32"/>
  <c r="CB30" i="32"/>
  <c r="CC30" i="32"/>
  <c r="BZ46" i="32"/>
  <c r="BY46" i="32"/>
  <c r="BZ24" i="32"/>
  <c r="BY24" i="32"/>
  <c r="BY26" i="32"/>
  <c r="BZ26" i="32"/>
  <c r="BZ32" i="32"/>
  <c r="BY32" i="32"/>
  <c r="BZ34" i="32"/>
  <c r="BY34" i="32"/>
  <c r="BY36" i="32"/>
  <c r="BZ36" i="32"/>
  <c r="BY23" i="32"/>
  <c r="BZ23" i="32"/>
  <c r="BZ28" i="32"/>
  <c r="BY28" i="32"/>
  <c r="CC40" i="32"/>
  <c r="CB40" i="32"/>
  <c r="BZ44" i="32"/>
  <c r="BY44" i="32"/>
  <c r="CC49" i="32"/>
  <c r="CB49" i="32"/>
  <c r="CC45" i="32"/>
  <c r="CB45" i="32"/>
  <c r="CC42" i="32"/>
  <c r="CB42" i="32"/>
  <c r="BY50" i="32"/>
  <c r="BY48" i="32"/>
  <c r="BZ48" i="32"/>
  <c r="BY37" i="32"/>
  <c r="BZ37" i="32"/>
  <c r="CC43" i="32"/>
  <c r="CB43" i="32"/>
  <c r="BB52" i="32"/>
  <c r="CC46" i="32"/>
  <c r="CB46" i="32"/>
  <c r="CC37" i="32"/>
  <c r="CB37" i="32"/>
  <c r="BY29" i="32"/>
  <c r="BZ39" i="32"/>
  <c r="BY39" i="32"/>
  <c r="CB50" i="32"/>
  <c r="CC50" i="32"/>
  <c r="CC35" i="32"/>
  <c r="CB35" i="32"/>
  <c r="BX51" i="32" l="1"/>
  <c r="CA51" i="32"/>
  <c r="BU51" i="32"/>
  <c r="BW51" i="32" s="1"/>
  <c r="BW22" i="32"/>
  <c r="BY22" i="32"/>
  <c r="BZ22" i="32"/>
  <c r="CB22" i="32"/>
  <c r="V49" i="30"/>
  <c r="V48" i="30"/>
  <c r="V47" i="30"/>
  <c r="V46" i="30"/>
  <c r="V45" i="30"/>
  <c r="V44" i="30"/>
  <c r="V43" i="30"/>
  <c r="V42" i="30"/>
  <c r="V41" i="30"/>
  <c r="V40" i="30"/>
  <c r="V39" i="30"/>
  <c r="V38" i="30"/>
  <c r="V37" i="30"/>
  <c r="V36" i="30"/>
  <c r="V35" i="30"/>
  <c r="V34" i="30"/>
  <c r="V33" i="30"/>
  <c r="V32" i="30"/>
  <c r="V31" i="30"/>
  <c r="V30" i="30"/>
  <c r="V29" i="30"/>
  <c r="V28" i="30"/>
  <c r="V27" i="30"/>
  <c r="V26" i="30"/>
  <c r="Q49" i="30"/>
  <c r="Q48" i="30"/>
  <c r="Q47" i="30"/>
  <c r="Q46" i="30"/>
  <c r="Q45" i="30"/>
  <c r="Q44" i="30"/>
  <c r="Q43" i="30"/>
  <c r="Q42" i="30"/>
  <c r="Q41" i="30"/>
  <c r="Q40" i="30"/>
  <c r="Q39" i="30"/>
  <c r="Q38" i="30"/>
  <c r="Q37" i="30"/>
  <c r="Q36" i="30"/>
  <c r="Q35" i="30"/>
  <c r="Q34" i="30"/>
  <c r="Q33" i="30"/>
  <c r="Q32" i="30"/>
  <c r="Q31" i="30"/>
  <c r="Q30" i="30"/>
  <c r="Q29" i="30"/>
  <c r="Q28" i="30"/>
  <c r="Q27" i="30"/>
  <c r="Q26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Q49" i="29"/>
  <c r="Q48" i="29"/>
  <c r="Q47" i="29"/>
  <c r="Q46" i="29"/>
  <c r="Q45" i="29"/>
  <c r="Q44" i="29"/>
  <c r="Q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8" i="29"/>
  <c r="Q27" i="29"/>
  <c r="Q26" i="29"/>
  <c r="Q25" i="29"/>
  <c r="Q24" i="29"/>
  <c r="Q23" i="29"/>
  <c r="V49" i="29"/>
  <c r="V48" i="29"/>
  <c r="V47" i="29"/>
  <c r="V46" i="29"/>
  <c r="V45" i="29"/>
  <c r="V44" i="29"/>
  <c r="V43" i="29"/>
  <c r="V42" i="29"/>
  <c r="V41" i="29"/>
  <c r="V40" i="29"/>
  <c r="V39" i="29"/>
  <c r="V38" i="29"/>
  <c r="V37" i="29"/>
  <c r="V36" i="29"/>
  <c r="V35" i="29"/>
  <c r="V34" i="29"/>
  <c r="V33" i="29"/>
  <c r="V32" i="29"/>
  <c r="V31" i="29"/>
  <c r="V30" i="29"/>
  <c r="V29" i="29"/>
  <c r="V28" i="29"/>
  <c r="V27" i="29"/>
  <c r="V26" i="29"/>
  <c r="V25" i="29"/>
  <c r="V24" i="29"/>
  <c r="V23" i="29"/>
  <c r="AA49" i="29"/>
  <c r="AA48" i="29"/>
  <c r="AA47" i="29"/>
  <c r="AA46" i="29"/>
  <c r="AA45" i="29"/>
  <c r="AA44" i="29"/>
  <c r="AA43" i="29"/>
  <c r="AA42" i="29"/>
  <c r="AA41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25" i="29"/>
  <c r="AA24" i="29"/>
  <c r="AA23" i="29"/>
  <c r="AA22" i="29"/>
  <c r="V22" i="29"/>
  <c r="Q22" i="29"/>
  <c r="L22" i="29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Q49" i="28"/>
  <c r="Q48" i="28"/>
  <c r="Q47" i="28"/>
  <c r="Q46" i="28"/>
  <c r="Q45" i="28"/>
  <c r="Q44" i="28"/>
  <c r="Q43" i="28"/>
  <c r="Q42" i="28"/>
  <c r="Q41" i="28"/>
  <c r="Q40" i="28"/>
  <c r="Q39" i="28"/>
  <c r="Q38" i="28"/>
  <c r="Q37" i="28"/>
  <c r="Q36" i="28"/>
  <c r="Q35" i="28"/>
  <c r="Q34" i="28"/>
  <c r="Q33" i="28"/>
  <c r="Q32" i="28"/>
  <c r="Q31" i="28"/>
  <c r="Q30" i="28"/>
  <c r="Q29" i="28"/>
  <c r="Q28" i="28"/>
  <c r="Q27" i="28"/>
  <c r="Q26" i="28"/>
  <c r="Q25" i="28"/>
  <c r="Q24" i="28"/>
  <c r="V49" i="28"/>
  <c r="V48" i="28"/>
  <c r="V47" i="28"/>
  <c r="V46" i="28"/>
  <c r="V45" i="28"/>
  <c r="V44" i="28"/>
  <c r="V43" i="28"/>
  <c r="V42" i="28"/>
  <c r="V41" i="28"/>
  <c r="V40" i="28"/>
  <c r="V39" i="28"/>
  <c r="V38" i="28"/>
  <c r="V37" i="28"/>
  <c r="V36" i="28"/>
  <c r="V35" i="28"/>
  <c r="V34" i="28"/>
  <c r="V33" i="28"/>
  <c r="V32" i="28"/>
  <c r="V31" i="28"/>
  <c r="V30" i="28"/>
  <c r="V29" i="28"/>
  <c r="V28" i="28"/>
  <c r="V27" i="28"/>
  <c r="V26" i="28"/>
  <c r="V25" i="28"/>
  <c r="V24" i="28"/>
  <c r="V23" i="28"/>
  <c r="AA49" i="28"/>
  <c r="AA48" i="28"/>
  <c r="AA47" i="28"/>
  <c r="AA46" i="28"/>
  <c r="AA45" i="28"/>
  <c r="AA44" i="28"/>
  <c r="AA43" i="28"/>
  <c r="AA42" i="28"/>
  <c r="AA41" i="28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25" i="28"/>
  <c r="AA24" i="28"/>
  <c r="AF49" i="28"/>
  <c r="AF48" i="28"/>
  <c r="AF47" i="28"/>
  <c r="AF46" i="28"/>
  <c r="AF45" i="28"/>
  <c r="AF44" i="28"/>
  <c r="AF43" i="28"/>
  <c r="AF42" i="28"/>
  <c r="AF41" i="28"/>
  <c r="AF40" i="28"/>
  <c r="AF39" i="28"/>
  <c r="AF38" i="28"/>
  <c r="AF37" i="28"/>
  <c r="AF36" i="28"/>
  <c r="AF35" i="28"/>
  <c r="AF34" i="28"/>
  <c r="AF33" i="28"/>
  <c r="AF32" i="28"/>
  <c r="AF31" i="28"/>
  <c r="AF30" i="28"/>
  <c r="AF29" i="28"/>
  <c r="AF28" i="28"/>
  <c r="AF27" i="28"/>
  <c r="AF26" i="28"/>
  <c r="AF25" i="28"/>
  <c r="AF24" i="28"/>
  <c r="AF23" i="28"/>
  <c r="AF22" i="28"/>
  <c r="V22" i="28"/>
  <c r="L49" i="27"/>
  <c r="L48" i="27"/>
  <c r="L47" i="27"/>
  <c r="L46" i="27"/>
  <c r="L45" i="27"/>
  <c r="L44" i="27"/>
  <c r="L43" i="27"/>
  <c r="L42" i="27"/>
  <c r="L41" i="27"/>
  <c r="L40" i="27"/>
  <c r="L39" i="27"/>
  <c r="L38" i="27"/>
  <c r="L37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Q49" i="27"/>
  <c r="Q48" i="27"/>
  <c r="Q47" i="27"/>
  <c r="Q46" i="27"/>
  <c r="Q45" i="27"/>
  <c r="Q44" i="27"/>
  <c r="Q43" i="27"/>
  <c r="Q42" i="27"/>
  <c r="Q41" i="27"/>
  <c r="Q40" i="27"/>
  <c r="Q39" i="27"/>
  <c r="Q38" i="27"/>
  <c r="Q37" i="27"/>
  <c r="Q36" i="27"/>
  <c r="Q35" i="27"/>
  <c r="Q34" i="27"/>
  <c r="Q33" i="27"/>
  <c r="Q32" i="27"/>
  <c r="Q31" i="27"/>
  <c r="Q30" i="27"/>
  <c r="Q29" i="27"/>
  <c r="Q28" i="27"/>
  <c r="Q27" i="27"/>
  <c r="Q26" i="27"/>
  <c r="Q25" i="27"/>
  <c r="Q24" i="27"/>
  <c r="Q23" i="27"/>
  <c r="V49" i="27"/>
  <c r="V48" i="27"/>
  <c r="V47" i="27"/>
  <c r="V46" i="27"/>
  <c r="V45" i="27"/>
  <c r="V44" i="27"/>
  <c r="V43" i="27"/>
  <c r="V42" i="27"/>
  <c r="V41" i="27"/>
  <c r="V40" i="27"/>
  <c r="V39" i="27"/>
  <c r="V38" i="27"/>
  <c r="V37" i="27"/>
  <c r="V36" i="27"/>
  <c r="V35" i="27"/>
  <c r="V34" i="27"/>
  <c r="V33" i="27"/>
  <c r="V32" i="27"/>
  <c r="V31" i="27"/>
  <c r="V30" i="27"/>
  <c r="V29" i="27"/>
  <c r="V28" i="27"/>
  <c r="V27" i="27"/>
  <c r="V26" i="27"/>
  <c r="V25" i="27"/>
  <c r="V24" i="27"/>
  <c r="V23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25" i="27"/>
  <c r="AA24" i="27"/>
  <c r="AA23" i="27"/>
  <c r="AF49" i="27"/>
  <c r="AF48" i="27"/>
  <c r="AF47" i="27"/>
  <c r="AF46" i="27"/>
  <c r="AF45" i="27"/>
  <c r="AF44" i="27"/>
  <c r="AF43" i="27"/>
  <c r="AF42" i="27"/>
  <c r="AF41" i="27"/>
  <c r="AF40" i="27"/>
  <c r="AF39" i="27"/>
  <c r="AF38" i="27"/>
  <c r="AF37" i="27"/>
  <c r="AF36" i="27"/>
  <c r="AF35" i="27"/>
  <c r="AF34" i="27"/>
  <c r="AF33" i="27"/>
  <c r="AF32" i="27"/>
  <c r="AF31" i="27"/>
  <c r="AF30" i="27"/>
  <c r="AF29" i="27"/>
  <c r="AF28" i="27"/>
  <c r="AF27" i="27"/>
  <c r="AF26" i="27"/>
  <c r="AF25" i="27"/>
  <c r="AF24" i="27"/>
  <c r="AF23" i="27"/>
  <c r="AK49" i="27"/>
  <c r="AK48" i="27"/>
  <c r="AK47" i="27"/>
  <c r="AK46" i="27"/>
  <c r="AK45" i="27"/>
  <c r="AK44" i="27"/>
  <c r="AK43" i="27"/>
  <c r="AK42" i="27"/>
  <c r="AK41" i="27"/>
  <c r="AK40" i="27"/>
  <c r="AK39" i="27"/>
  <c r="AK38" i="27"/>
  <c r="AK37" i="27"/>
  <c r="AK36" i="27"/>
  <c r="AK35" i="27"/>
  <c r="AK34" i="27"/>
  <c r="AK33" i="27"/>
  <c r="AK32" i="27"/>
  <c r="AK31" i="27"/>
  <c r="AK30" i="27"/>
  <c r="AK29" i="27"/>
  <c r="AK28" i="27"/>
  <c r="AK27" i="27"/>
  <c r="AK26" i="27"/>
  <c r="AK25" i="27"/>
  <c r="AK24" i="27"/>
  <c r="AK23" i="27"/>
  <c r="AK22" i="27"/>
  <c r="AF22" i="27"/>
  <c r="AA22" i="27"/>
  <c r="V22" i="27"/>
  <c r="Q22" i="27"/>
  <c r="L22" i="27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3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V49" i="26"/>
  <c r="V48" i="26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27" i="26"/>
  <c r="V26" i="26"/>
  <c r="V25" i="26"/>
  <c r="V24" i="26"/>
  <c r="V23" i="26"/>
  <c r="AA49" i="26"/>
  <c r="AA48" i="26"/>
  <c r="AA47" i="26"/>
  <c r="AA46" i="26"/>
  <c r="AA45" i="26"/>
  <c r="AA44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25" i="26"/>
  <c r="AA24" i="26"/>
  <c r="AA23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K49" i="26"/>
  <c r="AK48" i="26"/>
  <c r="AK47" i="26"/>
  <c r="AK46" i="26"/>
  <c r="AK45" i="26"/>
  <c r="AK44" i="26"/>
  <c r="AK43" i="26"/>
  <c r="AK42" i="26"/>
  <c r="AK41" i="26"/>
  <c r="AK40" i="26"/>
  <c r="AK39" i="26"/>
  <c r="AK38" i="26"/>
  <c r="AK37" i="26"/>
  <c r="AK36" i="26"/>
  <c r="AK35" i="26"/>
  <c r="AK34" i="26"/>
  <c r="AK33" i="26"/>
  <c r="AK32" i="26"/>
  <c r="AK31" i="26"/>
  <c r="AK30" i="26"/>
  <c r="AK29" i="26"/>
  <c r="AK28" i="26"/>
  <c r="AK27" i="26"/>
  <c r="AK26" i="26"/>
  <c r="AK25" i="26"/>
  <c r="AK24" i="26"/>
  <c r="AK23" i="26"/>
  <c r="AP49" i="26"/>
  <c r="AP48" i="26"/>
  <c r="AP47" i="26"/>
  <c r="AP46" i="26"/>
  <c r="AP45" i="26"/>
  <c r="AP44" i="26"/>
  <c r="AP43" i="26"/>
  <c r="AP42" i="26"/>
  <c r="AP41" i="26"/>
  <c r="AP40" i="26"/>
  <c r="AP39" i="26"/>
  <c r="AP38" i="26"/>
  <c r="AP37" i="26"/>
  <c r="AP36" i="26"/>
  <c r="AP35" i="26"/>
  <c r="AP34" i="26"/>
  <c r="AP33" i="26"/>
  <c r="AP32" i="26"/>
  <c r="AP31" i="26"/>
  <c r="AP30" i="26"/>
  <c r="AP29" i="26"/>
  <c r="AP28" i="26"/>
  <c r="AP27" i="26"/>
  <c r="AP26" i="26"/>
  <c r="AP25" i="26"/>
  <c r="AP24" i="26"/>
  <c r="AP23" i="26"/>
  <c r="AP22" i="26"/>
  <c r="AK22" i="26"/>
  <c r="AF22" i="26"/>
  <c r="AA22" i="26"/>
  <c r="V22" i="26"/>
  <c r="Q22" i="26"/>
  <c r="L22" i="26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L23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V49" i="22"/>
  <c r="V48" i="22"/>
  <c r="V47" i="22"/>
  <c r="V46" i="22"/>
  <c r="V45" i="22"/>
  <c r="V44" i="22"/>
  <c r="V43" i="22"/>
  <c r="V42" i="22"/>
  <c r="V41" i="22"/>
  <c r="V40" i="22"/>
  <c r="V39" i="22"/>
  <c r="V38" i="22"/>
  <c r="V37" i="22"/>
  <c r="V36" i="22"/>
  <c r="V35" i="22"/>
  <c r="V34" i="22"/>
  <c r="V33" i="22"/>
  <c r="V32" i="22"/>
  <c r="V31" i="22"/>
  <c r="V30" i="22"/>
  <c r="V29" i="22"/>
  <c r="V28" i="22"/>
  <c r="V27" i="22"/>
  <c r="V26" i="22"/>
  <c r="V25" i="22"/>
  <c r="V24" i="22"/>
  <c r="V23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F49" i="22"/>
  <c r="AF48" i="22"/>
  <c r="AF47" i="22"/>
  <c r="AF46" i="22"/>
  <c r="AF45" i="22"/>
  <c r="AF44" i="22"/>
  <c r="AF43" i="22"/>
  <c r="AF42" i="22"/>
  <c r="AF41" i="22"/>
  <c r="AF40" i="22"/>
  <c r="AF39" i="22"/>
  <c r="AF38" i="22"/>
  <c r="AF37" i="22"/>
  <c r="AF36" i="22"/>
  <c r="AF35" i="22"/>
  <c r="AF34" i="22"/>
  <c r="AF33" i="22"/>
  <c r="AF32" i="22"/>
  <c r="AF31" i="22"/>
  <c r="AF30" i="22"/>
  <c r="AF29" i="22"/>
  <c r="AF28" i="22"/>
  <c r="AF27" i="22"/>
  <c r="AF26" i="22"/>
  <c r="AF25" i="22"/>
  <c r="AF24" i="22"/>
  <c r="AF23" i="22"/>
  <c r="AK49" i="22"/>
  <c r="AK48" i="22"/>
  <c r="AK47" i="22"/>
  <c r="AK46" i="22"/>
  <c r="AK45" i="22"/>
  <c r="AK44" i="22"/>
  <c r="AK43" i="22"/>
  <c r="AK42" i="22"/>
  <c r="AK41" i="22"/>
  <c r="AK40" i="22"/>
  <c r="AK39" i="22"/>
  <c r="AK38" i="22"/>
  <c r="AK37" i="22"/>
  <c r="AK36" i="22"/>
  <c r="AK35" i="22"/>
  <c r="AK34" i="22"/>
  <c r="AK33" i="22"/>
  <c r="AK32" i="22"/>
  <c r="AK31" i="22"/>
  <c r="AK30" i="22"/>
  <c r="AK29" i="22"/>
  <c r="AK28" i="22"/>
  <c r="AK27" i="22"/>
  <c r="AK26" i="22"/>
  <c r="AK25" i="22"/>
  <c r="AK24" i="22"/>
  <c r="AK23" i="22"/>
  <c r="AP49" i="22"/>
  <c r="AP48" i="22"/>
  <c r="AP47" i="22"/>
  <c r="AP46" i="22"/>
  <c r="AP45" i="22"/>
  <c r="AP44" i="22"/>
  <c r="AP43" i="22"/>
  <c r="AP42" i="22"/>
  <c r="AP41" i="22"/>
  <c r="AP40" i="22"/>
  <c r="AP39" i="22"/>
  <c r="AP38" i="22"/>
  <c r="AP37" i="22"/>
  <c r="AP36" i="22"/>
  <c r="AP35" i="22"/>
  <c r="AP34" i="22"/>
  <c r="AP33" i="22"/>
  <c r="AP32" i="22"/>
  <c r="AP31" i="22"/>
  <c r="AP30" i="22"/>
  <c r="AP29" i="22"/>
  <c r="AP28" i="22"/>
  <c r="AP27" i="22"/>
  <c r="AP26" i="22"/>
  <c r="AP25" i="22"/>
  <c r="AP24" i="22"/>
  <c r="AP23" i="22"/>
  <c r="AU49" i="22"/>
  <c r="AU48" i="22"/>
  <c r="AU47" i="22"/>
  <c r="AU46" i="22"/>
  <c r="AU45" i="22"/>
  <c r="AU44" i="22"/>
  <c r="AU43" i="22"/>
  <c r="AU42" i="22"/>
  <c r="AU41" i="22"/>
  <c r="AU40" i="22"/>
  <c r="AU39" i="22"/>
  <c r="AU38" i="22"/>
  <c r="AU37" i="22"/>
  <c r="AU36" i="22"/>
  <c r="AU35" i="22"/>
  <c r="AU34" i="22"/>
  <c r="AU33" i="22"/>
  <c r="AU32" i="22"/>
  <c r="AU31" i="22"/>
  <c r="AU30" i="22"/>
  <c r="AU29" i="22"/>
  <c r="AU28" i="22"/>
  <c r="AU27" i="22"/>
  <c r="AU26" i="22"/>
  <c r="AU25" i="22"/>
  <c r="AU24" i="22"/>
  <c r="AU23" i="22"/>
  <c r="AU22" i="22"/>
  <c r="AP22" i="22"/>
  <c r="AK22" i="22"/>
  <c r="AF22" i="22"/>
  <c r="AA22" i="22"/>
  <c r="V22" i="22"/>
  <c r="Q22" i="22"/>
  <c r="L22" i="22"/>
  <c r="AZ49" i="20"/>
  <c r="AZ48" i="20"/>
  <c r="AZ47" i="20"/>
  <c r="AZ46" i="20"/>
  <c r="AZ45" i="20"/>
  <c r="AZ44" i="20"/>
  <c r="AZ43" i="20"/>
  <c r="AZ42" i="20"/>
  <c r="AZ41" i="20"/>
  <c r="AZ40" i="20"/>
  <c r="AZ39" i="20"/>
  <c r="AZ38" i="20"/>
  <c r="AZ37" i="20"/>
  <c r="AZ36" i="20"/>
  <c r="AZ35" i="20"/>
  <c r="AZ34" i="20"/>
  <c r="AZ33" i="20"/>
  <c r="AZ32" i="20"/>
  <c r="AZ31" i="20"/>
  <c r="AZ30" i="20"/>
  <c r="AZ29" i="20"/>
  <c r="AZ28" i="20"/>
  <c r="AZ27" i="20"/>
  <c r="AZ26" i="20"/>
  <c r="AZ25" i="20"/>
  <c r="AZ24" i="20"/>
  <c r="AZ23" i="20"/>
  <c r="AZ22" i="20"/>
  <c r="AU49" i="20"/>
  <c r="AU48" i="20"/>
  <c r="AU47" i="20"/>
  <c r="AU46" i="20"/>
  <c r="AU45" i="20"/>
  <c r="AU44" i="20"/>
  <c r="AU43" i="20"/>
  <c r="AU42" i="20"/>
  <c r="AU41" i="20"/>
  <c r="AU40" i="20"/>
  <c r="AU39" i="20"/>
  <c r="AU38" i="20"/>
  <c r="AU37" i="20"/>
  <c r="AU36" i="20"/>
  <c r="AU35" i="20"/>
  <c r="AU34" i="20"/>
  <c r="AU33" i="20"/>
  <c r="AU32" i="20"/>
  <c r="AU31" i="20"/>
  <c r="AU30" i="20"/>
  <c r="AU29" i="20"/>
  <c r="AU28" i="20"/>
  <c r="AU27" i="20"/>
  <c r="AU26" i="20"/>
  <c r="AU25" i="20"/>
  <c r="AU24" i="20"/>
  <c r="AU23" i="20"/>
  <c r="AU22" i="20"/>
  <c r="AP49" i="20"/>
  <c r="AP48" i="20"/>
  <c r="AP47" i="20"/>
  <c r="AP46" i="20"/>
  <c r="AP45" i="20"/>
  <c r="AP44" i="20"/>
  <c r="AP43" i="20"/>
  <c r="AP42" i="20"/>
  <c r="AP41" i="20"/>
  <c r="AP40" i="20"/>
  <c r="AP39" i="20"/>
  <c r="AP38" i="20"/>
  <c r="AP37" i="20"/>
  <c r="AP36" i="20"/>
  <c r="AP35" i="20"/>
  <c r="AP34" i="20"/>
  <c r="AP33" i="20"/>
  <c r="AP32" i="20"/>
  <c r="AP31" i="20"/>
  <c r="AP30" i="20"/>
  <c r="AP29" i="20"/>
  <c r="AP28" i="20"/>
  <c r="AP27" i="20"/>
  <c r="AP26" i="20"/>
  <c r="AP25" i="20"/>
  <c r="AP24" i="20"/>
  <c r="AP23" i="20"/>
  <c r="AP22" i="20"/>
  <c r="AK49" i="20"/>
  <c r="AK48" i="20"/>
  <c r="AK47" i="20"/>
  <c r="AK46" i="20"/>
  <c r="AK45" i="20"/>
  <c r="AK44" i="20"/>
  <c r="AK43" i="20"/>
  <c r="AK42" i="20"/>
  <c r="AK41" i="20"/>
  <c r="AK40" i="20"/>
  <c r="AK39" i="20"/>
  <c r="AK38" i="20"/>
  <c r="AK37" i="20"/>
  <c r="AK36" i="20"/>
  <c r="AK35" i="20"/>
  <c r="AK34" i="20"/>
  <c r="AK33" i="20"/>
  <c r="AK32" i="20"/>
  <c r="AK31" i="20"/>
  <c r="AK30" i="20"/>
  <c r="AK29" i="20"/>
  <c r="AK28" i="20"/>
  <c r="AK27" i="20"/>
  <c r="AK26" i="20"/>
  <c r="AK25" i="20"/>
  <c r="AK24" i="20"/>
  <c r="AK23" i="20"/>
  <c r="AK22" i="20"/>
  <c r="AF49" i="20"/>
  <c r="AF48" i="20"/>
  <c r="AF47" i="20"/>
  <c r="AF46" i="20"/>
  <c r="AF45" i="20"/>
  <c r="AF44" i="20"/>
  <c r="AF43" i="20"/>
  <c r="AF42" i="20"/>
  <c r="AF41" i="20"/>
  <c r="AF40" i="20"/>
  <c r="AF39" i="20"/>
  <c r="AF38" i="20"/>
  <c r="AF37" i="20"/>
  <c r="AF36" i="20"/>
  <c r="AF35" i="20"/>
  <c r="AF34" i="20"/>
  <c r="AF33" i="20"/>
  <c r="AF32" i="20"/>
  <c r="AF31" i="20"/>
  <c r="AF30" i="20"/>
  <c r="AF29" i="20"/>
  <c r="AF28" i="20"/>
  <c r="AF27" i="20"/>
  <c r="AF26" i="20"/>
  <c r="AF25" i="20"/>
  <c r="AF24" i="20"/>
  <c r="AF23" i="20"/>
  <c r="AF22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25" i="20"/>
  <c r="AA24" i="20"/>
  <c r="AA23" i="20"/>
  <c r="AA22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Q49" i="20"/>
  <c r="Q48" i="20"/>
  <c r="Q47" i="20"/>
  <c r="Q46" i="20"/>
  <c r="Q45" i="20"/>
  <c r="Q44" i="20"/>
  <c r="Q43" i="20"/>
  <c r="Q42" i="20"/>
  <c r="Q41" i="20"/>
  <c r="Q40" i="20"/>
  <c r="Q39" i="20"/>
  <c r="Q38" i="20"/>
  <c r="Q37" i="20"/>
  <c r="Q36" i="20"/>
  <c r="Q35" i="20"/>
  <c r="Q34" i="20"/>
  <c r="Q33" i="20"/>
  <c r="Q32" i="20"/>
  <c r="Q31" i="20"/>
  <c r="Q30" i="20"/>
  <c r="Q29" i="20"/>
  <c r="Q28" i="20"/>
  <c r="Q27" i="20"/>
  <c r="Q26" i="20"/>
  <c r="Q25" i="20"/>
  <c r="Q24" i="20"/>
  <c r="Q23" i="20"/>
  <c r="Q22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BY51" i="32" l="1"/>
  <c r="CB51" i="32"/>
  <c r="CE22" i="32"/>
  <c r="CE39" i="32"/>
  <c r="CE27" i="32"/>
  <c r="CE50" i="32"/>
  <c r="CE38" i="32"/>
  <c r="CE26" i="32"/>
  <c r="CE49" i="32"/>
  <c r="CE37" i="32"/>
  <c r="CE25" i="32"/>
  <c r="CE48" i="32"/>
  <c r="CE36" i="32"/>
  <c r="CE24" i="32"/>
  <c r="CE47" i="32"/>
  <c r="CE35" i="32"/>
  <c r="CE23" i="32"/>
  <c r="CE46" i="32"/>
  <c r="CE34" i="32"/>
  <c r="CE45" i="32"/>
  <c r="CE33" i="32"/>
  <c r="CE44" i="32"/>
  <c r="CE32" i="32"/>
  <c r="CE43" i="32"/>
  <c r="CE31" i="32"/>
  <c r="CE42" i="32"/>
  <c r="CE30" i="32"/>
  <c r="CE41" i="32"/>
  <c r="CE29" i="32"/>
  <c r="CE40" i="32"/>
  <c r="CE28" i="32"/>
  <c r="L58" i="30"/>
  <c r="I58" i="30"/>
  <c r="AE49" i="30"/>
  <c r="AD49" i="30"/>
  <c r="AC49" i="30"/>
  <c r="AE48" i="30"/>
  <c r="AD48" i="30"/>
  <c r="AC48" i="30"/>
  <c r="AE47" i="30"/>
  <c r="AD47" i="30"/>
  <c r="AC47" i="30"/>
  <c r="AE46" i="30"/>
  <c r="AD46" i="30"/>
  <c r="AC46" i="30"/>
  <c r="AE45" i="30"/>
  <c r="AD45" i="30"/>
  <c r="AC45" i="30"/>
  <c r="AE44" i="30"/>
  <c r="AD44" i="30"/>
  <c r="AC44" i="30"/>
  <c r="AE43" i="30"/>
  <c r="AD43" i="30"/>
  <c r="AC43" i="30"/>
  <c r="AE42" i="30"/>
  <c r="AD42" i="30"/>
  <c r="AC42" i="30"/>
  <c r="AE41" i="30"/>
  <c r="AD41" i="30"/>
  <c r="AC41" i="30"/>
  <c r="AE40" i="30"/>
  <c r="AD40" i="30"/>
  <c r="AC40" i="30"/>
  <c r="AE39" i="30"/>
  <c r="AD39" i="30"/>
  <c r="AC39" i="30"/>
  <c r="AE38" i="30"/>
  <c r="AD38" i="30"/>
  <c r="AC38" i="30"/>
  <c r="AE37" i="30"/>
  <c r="AD37" i="30"/>
  <c r="AC37" i="30"/>
  <c r="AE36" i="30"/>
  <c r="AD36" i="30"/>
  <c r="AC36" i="30"/>
  <c r="AE35" i="30"/>
  <c r="AD35" i="30"/>
  <c r="AC35" i="30"/>
  <c r="AE34" i="30"/>
  <c r="AD34" i="30"/>
  <c r="AC34" i="30"/>
  <c r="AE33" i="30"/>
  <c r="AD33" i="30"/>
  <c r="AC33" i="30"/>
  <c r="AE32" i="30"/>
  <c r="AD32" i="30"/>
  <c r="AC32" i="30"/>
  <c r="AE31" i="30"/>
  <c r="AD31" i="30"/>
  <c r="AC31" i="30"/>
  <c r="AE30" i="30"/>
  <c r="AD30" i="30"/>
  <c r="AC30" i="30"/>
  <c r="AE29" i="30"/>
  <c r="AD29" i="30"/>
  <c r="AC29" i="30"/>
  <c r="AE28" i="30"/>
  <c r="AD28" i="30"/>
  <c r="AC28" i="30"/>
  <c r="AE27" i="30"/>
  <c r="AD27" i="30"/>
  <c r="AC27" i="30"/>
  <c r="AE26" i="30"/>
  <c r="AD26" i="30"/>
  <c r="AC26" i="30"/>
  <c r="AE25" i="30"/>
  <c r="AD25" i="30"/>
  <c r="AC25" i="30"/>
  <c r="AE24" i="30"/>
  <c r="AD24" i="30"/>
  <c r="AC24" i="30"/>
  <c r="AE23" i="30"/>
  <c r="AD23" i="30"/>
  <c r="AC23" i="30"/>
  <c r="B24" i="30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AD18" i="30"/>
  <c r="AE18" i="30" s="1"/>
  <c r="N10" i="30"/>
  <c r="S10" i="30" s="1"/>
  <c r="T8" i="30"/>
  <c r="D58" i="30" s="1"/>
  <c r="N58" i="28"/>
  <c r="M58" i="29"/>
  <c r="AI18" i="29"/>
  <c r="AJ18" i="29" s="1"/>
  <c r="AK18" i="29" s="1"/>
  <c r="N10" i="29"/>
  <c r="S10" i="29" s="1"/>
  <c r="X10" i="29" s="1"/>
  <c r="I58" i="29"/>
  <c r="AK49" i="29"/>
  <c r="AJ49" i="29"/>
  <c r="AI49" i="29"/>
  <c r="AK48" i="29"/>
  <c r="AJ48" i="29"/>
  <c r="AI48" i="29"/>
  <c r="AH48" i="29"/>
  <c r="AK47" i="29"/>
  <c r="AJ47" i="29"/>
  <c r="AI47" i="29"/>
  <c r="AH47" i="29"/>
  <c r="AK46" i="29"/>
  <c r="AJ46" i="29"/>
  <c r="AI46" i="29"/>
  <c r="AH46" i="29"/>
  <c r="AK45" i="29"/>
  <c r="AJ45" i="29"/>
  <c r="AI45" i="29"/>
  <c r="AH45" i="29"/>
  <c r="AK44" i="29"/>
  <c r="AJ44" i="29"/>
  <c r="AI44" i="29"/>
  <c r="AH44" i="29"/>
  <c r="AK43" i="29"/>
  <c r="AJ43" i="29"/>
  <c r="AI43" i="29"/>
  <c r="AH43" i="29"/>
  <c r="AK42" i="29"/>
  <c r="AJ42" i="29"/>
  <c r="AI42" i="29"/>
  <c r="AH42" i="29"/>
  <c r="AK41" i="29"/>
  <c r="AJ41" i="29"/>
  <c r="AI41" i="29"/>
  <c r="AK40" i="29"/>
  <c r="AJ40" i="29"/>
  <c r="AI40" i="29"/>
  <c r="AK39" i="29"/>
  <c r="AJ39" i="29"/>
  <c r="AI39" i="29"/>
  <c r="AH39" i="29"/>
  <c r="AK38" i="29"/>
  <c r="AJ38" i="29"/>
  <c r="AI38" i="29"/>
  <c r="AH38" i="29"/>
  <c r="AK37" i="29"/>
  <c r="AJ37" i="29"/>
  <c r="AI37" i="29"/>
  <c r="AH37" i="29"/>
  <c r="AK36" i="29"/>
  <c r="AJ36" i="29"/>
  <c r="AI36" i="29"/>
  <c r="AH36" i="29"/>
  <c r="AK35" i="29"/>
  <c r="AJ35" i="29"/>
  <c r="AI35" i="29"/>
  <c r="AH35" i="29"/>
  <c r="AK34" i="29"/>
  <c r="AJ34" i="29"/>
  <c r="AI34" i="29"/>
  <c r="AH34" i="29"/>
  <c r="AK33" i="29"/>
  <c r="AJ33" i="29"/>
  <c r="AI33" i="29"/>
  <c r="AH33" i="29"/>
  <c r="AK32" i="29"/>
  <c r="AJ32" i="29"/>
  <c r="AI32" i="29"/>
  <c r="AH32" i="29"/>
  <c r="AK31" i="29"/>
  <c r="AJ31" i="29"/>
  <c r="AI31" i="29"/>
  <c r="AH31" i="29"/>
  <c r="AK30" i="29"/>
  <c r="AJ30" i="29"/>
  <c r="AI30" i="29"/>
  <c r="AH30" i="29"/>
  <c r="AK29" i="29"/>
  <c r="AJ29" i="29"/>
  <c r="AI29" i="29"/>
  <c r="AH29" i="29"/>
  <c r="AK28" i="29"/>
  <c r="AJ28" i="29"/>
  <c r="AI28" i="29"/>
  <c r="AH28" i="29"/>
  <c r="AK27" i="29"/>
  <c r="AJ27" i="29"/>
  <c r="AI27" i="29"/>
  <c r="AH27" i="29"/>
  <c r="AK26" i="29"/>
  <c r="AJ26" i="29"/>
  <c r="AI26" i="29"/>
  <c r="AH26" i="29"/>
  <c r="AK25" i="29"/>
  <c r="AJ25" i="29"/>
  <c r="AI25" i="29"/>
  <c r="AH25" i="29"/>
  <c r="AK24" i="29"/>
  <c r="AJ24" i="29"/>
  <c r="AI24" i="29"/>
  <c r="AH24" i="29"/>
  <c r="AK23" i="29"/>
  <c r="AJ23" i="29"/>
  <c r="AI23" i="29"/>
  <c r="AH23" i="29"/>
  <c r="B23" i="29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Y8" i="29"/>
  <c r="D58" i="29" s="1"/>
  <c r="I58" i="28"/>
  <c r="AQ49" i="28"/>
  <c r="AP49" i="28"/>
  <c r="AO49" i="28"/>
  <c r="AN49" i="28"/>
  <c r="AM49" i="28"/>
  <c r="AQ48" i="28"/>
  <c r="AP48" i="28"/>
  <c r="AO48" i="28"/>
  <c r="AN48" i="28"/>
  <c r="AM48" i="28"/>
  <c r="AQ47" i="28"/>
  <c r="AP47" i="28"/>
  <c r="AO47" i="28"/>
  <c r="AN47" i="28"/>
  <c r="AM47" i="28"/>
  <c r="AQ46" i="28"/>
  <c r="AP46" i="28"/>
  <c r="AO46" i="28"/>
  <c r="AN46" i="28"/>
  <c r="AM46" i="28"/>
  <c r="AQ45" i="28"/>
  <c r="AP45" i="28"/>
  <c r="AO45" i="28"/>
  <c r="AN45" i="28"/>
  <c r="AM45" i="28"/>
  <c r="AQ44" i="28"/>
  <c r="AP44" i="28"/>
  <c r="AO44" i="28"/>
  <c r="AN44" i="28"/>
  <c r="AM44" i="28"/>
  <c r="AQ43" i="28"/>
  <c r="AP43" i="28"/>
  <c r="AO43" i="28"/>
  <c r="AN43" i="28"/>
  <c r="AM43" i="28"/>
  <c r="AQ42" i="28"/>
  <c r="AP42" i="28"/>
  <c r="AO42" i="28"/>
  <c r="AN42" i="28"/>
  <c r="AM42" i="28"/>
  <c r="AQ41" i="28"/>
  <c r="AP41" i="28"/>
  <c r="AO41" i="28"/>
  <c r="AN41" i="28"/>
  <c r="AM41" i="28"/>
  <c r="AQ40" i="28"/>
  <c r="AP40" i="28"/>
  <c r="AO40" i="28"/>
  <c r="AN40" i="28"/>
  <c r="AM40" i="28"/>
  <c r="AQ39" i="28"/>
  <c r="AP39" i="28"/>
  <c r="AO39" i="28"/>
  <c r="AN39" i="28"/>
  <c r="AM39" i="28"/>
  <c r="AQ38" i="28"/>
  <c r="AP38" i="28"/>
  <c r="AO38" i="28"/>
  <c r="AN38" i="28"/>
  <c r="AM38" i="28"/>
  <c r="AQ37" i="28"/>
  <c r="AP37" i="28"/>
  <c r="AO37" i="28"/>
  <c r="AN37" i="28"/>
  <c r="AM37" i="28"/>
  <c r="AQ36" i="28"/>
  <c r="AP36" i="28"/>
  <c r="AO36" i="28"/>
  <c r="AN36" i="28"/>
  <c r="AM36" i="28"/>
  <c r="AQ35" i="28"/>
  <c r="AP35" i="28"/>
  <c r="AO35" i="28"/>
  <c r="AN35" i="28"/>
  <c r="AM35" i="28"/>
  <c r="AQ34" i="28"/>
  <c r="AP34" i="28"/>
  <c r="AO34" i="28"/>
  <c r="AN34" i="28"/>
  <c r="AM34" i="28"/>
  <c r="AQ33" i="28"/>
  <c r="AP33" i="28"/>
  <c r="AO33" i="28"/>
  <c r="AN33" i="28"/>
  <c r="AM33" i="28"/>
  <c r="AQ32" i="28"/>
  <c r="AP32" i="28"/>
  <c r="AO32" i="28"/>
  <c r="AN32" i="28"/>
  <c r="AM32" i="28"/>
  <c r="AQ31" i="28"/>
  <c r="AP31" i="28"/>
  <c r="AO31" i="28"/>
  <c r="AN31" i="28"/>
  <c r="AM31" i="28"/>
  <c r="AQ30" i="28"/>
  <c r="AP30" i="28"/>
  <c r="AO30" i="28"/>
  <c r="AN30" i="28"/>
  <c r="AM30" i="28"/>
  <c r="AQ29" i="28"/>
  <c r="AP29" i="28"/>
  <c r="AO29" i="28"/>
  <c r="AN29" i="28"/>
  <c r="AM29" i="28"/>
  <c r="AQ28" i="28"/>
  <c r="AP28" i="28"/>
  <c r="AO28" i="28"/>
  <c r="AN28" i="28"/>
  <c r="AM28" i="28"/>
  <c r="AQ27" i="28"/>
  <c r="AO27" i="28"/>
  <c r="AN27" i="28"/>
  <c r="AQ26" i="28"/>
  <c r="AP26" i="28"/>
  <c r="AO26" i="28"/>
  <c r="AN26" i="28"/>
  <c r="AM26" i="28"/>
  <c r="AQ25" i="28"/>
  <c r="AP25" i="28"/>
  <c r="AO25" i="28"/>
  <c r="AN25" i="28"/>
  <c r="AM25" i="28"/>
  <c r="AQ24" i="28"/>
  <c r="AO24" i="28"/>
  <c r="AM24" i="28"/>
  <c r="AQ23" i="28"/>
  <c r="AP23" i="28"/>
  <c r="AO23" i="28"/>
  <c r="AN23" i="28"/>
  <c r="AM23" i="28"/>
  <c r="B23" i="28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AP22" i="28"/>
  <c r="AN22" i="28"/>
  <c r="AN18" i="28"/>
  <c r="AO18" i="28" s="1"/>
  <c r="N10" i="28"/>
  <c r="S10" i="28" s="1"/>
  <c r="AD8" i="28"/>
  <c r="D58" i="28" s="1"/>
  <c r="N58" i="27"/>
  <c r="I58" i="27"/>
  <c r="AW49" i="27"/>
  <c r="AV49" i="27"/>
  <c r="AU49" i="27"/>
  <c r="AT49" i="27"/>
  <c r="AS49" i="27"/>
  <c r="AR49" i="27"/>
  <c r="AW48" i="27"/>
  <c r="AV48" i="27"/>
  <c r="AU48" i="27"/>
  <c r="AT48" i="27"/>
  <c r="AS48" i="27"/>
  <c r="AR48" i="27"/>
  <c r="AW47" i="27"/>
  <c r="AV47" i="27"/>
  <c r="AU47" i="27"/>
  <c r="AT47" i="27"/>
  <c r="AS47" i="27"/>
  <c r="AR47" i="27"/>
  <c r="AW46" i="27"/>
  <c r="AV46" i="27"/>
  <c r="AU46" i="27"/>
  <c r="AT46" i="27"/>
  <c r="AS46" i="27"/>
  <c r="AR46" i="27"/>
  <c r="AW45" i="27"/>
  <c r="AV45" i="27"/>
  <c r="AU45" i="27"/>
  <c r="AT45" i="27"/>
  <c r="AS45" i="27"/>
  <c r="AR45" i="27"/>
  <c r="AW44" i="27"/>
  <c r="AV44" i="27"/>
  <c r="AU44" i="27"/>
  <c r="AT44" i="27"/>
  <c r="AS44" i="27"/>
  <c r="AR44" i="27"/>
  <c r="AW43" i="27"/>
  <c r="AV43" i="27"/>
  <c r="AU43" i="27"/>
  <c r="AT43" i="27"/>
  <c r="AS43" i="27"/>
  <c r="AR43" i="27"/>
  <c r="AW42" i="27"/>
  <c r="AV42" i="27"/>
  <c r="AU42" i="27"/>
  <c r="AT42" i="27"/>
  <c r="AS42" i="27"/>
  <c r="AR42" i="27"/>
  <c r="AW41" i="27"/>
  <c r="AV41" i="27"/>
  <c r="AU41" i="27"/>
  <c r="AT41" i="27"/>
  <c r="AS41" i="27"/>
  <c r="AR41" i="27"/>
  <c r="AW40" i="27"/>
  <c r="AV40" i="27"/>
  <c r="AU40" i="27"/>
  <c r="AT40" i="27"/>
  <c r="AS40" i="27"/>
  <c r="AR40" i="27"/>
  <c r="AW39" i="27"/>
  <c r="AV39" i="27"/>
  <c r="AU39" i="27"/>
  <c r="AT39" i="27"/>
  <c r="AS39" i="27"/>
  <c r="AR39" i="27"/>
  <c r="AW38" i="27"/>
  <c r="AV38" i="27"/>
  <c r="AU38" i="27"/>
  <c r="AT38" i="27"/>
  <c r="AS38" i="27"/>
  <c r="AR38" i="27"/>
  <c r="AW37" i="27"/>
  <c r="AV37" i="27"/>
  <c r="AU37" i="27"/>
  <c r="AT37" i="27"/>
  <c r="AS37" i="27"/>
  <c r="AR37" i="27"/>
  <c r="AW36" i="27"/>
  <c r="AV36" i="27"/>
  <c r="AU36" i="27"/>
  <c r="AT36" i="27"/>
  <c r="AS36" i="27"/>
  <c r="AR36" i="27"/>
  <c r="AW35" i="27"/>
  <c r="AV35" i="27"/>
  <c r="AU35" i="27"/>
  <c r="AT35" i="27"/>
  <c r="AS35" i="27"/>
  <c r="AR35" i="27"/>
  <c r="AW34" i="27"/>
  <c r="AV34" i="27"/>
  <c r="AU34" i="27"/>
  <c r="AT34" i="27"/>
  <c r="AS34" i="27"/>
  <c r="AR34" i="27"/>
  <c r="AW33" i="27"/>
  <c r="AV33" i="27"/>
  <c r="AU33" i="27"/>
  <c r="AT33" i="27"/>
  <c r="AS33" i="27"/>
  <c r="AR33" i="27"/>
  <c r="AW32" i="27"/>
  <c r="AV32" i="27"/>
  <c r="AU32" i="27"/>
  <c r="AT32" i="27"/>
  <c r="AS32" i="27"/>
  <c r="AR32" i="27"/>
  <c r="AW31" i="27"/>
  <c r="AV31" i="27"/>
  <c r="AU31" i="27"/>
  <c r="AT31" i="27"/>
  <c r="AS31" i="27"/>
  <c r="AR31" i="27"/>
  <c r="AW30" i="27"/>
  <c r="AV30" i="27"/>
  <c r="AU30" i="27"/>
  <c r="AT30" i="27"/>
  <c r="AS30" i="27"/>
  <c r="AR30" i="27"/>
  <c r="AW29" i="27"/>
  <c r="AV29" i="27"/>
  <c r="AU29" i="27"/>
  <c r="AT29" i="27"/>
  <c r="AS29" i="27"/>
  <c r="AR29" i="27"/>
  <c r="AW28" i="27"/>
  <c r="AV28" i="27"/>
  <c r="AU28" i="27"/>
  <c r="AT28" i="27"/>
  <c r="AS28" i="27"/>
  <c r="AR28" i="27"/>
  <c r="AW27" i="27"/>
  <c r="AV27" i="27"/>
  <c r="AU27" i="27"/>
  <c r="AT27" i="27"/>
  <c r="AS27" i="27"/>
  <c r="AR27" i="27"/>
  <c r="AW26" i="27"/>
  <c r="AV26" i="27"/>
  <c r="AU26" i="27"/>
  <c r="AT26" i="27"/>
  <c r="AS26" i="27"/>
  <c r="AR26" i="27"/>
  <c r="AW25" i="27"/>
  <c r="AV25" i="27"/>
  <c r="AU25" i="27"/>
  <c r="AT25" i="27"/>
  <c r="AS25" i="27"/>
  <c r="AR25" i="27"/>
  <c r="AW24" i="27"/>
  <c r="AV24" i="27"/>
  <c r="AU24" i="27"/>
  <c r="AT24" i="27"/>
  <c r="AS24" i="27"/>
  <c r="AR24" i="27"/>
  <c r="AW23" i="27"/>
  <c r="AV23" i="27"/>
  <c r="AU23" i="27"/>
  <c r="AT23" i="27"/>
  <c r="AS23" i="27"/>
  <c r="AR23" i="27"/>
  <c r="B23" i="27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AS18" i="27"/>
  <c r="AT18" i="27" s="1"/>
  <c r="N10" i="27"/>
  <c r="S10" i="27" s="1"/>
  <c r="X10" i="27" s="1"/>
  <c r="AI8" i="27"/>
  <c r="D58" i="27" s="1"/>
  <c r="N58" i="26"/>
  <c r="I58" i="26"/>
  <c r="BC49" i="26"/>
  <c r="BB49" i="26"/>
  <c r="BA49" i="26"/>
  <c r="AZ49" i="26"/>
  <c r="AY49" i="26"/>
  <c r="AX49" i="26"/>
  <c r="AW49" i="26"/>
  <c r="BC48" i="26"/>
  <c r="BB48" i="26"/>
  <c r="BA48" i="26"/>
  <c r="AZ48" i="26"/>
  <c r="AY48" i="26"/>
  <c r="AX48" i="26"/>
  <c r="AW48" i="26"/>
  <c r="BC47" i="26"/>
  <c r="BB47" i="26"/>
  <c r="BA47" i="26"/>
  <c r="AZ47" i="26"/>
  <c r="AY47" i="26"/>
  <c r="AX47" i="26"/>
  <c r="AW47" i="26"/>
  <c r="BC46" i="26"/>
  <c r="BB46" i="26"/>
  <c r="BA46" i="26"/>
  <c r="AZ46" i="26"/>
  <c r="AY46" i="26"/>
  <c r="AX46" i="26"/>
  <c r="AW46" i="26"/>
  <c r="BC45" i="26"/>
  <c r="BB45" i="26"/>
  <c r="BA45" i="26"/>
  <c r="AZ45" i="26"/>
  <c r="AY45" i="26"/>
  <c r="AX45" i="26"/>
  <c r="AW45" i="26"/>
  <c r="BC44" i="26"/>
  <c r="BB44" i="26"/>
  <c r="BA44" i="26"/>
  <c r="AZ44" i="26"/>
  <c r="AY44" i="26"/>
  <c r="AX44" i="26"/>
  <c r="AW44" i="26"/>
  <c r="BC43" i="26"/>
  <c r="BB43" i="26"/>
  <c r="BA43" i="26"/>
  <c r="AZ43" i="26"/>
  <c r="AY43" i="26"/>
  <c r="AX43" i="26"/>
  <c r="AW43" i="26"/>
  <c r="BC42" i="26"/>
  <c r="BB42" i="26"/>
  <c r="BA42" i="26"/>
  <c r="AZ42" i="26"/>
  <c r="AY42" i="26"/>
  <c r="AX42" i="26"/>
  <c r="AW42" i="26"/>
  <c r="BC41" i="26"/>
  <c r="BB41" i="26"/>
  <c r="BA41" i="26"/>
  <c r="AZ41" i="26"/>
  <c r="AY41" i="26"/>
  <c r="AX41" i="26"/>
  <c r="AW41" i="26"/>
  <c r="BC40" i="26"/>
  <c r="BB40" i="26"/>
  <c r="BA40" i="26"/>
  <c r="AZ40" i="26"/>
  <c r="AY40" i="26"/>
  <c r="AX40" i="26"/>
  <c r="AW40" i="26"/>
  <c r="BC39" i="26"/>
  <c r="BB39" i="26"/>
  <c r="BA39" i="26"/>
  <c r="AZ39" i="26"/>
  <c r="AY39" i="26"/>
  <c r="AX39" i="26"/>
  <c r="AW39" i="26"/>
  <c r="BC38" i="26"/>
  <c r="BB38" i="26"/>
  <c r="BA38" i="26"/>
  <c r="AZ38" i="26"/>
  <c r="AY38" i="26"/>
  <c r="AX38" i="26"/>
  <c r="AW38" i="26"/>
  <c r="BC37" i="26"/>
  <c r="BB37" i="26"/>
  <c r="BA37" i="26"/>
  <c r="AZ37" i="26"/>
  <c r="AY37" i="26"/>
  <c r="AX37" i="26"/>
  <c r="AW37" i="26"/>
  <c r="BC36" i="26"/>
  <c r="BB36" i="26"/>
  <c r="BA36" i="26"/>
  <c r="AZ36" i="26"/>
  <c r="AY36" i="26"/>
  <c r="AX36" i="26"/>
  <c r="AW36" i="26"/>
  <c r="BC35" i="26"/>
  <c r="BB35" i="26"/>
  <c r="BA35" i="26"/>
  <c r="AZ35" i="26"/>
  <c r="AY35" i="26"/>
  <c r="AX35" i="26"/>
  <c r="AW35" i="26"/>
  <c r="BC34" i="26"/>
  <c r="BB34" i="26"/>
  <c r="BA34" i="26"/>
  <c r="AZ34" i="26"/>
  <c r="AY34" i="26"/>
  <c r="AX34" i="26"/>
  <c r="AW34" i="26"/>
  <c r="BC33" i="26"/>
  <c r="BB33" i="26"/>
  <c r="BA33" i="26"/>
  <c r="AZ33" i="26"/>
  <c r="AY33" i="26"/>
  <c r="AX33" i="26"/>
  <c r="AW33" i="26"/>
  <c r="BC32" i="26"/>
  <c r="BB32" i="26"/>
  <c r="BA32" i="26"/>
  <c r="AZ32" i="26"/>
  <c r="AY32" i="26"/>
  <c r="AX32" i="26"/>
  <c r="AW32" i="26"/>
  <c r="BC31" i="26"/>
  <c r="BB31" i="26"/>
  <c r="BA31" i="26"/>
  <c r="AZ31" i="26"/>
  <c r="AY31" i="26"/>
  <c r="AX31" i="26"/>
  <c r="AW31" i="26"/>
  <c r="BC30" i="26"/>
  <c r="BB30" i="26"/>
  <c r="BA30" i="26"/>
  <c r="AZ30" i="26"/>
  <c r="AY30" i="26"/>
  <c r="AX30" i="26"/>
  <c r="AW30" i="26"/>
  <c r="BC29" i="26"/>
  <c r="BB29" i="26"/>
  <c r="BA29" i="26"/>
  <c r="AZ29" i="26"/>
  <c r="AY29" i="26"/>
  <c r="AX29" i="26"/>
  <c r="AW29" i="26"/>
  <c r="BC28" i="26"/>
  <c r="BB28" i="26"/>
  <c r="BA28" i="26"/>
  <c r="AZ28" i="26"/>
  <c r="AY28" i="26"/>
  <c r="AX28" i="26"/>
  <c r="AW28" i="26"/>
  <c r="BC27" i="26"/>
  <c r="BB27" i="26"/>
  <c r="BA27" i="26"/>
  <c r="AZ27" i="26"/>
  <c r="AY27" i="26"/>
  <c r="AX27" i="26"/>
  <c r="AW27" i="26"/>
  <c r="BC26" i="26"/>
  <c r="BB26" i="26"/>
  <c r="BA26" i="26"/>
  <c r="AZ26" i="26"/>
  <c r="AY26" i="26"/>
  <c r="AX26" i="26"/>
  <c r="AW26" i="26"/>
  <c r="BC25" i="26"/>
  <c r="BB25" i="26"/>
  <c r="BA25" i="26"/>
  <c r="AZ25" i="26"/>
  <c r="AY25" i="26"/>
  <c r="AX25" i="26"/>
  <c r="AW25" i="26"/>
  <c r="BC24" i="26"/>
  <c r="BB24" i="26"/>
  <c r="BA24" i="26"/>
  <c r="AZ24" i="26"/>
  <c r="AY24" i="26"/>
  <c r="AX24" i="26"/>
  <c r="AW24" i="26"/>
  <c r="BC23" i="26"/>
  <c r="BB23" i="26"/>
  <c r="BA23" i="26"/>
  <c r="AZ23" i="26"/>
  <c r="AY23" i="26"/>
  <c r="AX23" i="26"/>
  <c r="AW23" i="26"/>
  <c r="B23" i="26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AX18" i="26"/>
  <c r="AY18" i="26" s="1"/>
  <c r="AZ18" i="26" s="1"/>
  <c r="BA18" i="26" s="1"/>
  <c r="N10" i="26"/>
  <c r="S10" i="26" s="1"/>
  <c r="X10" i="26" s="1"/>
  <c r="AN8" i="26"/>
  <c r="D58" i="26" s="1"/>
  <c r="AP24" i="28" l="1"/>
  <c r="X50" i="28"/>
  <c r="X51" i="28" s="1"/>
  <c r="I50" i="28"/>
  <c r="AN24" i="28"/>
  <c r="AN51" i="28" s="1"/>
  <c r="N50" i="28"/>
  <c r="N51" i="28" s="1"/>
  <c r="AQ22" i="28"/>
  <c r="AQ51" i="28" s="1"/>
  <c r="AC50" i="28"/>
  <c r="AO22" i="28"/>
  <c r="AO51" i="28" s="1"/>
  <c r="S50" i="28"/>
  <c r="AT22" i="27"/>
  <c r="AT51" i="27" s="1"/>
  <c r="S50" i="27"/>
  <c r="S51" i="27" s="1"/>
  <c r="AU22" i="27"/>
  <c r="AU51" i="27" s="1"/>
  <c r="X50" i="27"/>
  <c r="X51" i="27" s="1"/>
  <c r="AW22" i="27"/>
  <c r="AW51" i="27" s="1"/>
  <c r="AH50" i="27"/>
  <c r="AV22" i="27"/>
  <c r="AV50" i="27" s="1"/>
  <c r="AC50" i="27"/>
  <c r="AC51" i="27" s="1"/>
  <c r="AR22" i="27"/>
  <c r="AR51" i="27" s="1"/>
  <c r="I50" i="27"/>
  <c r="AW22" i="26"/>
  <c r="AW50" i="26" s="1"/>
  <c r="I50" i="26"/>
  <c r="AZ22" i="26"/>
  <c r="AZ50" i="26" s="1"/>
  <c r="X50" i="26"/>
  <c r="X51" i="26" s="1"/>
  <c r="BA22" i="26"/>
  <c r="BA50" i="26" s="1"/>
  <c r="AC50" i="26"/>
  <c r="AC51" i="26" s="1"/>
  <c r="BB22" i="26"/>
  <c r="BB50" i="26" s="1"/>
  <c r="AH50" i="26"/>
  <c r="AX22" i="26"/>
  <c r="AX50" i="26" s="1"/>
  <c r="N50" i="26"/>
  <c r="N51" i="26" s="1"/>
  <c r="AY22" i="26"/>
  <c r="AY51" i="26" s="1"/>
  <c r="S50" i="26"/>
  <c r="S51" i="26" s="1"/>
  <c r="BC22" i="26"/>
  <c r="BC50" i="26" s="1"/>
  <c r="AM50" i="26"/>
  <c r="AS22" i="27"/>
  <c r="AS51" i="27" s="1"/>
  <c r="N50" i="27"/>
  <c r="N51" i="27" s="1"/>
  <c r="AC22" i="30"/>
  <c r="AC51" i="30" s="1"/>
  <c r="I50" i="30"/>
  <c r="AD22" i="30"/>
  <c r="AD50" i="30" s="1"/>
  <c r="N50" i="30"/>
  <c r="N51" i="30" s="1"/>
  <c r="AE22" i="30"/>
  <c r="AE51" i="30" s="1"/>
  <c r="S50" i="30"/>
  <c r="AK22" i="29"/>
  <c r="AK51" i="29" s="1"/>
  <c r="X50" i="29"/>
  <c r="AH22" i="29"/>
  <c r="I50" i="29"/>
  <c r="AI22" i="29"/>
  <c r="AI50" i="29" s="1"/>
  <c r="N50" i="29"/>
  <c r="N51" i="29" s="1"/>
  <c r="AJ22" i="29"/>
  <c r="AJ50" i="29" s="1"/>
  <c r="S50" i="29"/>
  <c r="AD51" i="30"/>
  <c r="AP27" i="28"/>
  <c r="AM27" i="28"/>
  <c r="AM22" i="28"/>
  <c r="CE20" i="32"/>
  <c r="AH40" i="29"/>
  <c r="AL40" i="29" s="1"/>
  <c r="AM40" i="29" s="1"/>
  <c r="AH49" i="29"/>
  <c r="AN49" i="29" s="1"/>
  <c r="AP49" i="29" s="1"/>
  <c r="AH41" i="29"/>
  <c r="AN41" i="29" s="1"/>
  <c r="AP41" i="29" s="1"/>
  <c r="AK49" i="30"/>
  <c r="AM49" i="30" s="1"/>
  <c r="AN28" i="29"/>
  <c r="AP28" i="29" s="1"/>
  <c r="AL39" i="29"/>
  <c r="AM39" i="29" s="1"/>
  <c r="AN29" i="29"/>
  <c r="AP29" i="29" s="1"/>
  <c r="AZ43" i="27"/>
  <c r="BB43" i="27" s="1"/>
  <c r="BB18" i="26"/>
  <c r="BC18" i="26" s="1"/>
  <c r="AH48" i="30"/>
  <c r="AJ48" i="30" s="1"/>
  <c r="BC19" i="26"/>
  <c r="AK42" i="30"/>
  <c r="AM42" i="30" s="1"/>
  <c r="AK38" i="30"/>
  <c r="AM38" i="30" s="1"/>
  <c r="AK26" i="30"/>
  <c r="AM26" i="30" s="1"/>
  <c r="AK48" i="30"/>
  <c r="AM48" i="30" s="1"/>
  <c r="AF41" i="30"/>
  <c r="AG41" i="30" s="1"/>
  <c r="AH44" i="30"/>
  <c r="AJ44" i="30" s="1"/>
  <c r="AK44" i="30"/>
  <c r="AM44" i="30" s="1"/>
  <c r="AH24" i="30"/>
  <c r="AF24" i="30"/>
  <c r="AH31" i="30"/>
  <c r="AJ31" i="30" s="1"/>
  <c r="AH30" i="30"/>
  <c r="AJ30" i="30" s="1"/>
  <c r="AH36" i="30"/>
  <c r="AJ36" i="30" s="1"/>
  <c r="AF35" i="30"/>
  <c r="AG35" i="30" s="1"/>
  <c r="AH49" i="30"/>
  <c r="AJ49" i="30" s="1"/>
  <c r="AH25" i="30"/>
  <c r="AF30" i="30"/>
  <c r="AG30" i="30" s="1"/>
  <c r="AH37" i="30"/>
  <c r="AF43" i="30"/>
  <c r="AG43" i="30" s="1"/>
  <c r="AF49" i="30"/>
  <c r="AG49" i="30" s="1"/>
  <c r="AK32" i="30"/>
  <c r="AM32" i="30" s="1"/>
  <c r="AF23" i="30"/>
  <c r="AF29" i="30"/>
  <c r="AG29" i="30" s="1"/>
  <c r="AK46" i="30"/>
  <c r="AM46" i="30" s="1"/>
  <c r="AH46" i="30"/>
  <c r="AJ46" i="30" s="1"/>
  <c r="AF46" i="30"/>
  <c r="AG46" i="30" s="1"/>
  <c r="AK47" i="30"/>
  <c r="AM47" i="30" s="1"/>
  <c r="AH47" i="30"/>
  <c r="AJ47" i="30" s="1"/>
  <c r="AK23" i="30"/>
  <c r="AM23" i="30" s="1"/>
  <c r="AH23" i="30"/>
  <c r="AJ23" i="30" s="1"/>
  <c r="AK29" i="30"/>
  <c r="AM29" i="30" s="1"/>
  <c r="AH29" i="30"/>
  <c r="AJ29" i="30" s="1"/>
  <c r="AK43" i="30"/>
  <c r="AM43" i="30" s="1"/>
  <c r="AK34" i="30"/>
  <c r="AM34" i="30" s="1"/>
  <c r="AH34" i="30"/>
  <c r="AJ34" i="30" s="1"/>
  <c r="AF34" i="30"/>
  <c r="AG34" i="30" s="1"/>
  <c r="AK45" i="30"/>
  <c r="AM45" i="30" s="1"/>
  <c r="AH45" i="30"/>
  <c r="AJ45" i="30" s="1"/>
  <c r="AF45" i="30"/>
  <c r="AG45" i="30" s="1"/>
  <c r="AH26" i="30"/>
  <c r="AJ26" i="30" s="1"/>
  <c r="AK40" i="30"/>
  <c r="AM40" i="30" s="1"/>
  <c r="AH40" i="30"/>
  <c r="AJ40" i="30" s="1"/>
  <c r="AF40" i="30"/>
  <c r="AG40" i="30" s="1"/>
  <c r="AK24" i="30"/>
  <c r="AM24" i="30" s="1"/>
  <c r="AF25" i="30"/>
  <c r="AK25" i="30"/>
  <c r="AM25" i="30" s="1"/>
  <c r="AF32" i="30"/>
  <c r="AG32" i="30" s="1"/>
  <c r="AF36" i="30"/>
  <c r="AG36" i="30" s="1"/>
  <c r="AK35" i="30"/>
  <c r="AM35" i="30" s="1"/>
  <c r="AH35" i="30"/>
  <c r="AJ35" i="30" s="1"/>
  <c r="AH43" i="30"/>
  <c r="AJ43" i="30" s="1"/>
  <c r="AK33" i="30"/>
  <c r="AM33" i="30" s="1"/>
  <c r="AH33" i="30"/>
  <c r="AJ33" i="30" s="1"/>
  <c r="AF33" i="30"/>
  <c r="AG33" i="30" s="1"/>
  <c r="AK36" i="30"/>
  <c r="AM36" i="30" s="1"/>
  <c r="AF37" i="30"/>
  <c r="AG37" i="30" s="1"/>
  <c r="AK37" i="30"/>
  <c r="AM37" i="30" s="1"/>
  <c r="AH42" i="30"/>
  <c r="AJ42" i="30" s="1"/>
  <c r="AK28" i="30"/>
  <c r="AM28" i="30" s="1"/>
  <c r="AH28" i="30"/>
  <c r="AJ28" i="30" s="1"/>
  <c r="AF28" i="30"/>
  <c r="AG28" i="30" s="1"/>
  <c r="AK39" i="30"/>
  <c r="AM39" i="30" s="1"/>
  <c r="AH39" i="30"/>
  <c r="AJ39" i="30" s="1"/>
  <c r="AF39" i="30"/>
  <c r="AG39" i="30" s="1"/>
  <c r="AK27" i="30"/>
  <c r="AM27" i="30" s="1"/>
  <c r="AH27" i="30"/>
  <c r="AJ27" i="30" s="1"/>
  <c r="AF27" i="30"/>
  <c r="AG27" i="30" s="1"/>
  <c r="AK30" i="30"/>
  <c r="AM30" i="30" s="1"/>
  <c r="AF31" i="30"/>
  <c r="AG31" i="30" s="1"/>
  <c r="AK31" i="30"/>
  <c r="AM31" i="30" s="1"/>
  <c r="AH38" i="30"/>
  <c r="AJ38" i="30" s="1"/>
  <c r="AF42" i="30"/>
  <c r="AG42" i="30" s="1"/>
  <c r="AK41" i="30"/>
  <c r="AM41" i="30" s="1"/>
  <c r="AH41" i="30"/>
  <c r="AJ41" i="30" s="1"/>
  <c r="AF47" i="30"/>
  <c r="AG47" i="30" s="1"/>
  <c r="AF48" i="30"/>
  <c r="AG48" i="30" s="1"/>
  <c r="AF26" i="30"/>
  <c r="AG26" i="30" s="1"/>
  <c r="AF38" i="30"/>
  <c r="AG38" i="30" s="1"/>
  <c r="AF44" i="30"/>
  <c r="AG44" i="30" s="1"/>
  <c r="AH32" i="30"/>
  <c r="AJ32" i="30" s="1"/>
  <c r="AP18" i="28"/>
  <c r="AQ18" i="28" s="1"/>
  <c r="AN32" i="29"/>
  <c r="AP32" i="29" s="1"/>
  <c r="AQ24" i="29"/>
  <c r="AS24" i="29" s="1"/>
  <c r="AQ26" i="29"/>
  <c r="AS26" i="29" s="1"/>
  <c r="AQ46" i="29"/>
  <c r="AS46" i="29" s="1"/>
  <c r="AN33" i="29"/>
  <c r="AP33" i="29" s="1"/>
  <c r="AQ38" i="29"/>
  <c r="AS38" i="29" s="1"/>
  <c r="AQ34" i="29"/>
  <c r="AS34" i="29" s="1"/>
  <c r="AQ28" i="29"/>
  <c r="AS28" i="29" s="1"/>
  <c r="AQ43" i="29"/>
  <c r="AS43" i="29" s="1"/>
  <c r="AL47" i="29"/>
  <c r="AM47" i="29" s="1"/>
  <c r="AQ31" i="29"/>
  <c r="AS31" i="29" s="1"/>
  <c r="AQ29" i="29"/>
  <c r="AS29" i="29" s="1"/>
  <c r="AN23" i="29"/>
  <c r="AP23" i="29" s="1"/>
  <c r="AN42" i="29"/>
  <c r="AP42" i="29" s="1"/>
  <c r="AL44" i="29"/>
  <c r="AM44" i="29" s="1"/>
  <c r="AL43" i="29"/>
  <c r="AM43" i="29" s="1"/>
  <c r="AL23" i="29"/>
  <c r="AM23" i="29" s="1"/>
  <c r="AL31" i="29"/>
  <c r="AM31" i="29" s="1"/>
  <c r="AN48" i="29"/>
  <c r="AP48" i="29" s="1"/>
  <c r="AL48" i="29"/>
  <c r="AM48" i="29" s="1"/>
  <c r="AQ48" i="29"/>
  <c r="AS48" i="29" s="1"/>
  <c r="AL27" i="29"/>
  <c r="AM27" i="29" s="1"/>
  <c r="AQ27" i="29"/>
  <c r="AS27" i="29" s="1"/>
  <c r="AN27" i="29"/>
  <c r="AP27" i="29" s="1"/>
  <c r="AQ30" i="29"/>
  <c r="AS30" i="29" s="1"/>
  <c r="AN44" i="29"/>
  <c r="AP44" i="29" s="1"/>
  <c r="AQ36" i="29"/>
  <c r="AS36" i="29" s="1"/>
  <c r="AL36" i="29"/>
  <c r="AM36" i="29" s="1"/>
  <c r="AN37" i="29"/>
  <c r="AP37" i="29" s="1"/>
  <c r="AL37" i="29"/>
  <c r="AM37" i="29" s="1"/>
  <c r="AQ37" i="29"/>
  <c r="AS37" i="29" s="1"/>
  <c r="AL42" i="29"/>
  <c r="AM42" i="29" s="1"/>
  <c r="AQ42" i="29"/>
  <c r="AS42" i="29" s="1"/>
  <c r="AL30" i="29"/>
  <c r="AM30" i="29" s="1"/>
  <c r="AQ35" i="29"/>
  <c r="AS35" i="29" s="1"/>
  <c r="AN35" i="29"/>
  <c r="AP35" i="29" s="1"/>
  <c r="AN24" i="29"/>
  <c r="AP24" i="29" s="1"/>
  <c r="AL35" i="29"/>
  <c r="AM35" i="29" s="1"/>
  <c r="AQ45" i="29"/>
  <c r="AS45" i="29" s="1"/>
  <c r="AL46" i="29"/>
  <c r="AM46" i="29" s="1"/>
  <c r="AQ39" i="29"/>
  <c r="AS39" i="29" s="1"/>
  <c r="AN43" i="29"/>
  <c r="AP43" i="29" s="1"/>
  <c r="AN25" i="29"/>
  <c r="AP25" i="29" s="1"/>
  <c r="AL25" i="29"/>
  <c r="AM25" i="29" s="1"/>
  <c r="AN31" i="29"/>
  <c r="AP31" i="29" s="1"/>
  <c r="AL34" i="29"/>
  <c r="AM34" i="29" s="1"/>
  <c r="AL45" i="29"/>
  <c r="AM45" i="29" s="1"/>
  <c r="AL28" i="29"/>
  <c r="AM28" i="29" s="1"/>
  <c r="AL29" i="29"/>
  <c r="AM29" i="29" s="1"/>
  <c r="AN36" i="29"/>
  <c r="AP36" i="29" s="1"/>
  <c r="AQ47" i="29"/>
  <c r="AS47" i="29" s="1"/>
  <c r="AN47" i="29"/>
  <c r="AP47" i="29" s="1"/>
  <c r="AL24" i="29"/>
  <c r="AM24" i="29" s="1"/>
  <c r="AQ25" i="29"/>
  <c r="AS25" i="29" s="1"/>
  <c r="AN30" i="29"/>
  <c r="AP30" i="29" s="1"/>
  <c r="AN34" i="29"/>
  <c r="AP34" i="29" s="1"/>
  <c r="AQ44" i="29"/>
  <c r="AS44" i="29" s="1"/>
  <c r="AN45" i="29"/>
  <c r="AP45" i="29" s="1"/>
  <c r="AN26" i="29"/>
  <c r="AP26" i="29" s="1"/>
  <c r="AL26" i="29"/>
  <c r="AM26" i="29" s="1"/>
  <c r="AQ32" i="29"/>
  <c r="AS32" i="29" s="1"/>
  <c r="AL32" i="29"/>
  <c r="AM32" i="29" s="1"/>
  <c r="AN38" i="29"/>
  <c r="AP38" i="29" s="1"/>
  <c r="AL38" i="29"/>
  <c r="AM38" i="29" s="1"/>
  <c r="AN39" i="29"/>
  <c r="AP39" i="29" s="1"/>
  <c r="AQ23" i="29"/>
  <c r="AS23" i="29" s="1"/>
  <c r="AN46" i="29"/>
  <c r="AP46" i="29" s="1"/>
  <c r="AQ33" i="29"/>
  <c r="AS33" i="29" s="1"/>
  <c r="AL33" i="29"/>
  <c r="AM33" i="29" s="1"/>
  <c r="AW30" i="28"/>
  <c r="AY30" i="28" s="1"/>
  <c r="X10" i="28"/>
  <c r="AC10" i="28" s="1"/>
  <c r="AT33" i="28"/>
  <c r="AV33" i="28" s="1"/>
  <c r="AR34" i="28"/>
  <c r="AS34" i="28" s="1"/>
  <c r="AT45" i="28"/>
  <c r="AV45" i="28" s="1"/>
  <c r="AR49" i="28"/>
  <c r="AS49" i="28" s="1"/>
  <c r="AR37" i="28"/>
  <c r="AS37" i="28" s="1"/>
  <c r="AT48" i="28"/>
  <c r="AR43" i="28"/>
  <c r="AS43" i="28" s="1"/>
  <c r="AR40" i="28"/>
  <c r="AS40" i="28" s="1"/>
  <c r="AW36" i="28"/>
  <c r="AY36" i="28" s="1"/>
  <c r="AR25" i="28"/>
  <c r="AS25" i="28" s="1"/>
  <c r="AR28" i="28"/>
  <c r="AS28" i="28" s="1"/>
  <c r="AR30" i="28"/>
  <c r="AS30" i="28" s="1"/>
  <c r="AW35" i="28"/>
  <c r="AY35" i="28" s="1"/>
  <c r="AR35" i="28"/>
  <c r="AS35" i="28" s="1"/>
  <c r="AT35" i="28"/>
  <c r="AV35" i="28" s="1"/>
  <c r="AT36" i="28"/>
  <c r="AV36" i="28" s="1"/>
  <c r="AT46" i="28"/>
  <c r="AV46" i="28" s="1"/>
  <c r="AW46" i="28"/>
  <c r="AY46" i="28" s="1"/>
  <c r="AW31" i="28"/>
  <c r="AY31" i="28" s="1"/>
  <c r="AT31" i="28"/>
  <c r="AV31" i="28" s="1"/>
  <c r="AR42" i="28"/>
  <c r="AS42" i="28" s="1"/>
  <c r="AR39" i="28"/>
  <c r="AS39" i="28" s="1"/>
  <c r="AT28" i="28"/>
  <c r="AV28" i="28" s="1"/>
  <c r="AW28" i="28"/>
  <c r="AY28" i="28" s="1"/>
  <c r="AW44" i="28"/>
  <c r="AY44" i="28" s="1"/>
  <c r="AT44" i="28"/>
  <c r="AV44" i="28" s="1"/>
  <c r="AR44" i="28"/>
  <c r="AS44" i="28" s="1"/>
  <c r="AW38" i="28"/>
  <c r="AY38" i="28" s="1"/>
  <c r="AR38" i="28"/>
  <c r="AS38" i="28" s="1"/>
  <c r="AT38" i="28"/>
  <c r="AV38" i="28" s="1"/>
  <c r="AT39" i="28"/>
  <c r="AV39" i="28" s="1"/>
  <c r="AW32" i="28"/>
  <c r="AY32" i="28" s="1"/>
  <c r="AT32" i="28"/>
  <c r="AV32" i="28" s="1"/>
  <c r="AR32" i="28"/>
  <c r="AS32" i="28" s="1"/>
  <c r="AW42" i="28"/>
  <c r="AY42" i="28" s="1"/>
  <c r="AR31" i="28"/>
  <c r="AS31" i="28" s="1"/>
  <c r="AW41" i="28"/>
  <c r="AY41" i="28" s="1"/>
  <c r="AT41" i="28"/>
  <c r="AV41" i="28" s="1"/>
  <c r="AR41" i="28"/>
  <c r="AS41" i="28" s="1"/>
  <c r="AW39" i="28"/>
  <c r="AY39" i="28" s="1"/>
  <c r="AW43" i="28"/>
  <c r="AY43" i="28" s="1"/>
  <c r="AT43" i="28"/>
  <c r="AV43" i="28" s="1"/>
  <c r="AT34" i="28"/>
  <c r="AV34" i="28" s="1"/>
  <c r="AW34" i="28"/>
  <c r="AY34" i="28" s="1"/>
  <c r="AR45" i="28"/>
  <c r="AS45" i="28" s="1"/>
  <c r="AW45" i="28"/>
  <c r="AY45" i="28" s="1"/>
  <c r="AW47" i="28"/>
  <c r="AY47" i="28" s="1"/>
  <c r="AR47" i="28"/>
  <c r="AS47" i="28" s="1"/>
  <c r="AT47" i="28"/>
  <c r="AV47" i="28" s="1"/>
  <c r="AW29" i="28"/>
  <c r="AY29" i="28" s="1"/>
  <c r="AR29" i="28"/>
  <c r="AS29" i="28" s="1"/>
  <c r="AT29" i="28"/>
  <c r="AV29" i="28" s="1"/>
  <c r="AT30" i="28"/>
  <c r="AV30" i="28" s="1"/>
  <c r="AW40" i="28"/>
  <c r="AY40" i="28" s="1"/>
  <c r="AT40" i="28"/>
  <c r="AV40" i="28" s="1"/>
  <c r="AR48" i="28"/>
  <c r="AS48" i="28" s="1"/>
  <c r="AW48" i="28"/>
  <c r="AY48" i="28" s="1"/>
  <c r="AW26" i="28"/>
  <c r="AY26" i="28" s="1"/>
  <c r="AR26" i="28"/>
  <c r="AS26" i="28" s="1"/>
  <c r="AT26" i="28"/>
  <c r="AV26" i="28" s="1"/>
  <c r="AT23" i="28"/>
  <c r="AV23" i="28" s="1"/>
  <c r="AR36" i="28"/>
  <c r="AS36" i="28" s="1"/>
  <c r="AW49" i="28"/>
  <c r="AY49" i="28" s="1"/>
  <c r="AT49" i="28"/>
  <c r="AV49" i="28" s="1"/>
  <c r="AR33" i="28"/>
  <c r="AS33" i="28" s="1"/>
  <c r="AT42" i="28"/>
  <c r="AV42" i="28" s="1"/>
  <c r="AT25" i="28"/>
  <c r="AV25" i="28" s="1"/>
  <c r="AW25" i="28"/>
  <c r="AY25" i="28" s="1"/>
  <c r="AW33" i="28"/>
  <c r="AY33" i="28" s="1"/>
  <c r="AT37" i="28"/>
  <c r="AV37" i="28" s="1"/>
  <c r="AW37" i="28"/>
  <c r="AY37" i="28" s="1"/>
  <c r="AR46" i="28"/>
  <c r="AS46" i="28" s="1"/>
  <c r="AU18" i="27"/>
  <c r="AV18" i="27" s="1"/>
  <c r="AW18" i="27" s="1"/>
  <c r="AZ31" i="27"/>
  <c r="BB31" i="27" s="1"/>
  <c r="AC10" i="27"/>
  <c r="AH10" i="27" s="1"/>
  <c r="AX26" i="27"/>
  <c r="AY26" i="27" s="1"/>
  <c r="AX45" i="27"/>
  <c r="AY45" i="27" s="1"/>
  <c r="AX24" i="27"/>
  <c r="AY24" i="27" s="1"/>
  <c r="AX33" i="27"/>
  <c r="AY33" i="27" s="1"/>
  <c r="AZ46" i="27"/>
  <c r="BB46" i="27" s="1"/>
  <c r="AZ34" i="27"/>
  <c r="BB34" i="27" s="1"/>
  <c r="AZ24" i="27"/>
  <c r="BB24" i="27" s="1"/>
  <c r="BC25" i="27"/>
  <c r="BE25" i="27" s="1"/>
  <c r="BC23" i="27"/>
  <c r="BE23" i="27" s="1"/>
  <c r="BC35" i="27"/>
  <c r="BE35" i="27" s="1"/>
  <c r="BC42" i="27"/>
  <c r="BE42" i="27" s="1"/>
  <c r="BC49" i="27"/>
  <c r="BE49" i="27" s="1"/>
  <c r="AZ26" i="27"/>
  <c r="BC44" i="27"/>
  <c r="BE44" i="27" s="1"/>
  <c r="AZ29" i="27"/>
  <c r="BB29" i="27" s="1"/>
  <c r="AX29" i="27"/>
  <c r="AY29" i="27" s="1"/>
  <c r="BC29" i="27"/>
  <c r="BE29" i="27" s="1"/>
  <c r="AZ30" i="27"/>
  <c r="BB30" i="27" s="1"/>
  <c r="AX30" i="27"/>
  <c r="AY30" i="27" s="1"/>
  <c r="AZ38" i="27"/>
  <c r="BB38" i="27" s="1"/>
  <c r="AX38" i="27"/>
  <c r="AY38" i="27" s="1"/>
  <c r="BC47" i="27"/>
  <c r="BE47" i="27" s="1"/>
  <c r="AX32" i="27"/>
  <c r="AY32" i="27" s="1"/>
  <c r="AZ32" i="27"/>
  <c r="BB32" i="27" s="1"/>
  <c r="AX46" i="27"/>
  <c r="AY46" i="27" s="1"/>
  <c r="AX39" i="27"/>
  <c r="AY39" i="27" s="1"/>
  <c r="BC39" i="27"/>
  <c r="BE39" i="27" s="1"/>
  <c r="AZ39" i="27"/>
  <c r="BB39" i="27" s="1"/>
  <c r="AZ41" i="27"/>
  <c r="BB41" i="27" s="1"/>
  <c r="AX41" i="27"/>
  <c r="AY41" i="27" s="1"/>
  <c r="BC31" i="27"/>
  <c r="BE31" i="27" s="1"/>
  <c r="AX31" i="27"/>
  <c r="AY31" i="27" s="1"/>
  <c r="AX34" i="27"/>
  <c r="AY34" i="27" s="1"/>
  <c r="AX44" i="27"/>
  <c r="AY44" i="27" s="1"/>
  <c r="AZ44" i="27"/>
  <c r="BB44" i="27" s="1"/>
  <c r="BC28" i="27"/>
  <c r="BE28" i="27" s="1"/>
  <c r="AX28" i="27"/>
  <c r="AY28" i="27" s="1"/>
  <c r="BC32" i="27"/>
  <c r="BE32" i="27" s="1"/>
  <c r="BC34" i="27"/>
  <c r="BE34" i="27" s="1"/>
  <c r="AX27" i="27"/>
  <c r="AY27" i="27" s="1"/>
  <c r="BC27" i="27"/>
  <c r="BE27" i="27" s="1"/>
  <c r="AZ27" i="27"/>
  <c r="BB27" i="27" s="1"/>
  <c r="BC30" i="27"/>
  <c r="BE30" i="27" s="1"/>
  <c r="BC37" i="27"/>
  <c r="BE37" i="27" s="1"/>
  <c r="AZ36" i="27"/>
  <c r="BB36" i="27" s="1"/>
  <c r="AX36" i="27"/>
  <c r="AY36" i="27" s="1"/>
  <c r="BC40" i="27"/>
  <c r="BE40" i="27" s="1"/>
  <c r="AZ40" i="27"/>
  <c r="BB40" i="27" s="1"/>
  <c r="AX40" i="27"/>
  <c r="AY40" i="27" s="1"/>
  <c r="BC41" i="27"/>
  <c r="BE41" i="27" s="1"/>
  <c r="BC46" i="27"/>
  <c r="BE46" i="27" s="1"/>
  <c r="AZ48" i="27"/>
  <c r="BB48" i="27" s="1"/>
  <c r="AX48" i="27"/>
  <c r="AY48" i="27" s="1"/>
  <c r="AZ42" i="27"/>
  <c r="BB42" i="27" s="1"/>
  <c r="AX42" i="27"/>
  <c r="AY42" i="27" s="1"/>
  <c r="BC43" i="27"/>
  <c r="BE43" i="27" s="1"/>
  <c r="BC33" i="27"/>
  <c r="BE33" i="27" s="1"/>
  <c r="AZ33" i="27"/>
  <c r="BB33" i="27" s="1"/>
  <c r="BC45" i="27"/>
  <c r="BE45" i="27" s="1"/>
  <c r="AZ45" i="27"/>
  <c r="BB45" i="27" s="1"/>
  <c r="BC24" i="27"/>
  <c r="BE24" i="27" s="1"/>
  <c r="AZ23" i="27"/>
  <c r="BB23" i="27" s="1"/>
  <c r="AX23" i="27"/>
  <c r="AY23" i="27" s="1"/>
  <c r="BC26" i="27"/>
  <c r="BE26" i="27" s="1"/>
  <c r="BC36" i="27"/>
  <c r="BE36" i="27" s="1"/>
  <c r="BC48" i="27"/>
  <c r="BE48" i="27" s="1"/>
  <c r="AZ25" i="27"/>
  <c r="BB25" i="27" s="1"/>
  <c r="AX25" i="27"/>
  <c r="AY25" i="27" s="1"/>
  <c r="AZ35" i="27"/>
  <c r="BB35" i="27" s="1"/>
  <c r="AX35" i="27"/>
  <c r="AY35" i="27" s="1"/>
  <c r="BC38" i="27"/>
  <c r="BE38" i="27" s="1"/>
  <c r="AZ47" i="27"/>
  <c r="BB47" i="27" s="1"/>
  <c r="AX47" i="27"/>
  <c r="AY47" i="27" s="1"/>
  <c r="AZ49" i="27"/>
  <c r="BB49" i="27" s="1"/>
  <c r="AX49" i="27"/>
  <c r="AY49" i="27" s="1"/>
  <c r="AZ37" i="27"/>
  <c r="BB37" i="27" s="1"/>
  <c r="AX37" i="27"/>
  <c r="AY37" i="27" s="1"/>
  <c r="AX43" i="27"/>
  <c r="AY43" i="27" s="1"/>
  <c r="AZ28" i="27"/>
  <c r="BB28" i="27" s="1"/>
  <c r="BF45" i="26"/>
  <c r="BH45" i="26" s="1"/>
  <c r="BF26" i="26"/>
  <c r="BH26" i="26" s="1"/>
  <c r="AC10" i="26"/>
  <c r="AH10" i="26" s="1"/>
  <c r="AM10" i="26" s="1"/>
  <c r="BF42" i="26"/>
  <c r="BH42" i="26" s="1"/>
  <c r="BI33" i="26"/>
  <c r="BK33" i="26" s="1"/>
  <c r="BD37" i="26"/>
  <c r="BE37" i="26" s="1"/>
  <c r="BF40" i="26"/>
  <c r="BH40" i="26" s="1"/>
  <c r="BF48" i="26"/>
  <c r="BH48" i="26" s="1"/>
  <c r="BD49" i="26"/>
  <c r="BE49" i="26" s="1"/>
  <c r="BI25" i="26"/>
  <c r="BK25" i="26" s="1"/>
  <c r="BD28" i="26"/>
  <c r="BE28" i="26" s="1"/>
  <c r="BF33" i="26"/>
  <c r="BH33" i="26" s="1"/>
  <c r="BI35" i="26"/>
  <c r="BK35" i="26" s="1"/>
  <c r="BI40" i="26"/>
  <c r="BK40" i="26" s="1"/>
  <c r="BI46" i="26"/>
  <c r="BK46" i="26" s="1"/>
  <c r="BI29" i="26"/>
  <c r="BK29" i="26" s="1"/>
  <c r="BI27" i="26"/>
  <c r="BK27" i="26" s="1"/>
  <c r="BF27" i="26"/>
  <c r="BH27" i="26" s="1"/>
  <c r="BD27" i="26"/>
  <c r="BE27" i="26" s="1"/>
  <c r="BF47" i="26"/>
  <c r="BH47" i="26" s="1"/>
  <c r="BI47" i="26"/>
  <c r="BK47" i="26" s="1"/>
  <c r="BD29" i="26"/>
  <c r="BE29" i="26" s="1"/>
  <c r="BI38" i="26"/>
  <c r="BK38" i="26" s="1"/>
  <c r="BD38" i="26"/>
  <c r="BE38" i="26" s="1"/>
  <c r="BF43" i="26"/>
  <c r="BH43" i="26" s="1"/>
  <c r="BI43" i="26"/>
  <c r="BK43" i="26" s="1"/>
  <c r="BI34" i="26"/>
  <c r="BK34" i="26" s="1"/>
  <c r="BD26" i="26"/>
  <c r="BE26" i="26" s="1"/>
  <c r="BF31" i="26"/>
  <c r="BH31" i="26" s="1"/>
  <c r="BI31" i="26"/>
  <c r="BK31" i="26" s="1"/>
  <c r="BD31" i="26"/>
  <c r="BE31" i="26" s="1"/>
  <c r="BF36" i="26"/>
  <c r="BH36" i="26" s="1"/>
  <c r="BF37" i="26"/>
  <c r="BH37" i="26" s="1"/>
  <c r="BI32" i="26"/>
  <c r="BK32" i="26" s="1"/>
  <c r="BD39" i="26"/>
  <c r="BE39" i="26" s="1"/>
  <c r="BD47" i="26"/>
  <c r="BE47" i="26" s="1"/>
  <c r="BF24" i="26"/>
  <c r="BH24" i="26" s="1"/>
  <c r="BF25" i="26"/>
  <c r="BH25" i="26" s="1"/>
  <c r="BD25" i="26"/>
  <c r="BE25" i="26" s="1"/>
  <c r="BF39" i="26"/>
  <c r="BH39" i="26" s="1"/>
  <c r="BF41" i="26"/>
  <c r="BH41" i="26" s="1"/>
  <c r="BI41" i="26"/>
  <c r="BK41" i="26" s="1"/>
  <c r="BD41" i="26"/>
  <c r="BE41" i="26" s="1"/>
  <c r="BD44" i="26"/>
  <c r="BE44" i="26" s="1"/>
  <c r="BF44" i="26"/>
  <c r="BH44" i="26" s="1"/>
  <c r="BI45" i="26"/>
  <c r="BK45" i="26" s="1"/>
  <c r="BD45" i="26"/>
  <c r="BE45" i="26" s="1"/>
  <c r="BF35" i="26"/>
  <c r="BH35" i="26" s="1"/>
  <c r="BD35" i="26"/>
  <c r="BE35" i="26" s="1"/>
  <c r="BI48" i="26"/>
  <c r="BK48" i="26" s="1"/>
  <c r="BD48" i="26"/>
  <c r="BE48" i="26" s="1"/>
  <c r="BD46" i="26"/>
  <c r="BE46" i="26" s="1"/>
  <c r="BF46" i="26"/>
  <c r="BH46" i="26" s="1"/>
  <c r="BF49" i="26"/>
  <c r="BH49" i="26" s="1"/>
  <c r="BI49" i="26"/>
  <c r="BK49" i="26" s="1"/>
  <c r="BI30" i="26"/>
  <c r="BK30" i="26" s="1"/>
  <c r="BD30" i="26"/>
  <c r="BE30" i="26" s="1"/>
  <c r="BF30" i="26"/>
  <c r="BH30" i="26" s="1"/>
  <c r="BF38" i="26"/>
  <c r="BH38" i="26" s="1"/>
  <c r="BD33" i="26"/>
  <c r="BE33" i="26" s="1"/>
  <c r="BI37" i="26"/>
  <c r="BK37" i="26" s="1"/>
  <c r="BI39" i="26"/>
  <c r="BK39" i="26" s="1"/>
  <c r="BD43" i="26"/>
  <c r="BE43" i="26" s="1"/>
  <c r="BD40" i="26"/>
  <c r="BE40" i="26" s="1"/>
  <c r="BF34" i="26"/>
  <c r="BH34" i="26" s="1"/>
  <c r="BI36" i="26"/>
  <c r="BK36" i="26" s="1"/>
  <c r="BD36" i="26"/>
  <c r="BE36" i="26" s="1"/>
  <c r="BI26" i="26"/>
  <c r="BK26" i="26" s="1"/>
  <c r="BI24" i="26"/>
  <c r="BK24" i="26" s="1"/>
  <c r="BD24" i="26"/>
  <c r="BE24" i="26" s="1"/>
  <c r="BI44" i="26"/>
  <c r="BK44" i="26" s="1"/>
  <c r="BI23" i="26"/>
  <c r="BK23" i="26" s="1"/>
  <c r="BF29" i="26"/>
  <c r="BH29" i="26" s="1"/>
  <c r="BD34" i="26"/>
  <c r="BE34" i="26" s="1"/>
  <c r="BI42" i="26"/>
  <c r="BK42" i="26" s="1"/>
  <c r="BD42" i="26"/>
  <c r="BE42" i="26" s="1"/>
  <c r="AP50" i="28" l="1"/>
  <c r="AT24" i="28"/>
  <c r="AV24" i="28" s="1"/>
  <c r="AR24" i="28"/>
  <c r="AS24" i="28" s="1"/>
  <c r="AW24" i="28"/>
  <c r="AY24" i="28" s="1"/>
  <c r="AN50" i="28"/>
  <c r="AV51" i="27"/>
  <c r="AY50" i="26"/>
  <c r="BI50" i="26" s="1"/>
  <c r="AH57" i="26"/>
  <c r="AH58" i="26" s="1"/>
  <c r="AM57" i="26"/>
  <c r="AM58" i="26" s="1"/>
  <c r="BC51" i="26"/>
  <c r="S57" i="30"/>
  <c r="S58" i="30" s="1"/>
  <c r="AF57" i="28"/>
  <c r="AF58" i="28" s="1"/>
  <c r="AC57" i="28"/>
  <c r="AC58" i="28" s="1"/>
  <c r="AT50" i="27"/>
  <c r="AH57" i="27"/>
  <c r="AH58" i="27" s="1"/>
  <c r="AC57" i="27"/>
  <c r="AC58" i="27" s="1"/>
  <c r="V57" i="30"/>
  <c r="V58" i="30" s="1"/>
  <c r="X57" i="29"/>
  <c r="X58" i="29" s="1"/>
  <c r="AA57" i="29"/>
  <c r="AA58" i="29" s="1"/>
  <c r="AZ51" i="26"/>
  <c r="BA51" i="26"/>
  <c r="AW51" i="26"/>
  <c r="AU50" i="27"/>
  <c r="AQ22" i="29"/>
  <c r="AS22" i="29" s="1"/>
  <c r="AJ51" i="29"/>
  <c r="AI51" i="29"/>
  <c r="AK50" i="29"/>
  <c r="AQ50" i="28"/>
  <c r="AO50" i="28"/>
  <c r="AW50" i="27"/>
  <c r="AS50" i="27"/>
  <c r="BB51" i="26"/>
  <c r="BD22" i="26"/>
  <c r="BE22" i="26" s="1"/>
  <c r="AF22" i="30"/>
  <c r="AE50" i="30"/>
  <c r="AK22" i="30"/>
  <c r="AM22" i="30" s="1"/>
  <c r="AH22" i="30"/>
  <c r="AJ22" i="30" s="1"/>
  <c r="AR50" i="27"/>
  <c r="AX51" i="26"/>
  <c r="AC50" i="30"/>
  <c r="AJ25" i="30"/>
  <c r="AG23" i="30"/>
  <c r="AJ24" i="30"/>
  <c r="AG25" i="30"/>
  <c r="AG24" i="30"/>
  <c r="AM51" i="28"/>
  <c r="AP51" i="28"/>
  <c r="AR27" i="28"/>
  <c r="AS27" i="28" s="1"/>
  <c r="AW27" i="28"/>
  <c r="AY27" i="28" s="1"/>
  <c r="AT27" i="28"/>
  <c r="AV27" i="28" s="1"/>
  <c r="AL41" i="29"/>
  <c r="AM41" i="29" s="1"/>
  <c r="AH50" i="29"/>
  <c r="AM50" i="28"/>
  <c r="AQ40" i="29"/>
  <c r="AS40" i="29" s="1"/>
  <c r="AQ49" i="29"/>
  <c r="AS49" i="29" s="1"/>
  <c r="AL49" i="29"/>
  <c r="AM49" i="29" s="1"/>
  <c r="AQ41" i="29"/>
  <c r="AS41" i="29" s="1"/>
  <c r="I51" i="30"/>
  <c r="AN40" i="29"/>
  <c r="AP40" i="29" s="1"/>
  <c r="I51" i="29"/>
  <c r="AR43" i="29"/>
  <c r="I51" i="28"/>
  <c r="I51" i="27"/>
  <c r="I51" i="26"/>
  <c r="AR26" i="29"/>
  <c r="S51" i="29"/>
  <c r="S51" i="28"/>
  <c r="BA24" i="27"/>
  <c r="BG26" i="26"/>
  <c r="AH51" i="26"/>
  <c r="BJ40" i="26"/>
  <c r="AL48" i="30"/>
  <c r="AI37" i="30"/>
  <c r="AJ37" i="30"/>
  <c r="AI25" i="30"/>
  <c r="AI49" i="30"/>
  <c r="AL49" i="30"/>
  <c r="AI30" i="30"/>
  <c r="AI24" i="30"/>
  <c r="AI32" i="30"/>
  <c r="AI42" i="30"/>
  <c r="AI45" i="30"/>
  <c r="AI46" i="30"/>
  <c r="AL30" i="30"/>
  <c r="AL45" i="30"/>
  <c r="AL42" i="30"/>
  <c r="AL29" i="30"/>
  <c r="AI40" i="30"/>
  <c r="AI47" i="30"/>
  <c r="AL40" i="30"/>
  <c r="AL43" i="30"/>
  <c r="AI38" i="30"/>
  <c r="AL28" i="30"/>
  <c r="AI26" i="30"/>
  <c r="AL31" i="30"/>
  <c r="AI44" i="30"/>
  <c r="AL25" i="30"/>
  <c r="AL37" i="30"/>
  <c r="AL24" i="30"/>
  <c r="AI29" i="30"/>
  <c r="AI31" i="30"/>
  <c r="AL46" i="30"/>
  <c r="AI27" i="30"/>
  <c r="AL36" i="30"/>
  <c r="AI34" i="30"/>
  <c r="AI28" i="30"/>
  <c r="AL47" i="30"/>
  <c r="AL27" i="30"/>
  <c r="AI35" i="30"/>
  <c r="AL34" i="30"/>
  <c r="AL44" i="30"/>
  <c r="AI33" i="30"/>
  <c r="AL35" i="30"/>
  <c r="AL38" i="30"/>
  <c r="AI23" i="30"/>
  <c r="AI41" i="30"/>
  <c r="AI39" i="30"/>
  <c r="AL33" i="30"/>
  <c r="AL23" i="30"/>
  <c r="AL32" i="30"/>
  <c r="AL41" i="30"/>
  <c r="AL39" i="30"/>
  <c r="AI43" i="30"/>
  <c r="S51" i="30"/>
  <c r="AI48" i="30"/>
  <c r="AI36" i="30"/>
  <c r="AL26" i="30"/>
  <c r="AR22" i="28"/>
  <c r="AS22" i="28" s="1"/>
  <c r="AU48" i="28"/>
  <c r="AV48" i="28"/>
  <c r="AX36" i="28"/>
  <c r="AO33" i="29"/>
  <c r="AR31" i="29"/>
  <c r="AO42" i="29"/>
  <c r="AO23" i="29"/>
  <c r="AR38" i="29"/>
  <c r="AR29" i="29"/>
  <c r="AO29" i="29"/>
  <c r="AO34" i="29"/>
  <c r="AR25" i="29"/>
  <c r="AR39" i="29"/>
  <c r="AO38" i="29"/>
  <c r="AO47" i="29"/>
  <c r="AO35" i="29"/>
  <c r="AR47" i="29"/>
  <c r="AR45" i="29"/>
  <c r="AR35" i="29"/>
  <c r="AO44" i="29"/>
  <c r="AR32" i="29"/>
  <c r="AR24" i="29"/>
  <c r="AO24" i="29"/>
  <c r="AO26" i="29"/>
  <c r="AO36" i="29"/>
  <c r="AO31" i="29"/>
  <c r="AN22" i="29"/>
  <c r="AP22" i="29" s="1"/>
  <c r="AL22" i="29"/>
  <c r="AM22" i="29" s="1"/>
  <c r="AR33" i="29"/>
  <c r="AO45" i="29"/>
  <c r="AO32" i="29"/>
  <c r="AO46" i="29"/>
  <c r="AR44" i="29"/>
  <c r="AR34" i="29"/>
  <c r="AR37" i="29"/>
  <c r="AR23" i="29"/>
  <c r="AO25" i="29"/>
  <c r="AR42" i="29"/>
  <c r="AR48" i="29"/>
  <c r="AO30" i="29"/>
  <c r="AO43" i="29"/>
  <c r="AO37" i="29"/>
  <c r="AR30" i="29"/>
  <c r="AO48" i="29"/>
  <c r="AO39" i="29"/>
  <c r="X51" i="29"/>
  <c r="AR36" i="29"/>
  <c r="AO27" i="29"/>
  <c r="AR46" i="29"/>
  <c r="AO28" i="29"/>
  <c r="AR28" i="29"/>
  <c r="AR27" i="29"/>
  <c r="AX30" i="28"/>
  <c r="AT22" i="28"/>
  <c r="AX34" i="28"/>
  <c r="AW22" i="28"/>
  <c r="AY22" i="28" s="1"/>
  <c r="AX48" i="28"/>
  <c r="AU34" i="28"/>
  <c r="AU42" i="28"/>
  <c r="AU40" i="28"/>
  <c r="AU47" i="28"/>
  <c r="AR23" i="28"/>
  <c r="AS23" i="28" s="1"/>
  <c r="AU45" i="28"/>
  <c r="AX35" i="28"/>
  <c r="AX41" i="28"/>
  <c r="AU39" i="28"/>
  <c r="AX25" i="28"/>
  <c r="AX26" i="28"/>
  <c r="AU38" i="28"/>
  <c r="AU31" i="28"/>
  <c r="AU25" i="28"/>
  <c r="AX42" i="28"/>
  <c r="AX38" i="28"/>
  <c r="AU32" i="28"/>
  <c r="AW23" i="28"/>
  <c r="AY23" i="28" s="1"/>
  <c r="AU26" i="28"/>
  <c r="AC51" i="28"/>
  <c r="AX31" i="28"/>
  <c r="AU49" i="28"/>
  <c r="AU30" i="28"/>
  <c r="AX47" i="28"/>
  <c r="AU43" i="28"/>
  <c r="AX32" i="28"/>
  <c r="AX46" i="28"/>
  <c r="AX37" i="28"/>
  <c r="AX29" i="28"/>
  <c r="AX28" i="28"/>
  <c r="AU35" i="28"/>
  <c r="AU28" i="28"/>
  <c r="AX33" i="28"/>
  <c r="AU41" i="28"/>
  <c r="AX49" i="28"/>
  <c r="AU29" i="28"/>
  <c r="AX45" i="28"/>
  <c r="AX43" i="28"/>
  <c r="AU44" i="28"/>
  <c r="AU46" i="28"/>
  <c r="AU33" i="28"/>
  <c r="AU37" i="28"/>
  <c r="AX40" i="28"/>
  <c r="AX39" i="28"/>
  <c r="AX44" i="28"/>
  <c r="AU36" i="28"/>
  <c r="BA26" i="27"/>
  <c r="BB26" i="27"/>
  <c r="BD23" i="27"/>
  <c r="BA34" i="27"/>
  <c r="BD35" i="27"/>
  <c r="BA43" i="27"/>
  <c r="BA31" i="27"/>
  <c r="BD46" i="27"/>
  <c r="BD40" i="27"/>
  <c r="BD44" i="27"/>
  <c r="BD24" i="27"/>
  <c r="BD43" i="27"/>
  <c r="BD39" i="27"/>
  <c r="BA30" i="27"/>
  <c r="BD48" i="27"/>
  <c r="BD27" i="27"/>
  <c r="BD36" i="27"/>
  <c r="BA49" i="27"/>
  <c r="BD26" i="27"/>
  <c r="BA45" i="27"/>
  <c r="BD41" i="27"/>
  <c r="BA32" i="27"/>
  <c r="BD45" i="27"/>
  <c r="BD49" i="27"/>
  <c r="BA42" i="27"/>
  <c r="BD30" i="27"/>
  <c r="AX22" i="27"/>
  <c r="AY22" i="27" s="1"/>
  <c r="BC22" i="27"/>
  <c r="BE22" i="27" s="1"/>
  <c r="AZ22" i="27"/>
  <c r="BB22" i="27" s="1"/>
  <c r="AH51" i="27"/>
  <c r="BD42" i="27"/>
  <c r="BA48" i="27"/>
  <c r="BA44" i="27"/>
  <c r="BD31" i="27"/>
  <c r="BA47" i="27"/>
  <c r="BA23" i="27"/>
  <c r="BA33" i="27"/>
  <c r="BA40" i="27"/>
  <c r="BD34" i="27"/>
  <c r="BD47" i="27"/>
  <c r="BD38" i="27"/>
  <c r="BD33" i="27"/>
  <c r="BD32" i="27"/>
  <c r="BA41" i="27"/>
  <c r="BA38" i="27"/>
  <c r="BA28" i="27"/>
  <c r="BA35" i="27"/>
  <c r="BA36" i="27"/>
  <c r="BA39" i="27"/>
  <c r="BD29" i="27"/>
  <c r="BA25" i="27"/>
  <c r="BD37" i="27"/>
  <c r="BD28" i="27"/>
  <c r="BA46" i="27"/>
  <c r="BA29" i="27"/>
  <c r="BA37" i="27"/>
  <c r="BA27" i="27"/>
  <c r="BD25" i="27"/>
  <c r="BJ25" i="26"/>
  <c r="BF23" i="26"/>
  <c r="BH23" i="26" s="1"/>
  <c r="BG40" i="26"/>
  <c r="BI28" i="26"/>
  <c r="BK28" i="26" s="1"/>
  <c r="BF28" i="26"/>
  <c r="BH28" i="26" s="1"/>
  <c r="BJ35" i="26"/>
  <c r="BG33" i="26"/>
  <c r="BI22" i="26"/>
  <c r="BK22" i="26" s="1"/>
  <c r="BG30" i="26"/>
  <c r="BJ47" i="26"/>
  <c r="BJ24" i="26"/>
  <c r="BJ34" i="26"/>
  <c r="BG47" i="26"/>
  <c r="BG37" i="26"/>
  <c r="AM51" i="26"/>
  <c r="BD32" i="26"/>
  <c r="BE32" i="26" s="1"/>
  <c r="BG34" i="26"/>
  <c r="BG49" i="26"/>
  <c r="BG35" i="26"/>
  <c r="BJ41" i="26"/>
  <c r="BG41" i="26"/>
  <c r="BJ31" i="26"/>
  <c r="BG27" i="26"/>
  <c r="BJ29" i="26"/>
  <c r="BD23" i="26"/>
  <c r="BE23" i="26" s="1"/>
  <c r="BJ26" i="26"/>
  <c r="BG39" i="26"/>
  <c r="BJ27" i="26"/>
  <c r="BG43" i="26"/>
  <c r="BJ37" i="26"/>
  <c r="BJ48" i="26"/>
  <c r="BJ38" i="26"/>
  <c r="BJ33" i="26"/>
  <c r="BJ30" i="26"/>
  <c r="BG31" i="26"/>
  <c r="BJ43" i="26"/>
  <c r="BJ42" i="26"/>
  <c r="BJ39" i="26"/>
  <c r="BG25" i="26"/>
  <c r="BF22" i="26"/>
  <c r="BH22" i="26" s="1"/>
  <c r="BG48" i="26"/>
  <c r="BG29" i="26"/>
  <c r="BF32" i="26"/>
  <c r="BH32" i="26" s="1"/>
  <c r="BG24" i="26"/>
  <c r="BJ36" i="26"/>
  <c r="BJ45" i="26"/>
  <c r="BJ46" i="26"/>
  <c r="BG42" i="26"/>
  <c r="BJ49" i="26"/>
  <c r="BG36" i="26"/>
  <c r="BG46" i="26"/>
  <c r="BJ44" i="26"/>
  <c r="BG38" i="26"/>
  <c r="BG44" i="26"/>
  <c r="BG45" i="26"/>
  <c r="AU24" i="28" l="1"/>
  <c r="AX24" i="28"/>
  <c r="BD50" i="26"/>
  <c r="BE50" i="26" s="1"/>
  <c r="BF50" i="26"/>
  <c r="BA42" i="28"/>
  <c r="BA40" i="28"/>
  <c r="BA41" i="28"/>
  <c r="BA39" i="28"/>
  <c r="BA48" i="28"/>
  <c r="BA49" i="28"/>
  <c r="BA47" i="28"/>
  <c r="BA44" i="28"/>
  <c r="BA45" i="28"/>
  <c r="BA46" i="28"/>
  <c r="BA43" i="28"/>
  <c r="BM43" i="26"/>
  <c r="BM42" i="26"/>
  <c r="BM41" i="26"/>
  <c r="BM40" i="26"/>
  <c r="BM39" i="26"/>
  <c r="BM38" i="26"/>
  <c r="BM37" i="26"/>
  <c r="BM49" i="26"/>
  <c r="BM46" i="26"/>
  <c r="BM36" i="26"/>
  <c r="BM48" i="26"/>
  <c r="BM45" i="26"/>
  <c r="BM44" i="26"/>
  <c r="BM47" i="26"/>
  <c r="BG48" i="27"/>
  <c r="BG36" i="27"/>
  <c r="BG47" i="27"/>
  <c r="BG35" i="27"/>
  <c r="BG46" i="27"/>
  <c r="BG43" i="27"/>
  <c r="BG42" i="27"/>
  <c r="BG34" i="27"/>
  <c r="BG44" i="27"/>
  <c r="BG45" i="27"/>
  <c r="BG41" i="27"/>
  <c r="BG40" i="27"/>
  <c r="BG39" i="27"/>
  <c r="BG38" i="27"/>
  <c r="BG37" i="27"/>
  <c r="BG49" i="27"/>
  <c r="AU41" i="29"/>
  <c r="AU39" i="29"/>
  <c r="AU38" i="29"/>
  <c r="AU37" i="29"/>
  <c r="AU36" i="29"/>
  <c r="AU47" i="29"/>
  <c r="AU45" i="29"/>
  <c r="AU40" i="29"/>
  <c r="AU49" i="29"/>
  <c r="AU48" i="29"/>
  <c r="AU46" i="29"/>
  <c r="AU44" i="29"/>
  <c r="AU43" i="29"/>
  <c r="AU42" i="29"/>
  <c r="AZ50" i="27"/>
  <c r="BC50" i="27"/>
  <c r="AF50" i="30"/>
  <c r="AL22" i="30"/>
  <c r="AH50" i="30"/>
  <c r="AX50" i="27"/>
  <c r="AY50" i="27" s="1"/>
  <c r="AK50" i="30"/>
  <c r="AI22" i="30"/>
  <c r="AU27" i="28"/>
  <c r="AO41" i="29"/>
  <c r="AX27" i="28"/>
  <c r="AQ50" i="29"/>
  <c r="AL50" i="29"/>
  <c r="AM50" i="29" s="1"/>
  <c r="AU22" i="29" s="1"/>
  <c r="AN50" i="29"/>
  <c r="AW50" i="28"/>
  <c r="AR50" i="28"/>
  <c r="AS50" i="28" s="1"/>
  <c r="AT50" i="28"/>
  <c r="AR40" i="29"/>
  <c r="BM29" i="26"/>
  <c r="BM35" i="26"/>
  <c r="BM31" i="26"/>
  <c r="BM32" i="26"/>
  <c r="BM33" i="26"/>
  <c r="BM34" i="26"/>
  <c r="BG26" i="27"/>
  <c r="BG24" i="27"/>
  <c r="BG22" i="27"/>
  <c r="BG25" i="27"/>
  <c r="BG23" i="27"/>
  <c r="BG33" i="27"/>
  <c r="BG32" i="27"/>
  <c r="BG31" i="27"/>
  <c r="BG30" i="27"/>
  <c r="BG29" i="27"/>
  <c r="BG28" i="27"/>
  <c r="BG27" i="27"/>
  <c r="BA29" i="28"/>
  <c r="BA28" i="28"/>
  <c r="BA27" i="28"/>
  <c r="BA38" i="28"/>
  <c r="BA26" i="28"/>
  <c r="BA37" i="28"/>
  <c r="BA25" i="28"/>
  <c r="BA36" i="28"/>
  <c r="BA24" i="28"/>
  <c r="BA33" i="28"/>
  <c r="BA32" i="28"/>
  <c r="BA31" i="28"/>
  <c r="BA30" i="28"/>
  <c r="BA35" i="28"/>
  <c r="BA23" i="28"/>
  <c r="BA34" i="28"/>
  <c r="BA22" i="28"/>
  <c r="AU24" i="29"/>
  <c r="AU35" i="29"/>
  <c r="AU23" i="29"/>
  <c r="AU32" i="29"/>
  <c r="AU30" i="29"/>
  <c r="AU28" i="29"/>
  <c r="AU26" i="29"/>
  <c r="AU25" i="29"/>
  <c r="AU34" i="29"/>
  <c r="AU33" i="29"/>
  <c r="AU31" i="29"/>
  <c r="AU29" i="29"/>
  <c r="AU27" i="29"/>
  <c r="BM22" i="26"/>
  <c r="BM27" i="26"/>
  <c r="BM30" i="26"/>
  <c r="BM23" i="26"/>
  <c r="BM24" i="26"/>
  <c r="BM26" i="26"/>
  <c r="BM28" i="26"/>
  <c r="BM25" i="26"/>
  <c r="AO49" i="29"/>
  <c r="AR49" i="29"/>
  <c r="AR41" i="29"/>
  <c r="BG28" i="26"/>
  <c r="BJ28" i="26"/>
  <c r="AO40" i="29"/>
  <c r="AV22" i="28"/>
  <c r="AU22" i="28"/>
  <c r="BJ32" i="26"/>
  <c r="AO22" i="29"/>
  <c r="AR22" i="29"/>
  <c r="AX22" i="28"/>
  <c r="AX23" i="28"/>
  <c r="AU23" i="28"/>
  <c r="BA22" i="27"/>
  <c r="BD22" i="27"/>
  <c r="BJ22" i="26"/>
  <c r="BJ23" i="26"/>
  <c r="BG32" i="26"/>
  <c r="BG23" i="26"/>
  <c r="BG22" i="26"/>
  <c r="BG50" i="26" l="1"/>
  <c r="BJ50" i="26"/>
  <c r="AI50" i="30"/>
  <c r="AL50" i="30"/>
  <c r="BD50" i="27"/>
  <c r="BA50" i="27"/>
  <c r="AO50" i="29"/>
  <c r="AR50" i="29"/>
  <c r="AU50" i="28"/>
  <c r="AX50" i="28"/>
  <c r="BA20" i="28"/>
  <c r="BM20" i="26"/>
  <c r="BG20" i="27"/>
  <c r="AU20" i="29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36" i="22"/>
  <c r="BE37" i="22"/>
  <c r="BE38" i="22"/>
  <c r="BE39" i="22"/>
  <c r="BE40" i="22"/>
  <c r="BE41" i="22"/>
  <c r="BE42" i="22"/>
  <c r="BE43" i="22"/>
  <c r="BE44" i="22"/>
  <c r="BE45" i="22"/>
  <c r="BE46" i="22"/>
  <c r="BE47" i="22"/>
  <c r="BE48" i="22"/>
  <c r="BE49" i="22"/>
  <c r="N58" i="22"/>
  <c r="I58" i="22"/>
  <c r="BI49" i="22"/>
  <c r="BH49" i="22"/>
  <c r="BG49" i="22"/>
  <c r="BF49" i="22"/>
  <c r="BD49" i="22"/>
  <c r="BC49" i="22"/>
  <c r="BB49" i="22"/>
  <c r="BI48" i="22"/>
  <c r="BH48" i="22"/>
  <c r="BG48" i="22"/>
  <c r="BF48" i="22"/>
  <c r="BD48" i="22"/>
  <c r="BC48" i="22"/>
  <c r="BB48" i="22"/>
  <c r="BI47" i="22"/>
  <c r="BH47" i="22"/>
  <c r="BG47" i="22"/>
  <c r="BF47" i="22"/>
  <c r="BD47" i="22"/>
  <c r="BC47" i="22"/>
  <c r="BB47" i="22"/>
  <c r="BI46" i="22"/>
  <c r="BH46" i="22"/>
  <c r="BG46" i="22"/>
  <c r="BF46" i="22"/>
  <c r="BD46" i="22"/>
  <c r="BC46" i="22"/>
  <c r="BB46" i="22"/>
  <c r="BI45" i="22"/>
  <c r="BH45" i="22"/>
  <c r="BG45" i="22"/>
  <c r="BF45" i="22"/>
  <c r="BD45" i="22"/>
  <c r="BC45" i="22"/>
  <c r="BB45" i="22"/>
  <c r="BI44" i="22"/>
  <c r="BH44" i="22"/>
  <c r="BG44" i="22"/>
  <c r="BF44" i="22"/>
  <c r="BD44" i="22"/>
  <c r="BC44" i="22"/>
  <c r="BB44" i="22"/>
  <c r="BI43" i="22"/>
  <c r="BH43" i="22"/>
  <c r="BG43" i="22"/>
  <c r="BF43" i="22"/>
  <c r="BD43" i="22"/>
  <c r="BC43" i="22"/>
  <c r="BB43" i="22"/>
  <c r="BI42" i="22"/>
  <c r="BH42" i="22"/>
  <c r="BG42" i="22"/>
  <c r="BF42" i="22"/>
  <c r="BD42" i="22"/>
  <c r="BC42" i="22"/>
  <c r="BB42" i="22"/>
  <c r="BI41" i="22"/>
  <c r="BH41" i="22"/>
  <c r="BG41" i="22"/>
  <c r="BF41" i="22"/>
  <c r="BD41" i="22"/>
  <c r="BC41" i="22"/>
  <c r="BB41" i="22"/>
  <c r="BI40" i="22"/>
  <c r="BH40" i="22"/>
  <c r="BG40" i="22"/>
  <c r="BF40" i="22"/>
  <c r="BD40" i="22"/>
  <c r="BC40" i="22"/>
  <c r="BB40" i="22"/>
  <c r="BI39" i="22"/>
  <c r="BH39" i="22"/>
  <c r="BG39" i="22"/>
  <c r="BF39" i="22"/>
  <c r="BD39" i="22"/>
  <c r="BC39" i="22"/>
  <c r="BB39" i="22"/>
  <c r="BI38" i="22"/>
  <c r="BH38" i="22"/>
  <c r="BG38" i="22"/>
  <c r="BF38" i="22"/>
  <c r="BD38" i="22"/>
  <c r="BC38" i="22"/>
  <c r="BB38" i="22"/>
  <c r="BI37" i="22"/>
  <c r="BH37" i="22"/>
  <c r="BG37" i="22"/>
  <c r="BF37" i="22"/>
  <c r="BD37" i="22"/>
  <c r="BC37" i="22"/>
  <c r="BB37" i="22"/>
  <c r="BI36" i="22"/>
  <c r="BH36" i="22"/>
  <c r="BG36" i="22"/>
  <c r="BF36" i="22"/>
  <c r="BD36" i="22"/>
  <c r="BC36" i="22"/>
  <c r="BB36" i="22"/>
  <c r="BI35" i="22"/>
  <c r="BH35" i="22"/>
  <c r="BG35" i="22"/>
  <c r="BF35" i="22"/>
  <c r="BD35" i="22"/>
  <c r="BC35" i="22"/>
  <c r="BB35" i="22"/>
  <c r="BI34" i="22"/>
  <c r="BH34" i="22"/>
  <c r="BG34" i="22"/>
  <c r="BF34" i="22"/>
  <c r="BD34" i="22"/>
  <c r="BC34" i="22"/>
  <c r="BB34" i="22"/>
  <c r="BI33" i="22"/>
  <c r="BH33" i="22"/>
  <c r="BG33" i="22"/>
  <c r="BF33" i="22"/>
  <c r="BD33" i="22"/>
  <c r="BC33" i="22"/>
  <c r="BB33" i="22"/>
  <c r="BI32" i="22"/>
  <c r="BH32" i="22"/>
  <c r="BG32" i="22"/>
  <c r="BF32" i="22"/>
  <c r="BD32" i="22"/>
  <c r="BC32" i="22"/>
  <c r="BB32" i="22"/>
  <c r="BI31" i="22"/>
  <c r="BH31" i="22"/>
  <c r="BG31" i="22"/>
  <c r="BF31" i="22"/>
  <c r="BD31" i="22"/>
  <c r="BC31" i="22"/>
  <c r="BB31" i="22"/>
  <c r="BI30" i="22"/>
  <c r="BH30" i="22"/>
  <c r="BG30" i="22"/>
  <c r="BF30" i="22"/>
  <c r="BD30" i="22"/>
  <c r="BC30" i="22"/>
  <c r="BB30" i="22"/>
  <c r="BI29" i="22"/>
  <c r="BH29" i="22"/>
  <c r="BG29" i="22"/>
  <c r="BF29" i="22"/>
  <c r="BD29" i="22"/>
  <c r="BC29" i="22"/>
  <c r="BB29" i="22"/>
  <c r="BI28" i="22"/>
  <c r="BH28" i="22"/>
  <c r="BG28" i="22"/>
  <c r="BF28" i="22"/>
  <c r="BD28" i="22"/>
  <c r="BC28" i="22"/>
  <c r="BB28" i="22"/>
  <c r="BI27" i="22"/>
  <c r="BH27" i="22"/>
  <c r="BG27" i="22"/>
  <c r="BF27" i="22"/>
  <c r="BD27" i="22"/>
  <c r="BC27" i="22"/>
  <c r="BB27" i="22"/>
  <c r="BI26" i="22"/>
  <c r="BH26" i="22"/>
  <c r="BG26" i="22"/>
  <c r="BF26" i="22"/>
  <c r="BD26" i="22"/>
  <c r="BC26" i="22"/>
  <c r="BB26" i="22"/>
  <c r="BI25" i="22"/>
  <c r="BH25" i="22"/>
  <c r="BG25" i="22"/>
  <c r="BF25" i="22"/>
  <c r="BD25" i="22"/>
  <c r="BC25" i="22"/>
  <c r="BB25" i="22"/>
  <c r="BI24" i="22"/>
  <c r="BH24" i="22"/>
  <c r="BG24" i="22"/>
  <c r="BF24" i="22"/>
  <c r="BD24" i="22"/>
  <c r="BC24" i="22"/>
  <c r="BB24" i="22"/>
  <c r="BI23" i="22"/>
  <c r="BH23" i="22"/>
  <c r="BG23" i="22"/>
  <c r="BF23" i="22"/>
  <c r="BD23" i="22"/>
  <c r="BC23" i="22"/>
  <c r="BB23" i="22"/>
  <c r="B23" i="22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C18" i="22"/>
  <c r="BD18" i="22" s="1"/>
  <c r="BE18" i="22" s="1"/>
  <c r="BF18" i="22" s="1"/>
  <c r="N10" i="22"/>
  <c r="S10" i="22" s="1"/>
  <c r="AS8" i="22"/>
  <c r="D58" i="22" s="1"/>
  <c r="BO23" i="20"/>
  <c r="BO24" i="20"/>
  <c r="BO25" i="20"/>
  <c r="BO26" i="20"/>
  <c r="BO27" i="20"/>
  <c r="BO28" i="20"/>
  <c r="BO29" i="20"/>
  <c r="BO30" i="20"/>
  <c r="BO31" i="20"/>
  <c r="BO32" i="20"/>
  <c r="BO33" i="20"/>
  <c r="BO34" i="20"/>
  <c r="BO35" i="20"/>
  <c r="BO36" i="20"/>
  <c r="BO37" i="20"/>
  <c r="BO38" i="20"/>
  <c r="BO39" i="20"/>
  <c r="BO40" i="20"/>
  <c r="BO41" i="20"/>
  <c r="BO42" i="20"/>
  <c r="BO43" i="20"/>
  <c r="BO44" i="20"/>
  <c r="BO45" i="20"/>
  <c r="BO46" i="20"/>
  <c r="BO47" i="20"/>
  <c r="BO48" i="20"/>
  <c r="BO49" i="20"/>
  <c r="BN23" i="20"/>
  <c r="BN24" i="20"/>
  <c r="BN25" i="20"/>
  <c r="BN26" i="20"/>
  <c r="BN27" i="20"/>
  <c r="BN28" i="20"/>
  <c r="BN29" i="20"/>
  <c r="BN30" i="20"/>
  <c r="BN31" i="20"/>
  <c r="BN32" i="20"/>
  <c r="BN33" i="20"/>
  <c r="BN34" i="20"/>
  <c r="BN35" i="20"/>
  <c r="BN36" i="20"/>
  <c r="BN37" i="20"/>
  <c r="BN38" i="20"/>
  <c r="BN39" i="20"/>
  <c r="BN40" i="20"/>
  <c r="BN41" i="20"/>
  <c r="BN42" i="20"/>
  <c r="BN43" i="20"/>
  <c r="BN44" i="20"/>
  <c r="BN45" i="20"/>
  <c r="BN46" i="20"/>
  <c r="BN47" i="20"/>
  <c r="BN48" i="20"/>
  <c r="BN49" i="20"/>
  <c r="BM23" i="20"/>
  <c r="BM24" i="20"/>
  <c r="BM25" i="20"/>
  <c r="BM26" i="20"/>
  <c r="BM27" i="20"/>
  <c r="BM28" i="20"/>
  <c r="BM29" i="20"/>
  <c r="BM30" i="20"/>
  <c r="BM31" i="20"/>
  <c r="BM32" i="20"/>
  <c r="BM33" i="20"/>
  <c r="BM34" i="20"/>
  <c r="BM35" i="20"/>
  <c r="BM36" i="20"/>
  <c r="BM37" i="20"/>
  <c r="BM38" i="20"/>
  <c r="BM39" i="20"/>
  <c r="BM40" i="20"/>
  <c r="BM41" i="20"/>
  <c r="BM42" i="20"/>
  <c r="BM43" i="20"/>
  <c r="BM44" i="20"/>
  <c r="BM45" i="20"/>
  <c r="BM46" i="20"/>
  <c r="BM47" i="20"/>
  <c r="BM48" i="20"/>
  <c r="BM49" i="20"/>
  <c r="BL23" i="20"/>
  <c r="BL24" i="20"/>
  <c r="BL25" i="20"/>
  <c r="BL26" i="20"/>
  <c r="BL27" i="20"/>
  <c r="BL28" i="20"/>
  <c r="BL29" i="20"/>
  <c r="BL30" i="20"/>
  <c r="BL31" i="20"/>
  <c r="BL32" i="20"/>
  <c r="BL33" i="20"/>
  <c r="BL34" i="20"/>
  <c r="BL35" i="20"/>
  <c r="BL36" i="20"/>
  <c r="BL37" i="20"/>
  <c r="BL38" i="20"/>
  <c r="BL39" i="20"/>
  <c r="BL40" i="20"/>
  <c r="BL41" i="20"/>
  <c r="BL42" i="20"/>
  <c r="BL43" i="20"/>
  <c r="BL44" i="20"/>
  <c r="BL45" i="20"/>
  <c r="BL46" i="20"/>
  <c r="BL47" i="20"/>
  <c r="BL48" i="20"/>
  <c r="BL49" i="20"/>
  <c r="BK23" i="20"/>
  <c r="BK24" i="20"/>
  <c r="BK25" i="20"/>
  <c r="BK26" i="20"/>
  <c r="BK27" i="20"/>
  <c r="BK28" i="20"/>
  <c r="BK29" i="20"/>
  <c r="BK30" i="20"/>
  <c r="BK31" i="20"/>
  <c r="BK32" i="20"/>
  <c r="BK33" i="20"/>
  <c r="BK34" i="20"/>
  <c r="BK35" i="20"/>
  <c r="BK36" i="20"/>
  <c r="BK37" i="20"/>
  <c r="BK38" i="20"/>
  <c r="BK39" i="20"/>
  <c r="BK40" i="20"/>
  <c r="BK41" i="20"/>
  <c r="BK42" i="20"/>
  <c r="BK43" i="20"/>
  <c r="BK44" i="20"/>
  <c r="BK45" i="20"/>
  <c r="BK46" i="20"/>
  <c r="BK47" i="20"/>
  <c r="BK48" i="20"/>
  <c r="BK49" i="20"/>
  <c r="BJ23" i="20"/>
  <c r="BJ24" i="20"/>
  <c r="BJ25" i="20"/>
  <c r="BJ26" i="20"/>
  <c r="BJ27" i="20"/>
  <c r="BJ28" i="20"/>
  <c r="BJ29" i="20"/>
  <c r="BJ30" i="20"/>
  <c r="BJ31" i="20"/>
  <c r="BJ32" i="20"/>
  <c r="BJ33" i="20"/>
  <c r="BJ34" i="20"/>
  <c r="BJ35" i="20"/>
  <c r="BJ36" i="20"/>
  <c r="BJ37" i="20"/>
  <c r="BJ38" i="20"/>
  <c r="BJ39" i="20"/>
  <c r="BJ40" i="20"/>
  <c r="BJ41" i="20"/>
  <c r="BJ42" i="20"/>
  <c r="BJ43" i="20"/>
  <c r="BJ44" i="20"/>
  <c r="BJ45" i="20"/>
  <c r="BJ46" i="20"/>
  <c r="BJ47" i="20"/>
  <c r="BJ48" i="20"/>
  <c r="BJ49" i="20"/>
  <c r="BI23" i="20"/>
  <c r="BI24" i="20"/>
  <c r="BI25" i="20"/>
  <c r="BI26" i="20"/>
  <c r="BI27" i="20"/>
  <c r="BI28" i="20"/>
  <c r="BI29" i="20"/>
  <c r="BI30" i="20"/>
  <c r="BI31" i="20"/>
  <c r="BI32" i="20"/>
  <c r="BI33" i="20"/>
  <c r="BI34" i="20"/>
  <c r="BI35" i="20"/>
  <c r="BI36" i="20"/>
  <c r="BI37" i="20"/>
  <c r="BI38" i="20"/>
  <c r="BI39" i="20"/>
  <c r="BI40" i="20"/>
  <c r="BI41" i="20"/>
  <c r="BI42" i="20"/>
  <c r="BI43" i="20"/>
  <c r="BI44" i="20"/>
  <c r="BI45" i="20"/>
  <c r="BI46" i="20"/>
  <c r="BI47" i="20"/>
  <c r="BI48" i="20"/>
  <c r="BI49" i="20"/>
  <c r="BH23" i="20"/>
  <c r="BH24" i="20"/>
  <c r="BH25" i="20"/>
  <c r="BH26" i="20"/>
  <c r="BH27" i="20"/>
  <c r="BH28" i="20"/>
  <c r="BH29" i="20"/>
  <c r="BH30" i="20"/>
  <c r="BH31" i="20"/>
  <c r="BH32" i="20"/>
  <c r="BH33" i="20"/>
  <c r="BH34" i="20"/>
  <c r="BH35" i="20"/>
  <c r="BH36" i="20"/>
  <c r="BH37" i="20"/>
  <c r="BH38" i="20"/>
  <c r="BH39" i="20"/>
  <c r="BH40" i="20"/>
  <c r="BH41" i="20"/>
  <c r="BH42" i="20"/>
  <c r="BH43" i="20"/>
  <c r="BH44" i="20"/>
  <c r="BH45" i="20"/>
  <c r="BH46" i="20"/>
  <c r="BH47" i="20"/>
  <c r="BH48" i="20"/>
  <c r="BH49" i="20"/>
  <c r="BG23" i="20"/>
  <c r="BG25" i="20"/>
  <c r="BG26" i="20"/>
  <c r="BG27" i="20"/>
  <c r="BG28" i="20"/>
  <c r="BG29" i="20"/>
  <c r="BG30" i="20"/>
  <c r="BG31" i="20"/>
  <c r="BG32" i="20"/>
  <c r="BG33" i="20"/>
  <c r="BG34" i="20"/>
  <c r="BG35" i="20"/>
  <c r="BG36" i="20"/>
  <c r="BG37" i="20"/>
  <c r="BG38" i="20"/>
  <c r="BG39" i="20"/>
  <c r="BG40" i="20"/>
  <c r="BG41" i="20"/>
  <c r="BG42" i="20"/>
  <c r="BG43" i="20"/>
  <c r="BG44" i="20"/>
  <c r="BG45" i="20"/>
  <c r="BG46" i="20"/>
  <c r="BG47" i="20"/>
  <c r="BG48" i="20"/>
  <c r="BG49" i="20"/>
  <c r="BG24" i="20"/>
  <c r="BK22" i="20" l="1"/>
  <c r="BK51" i="20" s="1"/>
  <c r="AC50" i="20"/>
  <c r="AC51" i="20" s="1"/>
  <c r="BG22" i="20"/>
  <c r="BG51" i="20" s="1"/>
  <c r="BN22" i="20"/>
  <c r="BN51" i="20" s="1"/>
  <c r="AR50" i="20"/>
  <c r="BJ22" i="20"/>
  <c r="BJ50" i="20" s="1"/>
  <c r="X50" i="20"/>
  <c r="X51" i="20" s="1"/>
  <c r="BO22" i="20"/>
  <c r="BO51" i="20" s="1"/>
  <c r="AW50" i="20"/>
  <c r="BI22" i="20"/>
  <c r="BI51" i="20" s="1"/>
  <c r="S50" i="20"/>
  <c r="BL22" i="20"/>
  <c r="BL51" i="20" s="1"/>
  <c r="AH50" i="20"/>
  <c r="BM22" i="20"/>
  <c r="BM51" i="20" s="1"/>
  <c r="AM50" i="20"/>
  <c r="BH22" i="20"/>
  <c r="BH51" i="20" s="1"/>
  <c r="N50" i="20"/>
  <c r="BC22" i="22"/>
  <c r="BC51" i="22" s="1"/>
  <c r="N50" i="22"/>
  <c r="N51" i="22" s="1"/>
  <c r="BH22" i="22"/>
  <c r="BH50" i="22" s="1"/>
  <c r="AM50" i="22"/>
  <c r="AM51" i="22" s="1"/>
  <c r="BI22" i="22"/>
  <c r="BI50" i="22" s="1"/>
  <c r="AR50" i="22"/>
  <c r="BF22" i="22"/>
  <c r="BF50" i="22" s="1"/>
  <c r="AC50" i="22"/>
  <c r="AC51" i="22" s="1"/>
  <c r="BG22" i="22"/>
  <c r="BG51" i="22" s="1"/>
  <c r="AH50" i="22"/>
  <c r="AH51" i="22" s="1"/>
  <c r="BD22" i="22"/>
  <c r="BD51" i="22" s="1"/>
  <c r="S50" i="22"/>
  <c r="S51" i="22" s="1"/>
  <c r="BE22" i="22"/>
  <c r="BE50" i="22" s="1"/>
  <c r="X50" i="22"/>
  <c r="X51" i="22" s="1"/>
  <c r="BB22" i="22"/>
  <c r="BB51" i="22" s="1"/>
  <c r="I50" i="22"/>
  <c r="BI19" i="22"/>
  <c r="BH19" i="22"/>
  <c r="BG18" i="22"/>
  <c r="BH18" i="22" s="1"/>
  <c r="BI18" i="22" s="1"/>
  <c r="BJ35" i="22"/>
  <c r="BK35" i="22" s="1"/>
  <c r="X10" i="22"/>
  <c r="AC10" i="22" s="1"/>
  <c r="AH10" i="22" s="1"/>
  <c r="AM10" i="22" s="1"/>
  <c r="AR10" i="22" s="1"/>
  <c r="BL28" i="22"/>
  <c r="BN28" i="22" s="1"/>
  <c r="BL48" i="22"/>
  <c r="BN48" i="22" s="1"/>
  <c r="BO43" i="22"/>
  <c r="BQ43" i="22" s="1"/>
  <c r="BO32" i="22"/>
  <c r="BQ32" i="22" s="1"/>
  <c r="BJ47" i="22"/>
  <c r="BK47" i="22" s="1"/>
  <c r="BO30" i="22"/>
  <c r="BQ30" i="22" s="1"/>
  <c r="BL46" i="22"/>
  <c r="BN46" i="22" s="1"/>
  <c r="BL37" i="22"/>
  <c r="BN37" i="22" s="1"/>
  <c r="BO27" i="22"/>
  <c r="BQ27" i="22" s="1"/>
  <c r="BJ25" i="22"/>
  <c r="BK25" i="22" s="1"/>
  <c r="BO25" i="22"/>
  <c r="BQ25" i="22" s="1"/>
  <c r="BL25" i="22"/>
  <c r="BN25" i="22" s="1"/>
  <c r="BJ42" i="22"/>
  <c r="BK42" i="22" s="1"/>
  <c r="BO42" i="22"/>
  <c r="BQ42" i="22" s="1"/>
  <c r="BL42" i="22"/>
  <c r="BN42" i="22" s="1"/>
  <c r="BL39" i="22"/>
  <c r="BN39" i="22" s="1"/>
  <c r="BJ39" i="22"/>
  <c r="BK39" i="22" s="1"/>
  <c r="BL49" i="22"/>
  <c r="BN49" i="22" s="1"/>
  <c r="BJ24" i="22"/>
  <c r="BK24" i="22" s="1"/>
  <c r="BO24" i="22"/>
  <c r="BQ24" i="22" s="1"/>
  <c r="BL24" i="22"/>
  <c r="BN24" i="22" s="1"/>
  <c r="BJ38" i="22"/>
  <c r="BK38" i="22" s="1"/>
  <c r="BL38" i="22"/>
  <c r="BN38" i="22" s="1"/>
  <c r="BL40" i="22"/>
  <c r="BN40" i="22" s="1"/>
  <c r="BO40" i="22"/>
  <c r="BQ40" i="22" s="1"/>
  <c r="BL29" i="22"/>
  <c r="BN29" i="22" s="1"/>
  <c r="BJ29" i="22"/>
  <c r="BK29" i="22" s="1"/>
  <c r="BO29" i="22"/>
  <c r="BL36" i="22"/>
  <c r="BN36" i="22" s="1"/>
  <c r="BO45" i="22"/>
  <c r="BQ45" i="22" s="1"/>
  <c r="BL45" i="22"/>
  <c r="BN45" i="22" s="1"/>
  <c r="BJ45" i="22"/>
  <c r="BK45" i="22" s="1"/>
  <c r="BJ31" i="22"/>
  <c r="BK31" i="22" s="1"/>
  <c r="BJ27" i="22"/>
  <c r="BK27" i="22" s="1"/>
  <c r="BO34" i="22"/>
  <c r="BQ34" i="22" s="1"/>
  <c r="BJ34" i="22"/>
  <c r="BK34" i="22" s="1"/>
  <c r="BL34" i="22"/>
  <c r="BN34" i="22" s="1"/>
  <c r="BO23" i="22"/>
  <c r="BQ23" i="22" s="1"/>
  <c r="BO37" i="22"/>
  <c r="BQ37" i="22" s="1"/>
  <c r="BJ37" i="22"/>
  <c r="BK37" i="22" s="1"/>
  <c r="BO38" i="22"/>
  <c r="BQ38" i="22" s="1"/>
  <c r="BJ43" i="22"/>
  <c r="BK43" i="22" s="1"/>
  <c r="BJ26" i="22"/>
  <c r="BK26" i="22" s="1"/>
  <c r="BL31" i="22"/>
  <c r="BN31" i="22" s="1"/>
  <c r="BL35" i="22"/>
  <c r="BN35" i="22" s="1"/>
  <c r="BO35" i="22"/>
  <c r="BQ35" i="22" s="1"/>
  <c r="BO46" i="22"/>
  <c r="BQ46" i="22" s="1"/>
  <c r="BJ46" i="22"/>
  <c r="BK46" i="22" s="1"/>
  <c r="BJ28" i="22"/>
  <c r="BK28" i="22" s="1"/>
  <c r="BJ36" i="22"/>
  <c r="BK36" i="22" s="1"/>
  <c r="BO36" i="22"/>
  <c r="BL41" i="22"/>
  <c r="BN41" i="22" s="1"/>
  <c r="BJ41" i="22"/>
  <c r="BK41" i="22" s="1"/>
  <c r="BL44" i="22"/>
  <c r="BN44" i="22" s="1"/>
  <c r="BJ44" i="22"/>
  <c r="BK44" i="22" s="1"/>
  <c r="BJ30" i="22"/>
  <c r="BK30" i="22" s="1"/>
  <c r="BO33" i="22"/>
  <c r="BQ33" i="22" s="1"/>
  <c r="BL33" i="22"/>
  <c r="BN33" i="22" s="1"/>
  <c r="BJ48" i="22"/>
  <c r="BK48" i="22" s="1"/>
  <c r="BO48" i="22"/>
  <c r="BQ48" i="22" s="1"/>
  <c r="BO28" i="22"/>
  <c r="BQ28" i="22" s="1"/>
  <c r="BO41" i="22"/>
  <c r="BQ41" i="22" s="1"/>
  <c r="BL23" i="22"/>
  <c r="BN23" i="22" s="1"/>
  <c r="BL32" i="22"/>
  <c r="BN32" i="22" s="1"/>
  <c r="BJ32" i="22"/>
  <c r="BK32" i="22" s="1"/>
  <c r="BJ40" i="22"/>
  <c r="BK40" i="22" s="1"/>
  <c r="BL27" i="22"/>
  <c r="BN27" i="22" s="1"/>
  <c r="BO31" i="22"/>
  <c r="BQ31" i="22" s="1"/>
  <c r="BO39" i="22"/>
  <c r="BQ39" i="22" s="1"/>
  <c r="BO44" i="22"/>
  <c r="BQ44" i="22" s="1"/>
  <c r="BO49" i="22"/>
  <c r="BQ49" i="22" s="1"/>
  <c r="BJ49" i="22"/>
  <c r="BK49" i="22" s="1"/>
  <c r="BL30" i="22"/>
  <c r="BN30" i="22" s="1"/>
  <c r="BJ33" i="22"/>
  <c r="BK33" i="22" s="1"/>
  <c r="BL43" i="22"/>
  <c r="BN43" i="22" s="1"/>
  <c r="BL47" i="22"/>
  <c r="BN47" i="22" s="1"/>
  <c r="BO47" i="22"/>
  <c r="BQ47" i="22" s="1"/>
  <c r="BL50" i="20" l="1"/>
  <c r="BM50" i="20"/>
  <c r="BG50" i="20"/>
  <c r="BK50" i="20"/>
  <c r="AW57" i="20"/>
  <c r="AR57" i="20"/>
  <c r="AR57" i="22"/>
  <c r="AR58" i="22" s="1"/>
  <c r="AM57" i="22"/>
  <c r="AM58" i="22" s="1"/>
  <c r="BI51" i="22"/>
  <c r="BO50" i="20"/>
  <c r="BN50" i="20"/>
  <c r="BH51" i="22"/>
  <c r="BJ51" i="20"/>
  <c r="BC50" i="22"/>
  <c r="BD50" i="22"/>
  <c r="BE51" i="22"/>
  <c r="BH50" i="20"/>
  <c r="BI50" i="20"/>
  <c r="BJ22" i="22"/>
  <c r="BK22" i="22" s="1"/>
  <c r="BG50" i="22"/>
  <c r="BF51" i="22"/>
  <c r="BB50" i="22"/>
  <c r="I51" i="22"/>
  <c r="BP36" i="22"/>
  <c r="BQ36" i="22"/>
  <c r="BP29" i="22"/>
  <c r="BQ29" i="22"/>
  <c r="BP48" i="22"/>
  <c r="BP38" i="22"/>
  <c r="BP35" i="22"/>
  <c r="BJ23" i="22"/>
  <c r="BK23" i="22" s="1"/>
  <c r="BP27" i="22"/>
  <c r="BP28" i="22"/>
  <c r="BO22" i="22"/>
  <c r="BQ22" i="22" s="1"/>
  <c r="BP44" i="22"/>
  <c r="BP25" i="22"/>
  <c r="BP39" i="22"/>
  <c r="BP43" i="22"/>
  <c r="BP47" i="22"/>
  <c r="BP31" i="22"/>
  <c r="BM28" i="22"/>
  <c r="BM46" i="22"/>
  <c r="BP45" i="22"/>
  <c r="BL22" i="22"/>
  <c r="BN22" i="22" s="1"/>
  <c r="BP33" i="22"/>
  <c r="BP42" i="22"/>
  <c r="BM40" i="22"/>
  <c r="BM48" i="22"/>
  <c r="BM42" i="22"/>
  <c r="BM49" i="22"/>
  <c r="BM47" i="22"/>
  <c r="BM27" i="22"/>
  <c r="BM30" i="22"/>
  <c r="BM44" i="22"/>
  <c r="BM35" i="22"/>
  <c r="BM36" i="22"/>
  <c r="BP32" i="22"/>
  <c r="BM32" i="22"/>
  <c r="BM33" i="22"/>
  <c r="BM31" i="22"/>
  <c r="BO26" i="22"/>
  <c r="BL26" i="22"/>
  <c r="BN26" i="22" s="1"/>
  <c r="BM24" i="22"/>
  <c r="BM41" i="22"/>
  <c r="BP34" i="22"/>
  <c r="BM29" i="22"/>
  <c r="BP24" i="22"/>
  <c r="BP49" i="22"/>
  <c r="BP40" i="22"/>
  <c r="BP41" i="22"/>
  <c r="BP37" i="22"/>
  <c r="BP30" i="22"/>
  <c r="BM25" i="22"/>
  <c r="BM43" i="22"/>
  <c r="AR51" i="22"/>
  <c r="BM38" i="22"/>
  <c r="BM39" i="22"/>
  <c r="BP46" i="22"/>
  <c r="BM34" i="22"/>
  <c r="BM45" i="22"/>
  <c r="BM37" i="22"/>
  <c r="N58" i="20"/>
  <c r="I58" i="20"/>
  <c r="B23" i="20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H18" i="20"/>
  <c r="BI18" i="20" s="1"/>
  <c r="N10" i="20"/>
  <c r="S10" i="20" s="1"/>
  <c r="AX8" i="20"/>
  <c r="D58" i="20" s="1"/>
  <c r="BS42" i="22" l="1"/>
  <c r="BS40" i="22"/>
  <c r="BS38" i="22"/>
  <c r="BS41" i="22"/>
  <c r="BS39" i="22"/>
  <c r="BS36" i="22"/>
  <c r="BS37" i="22"/>
  <c r="BS48" i="22"/>
  <c r="BS49" i="22"/>
  <c r="BS44" i="22"/>
  <c r="BS46" i="22"/>
  <c r="BS35" i="22"/>
  <c r="BS43" i="22"/>
  <c r="BS47" i="22"/>
  <c r="BS45" i="22"/>
  <c r="BU50" i="20"/>
  <c r="BJ50" i="22"/>
  <c r="BK50" i="22" s="1"/>
  <c r="BL50" i="22"/>
  <c r="BO50" i="22"/>
  <c r="BP50" i="20"/>
  <c r="BQ50" i="20" s="1"/>
  <c r="BR50" i="20"/>
  <c r="BS25" i="22"/>
  <c r="BS23" i="22"/>
  <c r="BS31" i="22"/>
  <c r="BS29" i="22"/>
  <c r="BS24" i="22"/>
  <c r="BS34" i="22"/>
  <c r="BS22" i="22"/>
  <c r="BS33" i="22"/>
  <c r="BS32" i="22"/>
  <c r="BS30" i="22"/>
  <c r="BS28" i="22"/>
  <c r="BS27" i="22"/>
  <c r="BS26" i="22"/>
  <c r="BP26" i="22"/>
  <c r="BQ26" i="22"/>
  <c r="BP22" i="22"/>
  <c r="BM23" i="22"/>
  <c r="BP23" i="22"/>
  <c r="BM22" i="22"/>
  <c r="BM26" i="22"/>
  <c r="BU30" i="20"/>
  <c r="BW30" i="20" s="1"/>
  <c r="BR30" i="20"/>
  <c r="BP30" i="20"/>
  <c r="BQ30" i="20" s="1"/>
  <c r="BR31" i="20"/>
  <c r="BP31" i="20"/>
  <c r="BQ31" i="20" s="1"/>
  <c r="BU31" i="20"/>
  <c r="BW31" i="20" s="1"/>
  <c r="BR26" i="20"/>
  <c r="BP26" i="20"/>
  <c r="BQ26" i="20" s="1"/>
  <c r="BU26" i="20"/>
  <c r="BW26" i="20" s="1"/>
  <c r="BR32" i="20"/>
  <c r="BP32" i="20"/>
  <c r="BQ32" i="20" s="1"/>
  <c r="BU32" i="20"/>
  <c r="BW32" i="20" s="1"/>
  <c r="BP38" i="20"/>
  <c r="BQ38" i="20" s="1"/>
  <c r="BU38" i="20"/>
  <c r="BW38" i="20" s="1"/>
  <c r="BR38" i="20"/>
  <c r="BU44" i="20"/>
  <c r="BW44" i="20" s="1"/>
  <c r="BR44" i="20"/>
  <c r="BP44" i="20"/>
  <c r="BQ44" i="20" s="1"/>
  <c r="BR27" i="20"/>
  <c r="BP27" i="20"/>
  <c r="BQ27" i="20" s="1"/>
  <c r="BU27" i="20"/>
  <c r="BW27" i="20" s="1"/>
  <c r="BR33" i="20"/>
  <c r="BU33" i="20"/>
  <c r="BW33" i="20" s="1"/>
  <c r="BP33" i="20"/>
  <c r="BQ33" i="20" s="1"/>
  <c r="BR39" i="20"/>
  <c r="BP39" i="20"/>
  <c r="BQ39" i="20" s="1"/>
  <c r="BU39" i="20"/>
  <c r="BW39" i="20" s="1"/>
  <c r="BU45" i="20"/>
  <c r="BW45" i="20" s="1"/>
  <c r="BR45" i="20"/>
  <c r="BP45" i="20"/>
  <c r="BQ45" i="20" s="1"/>
  <c r="BP36" i="20"/>
  <c r="BQ36" i="20" s="1"/>
  <c r="BU36" i="20"/>
  <c r="BW36" i="20" s="1"/>
  <c r="BR36" i="20"/>
  <c r="BP42" i="20"/>
  <c r="BQ42" i="20" s="1"/>
  <c r="BU42" i="20"/>
  <c r="BW42" i="20" s="1"/>
  <c r="BR42" i="20"/>
  <c r="BP48" i="20"/>
  <c r="BQ48" i="20" s="1"/>
  <c r="BR48" i="20"/>
  <c r="BU48" i="20"/>
  <c r="BW48" i="20" s="1"/>
  <c r="BR25" i="20"/>
  <c r="BU25" i="20"/>
  <c r="BW25" i="20" s="1"/>
  <c r="BP25" i="20"/>
  <c r="BQ25" i="20" s="1"/>
  <c r="BP37" i="20"/>
  <c r="BQ37" i="20" s="1"/>
  <c r="BR37" i="20"/>
  <c r="BU37" i="20"/>
  <c r="BW37" i="20" s="1"/>
  <c r="BU43" i="20"/>
  <c r="BW43" i="20" s="1"/>
  <c r="BP43" i="20"/>
  <c r="BQ43" i="20" s="1"/>
  <c r="BR43" i="20"/>
  <c r="BP49" i="20"/>
  <c r="BQ49" i="20" s="1"/>
  <c r="BU49" i="20"/>
  <c r="BR49" i="20"/>
  <c r="BR28" i="20"/>
  <c r="BP28" i="20"/>
  <c r="BQ28" i="20" s="1"/>
  <c r="BU28" i="20"/>
  <c r="BW28" i="20" s="1"/>
  <c r="BR34" i="20"/>
  <c r="BU34" i="20"/>
  <c r="BW34" i="20" s="1"/>
  <c r="BP34" i="20"/>
  <c r="BQ34" i="20" s="1"/>
  <c r="BR40" i="20"/>
  <c r="BP40" i="20"/>
  <c r="BQ40" i="20" s="1"/>
  <c r="BU40" i="20"/>
  <c r="BW40" i="20" s="1"/>
  <c r="BR46" i="20"/>
  <c r="BP46" i="20"/>
  <c r="BQ46" i="20" s="1"/>
  <c r="BU46" i="20"/>
  <c r="BW46" i="20" s="1"/>
  <c r="BR29" i="20"/>
  <c r="BU29" i="20"/>
  <c r="BW29" i="20" s="1"/>
  <c r="BP29" i="20"/>
  <c r="BQ29" i="20" s="1"/>
  <c r="BR35" i="20"/>
  <c r="BU35" i="20"/>
  <c r="BW35" i="20" s="1"/>
  <c r="BP35" i="20"/>
  <c r="BQ35" i="20" s="1"/>
  <c r="BR41" i="20"/>
  <c r="BU41" i="20"/>
  <c r="BW41" i="20" s="1"/>
  <c r="BP41" i="20"/>
  <c r="BQ41" i="20" s="1"/>
  <c r="BR47" i="20"/>
  <c r="BP47" i="20"/>
  <c r="BQ47" i="20" s="1"/>
  <c r="BU47" i="20"/>
  <c r="BW47" i="20" s="1"/>
  <c r="BR24" i="20"/>
  <c r="BP24" i="20"/>
  <c r="BQ24" i="20" s="1"/>
  <c r="BU24" i="20"/>
  <c r="BW24" i="20" s="1"/>
  <c r="BU23" i="20"/>
  <c r="BW23" i="20" s="1"/>
  <c r="BP23" i="20"/>
  <c r="BR23" i="20"/>
  <c r="BP22" i="20"/>
  <c r="BQ22" i="20" s="1"/>
  <c r="BJ18" i="20"/>
  <c r="BK18" i="20" s="1"/>
  <c r="BL18" i="20" s="1"/>
  <c r="BM18" i="20" s="1"/>
  <c r="BN18" i="20" s="1"/>
  <c r="BO18" i="20" s="1"/>
  <c r="X10" i="20"/>
  <c r="AC10" i="20" s="1"/>
  <c r="AH10" i="20" s="1"/>
  <c r="AM10" i="20" s="1"/>
  <c r="AR10" i="20" s="1"/>
  <c r="AW10" i="20" s="1"/>
  <c r="N51" i="20"/>
  <c r="BO19" i="20"/>
  <c r="BM19" i="20"/>
  <c r="BN19" i="20"/>
  <c r="AH51" i="20"/>
  <c r="AM51" i="20"/>
  <c r="S51" i="20"/>
  <c r="BV50" i="20" l="1"/>
  <c r="BS50" i="20"/>
  <c r="BP50" i="22"/>
  <c r="BM50" i="22"/>
  <c r="AR51" i="20"/>
  <c r="AW58" i="20"/>
  <c r="BS20" i="22"/>
  <c r="I51" i="20"/>
  <c r="AR58" i="20"/>
  <c r="BV49" i="20"/>
  <c r="BW49" i="20"/>
  <c r="BV48" i="20"/>
  <c r="BV46" i="20"/>
  <c r="BV39" i="20"/>
  <c r="BV31" i="20"/>
  <c r="BR22" i="20"/>
  <c r="BT22" i="20" s="1"/>
  <c r="BU22" i="20"/>
  <c r="BW22" i="20" s="1"/>
  <c r="BV47" i="20"/>
  <c r="BV42" i="20"/>
  <c r="BV26" i="20"/>
  <c r="BV38" i="20"/>
  <c r="BV27" i="20"/>
  <c r="BV25" i="20"/>
  <c r="BV45" i="20"/>
  <c r="BV41" i="20"/>
  <c r="BV33" i="20"/>
  <c r="BV37" i="20"/>
  <c r="BV36" i="20"/>
  <c r="BV32" i="20"/>
  <c r="BV29" i="20"/>
  <c r="BT47" i="20"/>
  <c r="BS47" i="20"/>
  <c r="BT46" i="20"/>
  <c r="BS46" i="20"/>
  <c r="BT39" i="20"/>
  <c r="BS39" i="20"/>
  <c r="BV44" i="20"/>
  <c r="BS31" i="20"/>
  <c r="BT31" i="20"/>
  <c r="BT41" i="20"/>
  <c r="BS41" i="20"/>
  <c r="BS40" i="20"/>
  <c r="BT40" i="20"/>
  <c r="BV43" i="20"/>
  <c r="BT33" i="20"/>
  <c r="BS33" i="20"/>
  <c r="BS38" i="20"/>
  <c r="BT38" i="20"/>
  <c r="BS36" i="20"/>
  <c r="BT36" i="20"/>
  <c r="BT30" i="20"/>
  <c r="BS30" i="20"/>
  <c r="BQ23" i="20"/>
  <c r="BY26" i="20" s="1"/>
  <c r="BV35" i="20"/>
  <c r="BV34" i="20"/>
  <c r="BS37" i="20"/>
  <c r="BT37" i="20"/>
  <c r="BV30" i="20"/>
  <c r="BT35" i="20"/>
  <c r="BS35" i="20"/>
  <c r="BT34" i="20"/>
  <c r="BS34" i="20"/>
  <c r="BT27" i="20"/>
  <c r="BS27" i="20"/>
  <c r="BV28" i="20"/>
  <c r="BS29" i="20"/>
  <c r="BT29" i="20"/>
  <c r="BS28" i="20"/>
  <c r="BT28" i="20"/>
  <c r="BT25" i="20"/>
  <c r="BS25" i="20"/>
  <c r="BT49" i="20"/>
  <c r="BS49" i="20"/>
  <c r="BS48" i="20"/>
  <c r="BT48" i="20"/>
  <c r="BS26" i="20"/>
  <c r="BT26" i="20"/>
  <c r="BT45" i="20"/>
  <c r="BS45" i="20"/>
  <c r="BT32" i="20"/>
  <c r="BS32" i="20"/>
  <c r="BV40" i="20"/>
  <c r="BT43" i="20"/>
  <c r="BS43" i="20"/>
  <c r="BT42" i="20"/>
  <c r="BS42" i="20"/>
  <c r="BS44" i="20"/>
  <c r="BT44" i="20"/>
  <c r="BV24" i="20"/>
  <c r="BS24" i="20"/>
  <c r="BT24" i="20"/>
  <c r="BS23" i="20"/>
  <c r="BV23" i="20"/>
  <c r="BT23" i="20"/>
  <c r="AW51" i="20"/>
  <c r="BY49" i="20" l="1"/>
  <c r="BY38" i="20"/>
  <c r="BY48" i="20"/>
  <c r="BY43" i="20"/>
  <c r="BY40" i="20"/>
  <c r="BY44" i="20"/>
  <c r="BY45" i="20"/>
  <c r="BY41" i="20"/>
  <c r="BY42" i="20"/>
  <c r="BY37" i="20"/>
  <c r="BY46" i="20"/>
  <c r="BY39" i="20"/>
  <c r="BY47" i="20"/>
  <c r="BY30" i="20"/>
  <c r="BY23" i="20"/>
  <c r="BY33" i="20"/>
  <c r="BY34" i="20"/>
  <c r="BY24" i="20"/>
  <c r="BY27" i="20"/>
  <c r="BY36" i="20"/>
  <c r="BY35" i="20"/>
  <c r="BY28" i="20"/>
  <c r="BY25" i="20"/>
  <c r="BY31" i="20"/>
  <c r="BY32" i="20"/>
  <c r="BY22" i="20"/>
  <c r="BY29" i="20"/>
  <c r="BS22" i="20"/>
  <c r="BV22" i="20"/>
  <c r="BY20" i="20" l="1"/>
  <c r="AG22" i="30" l="1"/>
  <c r="AG50" i="30"/>
  <c r="AO41" i="30" l="1"/>
  <c r="AO40" i="30"/>
  <c r="AO47" i="30"/>
  <c r="AO39" i="30"/>
  <c r="AO48" i="30"/>
  <c r="AO35" i="30"/>
  <c r="AO38" i="30"/>
  <c r="AO37" i="30"/>
  <c r="AO49" i="30"/>
  <c r="AO36" i="30"/>
  <c r="AO44" i="30"/>
  <c r="AO43" i="30"/>
  <c r="AO45" i="30"/>
  <c r="AO42" i="30"/>
  <c r="AO46" i="30"/>
  <c r="AO29" i="30"/>
  <c r="AO33" i="30"/>
  <c r="AO32" i="30"/>
  <c r="AO31" i="30"/>
  <c r="AO22" i="30"/>
  <c r="AO25" i="30"/>
  <c r="AO28" i="30"/>
  <c r="AO26" i="30"/>
  <c r="AO23" i="30"/>
  <c r="AO27" i="30"/>
  <c r="AO24" i="30"/>
  <c r="AO34" i="30"/>
  <c r="AO30" i="30"/>
  <c r="AO20" i="30" l="1"/>
  <c r="BA19" i="26" l="1"/>
  <c r="AP19" i="28"/>
  <c r="AW19" i="27"/>
  <c r="AU19" i="27"/>
  <c r="AK19" i="29"/>
  <c r="BB19" i="26"/>
  <c r="AQ19" i="28"/>
  <c r="BP19" i="32"/>
  <c r="BF19" i="22"/>
  <c r="BJ19" i="20"/>
  <c r="BK19" i="20"/>
  <c r="AV19" i="27"/>
  <c r="BE19" i="22"/>
  <c r="BQ19" i="32"/>
  <c r="BL19" i="20"/>
  <c r="BO19" i="32"/>
  <c r="BG19" i="22"/>
  <c r="AZ19" i="26"/>
  <c r="AO19" i="28"/>
  <c r="AE19" i="30"/>
  <c r="AJ19" i="29"/>
  <c r="BI19" i="20"/>
  <c r="AT19" i="27"/>
  <c r="AY19" i="26"/>
  <c r="BD19" i="22"/>
  <c r="BN19" i="32"/>
  <c r="BH19" i="20"/>
  <c r="AN19" i="28"/>
  <c r="BC19" i="22"/>
  <c r="AS19" i="27"/>
  <c r="AD19" i="30"/>
  <c r="AI19" i="29"/>
  <c r="AX19" i="26"/>
  <c r="BM19" i="32"/>
  <c r="AC19" i="30" l="1"/>
  <c r="BL19" i="32"/>
  <c r="AR19" i="27"/>
  <c r="AH19" i="29"/>
  <c r="AW19" i="26"/>
  <c r="BG19" i="20"/>
  <c r="BB19" i="22"/>
  <c r="AM19" i="28"/>
  <c r="AS50" i="29" l="1"/>
  <c r="AP50" i="29"/>
  <c r="BH50" i="26"/>
  <c r="BK50" i="26"/>
  <c r="CC51" i="32"/>
  <c r="BZ51" i="32"/>
  <c r="AV50" i="28"/>
  <c r="AY50" i="28"/>
  <c r="BN50" i="22"/>
  <c r="BQ50" i="22"/>
  <c r="BE50" i="27"/>
  <c r="BB50" i="27"/>
  <c r="BW50" i="20"/>
  <c r="BT50" i="20"/>
  <c r="AJ50" i="30"/>
  <c r="AM50" i="3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<sst xmlns="http://schemas.openxmlformats.org/spreadsheetml/2006/main" count="720" uniqueCount="53">
  <si>
    <t>Date</t>
  </si>
  <si>
    <t>Est. Budget PR</t>
  </si>
  <si>
    <t>PT MAKMUR SEJAHTERA WISESA</t>
  </si>
  <si>
    <t>COMPARATIVE QUOTATION SUMMARY</t>
  </si>
  <si>
    <t>PR No</t>
  </si>
  <si>
    <t>:</t>
  </si>
  <si>
    <t xml:space="preserve">Account Code </t>
  </si>
  <si>
    <r>
      <rPr>
        <u/>
        <sz val="8"/>
        <color theme="1"/>
        <rFont val="Palatino Linotype"/>
        <family val="1"/>
      </rPr>
      <t>Selected Supplier :</t>
    </r>
    <r>
      <rPr>
        <sz val="8"/>
        <color theme="1"/>
        <rFont val="Palatino Linotype"/>
        <family val="1"/>
      </rPr>
      <t xml:space="preserve">
</t>
    </r>
  </si>
  <si>
    <t>Supplier</t>
  </si>
  <si>
    <t xml:space="preserve">Justification :
</t>
  </si>
  <si>
    <t>Address</t>
  </si>
  <si>
    <t>No Quo</t>
  </si>
  <si>
    <t>Attn</t>
  </si>
  <si>
    <t>Estimated Cost :</t>
  </si>
  <si>
    <t>Quotation Date</t>
  </si>
  <si>
    <t>Valid Until</t>
  </si>
  <si>
    <t>Payment Term</t>
  </si>
  <si>
    <t>Total</t>
  </si>
  <si>
    <t>%</t>
  </si>
  <si>
    <t>Delivery Term</t>
  </si>
  <si>
    <t>Franco</t>
  </si>
  <si>
    <t>No</t>
  </si>
  <si>
    <t>Description</t>
  </si>
  <si>
    <t>Qty</t>
  </si>
  <si>
    <t>Unit</t>
  </si>
  <si>
    <t>Unit Price</t>
  </si>
  <si>
    <t>Spec</t>
  </si>
  <si>
    <t>Remarks</t>
  </si>
  <si>
    <t>Previous Budget</t>
  </si>
  <si>
    <t>Est. Total Budget</t>
  </si>
  <si>
    <t>Company</t>
  </si>
  <si>
    <t>Lowest Price</t>
  </si>
  <si>
    <t>Second Lowest</t>
  </si>
  <si>
    <t>Third Lowest</t>
  </si>
  <si>
    <t>Kalkulasi</t>
  </si>
  <si>
    <t>Grand Total 
Excl. PPn 11%</t>
  </si>
  <si>
    <t>Grand Total 
Incl. PPn 11%</t>
  </si>
  <si>
    <t>Total Selected Items
Excl. PPn 11%</t>
  </si>
  <si>
    <t>Note</t>
  </si>
  <si>
    <t xml:space="preserve">
- Excl. VAT 11%</t>
  </si>
  <si>
    <t>Prepared by,</t>
  </si>
  <si>
    <t>Technical Reviewed by Users / Engineers</t>
  </si>
  <si>
    <t>Approval by,</t>
  </si>
  <si>
    <t>Responsible Engineer</t>
  </si>
  <si>
    <t>Zulkifli Bastiandi</t>
  </si>
  <si>
    <t>Edy Suprayitno</t>
  </si>
  <si>
    <t>Date         :</t>
  </si>
  <si>
    <t/>
  </si>
  <si>
    <t>Agustinus Sutyo Adi</t>
  </si>
  <si>
    <t>Date:</t>
  </si>
  <si>
    <t>Procurement Review by,</t>
  </si>
  <si>
    <t>Proc &amp; Log Review by,</t>
  </si>
  <si>
    <t>Teuku Syamsul Rizal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</si>
</sst>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dd\ mmm\ yy"/>
    <numFmt numFmtId="168" formatCode="#\ &quot;&quot;"/>
    <numFmt numFmtId="169" formatCode="&quot;No CQS :&quot;\ @"/>
    <numFmt numFmtId="170" formatCode="&quot;Date       :&quot;\ dd\ mmm\ yy"/>
    <numFmt numFmtId="171" formatCode="&quot;Terms &amp; Condition :&quot;\ @"/>
    <numFmt numFmtId="172" formatCode="_(* #,##0.00_);_(* \(#,##0.00\);_(* &quot;&quot;??_);_(@_)"/>
    <numFmt numFmtId="173" formatCode="_-* &quot;Rp&quot;\ #,###;_(* &quot;-&quot;\);"/>
    <numFmt numFmtId="174" formatCode="_(&quot;Target Valid Date Quotation&quot;\ \:\ dd\ mmm\ yy_);;_(* &quot;-&quot;??_);_(@_)"/>
    <numFmt numFmtId="175" formatCode="0;\-0;&quot;-&quot;"/>
    <numFmt numFmtId="176" formatCode="_(* #,##0_);_(* \(#,##0\);_(* &quot;-&quot;??_);_(@_)"/>
    <numFmt numFmtId="177" formatCode="@\ &quot;days&quot;"/>
    <numFmt numFmtId="178" formatCode="_(* #,##0_);_(* \(#,##0\);_(* &quot;&quot;??_);_(@_)"/>
    <numFmt numFmtId="179" formatCode="&quot;Closing Date :&quot;\ dd\ mmm\ yy"/>
    <numFmt numFmtId="180" formatCode="&quot;$&quot;\ #,###;\-\ \$\ #,###;&quot;-&quot;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b/>
      <sz val="18"/>
      <color theme="3"/>
      <name val="Calibri Light"/>
      <family val="2"/>
      <scheme val="major"/>
    </font>
    <font>
      <b/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theme="1"/>
      <name val="Palatino Linotype"/>
      <family val="1"/>
    </font>
    <font>
      <sz val="8"/>
      <color theme="1"/>
      <name val="Palatino Linotype"/>
      <family val="1"/>
    </font>
    <font>
      <u/>
      <sz val="8"/>
      <color theme="10"/>
      <name val="Palatino Linotype"/>
      <family val="1"/>
    </font>
    <font>
      <b/>
      <sz val="10"/>
      <color theme="1"/>
      <name val="Palatino Linotype"/>
      <family val="1"/>
    </font>
    <font>
      <b/>
      <sz val="70"/>
      <color theme="1"/>
      <name val="Palatino Linotype"/>
      <family val="1"/>
    </font>
    <font>
      <sz val="10"/>
      <color theme="1"/>
      <name val="Palatino Linotype"/>
      <family val="1"/>
    </font>
    <font>
      <u/>
      <sz val="8"/>
      <color theme="1"/>
      <name val="Palatino Linotype"/>
      <family val="1"/>
    </font>
    <font>
      <sz val="10"/>
      <color indexed="8"/>
      <name val="Palatino Linotype"/>
      <family val="1"/>
    </font>
    <font>
      <b/>
      <sz val="15"/>
      <color theme="1"/>
      <name val="Palatino Linotype"/>
      <family val="1"/>
    </font>
    <font>
      <sz val="15"/>
      <color theme="1"/>
      <name val="Palatino Linotype"/>
      <family val="1"/>
    </font>
    <font>
      <b/>
      <sz val="15"/>
      <color rgb="FF002060"/>
      <name val="Palatino Linotype"/>
      <family val="1"/>
    </font>
    <font>
      <sz val="20"/>
      <color theme="1"/>
      <name val="Palatino Linotype"/>
      <family val="1"/>
    </font>
    <font>
      <sz val="8"/>
      <name val="Palatino Linotype"/>
      <family val="1"/>
    </font>
    <font>
      <b/>
      <sz val="30"/>
      <color theme="1"/>
      <name val="Palatino Linotype"/>
      <family val="1"/>
    </font>
    <font>
      <sz val="7"/>
      <color theme="1"/>
      <name val="Palatino Linotype"/>
      <family val="1"/>
    </font>
    <font>
      <b/>
      <sz val="60"/>
      <color theme="1"/>
      <name val="Palatino Linotype"/>
      <family val="1"/>
    </font>
    <font>
      <b/>
      <sz val="50"/>
      <color theme="1"/>
      <name val="Palatino Linotype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63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8" fillId="32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8" borderId="8" applyNumberFormat="0" applyFont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164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0" fontId="41" fillId="33" borderId="0" xfId="0" applyFont="1" applyFill="1" applyAlignment="1">
      <alignment vertical="center"/>
    </xf>
    <xf numFmtId="0" fontId="42" fillId="33" borderId="0" xfId="631" applyFont="1" applyFill="1" applyAlignment="1">
      <alignment horizontal="center" vertical="center"/>
    </xf>
    <xf numFmtId="0" fontId="41" fillId="33" borderId="0" xfId="0" applyFont="1" applyFill="1" applyAlignment="1">
      <alignment vertical="center" wrapText="1"/>
    </xf>
    <xf numFmtId="0" fontId="40" fillId="33" borderId="0" xfId="0" applyFont="1" applyFill="1" applyAlignment="1">
      <alignment vertical="center"/>
    </xf>
    <xf numFmtId="0" fontId="40" fillId="33" borderId="0" xfId="0" applyFont="1" applyFill="1" applyAlignment="1">
      <alignment vertical="center" wrapText="1"/>
    </xf>
    <xf numFmtId="0" fontId="44" fillId="33" borderId="19" xfId="0" applyFont="1" applyFill="1" applyBorder="1" applyAlignment="1">
      <alignment vertical="center"/>
    </xf>
    <xf numFmtId="0" fontId="44" fillId="33" borderId="20" xfId="0" applyFont="1" applyFill="1" applyBorder="1" applyAlignment="1">
      <alignment vertical="center"/>
    </xf>
    <xf numFmtId="0" fontId="44" fillId="33" borderId="0" xfId="0" applyFont="1" applyFill="1" applyAlignment="1">
      <alignment vertical="center"/>
    </xf>
    <xf numFmtId="0" fontId="44" fillId="33" borderId="22" xfId="0" applyFont="1" applyFill="1" applyBorder="1" applyAlignment="1">
      <alignment vertical="center"/>
    </xf>
    <xf numFmtId="0" fontId="45" fillId="33" borderId="0" xfId="0" applyFont="1" applyFill="1" applyAlignment="1">
      <alignment horizontal="left" vertical="center"/>
    </xf>
    <xf numFmtId="0" fontId="45" fillId="33" borderId="0" xfId="0" applyFont="1" applyFill="1" applyAlignment="1">
      <alignment horizontal="center" vertical="center"/>
    </xf>
    <xf numFmtId="0" fontId="45" fillId="33" borderId="0" xfId="0" applyFont="1" applyFill="1" applyAlignment="1">
      <alignment vertical="center"/>
    </xf>
    <xf numFmtId="0" fontId="45" fillId="33" borderId="0" xfId="0" applyFont="1" applyFill="1" applyAlignment="1">
      <alignment vertical="center" wrapText="1"/>
    </xf>
    <xf numFmtId="0" fontId="45" fillId="33" borderId="0" xfId="0" quotePrefix="1" applyFont="1" applyFill="1" applyAlignment="1">
      <alignment horizontal="right" vertical="center"/>
    </xf>
    <xf numFmtId="0" fontId="45" fillId="33" borderId="0" xfId="0" quotePrefix="1" applyFont="1" applyFill="1" applyAlignment="1">
      <alignment horizontal="center" vertical="center"/>
    </xf>
    <xf numFmtId="0" fontId="45" fillId="33" borderId="0" xfId="0" applyFont="1" applyFill="1" applyAlignment="1">
      <alignment horizontal="right" vertical="center"/>
    </xf>
    <xf numFmtId="0" fontId="45" fillId="33" borderId="0" xfId="0" quotePrefix="1" applyFont="1" applyFill="1" applyAlignment="1">
      <alignment horizontal="left" vertical="center"/>
    </xf>
    <xf numFmtId="0" fontId="45" fillId="33" borderId="22" xfId="0" quotePrefix="1" applyFont="1" applyFill="1" applyBorder="1" applyAlignment="1">
      <alignment horizontal="left" vertical="center"/>
    </xf>
    <xf numFmtId="168" fontId="45" fillId="33" borderId="63" xfId="0" applyNumberFormat="1" applyFont="1" applyFill="1" applyBorder="1" applyAlignment="1">
      <alignment horizontal="center" vertical="center" wrapText="1"/>
    </xf>
    <xf numFmtId="0" fontId="46" fillId="33" borderId="21" xfId="0" applyFont="1" applyFill="1" applyBorder="1" applyAlignment="1">
      <alignment vertical="center"/>
    </xf>
    <xf numFmtId="0" fontId="41" fillId="33" borderId="15" xfId="0" applyFont="1" applyFill="1" applyBorder="1" applyAlignment="1">
      <alignment vertical="center"/>
    </xf>
    <xf numFmtId="0" fontId="41" fillId="33" borderId="84" xfId="0" applyFont="1" applyFill="1" applyBorder="1" applyAlignment="1">
      <alignment horizontal="center" vertical="center"/>
    </xf>
    <xf numFmtId="166" fontId="41" fillId="33" borderId="25" xfId="0" applyNumberFormat="1" applyFont="1" applyFill="1" applyBorder="1" applyAlignment="1">
      <alignment vertical="center"/>
    </xf>
    <xf numFmtId="166" fontId="41" fillId="33" borderId="26" xfId="0" applyNumberFormat="1" applyFont="1" applyFill="1" applyBorder="1" applyAlignment="1">
      <alignment vertical="center"/>
    </xf>
    <xf numFmtId="166" fontId="41" fillId="33" borderId="38" xfId="0" applyNumberFormat="1" applyFont="1" applyFill="1" applyBorder="1" applyAlignment="1">
      <alignment vertical="center"/>
    </xf>
    <xf numFmtId="0" fontId="41" fillId="33" borderId="32" xfId="0" applyFont="1" applyFill="1" applyBorder="1" applyAlignment="1">
      <alignment horizontal="center" vertical="center"/>
    </xf>
    <xf numFmtId="0" fontId="41" fillId="33" borderId="28" xfId="0" applyFont="1" applyFill="1" applyBorder="1" applyAlignment="1">
      <alignment horizontal="center" vertical="center"/>
    </xf>
    <xf numFmtId="0" fontId="41" fillId="33" borderId="12" xfId="0" applyFont="1" applyFill="1" applyBorder="1" applyAlignment="1">
      <alignment horizontal="center" vertical="center"/>
    </xf>
    <xf numFmtId="0" fontId="41" fillId="33" borderId="40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 vertical="center" wrapText="1"/>
    </xf>
    <xf numFmtId="0" fontId="41" fillId="33" borderId="61" xfId="0" applyFont="1" applyFill="1" applyBorder="1" applyAlignment="1">
      <alignment horizontal="center" vertical="center"/>
    </xf>
    <xf numFmtId="0" fontId="41" fillId="33" borderId="48" xfId="0" applyFont="1" applyFill="1" applyBorder="1" applyAlignment="1">
      <alignment horizontal="center" vertical="center"/>
    </xf>
    <xf numFmtId="0" fontId="41" fillId="33" borderId="47" xfId="0" applyFont="1" applyFill="1" applyBorder="1" applyAlignment="1">
      <alignment horizontal="center" vertical="center"/>
    </xf>
    <xf numFmtId="0" fontId="41" fillId="0" borderId="79" xfId="0" applyFont="1" applyBorder="1" applyAlignment="1">
      <alignment horizontal="center" vertical="center"/>
    </xf>
    <xf numFmtId="0" fontId="41" fillId="33" borderId="0" xfId="0" applyFont="1" applyFill="1" applyAlignment="1">
      <alignment horizontal="center" vertical="center"/>
    </xf>
    <xf numFmtId="0" fontId="41" fillId="33" borderId="77" xfId="0" applyFont="1" applyFill="1" applyBorder="1" applyAlignment="1">
      <alignment horizontal="center" vertical="center"/>
    </xf>
    <xf numFmtId="1" fontId="41" fillId="33" borderId="35" xfId="0" applyNumberFormat="1" applyFont="1" applyFill="1" applyBorder="1" applyAlignment="1">
      <alignment horizontal="center" vertical="center"/>
    </xf>
    <xf numFmtId="0" fontId="41" fillId="33" borderId="43" xfId="0" applyFont="1" applyFill="1" applyBorder="1" applyAlignment="1">
      <alignment horizontal="center" vertical="center" wrapText="1"/>
    </xf>
    <xf numFmtId="164" fontId="41" fillId="33" borderId="78" xfId="630" applyFont="1" applyFill="1" applyBorder="1" applyAlignment="1">
      <alignment horizontal="center" vertical="center"/>
    </xf>
    <xf numFmtId="164" fontId="41" fillId="33" borderId="35" xfId="630" applyFont="1" applyFill="1" applyBorder="1" applyAlignment="1">
      <alignment horizontal="center" vertical="center"/>
    </xf>
    <xf numFmtId="0" fontId="41" fillId="33" borderId="35" xfId="0" applyFont="1" applyFill="1" applyBorder="1" applyAlignment="1">
      <alignment vertical="center" wrapText="1"/>
    </xf>
    <xf numFmtId="0" fontId="49" fillId="33" borderId="0" xfId="0" applyFont="1" applyFill="1" applyAlignment="1">
      <alignment vertical="center"/>
    </xf>
    <xf numFmtId="0" fontId="41" fillId="33" borderId="16" xfId="0" applyFont="1" applyFill="1" applyBorder="1" applyAlignment="1">
      <alignment vertical="center"/>
    </xf>
    <xf numFmtId="0" fontId="41" fillId="33" borderId="24" xfId="0" applyFont="1" applyFill="1" applyBorder="1" applyAlignment="1">
      <alignment vertical="center"/>
    </xf>
    <xf numFmtId="0" fontId="41" fillId="33" borderId="0" xfId="0" applyFont="1" applyFill="1" applyAlignment="1">
      <alignment horizontal="left" vertical="center"/>
    </xf>
    <xf numFmtId="0" fontId="52" fillId="33" borderId="74" xfId="0" applyFont="1" applyFill="1" applyBorder="1" applyAlignment="1">
      <alignment vertical="center"/>
    </xf>
    <xf numFmtId="0" fontId="52" fillId="33" borderId="14" xfId="0" applyFont="1" applyFill="1" applyBorder="1" applyAlignment="1">
      <alignment vertical="center"/>
    </xf>
    <xf numFmtId="0" fontId="41" fillId="33" borderId="25" xfId="0" applyFont="1" applyFill="1" applyBorder="1" applyAlignment="1">
      <alignment vertical="center"/>
    </xf>
    <xf numFmtId="0" fontId="41" fillId="33" borderId="26" xfId="0" applyFont="1" applyFill="1" applyBorder="1" applyAlignment="1">
      <alignment vertical="center"/>
    </xf>
    <xf numFmtId="0" fontId="41" fillId="33" borderId="26" xfId="0" applyFont="1" applyFill="1" applyBorder="1" applyAlignment="1">
      <alignment horizontal="center" vertical="center" wrapText="1"/>
    </xf>
    <xf numFmtId="0" fontId="41" fillId="33" borderId="26" xfId="0" applyFont="1" applyFill="1" applyBorder="1" applyAlignment="1">
      <alignment vertical="center" wrapText="1"/>
    </xf>
    <xf numFmtId="0" fontId="41" fillId="33" borderId="62" xfId="0" applyFont="1" applyFill="1" applyBorder="1" applyAlignment="1">
      <alignment vertical="center"/>
    </xf>
    <xf numFmtId="0" fontId="40" fillId="33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16" fontId="40" fillId="0" borderId="0" xfId="0" applyNumberFormat="1" applyFont="1" applyAlignment="1">
      <alignment vertical="center"/>
    </xf>
    <xf numFmtId="165" fontId="40" fillId="0" borderId="0" xfId="0" applyNumberFormat="1" applyFont="1" applyAlignment="1">
      <alignment vertical="center"/>
    </xf>
    <xf numFmtId="165" fontId="40" fillId="33" borderId="0" xfId="0" applyNumberFormat="1" applyFont="1" applyFill="1" applyAlignment="1">
      <alignment vertical="center"/>
    </xf>
    <xf numFmtId="172" fontId="40" fillId="0" borderId="0" xfId="0" applyNumberFormat="1" applyFont="1" applyAlignment="1">
      <alignment vertical="center"/>
    </xf>
    <xf numFmtId="0" fontId="41" fillId="33" borderId="42" xfId="0" applyFont="1" applyFill="1" applyBorder="1" applyAlignment="1">
      <alignment vertical="center"/>
    </xf>
    <xf numFmtId="0" fontId="52" fillId="33" borderId="10" xfId="0" applyFont="1" applyFill="1" applyBorder="1" applyAlignment="1">
      <alignment vertical="center"/>
    </xf>
    <xf numFmtId="176" fontId="41" fillId="35" borderId="0" xfId="632" applyNumberFormat="1" applyFont="1" applyFill="1" applyAlignment="1">
      <alignment horizontal="center" vertical="center"/>
    </xf>
    <xf numFmtId="0" fontId="52" fillId="33" borderId="14" xfId="0" applyFont="1" applyFill="1" applyBorder="1" applyAlignment="1">
      <alignment horizontal="left" vertical="center"/>
    </xf>
    <xf numFmtId="9" fontId="41" fillId="33" borderId="0" xfId="633" applyFont="1" applyFill="1" applyAlignment="1">
      <alignment horizontal="center" vertical="center"/>
    </xf>
    <xf numFmtId="9" fontId="40" fillId="33" borderId="0" xfId="633" applyFont="1" applyFill="1" applyAlignment="1">
      <alignment horizontal="center" vertical="center"/>
    </xf>
    <xf numFmtId="9" fontId="45" fillId="33" borderId="0" xfId="633" applyFont="1" applyFill="1" applyAlignment="1">
      <alignment horizontal="center" vertical="center"/>
    </xf>
    <xf numFmtId="9" fontId="49" fillId="33" borderId="0" xfId="633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1" fillId="33" borderId="0" xfId="0" applyFont="1" applyFill="1" applyAlignment="1">
      <alignment horizontal="center" vertical="center" wrapText="1"/>
    </xf>
    <xf numFmtId="9" fontId="41" fillId="36" borderId="84" xfId="633" applyFont="1" applyFill="1" applyBorder="1" applyAlignment="1">
      <alignment horizontal="center" vertical="center"/>
    </xf>
    <xf numFmtId="178" fontId="41" fillId="33" borderId="84" xfId="632" applyNumberFormat="1" applyFont="1" applyFill="1" applyBorder="1" applyAlignment="1">
      <alignment vertical="center"/>
    </xf>
    <xf numFmtId="0" fontId="45" fillId="33" borderId="0" xfId="0" applyFont="1" applyFill="1" applyAlignment="1">
      <alignment horizontal="center" vertical="center" wrapText="1"/>
    </xf>
    <xf numFmtId="0" fontId="41" fillId="33" borderId="84" xfId="0" applyFont="1" applyFill="1" applyBorder="1" applyAlignment="1">
      <alignment horizontal="center" vertical="center" wrapText="1"/>
    </xf>
    <xf numFmtId="0" fontId="49" fillId="33" borderId="0" xfId="0" applyFont="1" applyFill="1" applyAlignment="1">
      <alignment horizontal="center" vertical="center" wrapText="1"/>
    </xf>
    <xf numFmtId="0" fontId="41" fillId="37" borderId="84" xfId="0" applyFont="1" applyFill="1" applyBorder="1" applyAlignment="1">
      <alignment horizontal="center" vertical="center" wrapText="1"/>
    </xf>
    <xf numFmtId="178" fontId="41" fillId="0" borderId="84" xfId="632" applyNumberFormat="1" applyFont="1" applyFill="1" applyBorder="1" applyAlignment="1">
      <alignment horizontal="center" vertical="center"/>
    </xf>
    <xf numFmtId="178" fontId="41" fillId="38" borderId="84" xfId="632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9" fontId="45" fillId="33" borderId="0" xfId="633" applyFont="1" applyFill="1" applyBorder="1" applyAlignment="1">
      <alignment horizontal="center" vertical="center"/>
    </xf>
    <xf numFmtId="179" fontId="41" fillId="33" borderId="0" xfId="0" applyNumberFormat="1" applyFont="1" applyFill="1" applyAlignment="1">
      <alignment vertical="center"/>
    </xf>
    <xf numFmtId="164" fontId="50" fillId="33" borderId="16" xfId="630" applyFont="1" applyFill="1" applyBorder="1" applyAlignment="1">
      <alignment horizontal="center" vertical="center"/>
    </xf>
    <xf numFmtId="0" fontId="41" fillId="33" borderId="10" xfId="0" applyFont="1" applyFill="1" applyBorder="1" applyAlignment="1">
      <alignment horizontal="left" vertical="top"/>
    </xf>
    <xf numFmtId="0" fontId="41" fillId="33" borderId="0" xfId="0" applyFont="1" applyFill="1" applyAlignment="1">
      <alignment vertical="top" wrapText="1"/>
    </xf>
    <xf numFmtId="4" fontId="41" fillId="35" borderId="0" xfId="0" applyNumberFormat="1" applyFont="1" applyFill="1" applyAlignment="1">
      <alignment vertical="center"/>
    </xf>
    <xf numFmtId="9" fontId="41" fillId="38" borderId="84" xfId="633" applyFont="1" applyFill="1" applyBorder="1" applyAlignment="1">
      <alignment horizontal="center" vertical="center"/>
    </xf>
    <xf numFmtId="0" fontId="41" fillId="33" borderId="35" xfId="0" applyFont="1" applyFill="1" applyBorder="1" applyAlignment="1">
      <alignment horizontal="center" vertical="center" wrapText="1"/>
    </xf>
    <xf numFmtId="0" fontId="41" fillId="33" borderId="35" xfId="0" applyFont="1" applyFill="1" applyBorder="1" applyAlignment="1">
      <alignment horizontal="center" vertical="center"/>
    </xf>
    <xf numFmtId="165" fontId="41" fillId="0" borderId="84" xfId="632" applyFont="1" applyFill="1" applyBorder="1" applyAlignment="1">
      <alignment horizontal="center" vertical="center"/>
    </xf>
    <xf numFmtId="176" fontId="41" fillId="35" borderId="0" xfId="632" applyNumberFormat="1" applyFont="1" applyFill="1" applyAlignment="1">
      <alignment horizontal="center" vertical="center" wrapText="1"/>
    </xf>
    <xf numFmtId="167" fontId="41" fillId="35" borderId="0" xfId="0" applyNumberFormat="1" applyFont="1" applyFill="1" applyAlignment="1">
      <alignment horizontal="center" vertical="center"/>
    </xf>
    <xf numFmtId="176" fontId="41" fillId="33" borderId="0" xfId="632" applyNumberFormat="1" applyFont="1" applyFill="1" applyAlignment="1">
      <alignment vertical="center"/>
    </xf>
    <xf numFmtId="176" fontId="40" fillId="33" borderId="0" xfId="632" applyNumberFormat="1" applyFont="1" applyFill="1" applyAlignment="1">
      <alignment vertical="center"/>
    </xf>
    <xf numFmtId="176" fontId="45" fillId="33" borderId="0" xfId="632" applyNumberFormat="1" applyFont="1" applyFill="1" applyAlignment="1">
      <alignment vertical="center"/>
    </xf>
    <xf numFmtId="176" fontId="49" fillId="33" borderId="0" xfId="632" applyNumberFormat="1" applyFont="1" applyFill="1" applyAlignment="1">
      <alignment vertical="center"/>
    </xf>
    <xf numFmtId="176" fontId="41" fillId="33" borderId="0" xfId="632" applyNumberFormat="1" applyFont="1" applyFill="1" applyAlignment="1">
      <alignment horizontal="left" vertical="center"/>
    </xf>
    <xf numFmtId="176" fontId="41" fillId="33" borderId="94" xfId="632" applyNumberFormat="1" applyFont="1" applyFill="1" applyBorder="1" applyAlignment="1">
      <alignment horizontal="center" vertical="center"/>
    </xf>
    <xf numFmtId="0" fontId="41" fillId="33" borderId="94" xfId="0" applyFont="1" applyFill="1" applyBorder="1" applyAlignment="1">
      <alignment horizontal="center" vertical="center" wrapText="1"/>
    </xf>
    <xf numFmtId="0" fontId="49" fillId="33" borderId="0" xfId="0" applyFont="1" applyFill="1" applyAlignment="1">
      <alignment vertical="center" wrapText="1"/>
    </xf>
    <xf numFmtId="0" fontId="41" fillId="33" borderId="0" xfId="0" applyFont="1" applyFill="1" applyAlignment="1">
      <alignment horizontal="left" vertical="center" wrapText="1"/>
    </xf>
    <xf numFmtId="0" fontId="41" fillId="33" borderId="94" xfId="0" applyFont="1" applyFill="1" applyBorder="1" applyAlignment="1">
      <alignment horizontal="center" vertical="center"/>
    </xf>
    <xf numFmtId="0" fontId="41" fillId="37" borderId="98" xfId="0" applyFont="1" applyFill="1" applyBorder="1" applyAlignment="1">
      <alignment horizontal="center" vertical="center" wrapText="1"/>
    </xf>
    <xf numFmtId="9" fontId="41" fillId="38" borderId="87" xfId="633" applyFont="1" applyFill="1" applyBorder="1" applyAlignment="1">
      <alignment horizontal="center" vertical="center"/>
    </xf>
    <xf numFmtId="1" fontId="52" fillId="0" borderId="35" xfId="0" applyNumberFormat="1" applyFont="1" applyBorder="1" applyAlignment="1">
      <alignment horizontal="center" vertical="center"/>
    </xf>
    <xf numFmtId="0" fontId="52" fillId="0" borderId="43" xfId="0" applyFont="1" applyBorder="1" applyAlignment="1">
      <alignment horizontal="center" vertical="center" wrapText="1"/>
    </xf>
    <xf numFmtId="178" fontId="45" fillId="34" borderId="0" xfId="0" applyNumberFormat="1" applyFont="1" applyFill="1" applyAlignment="1">
      <alignment vertical="center"/>
    </xf>
    <xf numFmtId="9" fontId="41" fillId="39" borderId="84" xfId="633" applyFont="1" applyFill="1" applyBorder="1" applyAlignment="1">
      <alignment horizontal="center" vertical="center"/>
    </xf>
    <xf numFmtId="178" fontId="41" fillId="34" borderId="0" xfId="0" applyNumberFormat="1" applyFont="1" applyFill="1" applyAlignment="1">
      <alignment vertical="center"/>
    </xf>
    <xf numFmtId="0" fontId="41" fillId="40" borderId="0" xfId="0" applyFont="1" applyFill="1" applyAlignment="1">
      <alignment horizontal="center" vertical="center"/>
    </xf>
    <xf numFmtId="0" fontId="45" fillId="33" borderId="0" xfId="0" quotePrefix="1" applyFont="1" applyFill="1" applyAlignment="1">
      <alignment vertical="center"/>
    </xf>
    <xf numFmtId="0" fontId="45" fillId="33" borderId="22" xfId="0" quotePrefix="1" applyFont="1" applyFill="1" applyBorder="1" applyAlignment="1">
      <alignment vertical="center"/>
    </xf>
    <xf numFmtId="180" fontId="45" fillId="33" borderId="15" xfId="0" applyNumberFormat="1" applyFont="1" applyFill="1" applyBorder="1" applyAlignment="1">
      <alignment horizontal="right" vertical="center" wrapText="1"/>
    </xf>
    <xf numFmtId="0" fontId="43" fillId="33" borderId="18" xfId="0" applyFont="1" applyFill="1" applyBorder="1" applyAlignment="1">
      <alignment horizontal="left" vertical="center" wrapText="1"/>
    </xf>
    <xf numFmtId="0" fontId="43" fillId="33" borderId="19" xfId="0" applyFont="1" applyFill="1" applyBorder="1" applyAlignment="1">
      <alignment horizontal="left" vertical="center" wrapText="1"/>
    </xf>
    <xf numFmtId="0" fontId="43" fillId="33" borderId="21" xfId="0" applyFont="1" applyFill="1" applyBorder="1" applyAlignment="1">
      <alignment horizontal="left" vertical="center" wrapText="1"/>
    </xf>
    <xf numFmtId="0" fontId="43" fillId="33" borderId="0" xfId="0" applyFont="1" applyFill="1" applyAlignment="1">
      <alignment horizontal="left" vertical="center" wrapText="1"/>
    </xf>
    <xf numFmtId="0" fontId="55" fillId="33" borderId="19" xfId="0" applyFont="1" applyFill="1" applyBorder="1" applyAlignment="1">
      <alignment horizontal="center" vertical="center"/>
    </xf>
    <xf numFmtId="0" fontId="55" fillId="33" borderId="0" xfId="0" applyFont="1" applyFill="1" applyAlignment="1">
      <alignment horizontal="center" vertical="center"/>
    </xf>
    <xf numFmtId="0" fontId="45" fillId="33" borderId="21" xfId="0" applyFont="1" applyFill="1" applyBorder="1" applyAlignment="1">
      <alignment horizontal="left" vertical="center"/>
    </xf>
    <xf numFmtId="0" fontId="45" fillId="33" borderId="0" xfId="0" applyFont="1" applyFill="1" applyAlignment="1">
      <alignment horizontal="left" vertical="center"/>
    </xf>
    <xf numFmtId="169" fontId="45" fillId="33" borderId="0" xfId="0" quotePrefix="1" applyNumberFormat="1" applyFont="1" applyFill="1" applyAlignment="1">
      <alignment horizontal="left" vertical="center"/>
    </xf>
    <xf numFmtId="169" fontId="45" fillId="33" borderId="22" xfId="0" quotePrefix="1" applyNumberFormat="1" applyFont="1" applyFill="1" applyBorder="1" applyAlignment="1">
      <alignment horizontal="left" vertical="center"/>
    </xf>
    <xf numFmtId="0" fontId="41" fillId="33" borderId="46" xfId="0" applyFont="1" applyFill="1" applyBorder="1" applyAlignment="1">
      <alignment horizontal="center" vertical="center" wrapText="1"/>
    </xf>
    <xf numFmtId="0" fontId="41" fillId="33" borderId="50" xfId="0" applyFont="1" applyFill="1" applyBorder="1" applyAlignment="1">
      <alignment horizontal="center" vertical="center" wrapText="1"/>
    </xf>
    <xf numFmtId="0" fontId="41" fillId="33" borderId="21" xfId="0" applyFont="1" applyFill="1" applyBorder="1" applyAlignment="1">
      <alignment horizontal="center" vertical="center" wrapText="1"/>
    </xf>
    <xf numFmtId="0" fontId="41" fillId="33" borderId="0" xfId="0" applyFont="1" applyFill="1" applyAlignment="1">
      <alignment horizontal="center" vertical="center" wrapText="1"/>
    </xf>
    <xf numFmtId="0" fontId="41" fillId="33" borderId="15" xfId="0" applyFont="1" applyFill="1" applyBorder="1" applyAlignment="1">
      <alignment horizontal="center" vertical="center" wrapText="1"/>
    </xf>
    <xf numFmtId="0" fontId="45" fillId="33" borderId="16" xfId="0" applyFont="1" applyFill="1" applyBorder="1" applyAlignment="1">
      <alignment horizontal="center" vertical="center" wrapText="1"/>
    </xf>
    <xf numFmtId="0" fontId="45" fillId="33" borderId="45" xfId="0" applyFont="1" applyFill="1" applyBorder="1" applyAlignment="1">
      <alignment horizontal="center" vertical="center" wrapText="1"/>
    </xf>
    <xf numFmtId="0" fontId="41" fillId="33" borderId="18" xfId="0" applyFont="1" applyFill="1" applyBorder="1" applyAlignment="1">
      <alignment horizontal="left" vertical="top" wrapText="1"/>
    </xf>
    <xf numFmtId="0" fontId="41" fillId="33" borderId="19" xfId="0" applyFont="1" applyFill="1" applyBorder="1" applyAlignment="1">
      <alignment horizontal="left" vertical="top"/>
    </xf>
    <xf numFmtId="0" fontId="41" fillId="33" borderId="66" xfId="0" applyFont="1" applyFill="1" applyBorder="1" applyAlignment="1">
      <alignment horizontal="left" vertical="top"/>
    </xf>
    <xf numFmtId="0" fontId="45" fillId="33" borderId="75" xfId="0" applyFont="1" applyFill="1" applyBorder="1" applyAlignment="1">
      <alignment horizontal="center" vertical="center"/>
    </xf>
    <xf numFmtId="0" fontId="45" fillId="33" borderId="76" xfId="0" applyFont="1" applyFill="1" applyBorder="1" applyAlignment="1">
      <alignment horizontal="center" vertical="center"/>
    </xf>
    <xf numFmtId="0" fontId="45" fillId="33" borderId="12" xfId="0" applyFont="1" applyFill="1" applyBorder="1" applyAlignment="1">
      <alignment horizontal="center" vertical="center"/>
    </xf>
    <xf numFmtId="0" fontId="45" fillId="33" borderId="64" xfId="0" applyFont="1" applyFill="1" applyBorder="1" applyAlignment="1">
      <alignment horizontal="center" vertical="center"/>
    </xf>
    <xf numFmtId="0" fontId="41" fillId="33" borderId="48" xfId="0" applyFont="1" applyFill="1" applyBorder="1" applyAlignment="1">
      <alignment horizontal="center" vertical="center" wrapText="1"/>
    </xf>
    <xf numFmtId="0" fontId="41" fillId="33" borderId="49" xfId="0" applyFont="1" applyFill="1" applyBorder="1" applyAlignment="1">
      <alignment horizontal="center" vertical="center" wrapText="1"/>
    </xf>
    <xf numFmtId="0" fontId="45" fillId="0" borderId="0" xfId="48" applyFont="1" applyAlignment="1">
      <alignment horizontal="left" vertical="center" wrapText="1"/>
    </xf>
    <xf numFmtId="170" fontId="45" fillId="33" borderId="0" xfId="0" applyNumberFormat="1" applyFont="1" applyFill="1" applyAlignment="1">
      <alignment horizontal="left" vertical="center"/>
    </xf>
    <xf numFmtId="170" fontId="45" fillId="33" borderId="22" xfId="0" applyNumberFormat="1" applyFont="1" applyFill="1" applyBorder="1" applyAlignment="1">
      <alignment horizontal="left" vertical="center"/>
    </xf>
    <xf numFmtId="0" fontId="46" fillId="33" borderId="21" xfId="0" applyFont="1" applyFill="1" applyBorder="1" applyAlignment="1">
      <alignment horizontal="left" vertical="top" wrapText="1"/>
    </xf>
    <xf numFmtId="0" fontId="46" fillId="33" borderId="0" xfId="0" applyFont="1" applyFill="1" applyAlignment="1">
      <alignment horizontal="left" vertical="top" wrapText="1"/>
    </xf>
    <xf numFmtId="0" fontId="46" fillId="33" borderId="15" xfId="0" applyFont="1" applyFill="1" applyBorder="1" applyAlignment="1">
      <alignment horizontal="left" vertical="top" wrapText="1"/>
    </xf>
    <xf numFmtId="0" fontId="45" fillId="33" borderId="27" xfId="0" applyFont="1" applyFill="1" applyBorder="1" applyAlignment="1">
      <alignment horizontal="center" vertical="center"/>
    </xf>
    <xf numFmtId="0" fontId="45" fillId="33" borderId="54" xfId="0" applyFont="1" applyFill="1" applyBorder="1" applyAlignment="1">
      <alignment horizontal="center" vertical="center"/>
    </xf>
    <xf numFmtId="0" fontId="45" fillId="33" borderId="11" xfId="0" applyFont="1" applyFill="1" applyBorder="1" applyAlignment="1">
      <alignment horizontal="center" vertical="center"/>
    </xf>
    <xf numFmtId="0" fontId="45" fillId="33" borderId="52" xfId="0" applyFont="1" applyFill="1" applyBorder="1" applyAlignment="1">
      <alignment horizontal="center" vertical="center"/>
    </xf>
    <xf numFmtId="168" fontId="41" fillId="33" borderId="51" xfId="0" applyNumberFormat="1" applyFont="1" applyFill="1" applyBorder="1" applyAlignment="1">
      <alignment horizontal="center" vertical="center" wrapText="1"/>
    </xf>
    <xf numFmtId="168" fontId="41" fillId="33" borderId="10" xfId="0" applyNumberFormat="1" applyFont="1" applyFill="1" applyBorder="1" applyAlignment="1">
      <alignment horizontal="center" vertical="center" wrapText="1"/>
    </xf>
    <xf numFmtId="168" fontId="41" fillId="33" borderId="54" xfId="0" applyNumberFormat="1" applyFont="1" applyFill="1" applyBorder="1" applyAlignment="1">
      <alignment horizontal="center" vertical="center" wrapText="1"/>
    </xf>
    <xf numFmtId="168" fontId="41" fillId="33" borderId="39" xfId="0" applyNumberFormat="1" applyFont="1" applyFill="1" applyBorder="1" applyAlignment="1">
      <alignment horizontal="center" vertical="center" wrapText="1"/>
    </xf>
    <xf numFmtId="168" fontId="41" fillId="33" borderId="0" xfId="0" applyNumberFormat="1" applyFont="1" applyFill="1" applyAlignment="1">
      <alignment horizontal="center" vertical="center" wrapText="1"/>
    </xf>
    <xf numFmtId="168" fontId="41" fillId="33" borderId="52" xfId="0" applyNumberFormat="1" applyFont="1" applyFill="1" applyBorder="1" applyAlignment="1">
      <alignment horizontal="center" vertical="center" wrapText="1"/>
    </xf>
    <xf numFmtId="0" fontId="41" fillId="33" borderId="21" xfId="0" quotePrefix="1" applyFont="1" applyFill="1" applyBorder="1" applyAlignment="1">
      <alignment horizontal="left" vertical="top" wrapText="1"/>
    </xf>
    <xf numFmtId="0" fontId="41" fillId="33" borderId="0" xfId="0" applyFont="1" applyFill="1" applyAlignment="1">
      <alignment horizontal="left" vertical="top" wrapText="1"/>
    </xf>
    <xf numFmtId="0" fontId="41" fillId="33" borderId="15" xfId="0" applyFont="1" applyFill="1" applyBorder="1" applyAlignment="1">
      <alignment horizontal="left" vertical="top" wrapText="1"/>
    </xf>
    <xf numFmtId="0" fontId="41" fillId="33" borderId="21" xfId="0" applyFont="1" applyFill="1" applyBorder="1" applyAlignment="1">
      <alignment horizontal="left" vertical="top" wrapText="1"/>
    </xf>
    <xf numFmtId="0" fontId="41" fillId="33" borderId="55" xfId="0" applyFont="1" applyFill="1" applyBorder="1" applyAlignment="1">
      <alignment horizontal="left" vertical="top" wrapText="1"/>
    </xf>
    <xf numFmtId="0" fontId="41" fillId="33" borderId="56" xfId="0" applyFont="1" applyFill="1" applyBorder="1" applyAlignment="1">
      <alignment horizontal="left" vertical="top" wrapText="1"/>
    </xf>
    <xf numFmtId="0" fontId="41" fillId="33" borderId="57" xfId="0" applyFont="1" applyFill="1" applyBorder="1" applyAlignment="1">
      <alignment horizontal="left" vertical="top" wrapText="1"/>
    </xf>
    <xf numFmtId="0" fontId="41" fillId="33" borderId="39" xfId="0" applyFont="1" applyFill="1" applyBorder="1" applyAlignment="1">
      <alignment horizontal="center" vertical="center" wrapText="1"/>
    </xf>
    <xf numFmtId="0" fontId="41" fillId="33" borderId="52" xfId="0" applyFont="1" applyFill="1" applyBorder="1" applyAlignment="1">
      <alignment horizontal="center" vertical="center" wrapText="1"/>
    </xf>
    <xf numFmtId="0" fontId="45" fillId="33" borderId="58" xfId="0" applyFont="1" applyFill="1" applyBorder="1" applyAlignment="1">
      <alignment horizontal="center" vertical="center"/>
    </xf>
    <xf numFmtId="0" fontId="45" fillId="33" borderId="59" xfId="0" applyFont="1" applyFill="1" applyBorder="1" applyAlignment="1">
      <alignment horizontal="center" vertical="center"/>
    </xf>
    <xf numFmtId="0" fontId="41" fillId="33" borderId="60" xfId="0" applyFont="1" applyFill="1" applyBorder="1" applyAlignment="1">
      <alignment horizontal="center" vertical="center" wrapText="1"/>
    </xf>
    <xf numFmtId="0" fontId="41" fillId="33" borderId="56" xfId="0" applyFont="1" applyFill="1" applyBorder="1" applyAlignment="1">
      <alignment horizontal="center" vertical="center" wrapText="1"/>
    </xf>
    <xf numFmtId="0" fontId="41" fillId="33" borderId="59" xfId="0" applyFont="1" applyFill="1" applyBorder="1" applyAlignment="1">
      <alignment horizontal="center" vertical="center" wrapText="1"/>
    </xf>
    <xf numFmtId="0" fontId="47" fillId="33" borderId="14" xfId="40" applyFont="1" applyFill="1" applyBorder="1" applyAlignment="1">
      <alignment horizontal="center" vertical="center"/>
    </xf>
    <xf numFmtId="167" fontId="41" fillId="33" borderId="67" xfId="0" applyNumberFormat="1" applyFont="1" applyFill="1" applyBorder="1" applyAlignment="1">
      <alignment horizontal="center" vertical="center"/>
    </xf>
    <xf numFmtId="167" fontId="41" fillId="33" borderId="68" xfId="0" applyNumberFormat="1" applyFont="1" applyFill="1" applyBorder="1" applyAlignment="1">
      <alignment horizontal="center" vertical="center"/>
    </xf>
    <xf numFmtId="167" fontId="41" fillId="33" borderId="69" xfId="0" applyNumberFormat="1" applyFont="1" applyFill="1" applyBorder="1" applyAlignment="1">
      <alignment horizontal="center" vertical="center"/>
    </xf>
    <xf numFmtId="0" fontId="41" fillId="33" borderId="53" xfId="0" applyFont="1" applyFill="1" applyBorder="1" applyAlignment="1">
      <alignment horizontal="center" vertical="center"/>
    </xf>
    <xf numFmtId="0" fontId="41" fillId="33" borderId="34" xfId="0" applyFont="1" applyFill="1" applyBorder="1" applyAlignment="1">
      <alignment horizontal="center" vertical="center"/>
    </xf>
    <xf numFmtId="0" fontId="41" fillId="33" borderId="37" xfId="0" applyFont="1" applyFill="1" applyBorder="1" applyAlignment="1">
      <alignment horizontal="center" vertical="center"/>
    </xf>
    <xf numFmtId="0" fontId="47" fillId="33" borderId="16" xfId="40" applyFont="1" applyFill="1" applyBorder="1" applyAlignment="1">
      <alignment horizontal="center" vertical="center"/>
    </xf>
    <xf numFmtId="0" fontId="41" fillId="33" borderId="42" xfId="0" applyFont="1" applyFill="1" applyBorder="1" applyAlignment="1">
      <alignment horizontal="center" vertical="center"/>
    </xf>
    <xf numFmtId="0" fontId="41" fillId="33" borderId="16" xfId="0" applyFont="1" applyFill="1" applyBorder="1" applyAlignment="1">
      <alignment horizontal="center" vertical="center"/>
    </xf>
    <xf numFmtId="174" fontId="41" fillId="34" borderId="16" xfId="0" applyNumberFormat="1" applyFont="1" applyFill="1" applyBorder="1" applyAlignment="1">
      <alignment horizontal="center" vertical="center"/>
    </xf>
    <xf numFmtId="174" fontId="41" fillId="34" borderId="45" xfId="0" applyNumberFormat="1" applyFont="1" applyFill="1" applyBorder="1" applyAlignment="1">
      <alignment horizontal="center" vertical="center"/>
    </xf>
    <xf numFmtId="0" fontId="41" fillId="33" borderId="13" xfId="0" applyFont="1" applyFill="1" applyBorder="1" applyAlignment="1">
      <alignment horizontal="center" vertical="center"/>
    </xf>
    <xf numFmtId="167" fontId="41" fillId="33" borderId="70" xfId="0" applyNumberFormat="1" applyFont="1" applyFill="1" applyBorder="1" applyAlignment="1">
      <alignment horizontal="center" vertical="center"/>
    </xf>
    <xf numFmtId="174" fontId="41" fillId="34" borderId="24" xfId="0" applyNumberFormat="1" applyFont="1" applyFill="1" applyBorder="1" applyAlignment="1">
      <alignment horizontal="center" vertical="center"/>
    </xf>
    <xf numFmtId="0" fontId="41" fillId="37" borderId="84" xfId="0" applyFont="1" applyFill="1" applyBorder="1" applyAlignment="1">
      <alignment horizontal="center" vertical="center"/>
    </xf>
    <xf numFmtId="0" fontId="41" fillId="33" borderId="28" xfId="0" applyFont="1" applyFill="1" applyBorder="1" applyAlignment="1">
      <alignment horizontal="center" vertical="center"/>
    </xf>
    <xf numFmtId="0" fontId="41" fillId="33" borderId="28" xfId="0" applyFont="1" applyFill="1" applyBorder="1" applyAlignment="1">
      <alignment horizontal="center" vertical="center" wrapText="1"/>
    </xf>
    <xf numFmtId="0" fontId="41" fillId="33" borderId="12" xfId="0" applyFont="1" applyFill="1" applyBorder="1" applyAlignment="1">
      <alignment horizontal="center" vertical="center" wrapText="1"/>
    </xf>
    <xf numFmtId="0" fontId="41" fillId="33" borderId="44" xfId="0" applyFont="1" applyFill="1" applyBorder="1" applyAlignment="1">
      <alignment horizontal="center" vertical="center"/>
    </xf>
    <xf numFmtId="0" fontId="41" fillId="33" borderId="12" xfId="0" applyFont="1" applyFill="1" applyBorder="1" applyAlignment="1">
      <alignment horizontal="center" vertical="center"/>
    </xf>
    <xf numFmtId="173" fontId="48" fillId="33" borderId="21" xfId="630" applyNumberFormat="1" applyFont="1" applyFill="1" applyBorder="1" applyAlignment="1">
      <alignment horizontal="center" vertical="center"/>
    </xf>
    <xf numFmtId="173" fontId="48" fillId="33" borderId="0" xfId="630" applyNumberFormat="1" applyFont="1" applyFill="1" applyBorder="1" applyAlignment="1">
      <alignment horizontal="center" vertical="center"/>
    </xf>
    <xf numFmtId="173" fontId="48" fillId="33" borderId="15" xfId="630" applyNumberFormat="1" applyFont="1" applyFill="1" applyBorder="1" applyAlignment="1">
      <alignment horizontal="center" vertical="center"/>
    </xf>
    <xf numFmtId="0" fontId="47" fillId="33" borderId="33" xfId="40" applyFont="1" applyFill="1" applyBorder="1" applyAlignment="1">
      <alignment horizontal="center" vertical="center"/>
    </xf>
    <xf numFmtId="0" fontId="41" fillId="33" borderId="71" xfId="0" applyFont="1" applyFill="1" applyBorder="1" applyAlignment="1">
      <alignment horizontal="center" vertical="center"/>
    </xf>
    <xf numFmtId="0" fontId="41" fillId="33" borderId="33" xfId="0" applyFont="1" applyFill="1" applyBorder="1" applyAlignment="1">
      <alignment horizontal="center" vertical="center"/>
    </xf>
    <xf numFmtId="0" fontId="41" fillId="33" borderId="73" xfId="0" applyFont="1" applyFill="1" applyBorder="1" applyAlignment="1">
      <alignment horizontal="center" vertical="center"/>
    </xf>
    <xf numFmtId="0" fontId="41" fillId="33" borderId="72" xfId="0" applyFont="1" applyFill="1" applyBorder="1" applyAlignment="1">
      <alignment horizontal="center" vertical="center"/>
    </xf>
    <xf numFmtId="175" fontId="41" fillId="36" borderId="84" xfId="0" applyNumberFormat="1" applyFont="1" applyFill="1" applyBorder="1" applyAlignment="1">
      <alignment horizontal="center" vertical="center" wrapText="1"/>
    </xf>
    <xf numFmtId="0" fontId="41" fillId="38" borderId="97" xfId="0" applyFont="1" applyFill="1" applyBorder="1" applyAlignment="1">
      <alignment horizontal="center" vertical="center"/>
    </xf>
    <xf numFmtId="0" fontId="41" fillId="38" borderId="95" xfId="0" applyFont="1" applyFill="1" applyBorder="1" applyAlignment="1">
      <alignment horizontal="center" vertical="center"/>
    </xf>
    <xf numFmtId="0" fontId="41" fillId="38" borderId="96" xfId="0" applyFont="1" applyFill="1" applyBorder="1" applyAlignment="1">
      <alignment horizontal="center" vertical="center"/>
    </xf>
    <xf numFmtId="0" fontId="41" fillId="33" borderId="79" xfId="0" applyFont="1" applyFill="1" applyBorder="1" applyAlignment="1">
      <alignment horizontal="center" vertical="center"/>
    </xf>
    <xf numFmtId="0" fontId="41" fillId="33" borderId="80" xfId="0" applyFont="1" applyFill="1" applyBorder="1" applyAlignment="1">
      <alignment horizontal="center" vertical="center"/>
    </xf>
    <xf numFmtId="0" fontId="41" fillId="33" borderId="35" xfId="0" applyFont="1" applyFill="1" applyBorder="1" applyAlignment="1">
      <alignment horizontal="center" vertical="center" wrapText="1"/>
    </xf>
    <xf numFmtId="0" fontId="41" fillId="33" borderId="43" xfId="0" applyFont="1" applyFill="1" applyBorder="1" applyAlignment="1">
      <alignment horizontal="center" vertical="center" wrapText="1"/>
    </xf>
    <xf numFmtId="0" fontId="41" fillId="33" borderId="81" xfId="0" applyFont="1" applyFill="1" applyBorder="1" applyAlignment="1">
      <alignment horizontal="center" vertical="center" wrapText="1"/>
    </xf>
    <xf numFmtId="0" fontId="41" fillId="33" borderId="83" xfId="0" applyFont="1" applyFill="1" applyBorder="1" applyAlignment="1">
      <alignment horizontal="center" vertical="center" wrapText="1"/>
    </xf>
    <xf numFmtId="0" fontId="41" fillId="33" borderId="35" xfId="0" applyFont="1" applyFill="1" applyBorder="1" applyAlignment="1">
      <alignment horizontal="left" vertical="center" wrapText="1"/>
    </xf>
    <xf numFmtId="164" fontId="50" fillId="33" borderId="42" xfId="630" applyFont="1" applyFill="1" applyBorder="1" applyAlignment="1">
      <alignment horizontal="center" vertical="center"/>
    </xf>
    <xf numFmtId="164" fontId="50" fillId="33" borderId="16" xfId="630" applyFont="1" applyFill="1" applyBorder="1" applyAlignment="1">
      <alignment horizontal="center" vertical="center"/>
    </xf>
    <xf numFmtId="164" fontId="50" fillId="33" borderId="45" xfId="630" applyFont="1" applyFill="1" applyBorder="1" applyAlignment="1">
      <alignment horizontal="center" vertical="center"/>
    </xf>
    <xf numFmtId="164" fontId="50" fillId="33" borderId="24" xfId="630" applyFont="1" applyFill="1" applyBorder="1" applyAlignment="1">
      <alignment horizontal="center" vertical="center"/>
    </xf>
    <xf numFmtId="0" fontId="51" fillId="33" borderId="29" xfId="0" applyFont="1" applyFill="1" applyBorder="1" applyAlignment="1">
      <alignment horizontal="center" vertical="center"/>
    </xf>
    <xf numFmtId="0" fontId="51" fillId="33" borderId="10" xfId="0" applyFont="1" applyFill="1" applyBorder="1" applyAlignment="1">
      <alignment horizontal="center" vertical="center"/>
    </xf>
    <xf numFmtId="0" fontId="51" fillId="33" borderId="54" xfId="0" applyFont="1" applyFill="1" applyBorder="1" applyAlignment="1">
      <alignment horizontal="center" vertical="center"/>
    </xf>
    <xf numFmtId="0" fontId="41" fillId="33" borderId="51" xfId="0" quotePrefix="1" applyFont="1" applyFill="1" applyBorder="1" applyAlignment="1">
      <alignment horizontal="left" vertical="top" wrapText="1"/>
    </xf>
    <xf numFmtId="0" fontId="41" fillId="33" borderId="10" xfId="0" applyFont="1" applyFill="1" applyBorder="1" applyAlignment="1">
      <alignment horizontal="left" vertical="top"/>
    </xf>
    <xf numFmtId="0" fontId="41" fillId="33" borderId="54" xfId="0" applyFont="1" applyFill="1" applyBorder="1" applyAlignment="1">
      <alignment horizontal="left" vertical="top"/>
    </xf>
    <xf numFmtId="0" fontId="41" fillId="33" borderId="51" xfId="0" applyFont="1" applyFill="1" applyBorder="1" applyAlignment="1">
      <alignment horizontal="left" vertical="top"/>
    </xf>
    <xf numFmtId="0" fontId="49" fillId="33" borderId="29" xfId="0" applyFont="1" applyFill="1" applyBorder="1" applyAlignment="1">
      <alignment horizontal="center" vertical="center"/>
    </xf>
    <xf numFmtId="0" fontId="49" fillId="33" borderId="10" xfId="0" applyFont="1" applyFill="1" applyBorder="1" applyAlignment="1">
      <alignment horizontal="center" vertical="center"/>
    </xf>
    <xf numFmtId="0" fontId="49" fillId="33" borderId="21" xfId="0" applyFont="1" applyFill="1" applyBorder="1" applyAlignment="1">
      <alignment horizontal="center" vertical="center"/>
    </xf>
    <xf numFmtId="0" fontId="49" fillId="33" borderId="0" xfId="0" applyFont="1" applyFill="1" applyAlignment="1">
      <alignment horizontal="center" vertical="center"/>
    </xf>
    <xf numFmtId="0" fontId="41" fillId="33" borderId="34" xfId="0" applyFont="1" applyFill="1" applyBorder="1" applyAlignment="1">
      <alignment horizontal="center" vertical="center" wrapText="1"/>
    </xf>
    <xf numFmtId="0" fontId="41" fillId="33" borderId="30" xfId="0" applyFont="1" applyFill="1" applyBorder="1" applyAlignment="1">
      <alignment horizontal="left" vertical="top"/>
    </xf>
    <xf numFmtId="0" fontId="54" fillId="0" borderId="29" xfId="0" applyFont="1" applyBorder="1" applyAlignment="1">
      <alignment horizontal="left" vertical="top" wrapText="1"/>
    </xf>
    <xf numFmtId="0" fontId="54" fillId="0" borderId="10" xfId="0" applyFont="1" applyBorder="1" applyAlignment="1">
      <alignment horizontal="left" vertical="top" wrapText="1"/>
    </xf>
    <xf numFmtId="171" fontId="41" fillId="33" borderId="41" xfId="0" applyNumberFormat="1" applyFont="1" applyFill="1" applyBorder="1" applyAlignment="1">
      <alignment horizontal="left" vertical="top" wrapText="1"/>
    </xf>
    <xf numFmtId="171" fontId="41" fillId="33" borderId="31" xfId="0" applyNumberFormat="1" applyFont="1" applyFill="1" applyBorder="1" applyAlignment="1">
      <alignment horizontal="left" vertical="top" wrapText="1"/>
    </xf>
    <xf numFmtId="171" fontId="41" fillId="33" borderId="27" xfId="0" applyNumberFormat="1" applyFont="1" applyFill="1" applyBorder="1" applyAlignment="1">
      <alignment horizontal="left" vertical="top" wrapText="1"/>
    </xf>
    <xf numFmtId="0" fontId="52" fillId="33" borderId="23" xfId="0" applyFont="1" applyFill="1" applyBorder="1" applyAlignment="1">
      <alignment horizontal="left" vertical="center"/>
    </xf>
    <xf numFmtId="0" fontId="52" fillId="33" borderId="31" xfId="0" applyFont="1" applyFill="1" applyBorder="1" applyAlignment="1">
      <alignment horizontal="left" vertical="center"/>
    </xf>
    <xf numFmtId="0" fontId="52" fillId="33" borderId="27" xfId="0" applyFont="1" applyFill="1" applyBorder="1" applyAlignment="1">
      <alignment horizontal="left" vertical="center"/>
    </xf>
    <xf numFmtId="0" fontId="52" fillId="33" borderId="51" xfId="0" applyFont="1" applyFill="1" applyBorder="1" applyAlignment="1">
      <alignment horizontal="left" vertical="center"/>
    </xf>
    <xf numFmtId="0" fontId="52" fillId="33" borderId="10" xfId="0" applyFont="1" applyFill="1" applyBorder="1" applyAlignment="1">
      <alignment horizontal="left" vertical="center"/>
    </xf>
    <xf numFmtId="0" fontId="52" fillId="33" borderId="10" xfId="0" applyFont="1" applyFill="1" applyBorder="1" applyAlignment="1">
      <alignment horizontal="center" vertical="center"/>
    </xf>
    <xf numFmtId="0" fontId="40" fillId="33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52" fillId="33" borderId="63" xfId="0" applyFont="1" applyFill="1" applyBorder="1" applyAlignment="1">
      <alignment horizontal="left" vertical="center"/>
    </xf>
    <xf numFmtId="0" fontId="52" fillId="33" borderId="14" xfId="0" applyFont="1" applyFill="1" applyBorder="1" applyAlignment="1">
      <alignment horizontal="left" vertical="center"/>
    </xf>
    <xf numFmtId="0" fontId="52" fillId="33" borderId="65" xfId="0" applyFont="1" applyFill="1" applyBorder="1" applyAlignment="1">
      <alignment horizontal="left" vertical="center"/>
    </xf>
    <xf numFmtId="0" fontId="40" fillId="33" borderId="0" xfId="0" applyFont="1" applyFill="1" applyAlignment="1">
      <alignment horizontal="center" vertical="center"/>
    </xf>
    <xf numFmtId="0" fontId="41" fillId="33" borderId="24" xfId="0" applyFont="1" applyFill="1" applyBorder="1" applyAlignment="1">
      <alignment horizontal="center" vertical="center"/>
    </xf>
    <xf numFmtId="171" fontId="41" fillId="33" borderId="53" xfId="0" applyNumberFormat="1" applyFont="1" applyFill="1" applyBorder="1" applyAlignment="1">
      <alignment horizontal="left" vertical="top" wrapText="1"/>
    </xf>
    <xf numFmtId="171" fontId="41" fillId="33" borderId="34" xfId="0" applyNumberFormat="1" applyFont="1" applyFill="1" applyBorder="1" applyAlignment="1">
      <alignment horizontal="left" vertical="top" wrapText="1"/>
    </xf>
    <xf numFmtId="171" fontId="41" fillId="33" borderId="37" xfId="0" applyNumberFormat="1" applyFont="1" applyFill="1" applyBorder="1" applyAlignment="1">
      <alignment horizontal="left" vertical="top" wrapText="1"/>
    </xf>
    <xf numFmtId="0" fontId="41" fillId="33" borderId="36" xfId="0" applyFont="1" applyFill="1" applyBorder="1" applyAlignment="1">
      <alignment horizontal="left" vertical="center"/>
    </xf>
    <xf numFmtId="0" fontId="41" fillId="33" borderId="34" xfId="0" applyFont="1" applyFill="1" applyBorder="1" applyAlignment="1">
      <alignment horizontal="left" vertical="center"/>
    </xf>
    <xf numFmtId="0" fontId="41" fillId="33" borderId="13" xfId="0" applyFont="1" applyFill="1" applyBorder="1" applyAlignment="1">
      <alignment horizontal="left" vertical="center"/>
    </xf>
    <xf numFmtId="0" fontId="41" fillId="33" borderId="42" xfId="0" applyFont="1" applyFill="1" applyBorder="1" applyAlignment="1">
      <alignment horizontal="left" vertical="center"/>
    </xf>
    <xf numFmtId="0" fontId="41" fillId="33" borderId="16" xfId="0" applyFont="1" applyFill="1" applyBorder="1" applyAlignment="1">
      <alignment horizontal="left" vertical="center"/>
    </xf>
    <xf numFmtId="0" fontId="52" fillId="33" borderId="30" xfId="0" applyFont="1" applyFill="1" applyBorder="1" applyAlignment="1">
      <alignment horizontal="left" vertical="center"/>
    </xf>
    <xf numFmtId="167" fontId="52" fillId="33" borderId="14" xfId="0" applyNumberFormat="1" applyFont="1" applyFill="1" applyBorder="1" applyAlignment="1">
      <alignment horizontal="left" vertical="center"/>
    </xf>
    <xf numFmtId="167" fontId="52" fillId="33" borderId="64" xfId="0" applyNumberFormat="1" applyFont="1" applyFill="1" applyBorder="1" applyAlignment="1">
      <alignment horizontal="left" vertical="center"/>
    </xf>
    <xf numFmtId="0" fontId="52" fillId="33" borderId="14" xfId="0" applyFont="1" applyFill="1" applyBorder="1" applyAlignment="1">
      <alignment horizontal="center" vertical="center"/>
    </xf>
    <xf numFmtId="0" fontId="41" fillId="33" borderId="32" xfId="0" applyFont="1" applyFill="1" applyBorder="1" applyAlignment="1">
      <alignment horizontal="center" vertical="top"/>
    </xf>
    <xf numFmtId="0" fontId="41" fillId="33" borderId="28" xfId="0" applyFont="1" applyFill="1" applyBorder="1" applyAlignment="1">
      <alignment horizontal="center" vertical="top"/>
    </xf>
    <xf numFmtId="0" fontId="41" fillId="33" borderId="12" xfId="0" applyFont="1" applyFill="1" applyBorder="1" applyAlignment="1">
      <alignment horizontal="center" vertical="top"/>
    </xf>
    <xf numFmtId="0" fontId="41" fillId="33" borderId="51" xfId="0" applyFont="1" applyFill="1" applyBorder="1" applyAlignment="1">
      <alignment horizontal="left" vertical="center"/>
    </xf>
    <xf numFmtId="0" fontId="41" fillId="33" borderId="10" xfId="0" applyFont="1" applyFill="1" applyBorder="1" applyAlignment="1">
      <alignment horizontal="left" vertical="center"/>
    </xf>
    <xf numFmtId="0" fontId="41" fillId="33" borderId="63" xfId="0" applyFont="1" applyFill="1" applyBorder="1" applyAlignment="1">
      <alignment horizontal="left" vertical="center"/>
    </xf>
    <xf numFmtId="0" fontId="41" fillId="33" borderId="14" xfId="0" applyFont="1" applyFill="1" applyBorder="1" applyAlignment="1">
      <alignment horizontal="left" vertical="center"/>
    </xf>
    <xf numFmtId="164" fontId="40" fillId="33" borderId="0" xfId="0" applyNumberFormat="1" applyFont="1" applyFill="1" applyAlignment="1">
      <alignment horizontal="center" vertical="center"/>
    </xf>
    <xf numFmtId="0" fontId="41" fillId="33" borderId="42" xfId="0" applyFont="1" applyFill="1" applyBorder="1" applyAlignment="1">
      <alignment vertical="center"/>
    </xf>
    <xf numFmtId="0" fontId="41" fillId="33" borderId="16" xfId="0" applyFont="1" applyFill="1" applyBorder="1" applyAlignment="1">
      <alignment vertical="center"/>
    </xf>
    <xf numFmtId="0" fontId="41" fillId="33" borderId="24" xfId="0" applyFont="1" applyFill="1" applyBorder="1" applyAlignment="1">
      <alignment vertical="center"/>
    </xf>
    <xf numFmtId="0" fontId="41" fillId="33" borderId="45" xfId="0" applyFont="1" applyFill="1" applyBorder="1" applyAlignment="1">
      <alignment vertical="center"/>
    </xf>
    <xf numFmtId="0" fontId="41" fillId="33" borderId="21" xfId="0" applyFont="1" applyFill="1" applyBorder="1" applyAlignment="1">
      <alignment horizontal="center" vertical="center"/>
    </xf>
    <xf numFmtId="0" fontId="41" fillId="33" borderId="0" xfId="0" applyFont="1" applyFill="1" applyAlignment="1">
      <alignment horizontal="center" vertical="center"/>
    </xf>
    <xf numFmtId="176" fontId="41" fillId="33" borderId="34" xfId="0" applyNumberFormat="1" applyFont="1" applyFill="1" applyBorder="1" applyAlignment="1">
      <alignment horizontal="center" vertical="center"/>
    </xf>
    <xf numFmtId="0" fontId="41" fillId="38" borderId="85" xfId="0" applyFont="1" applyFill="1" applyBorder="1" applyAlignment="1">
      <alignment horizontal="center" vertical="center"/>
    </xf>
    <xf numFmtId="0" fontId="41" fillId="38" borderId="86" xfId="0" applyFont="1" applyFill="1" applyBorder="1" applyAlignment="1">
      <alignment horizontal="center" vertical="center"/>
    </xf>
    <xf numFmtId="0" fontId="41" fillId="38" borderId="87" xfId="0" applyFont="1" applyFill="1" applyBorder="1" applyAlignment="1">
      <alignment horizontal="center" vertical="center"/>
    </xf>
    <xf numFmtId="168" fontId="41" fillId="33" borderId="30" xfId="0" applyNumberFormat="1" applyFont="1" applyFill="1" applyBorder="1" applyAlignment="1">
      <alignment horizontal="center" vertical="center" wrapText="1"/>
    </xf>
    <xf numFmtId="168" fontId="41" fillId="33" borderId="22" xfId="0" applyNumberFormat="1" applyFont="1" applyFill="1" applyBorder="1" applyAlignment="1">
      <alignment horizontal="center" vertical="center" wrapText="1"/>
    </xf>
    <xf numFmtId="0" fontId="41" fillId="33" borderId="22" xfId="0" applyFont="1" applyFill="1" applyBorder="1" applyAlignment="1">
      <alignment horizontal="center" vertical="center" wrapText="1"/>
    </xf>
    <xf numFmtId="0" fontId="41" fillId="33" borderId="82" xfId="0" applyFont="1" applyFill="1" applyBorder="1" applyAlignment="1">
      <alignment horizontal="center" vertical="center" wrapText="1"/>
    </xf>
    <xf numFmtId="0" fontId="45" fillId="33" borderId="24" xfId="0" applyFont="1" applyFill="1" applyBorder="1" applyAlignment="1">
      <alignment horizontal="center" vertical="center" wrapText="1"/>
    </xf>
    <xf numFmtId="176" fontId="41" fillId="36" borderId="13" xfId="632" applyNumberFormat="1" applyFont="1" applyFill="1" applyBorder="1" applyAlignment="1">
      <alignment horizontal="center" vertical="center"/>
    </xf>
    <xf numFmtId="176" fontId="41" fillId="36" borderId="93" xfId="632" applyNumberFormat="1" applyFont="1" applyFill="1" applyBorder="1" applyAlignment="1">
      <alignment horizontal="center" vertical="center"/>
    </xf>
    <xf numFmtId="0" fontId="41" fillId="33" borderId="108" xfId="0" applyFont="1" applyFill="1" applyBorder="1" applyAlignment="1">
      <alignment vertical="center"/>
    </xf>
    <xf numFmtId="0" fontId="41" fillId="33" borderId="33" xfId="0" applyFont="1" applyFill="1" applyBorder="1" applyAlignment="1">
      <alignment vertical="center"/>
    </xf>
    <xf numFmtId="0" fontId="41" fillId="33" borderId="72" xfId="0" applyFont="1" applyFill="1" applyBorder="1" applyAlignment="1">
      <alignment vertical="center"/>
    </xf>
    <xf numFmtId="0" fontId="52" fillId="33" borderId="64" xfId="0" applyFont="1" applyFill="1" applyBorder="1" applyAlignment="1">
      <alignment horizontal="left" vertical="center"/>
    </xf>
    <xf numFmtId="0" fontId="52" fillId="33" borderId="54" xfId="0" applyFont="1" applyFill="1" applyBorder="1" applyAlignment="1">
      <alignment horizontal="left" vertical="center"/>
    </xf>
    <xf numFmtId="0" fontId="41" fillId="33" borderId="45" xfId="0" applyFont="1" applyFill="1" applyBorder="1" applyAlignment="1">
      <alignment horizontal="left" vertical="center"/>
    </xf>
    <xf numFmtId="0" fontId="41" fillId="33" borderId="45" xfId="0" applyFont="1" applyFill="1" applyBorder="1" applyAlignment="1">
      <alignment horizontal="center" vertical="center"/>
    </xf>
    <xf numFmtId="176" fontId="41" fillId="33" borderId="13" xfId="0" applyNumberFormat="1" applyFont="1" applyFill="1" applyBorder="1" applyAlignment="1">
      <alignment horizontal="center" vertical="center"/>
    </xf>
    <xf numFmtId="0" fontId="41" fillId="33" borderId="93" xfId="0" applyFont="1" applyFill="1" applyBorder="1" applyAlignment="1">
      <alignment horizontal="center" vertical="center"/>
    </xf>
    <xf numFmtId="171" fontId="41" fillId="33" borderId="42" xfId="0" applyNumberFormat="1" applyFont="1" applyFill="1" applyBorder="1" applyAlignment="1">
      <alignment horizontal="left" vertical="top" wrapText="1"/>
    </xf>
    <xf numFmtId="171" fontId="41" fillId="33" borderId="16" xfId="0" applyNumberFormat="1" applyFont="1" applyFill="1" applyBorder="1" applyAlignment="1">
      <alignment horizontal="left" vertical="top" wrapText="1"/>
    </xf>
    <xf numFmtId="171" fontId="41" fillId="33" borderId="45" xfId="0" applyNumberFormat="1" applyFont="1" applyFill="1" applyBorder="1" applyAlignment="1">
      <alignment horizontal="left" vertical="top" wrapText="1"/>
    </xf>
    <xf numFmtId="0" fontId="41" fillId="33" borderId="64" xfId="0" applyFont="1" applyFill="1" applyBorder="1" applyAlignment="1">
      <alignment horizontal="left" vertical="center"/>
    </xf>
    <xf numFmtId="0" fontId="41" fillId="33" borderId="42" xfId="0" applyFont="1" applyFill="1" applyBorder="1" applyAlignment="1">
      <alignment horizontal="left" vertical="top"/>
    </xf>
    <xf numFmtId="0" fontId="41" fillId="33" borderId="16" xfId="0" applyFont="1" applyFill="1" applyBorder="1" applyAlignment="1">
      <alignment horizontal="left" vertical="top"/>
    </xf>
    <xf numFmtId="0" fontId="41" fillId="33" borderId="45" xfId="0" applyFont="1" applyFill="1" applyBorder="1" applyAlignment="1">
      <alignment horizontal="left" vertical="top"/>
    </xf>
    <xf numFmtId="0" fontId="41" fillId="33" borderId="92" xfId="0" applyFont="1" applyFill="1" applyBorder="1" applyAlignment="1">
      <alignment horizontal="center" vertical="center" wrapText="1"/>
    </xf>
    <xf numFmtId="0" fontId="41" fillId="33" borderId="27" xfId="0" applyFont="1" applyFill="1" applyBorder="1" applyAlignment="1">
      <alignment horizontal="center" vertical="center" wrapText="1"/>
    </xf>
    <xf numFmtId="0" fontId="41" fillId="33" borderId="54" xfId="0" applyFont="1" applyFill="1" applyBorder="1" applyAlignment="1">
      <alignment horizontal="center" vertical="center" wrapText="1"/>
    </xf>
    <xf numFmtId="0" fontId="41" fillId="33" borderId="47" xfId="0" applyFont="1" applyFill="1" applyBorder="1" applyAlignment="1">
      <alignment horizontal="center" vertical="center"/>
    </xf>
    <xf numFmtId="0" fontId="41" fillId="33" borderId="49" xfId="0" applyFont="1" applyFill="1" applyBorder="1" applyAlignment="1">
      <alignment horizontal="center" vertical="center"/>
    </xf>
    <xf numFmtId="167" fontId="41" fillId="33" borderId="89" xfId="0" applyNumberFormat="1" applyFont="1" applyFill="1" applyBorder="1" applyAlignment="1">
      <alignment horizontal="center" vertical="center"/>
    </xf>
    <xf numFmtId="167" fontId="41" fillId="33" borderId="90" xfId="0" applyNumberFormat="1" applyFont="1" applyFill="1" applyBorder="1" applyAlignment="1">
      <alignment horizontal="center" vertical="center"/>
    </xf>
    <xf numFmtId="167" fontId="41" fillId="33" borderId="91" xfId="0" applyNumberFormat="1" applyFont="1" applyFill="1" applyBorder="1" applyAlignment="1">
      <alignment horizontal="center" vertical="center"/>
    </xf>
    <xf numFmtId="0" fontId="52" fillId="33" borderId="10" xfId="0" applyFont="1" applyFill="1" applyBorder="1" applyAlignment="1">
      <alignment vertical="center"/>
    </xf>
    <xf numFmtId="0" fontId="41" fillId="33" borderId="51" xfId="0" applyFont="1" applyFill="1" applyBorder="1" applyAlignment="1">
      <alignment vertical="center"/>
    </xf>
    <xf numFmtId="0" fontId="41" fillId="33" borderId="10" xfId="0" applyFont="1" applyFill="1" applyBorder="1" applyAlignment="1">
      <alignment vertical="center"/>
    </xf>
    <xf numFmtId="0" fontId="41" fillId="33" borderId="54" xfId="0" applyFont="1" applyFill="1" applyBorder="1" applyAlignment="1">
      <alignment vertical="center"/>
    </xf>
    <xf numFmtId="171" fontId="41" fillId="33" borderId="88" xfId="0" applyNumberFormat="1" applyFont="1" applyFill="1" applyBorder="1" applyAlignment="1">
      <alignment horizontal="left" vertical="top" wrapText="1"/>
    </xf>
    <xf numFmtId="0" fontId="41" fillId="33" borderId="81" xfId="0" applyFont="1" applyFill="1" applyBorder="1" applyAlignment="1">
      <alignment horizontal="left" vertical="center" wrapText="1"/>
    </xf>
    <xf numFmtId="0" fontId="41" fillId="33" borderId="103" xfId="0" applyFont="1" applyFill="1" applyBorder="1" applyAlignment="1">
      <alignment horizontal="left" vertical="center" wrapText="1"/>
    </xf>
    <xf numFmtId="0" fontId="41" fillId="33" borderId="104" xfId="0" applyFont="1" applyFill="1" applyBorder="1" applyAlignment="1">
      <alignment horizontal="left" vertical="center" wrapText="1"/>
    </xf>
    <xf numFmtId="0" fontId="41" fillId="33" borderId="63" xfId="0" applyFont="1" applyFill="1" applyBorder="1" applyAlignment="1">
      <alignment vertical="center"/>
    </xf>
    <xf numFmtId="0" fontId="41" fillId="33" borderId="14" xfId="0" applyFont="1" applyFill="1" applyBorder="1" applyAlignment="1">
      <alignment vertical="center"/>
    </xf>
    <xf numFmtId="0" fontId="41" fillId="33" borderId="64" xfId="0" applyFont="1" applyFill="1" applyBorder="1" applyAlignment="1">
      <alignment vertical="center"/>
    </xf>
    <xf numFmtId="0" fontId="52" fillId="0" borderId="81" xfId="0" applyFont="1" applyBorder="1" applyAlignment="1">
      <alignment horizontal="left" vertical="center" wrapText="1"/>
    </xf>
    <xf numFmtId="0" fontId="52" fillId="0" borderId="103" xfId="0" applyFont="1" applyBorder="1" applyAlignment="1">
      <alignment horizontal="left" vertical="center" wrapText="1"/>
    </xf>
    <xf numFmtId="0" fontId="52" fillId="0" borderId="104" xfId="0" applyFont="1" applyBorder="1" applyAlignment="1">
      <alignment horizontal="left" vertical="center" wrapText="1"/>
    </xf>
    <xf numFmtId="0" fontId="41" fillId="33" borderId="100" xfId="0" applyFont="1" applyFill="1" applyBorder="1" applyAlignment="1">
      <alignment horizontal="left" vertical="center" wrapText="1"/>
    </xf>
    <xf numFmtId="0" fontId="41" fillId="33" borderId="101" xfId="0" applyFont="1" applyFill="1" applyBorder="1" applyAlignment="1">
      <alignment horizontal="left" vertical="center" wrapText="1"/>
    </xf>
    <xf numFmtId="0" fontId="41" fillId="33" borderId="102" xfId="0" applyFont="1" applyFill="1" applyBorder="1" applyAlignment="1">
      <alignment horizontal="left" vertical="center" wrapText="1"/>
    </xf>
    <xf numFmtId="0" fontId="41" fillId="33" borderId="54" xfId="0" applyFont="1" applyFill="1" applyBorder="1" applyAlignment="1">
      <alignment horizontal="left" vertical="center"/>
    </xf>
    <xf numFmtId="0" fontId="52" fillId="33" borderId="14" xfId="0" applyFont="1" applyFill="1" applyBorder="1" applyAlignment="1">
      <alignment vertical="center"/>
    </xf>
    <xf numFmtId="0" fontId="52" fillId="33" borderId="65" xfId="0" applyFont="1" applyFill="1" applyBorder="1" applyAlignment="1">
      <alignment vertical="center"/>
    </xf>
    <xf numFmtId="176" fontId="41" fillId="33" borderId="34" xfId="632" applyNumberFormat="1" applyFont="1" applyFill="1" applyBorder="1" applyAlignment="1">
      <alignment horizontal="center" vertical="center"/>
    </xf>
    <xf numFmtId="0" fontId="56" fillId="33" borderId="19" xfId="0" applyFont="1" applyFill="1" applyBorder="1" applyAlignment="1">
      <alignment horizontal="center" vertical="center"/>
    </xf>
    <xf numFmtId="0" fontId="56" fillId="33" borderId="0" xfId="0" applyFont="1" applyFill="1" applyAlignment="1">
      <alignment horizontal="center" vertical="center"/>
    </xf>
    <xf numFmtId="0" fontId="52" fillId="33" borderId="42" xfId="0" applyFont="1" applyFill="1" applyBorder="1" applyAlignment="1">
      <alignment horizontal="center" vertical="center"/>
    </xf>
    <xf numFmtId="0" fontId="52" fillId="33" borderId="16" xfId="0" applyFont="1" applyFill="1" applyBorder="1" applyAlignment="1">
      <alignment horizontal="center" vertical="center"/>
    </xf>
    <xf numFmtId="0" fontId="52" fillId="33" borderId="45" xfId="0" applyFont="1" applyFill="1" applyBorder="1" applyAlignment="1">
      <alignment horizontal="center" vertical="center"/>
    </xf>
    <xf numFmtId="0" fontId="52" fillId="33" borderId="51" xfId="0" applyFont="1" applyFill="1" applyBorder="1" applyAlignment="1">
      <alignment vertical="center"/>
    </xf>
    <xf numFmtId="0" fontId="52" fillId="33" borderId="63" xfId="0" applyFont="1" applyFill="1" applyBorder="1" applyAlignment="1">
      <alignment vertical="center"/>
    </xf>
    <xf numFmtId="0" fontId="51" fillId="33" borderId="99" xfId="0" applyFont="1" applyFill="1" applyBorder="1" applyAlignment="1">
      <alignment horizontal="center" vertical="center"/>
    </xf>
    <xf numFmtId="0" fontId="51" fillId="33" borderId="16" xfId="0" applyFont="1" applyFill="1" applyBorder="1" applyAlignment="1">
      <alignment horizontal="center" vertical="center"/>
    </xf>
    <xf numFmtId="0" fontId="51" fillId="33" borderId="45" xfId="0" applyFont="1" applyFill="1" applyBorder="1" applyAlignment="1">
      <alignment horizontal="center" vertical="center"/>
    </xf>
    <xf numFmtId="0" fontId="41" fillId="33" borderId="42" xfId="0" quotePrefix="1" applyFont="1" applyFill="1" applyBorder="1" applyAlignment="1">
      <alignment horizontal="left" vertical="top" wrapText="1"/>
    </xf>
    <xf numFmtId="0" fontId="41" fillId="33" borderId="42" xfId="0" applyFont="1" applyFill="1" applyBorder="1" applyAlignment="1">
      <alignment horizontal="left" vertical="top" wrapText="1"/>
    </xf>
    <xf numFmtId="0" fontId="41" fillId="33" borderId="24" xfId="0" applyFont="1" applyFill="1" applyBorder="1" applyAlignment="1">
      <alignment horizontal="left" vertical="top"/>
    </xf>
    <xf numFmtId="0" fontId="52" fillId="33" borderId="54" xfId="0" applyFont="1" applyFill="1" applyBorder="1" applyAlignment="1">
      <alignment vertical="center"/>
    </xf>
    <xf numFmtId="0" fontId="52" fillId="33" borderId="64" xfId="0" applyFont="1" applyFill="1" applyBorder="1" applyAlignment="1">
      <alignment vertical="center"/>
    </xf>
    <xf numFmtId="0" fontId="41" fillId="33" borderId="106" xfId="0" applyFont="1" applyFill="1" applyBorder="1" applyAlignment="1">
      <alignment horizontal="center" vertical="center" wrapText="1"/>
    </xf>
    <xf numFmtId="0" fontId="41" fillId="33" borderId="105" xfId="0" applyFont="1" applyFill="1" applyBorder="1" applyAlignment="1">
      <alignment horizontal="center" vertical="center" wrapText="1"/>
    </xf>
    <xf numFmtId="0" fontId="41" fillId="33" borderId="107" xfId="0" applyFont="1" applyFill="1" applyBorder="1" applyAlignment="1">
      <alignment horizontal="center" vertical="center" wrapText="1"/>
    </xf>
    <xf numFmtId="177" fontId="41" fillId="33" borderId="42" xfId="0" applyNumberFormat="1" applyFont="1" applyFill="1" applyBorder="1" applyAlignment="1">
      <alignment horizontal="center" vertical="center"/>
    </xf>
    <xf numFmtId="177" fontId="41" fillId="33" borderId="16" xfId="0" applyNumberFormat="1" applyFont="1" applyFill="1" applyBorder="1" applyAlignment="1">
      <alignment horizontal="center" vertical="center"/>
    </xf>
    <xf numFmtId="0" fontId="53" fillId="33" borderId="19" xfId="0" applyFont="1" applyFill="1" applyBorder="1" applyAlignment="1">
      <alignment horizontal="center" vertical="center"/>
    </xf>
    <xf numFmtId="0" fontId="53" fillId="33" borderId="0" xfId="0" applyFont="1" applyFill="1" applyAlignment="1">
      <alignment horizontal="center" vertical="center"/>
    </xf>
    <xf numFmtId="169" fontId="45" fillId="33" borderId="0" xfId="0" quotePrefix="1" applyNumberFormat="1" applyFont="1" applyFill="1" applyAlignment="1">
      <alignment horizontal="left" vertical="center" wrapText="1"/>
    </xf>
    <xf numFmtId="169" fontId="45" fillId="33" borderId="22" xfId="0" quotePrefix="1" applyNumberFormat="1" applyFont="1" applyFill="1" applyBorder="1" applyAlignment="1">
      <alignment horizontal="left" vertical="center" wrapText="1"/>
    </xf>
  </cellXfs>
  <cellStyles count="634">
    <cellStyle name="20% - Accent1" xfId="17" builtinId="30" customBuiltin="1"/>
    <cellStyle name="20% - Accent1 10" xfId="170" xr:uid="{00000000-0005-0000-0000-000001000000}"/>
    <cellStyle name="20% - Accent1 11" xfId="184" xr:uid="{00000000-0005-0000-0000-000002000000}"/>
    <cellStyle name="20% - Accent1 12" xfId="198" xr:uid="{00000000-0005-0000-0000-000003000000}"/>
    <cellStyle name="20% - Accent1 13" xfId="212" xr:uid="{00000000-0005-0000-0000-000004000000}"/>
    <cellStyle name="20% - Accent1 14" xfId="226" xr:uid="{00000000-0005-0000-0000-000005000000}"/>
    <cellStyle name="20% - Accent1 15" xfId="240" xr:uid="{00000000-0005-0000-0000-000006000000}"/>
    <cellStyle name="20% - Accent1 16" xfId="254" xr:uid="{00000000-0005-0000-0000-000007000000}"/>
    <cellStyle name="20% - Accent1 17" xfId="268" xr:uid="{00000000-0005-0000-0000-000008000000}"/>
    <cellStyle name="20% - Accent1 18" xfId="282" xr:uid="{00000000-0005-0000-0000-000009000000}"/>
    <cellStyle name="20% - Accent1 19" xfId="296" xr:uid="{00000000-0005-0000-0000-00000A000000}"/>
    <cellStyle name="20% - Accent1 2" xfId="58" xr:uid="{00000000-0005-0000-0000-00000B000000}"/>
    <cellStyle name="20% - Accent1 20" xfId="310" xr:uid="{00000000-0005-0000-0000-00000C000000}"/>
    <cellStyle name="20% - Accent1 21" xfId="324" xr:uid="{00000000-0005-0000-0000-00000D000000}"/>
    <cellStyle name="20% - Accent1 22" xfId="338" xr:uid="{00000000-0005-0000-0000-00000E000000}"/>
    <cellStyle name="20% - Accent1 23" xfId="352" xr:uid="{00000000-0005-0000-0000-00000F000000}"/>
    <cellStyle name="20% - Accent1 24" xfId="366" xr:uid="{00000000-0005-0000-0000-000010000000}"/>
    <cellStyle name="20% - Accent1 25" xfId="380" xr:uid="{00000000-0005-0000-0000-000011000000}"/>
    <cellStyle name="20% - Accent1 26" xfId="394" xr:uid="{00000000-0005-0000-0000-000012000000}"/>
    <cellStyle name="20% - Accent1 27" xfId="408" xr:uid="{00000000-0005-0000-0000-000013000000}"/>
    <cellStyle name="20% - Accent1 28" xfId="422" xr:uid="{00000000-0005-0000-0000-000014000000}"/>
    <cellStyle name="20% - Accent1 29" xfId="436" xr:uid="{00000000-0005-0000-0000-000015000000}"/>
    <cellStyle name="20% - Accent1 3" xfId="72" xr:uid="{00000000-0005-0000-0000-000016000000}"/>
    <cellStyle name="20% - Accent1 30" xfId="450" xr:uid="{00000000-0005-0000-0000-000017000000}"/>
    <cellStyle name="20% - Accent1 31" xfId="464" xr:uid="{00000000-0005-0000-0000-000018000000}"/>
    <cellStyle name="20% - Accent1 32" xfId="478" xr:uid="{00000000-0005-0000-0000-000019000000}"/>
    <cellStyle name="20% - Accent1 33" xfId="492" xr:uid="{00000000-0005-0000-0000-00001A000000}"/>
    <cellStyle name="20% - Accent1 34" xfId="506" xr:uid="{00000000-0005-0000-0000-00001B000000}"/>
    <cellStyle name="20% - Accent1 35" xfId="520" xr:uid="{00000000-0005-0000-0000-00001C000000}"/>
    <cellStyle name="20% - Accent1 36" xfId="534" xr:uid="{00000000-0005-0000-0000-00001D000000}"/>
    <cellStyle name="20% - Accent1 37" xfId="565" xr:uid="{00000000-0005-0000-0000-00001E000000}"/>
    <cellStyle name="20% - Accent1 38" xfId="590" xr:uid="{00000000-0005-0000-0000-00001F000000}"/>
    <cellStyle name="20% - Accent1 39" xfId="604" xr:uid="{00000000-0005-0000-0000-000020000000}"/>
    <cellStyle name="20% - Accent1 4" xfId="86" xr:uid="{00000000-0005-0000-0000-000021000000}"/>
    <cellStyle name="20% - Accent1 40" xfId="618" xr:uid="{00000000-0005-0000-0000-000022000000}"/>
    <cellStyle name="20% - Accent1 5" xfId="100" xr:uid="{00000000-0005-0000-0000-000023000000}"/>
    <cellStyle name="20% - Accent1 6" xfId="114" xr:uid="{00000000-0005-0000-0000-000024000000}"/>
    <cellStyle name="20% - Accent1 7" xfId="128" xr:uid="{00000000-0005-0000-0000-000025000000}"/>
    <cellStyle name="20% - Accent1 8" xfId="142" xr:uid="{00000000-0005-0000-0000-000026000000}"/>
    <cellStyle name="20% - Accent1 9" xfId="156" xr:uid="{00000000-0005-0000-0000-000027000000}"/>
    <cellStyle name="20% - Accent2" xfId="21" builtinId="34" customBuiltin="1"/>
    <cellStyle name="20% - Accent2 10" xfId="172" xr:uid="{00000000-0005-0000-0000-000029000000}"/>
    <cellStyle name="20% - Accent2 11" xfId="186" xr:uid="{00000000-0005-0000-0000-00002A000000}"/>
    <cellStyle name="20% - Accent2 12" xfId="200" xr:uid="{00000000-0005-0000-0000-00002B000000}"/>
    <cellStyle name="20% - Accent2 13" xfId="214" xr:uid="{00000000-0005-0000-0000-00002C000000}"/>
    <cellStyle name="20% - Accent2 14" xfId="228" xr:uid="{00000000-0005-0000-0000-00002D000000}"/>
    <cellStyle name="20% - Accent2 15" xfId="242" xr:uid="{00000000-0005-0000-0000-00002E000000}"/>
    <cellStyle name="20% - Accent2 16" xfId="256" xr:uid="{00000000-0005-0000-0000-00002F000000}"/>
    <cellStyle name="20% - Accent2 17" xfId="270" xr:uid="{00000000-0005-0000-0000-000030000000}"/>
    <cellStyle name="20% - Accent2 18" xfId="284" xr:uid="{00000000-0005-0000-0000-000031000000}"/>
    <cellStyle name="20% - Accent2 19" xfId="298" xr:uid="{00000000-0005-0000-0000-000032000000}"/>
    <cellStyle name="20% - Accent2 2" xfId="60" xr:uid="{00000000-0005-0000-0000-000033000000}"/>
    <cellStyle name="20% - Accent2 20" xfId="312" xr:uid="{00000000-0005-0000-0000-000034000000}"/>
    <cellStyle name="20% - Accent2 21" xfId="326" xr:uid="{00000000-0005-0000-0000-000035000000}"/>
    <cellStyle name="20% - Accent2 22" xfId="340" xr:uid="{00000000-0005-0000-0000-000036000000}"/>
    <cellStyle name="20% - Accent2 23" xfId="354" xr:uid="{00000000-0005-0000-0000-000037000000}"/>
    <cellStyle name="20% - Accent2 24" xfId="368" xr:uid="{00000000-0005-0000-0000-000038000000}"/>
    <cellStyle name="20% - Accent2 25" xfId="382" xr:uid="{00000000-0005-0000-0000-000039000000}"/>
    <cellStyle name="20% - Accent2 26" xfId="396" xr:uid="{00000000-0005-0000-0000-00003A000000}"/>
    <cellStyle name="20% - Accent2 27" xfId="410" xr:uid="{00000000-0005-0000-0000-00003B000000}"/>
    <cellStyle name="20% - Accent2 28" xfId="424" xr:uid="{00000000-0005-0000-0000-00003C000000}"/>
    <cellStyle name="20% - Accent2 29" xfId="438" xr:uid="{00000000-0005-0000-0000-00003D000000}"/>
    <cellStyle name="20% - Accent2 3" xfId="74" xr:uid="{00000000-0005-0000-0000-00003E000000}"/>
    <cellStyle name="20% - Accent2 30" xfId="452" xr:uid="{00000000-0005-0000-0000-00003F000000}"/>
    <cellStyle name="20% - Accent2 31" xfId="466" xr:uid="{00000000-0005-0000-0000-000040000000}"/>
    <cellStyle name="20% - Accent2 32" xfId="480" xr:uid="{00000000-0005-0000-0000-000041000000}"/>
    <cellStyle name="20% - Accent2 33" xfId="494" xr:uid="{00000000-0005-0000-0000-000042000000}"/>
    <cellStyle name="20% - Accent2 34" xfId="508" xr:uid="{00000000-0005-0000-0000-000043000000}"/>
    <cellStyle name="20% - Accent2 35" xfId="522" xr:uid="{00000000-0005-0000-0000-000044000000}"/>
    <cellStyle name="20% - Accent2 36" xfId="536" xr:uid="{00000000-0005-0000-0000-000045000000}"/>
    <cellStyle name="20% - Accent2 37" xfId="569" xr:uid="{00000000-0005-0000-0000-000046000000}"/>
    <cellStyle name="20% - Accent2 38" xfId="592" xr:uid="{00000000-0005-0000-0000-000047000000}"/>
    <cellStyle name="20% - Accent2 39" xfId="606" xr:uid="{00000000-0005-0000-0000-000048000000}"/>
    <cellStyle name="20% - Accent2 4" xfId="88" xr:uid="{00000000-0005-0000-0000-000049000000}"/>
    <cellStyle name="20% - Accent2 40" xfId="620" xr:uid="{00000000-0005-0000-0000-00004A000000}"/>
    <cellStyle name="20% - Accent2 5" xfId="102" xr:uid="{00000000-0005-0000-0000-00004B000000}"/>
    <cellStyle name="20% - Accent2 6" xfId="116" xr:uid="{00000000-0005-0000-0000-00004C000000}"/>
    <cellStyle name="20% - Accent2 7" xfId="130" xr:uid="{00000000-0005-0000-0000-00004D000000}"/>
    <cellStyle name="20% - Accent2 8" xfId="144" xr:uid="{00000000-0005-0000-0000-00004E000000}"/>
    <cellStyle name="20% - Accent2 9" xfId="158" xr:uid="{00000000-0005-0000-0000-00004F000000}"/>
    <cellStyle name="20% - Accent3" xfId="25" builtinId="38" customBuiltin="1"/>
    <cellStyle name="20% - Accent3 10" xfId="174" xr:uid="{00000000-0005-0000-0000-000051000000}"/>
    <cellStyle name="20% - Accent3 11" xfId="188" xr:uid="{00000000-0005-0000-0000-000052000000}"/>
    <cellStyle name="20% - Accent3 12" xfId="202" xr:uid="{00000000-0005-0000-0000-000053000000}"/>
    <cellStyle name="20% - Accent3 13" xfId="216" xr:uid="{00000000-0005-0000-0000-000054000000}"/>
    <cellStyle name="20% - Accent3 14" xfId="230" xr:uid="{00000000-0005-0000-0000-000055000000}"/>
    <cellStyle name="20% - Accent3 15" xfId="244" xr:uid="{00000000-0005-0000-0000-000056000000}"/>
    <cellStyle name="20% - Accent3 16" xfId="258" xr:uid="{00000000-0005-0000-0000-000057000000}"/>
    <cellStyle name="20% - Accent3 17" xfId="272" xr:uid="{00000000-0005-0000-0000-000058000000}"/>
    <cellStyle name="20% - Accent3 18" xfId="286" xr:uid="{00000000-0005-0000-0000-000059000000}"/>
    <cellStyle name="20% - Accent3 19" xfId="300" xr:uid="{00000000-0005-0000-0000-00005A000000}"/>
    <cellStyle name="20% - Accent3 2" xfId="62" xr:uid="{00000000-0005-0000-0000-00005B000000}"/>
    <cellStyle name="20% - Accent3 20" xfId="314" xr:uid="{00000000-0005-0000-0000-00005C000000}"/>
    <cellStyle name="20% - Accent3 21" xfId="328" xr:uid="{00000000-0005-0000-0000-00005D000000}"/>
    <cellStyle name="20% - Accent3 22" xfId="342" xr:uid="{00000000-0005-0000-0000-00005E000000}"/>
    <cellStyle name="20% - Accent3 23" xfId="356" xr:uid="{00000000-0005-0000-0000-00005F000000}"/>
    <cellStyle name="20% - Accent3 24" xfId="370" xr:uid="{00000000-0005-0000-0000-000060000000}"/>
    <cellStyle name="20% - Accent3 25" xfId="384" xr:uid="{00000000-0005-0000-0000-000061000000}"/>
    <cellStyle name="20% - Accent3 26" xfId="398" xr:uid="{00000000-0005-0000-0000-000062000000}"/>
    <cellStyle name="20% - Accent3 27" xfId="412" xr:uid="{00000000-0005-0000-0000-000063000000}"/>
    <cellStyle name="20% - Accent3 28" xfId="426" xr:uid="{00000000-0005-0000-0000-000064000000}"/>
    <cellStyle name="20% - Accent3 29" xfId="440" xr:uid="{00000000-0005-0000-0000-000065000000}"/>
    <cellStyle name="20% - Accent3 3" xfId="76" xr:uid="{00000000-0005-0000-0000-000066000000}"/>
    <cellStyle name="20% - Accent3 30" xfId="454" xr:uid="{00000000-0005-0000-0000-000067000000}"/>
    <cellStyle name="20% - Accent3 31" xfId="468" xr:uid="{00000000-0005-0000-0000-000068000000}"/>
    <cellStyle name="20% - Accent3 32" xfId="482" xr:uid="{00000000-0005-0000-0000-000069000000}"/>
    <cellStyle name="20% - Accent3 33" xfId="496" xr:uid="{00000000-0005-0000-0000-00006A000000}"/>
    <cellStyle name="20% - Accent3 34" xfId="510" xr:uid="{00000000-0005-0000-0000-00006B000000}"/>
    <cellStyle name="20% - Accent3 35" xfId="524" xr:uid="{00000000-0005-0000-0000-00006C000000}"/>
    <cellStyle name="20% - Accent3 36" xfId="538" xr:uid="{00000000-0005-0000-0000-00006D000000}"/>
    <cellStyle name="20% - Accent3 37" xfId="573" xr:uid="{00000000-0005-0000-0000-00006E000000}"/>
    <cellStyle name="20% - Accent3 38" xfId="594" xr:uid="{00000000-0005-0000-0000-00006F000000}"/>
    <cellStyle name="20% - Accent3 39" xfId="608" xr:uid="{00000000-0005-0000-0000-000070000000}"/>
    <cellStyle name="20% - Accent3 4" xfId="90" xr:uid="{00000000-0005-0000-0000-000071000000}"/>
    <cellStyle name="20% - Accent3 40" xfId="622" xr:uid="{00000000-0005-0000-0000-000072000000}"/>
    <cellStyle name="20% - Accent3 5" xfId="104" xr:uid="{00000000-0005-0000-0000-000073000000}"/>
    <cellStyle name="20% - Accent3 6" xfId="118" xr:uid="{00000000-0005-0000-0000-000074000000}"/>
    <cellStyle name="20% - Accent3 7" xfId="132" xr:uid="{00000000-0005-0000-0000-000075000000}"/>
    <cellStyle name="20% - Accent3 8" xfId="146" xr:uid="{00000000-0005-0000-0000-000076000000}"/>
    <cellStyle name="20% - Accent3 9" xfId="160" xr:uid="{00000000-0005-0000-0000-000077000000}"/>
    <cellStyle name="20% - Accent4" xfId="29" builtinId="42" customBuiltin="1"/>
    <cellStyle name="20% - Accent4 10" xfId="176" xr:uid="{00000000-0005-0000-0000-000079000000}"/>
    <cellStyle name="20% - Accent4 11" xfId="190" xr:uid="{00000000-0005-0000-0000-00007A000000}"/>
    <cellStyle name="20% - Accent4 12" xfId="204" xr:uid="{00000000-0005-0000-0000-00007B000000}"/>
    <cellStyle name="20% - Accent4 13" xfId="218" xr:uid="{00000000-0005-0000-0000-00007C000000}"/>
    <cellStyle name="20% - Accent4 14" xfId="232" xr:uid="{00000000-0005-0000-0000-00007D000000}"/>
    <cellStyle name="20% - Accent4 15" xfId="246" xr:uid="{00000000-0005-0000-0000-00007E000000}"/>
    <cellStyle name="20% - Accent4 16" xfId="260" xr:uid="{00000000-0005-0000-0000-00007F000000}"/>
    <cellStyle name="20% - Accent4 17" xfId="274" xr:uid="{00000000-0005-0000-0000-000080000000}"/>
    <cellStyle name="20% - Accent4 18" xfId="288" xr:uid="{00000000-0005-0000-0000-000081000000}"/>
    <cellStyle name="20% - Accent4 19" xfId="302" xr:uid="{00000000-0005-0000-0000-000082000000}"/>
    <cellStyle name="20% - Accent4 2" xfId="64" xr:uid="{00000000-0005-0000-0000-000083000000}"/>
    <cellStyle name="20% - Accent4 20" xfId="316" xr:uid="{00000000-0005-0000-0000-000084000000}"/>
    <cellStyle name="20% - Accent4 21" xfId="330" xr:uid="{00000000-0005-0000-0000-000085000000}"/>
    <cellStyle name="20% - Accent4 22" xfId="344" xr:uid="{00000000-0005-0000-0000-000086000000}"/>
    <cellStyle name="20% - Accent4 23" xfId="358" xr:uid="{00000000-0005-0000-0000-000087000000}"/>
    <cellStyle name="20% - Accent4 24" xfId="372" xr:uid="{00000000-0005-0000-0000-000088000000}"/>
    <cellStyle name="20% - Accent4 25" xfId="386" xr:uid="{00000000-0005-0000-0000-000089000000}"/>
    <cellStyle name="20% - Accent4 26" xfId="400" xr:uid="{00000000-0005-0000-0000-00008A000000}"/>
    <cellStyle name="20% - Accent4 27" xfId="414" xr:uid="{00000000-0005-0000-0000-00008B000000}"/>
    <cellStyle name="20% - Accent4 28" xfId="428" xr:uid="{00000000-0005-0000-0000-00008C000000}"/>
    <cellStyle name="20% - Accent4 29" xfId="442" xr:uid="{00000000-0005-0000-0000-00008D000000}"/>
    <cellStyle name="20% - Accent4 3" xfId="78" xr:uid="{00000000-0005-0000-0000-00008E000000}"/>
    <cellStyle name="20% - Accent4 30" xfId="456" xr:uid="{00000000-0005-0000-0000-00008F000000}"/>
    <cellStyle name="20% - Accent4 31" xfId="470" xr:uid="{00000000-0005-0000-0000-000090000000}"/>
    <cellStyle name="20% - Accent4 32" xfId="484" xr:uid="{00000000-0005-0000-0000-000091000000}"/>
    <cellStyle name="20% - Accent4 33" xfId="498" xr:uid="{00000000-0005-0000-0000-000092000000}"/>
    <cellStyle name="20% - Accent4 34" xfId="512" xr:uid="{00000000-0005-0000-0000-000093000000}"/>
    <cellStyle name="20% - Accent4 35" xfId="526" xr:uid="{00000000-0005-0000-0000-000094000000}"/>
    <cellStyle name="20% - Accent4 36" xfId="540" xr:uid="{00000000-0005-0000-0000-000095000000}"/>
    <cellStyle name="20% - Accent4 37" xfId="577" xr:uid="{00000000-0005-0000-0000-000096000000}"/>
    <cellStyle name="20% - Accent4 38" xfId="596" xr:uid="{00000000-0005-0000-0000-000097000000}"/>
    <cellStyle name="20% - Accent4 39" xfId="610" xr:uid="{00000000-0005-0000-0000-000098000000}"/>
    <cellStyle name="20% - Accent4 4" xfId="92" xr:uid="{00000000-0005-0000-0000-000099000000}"/>
    <cellStyle name="20% - Accent4 40" xfId="624" xr:uid="{00000000-0005-0000-0000-00009A000000}"/>
    <cellStyle name="20% - Accent4 5" xfId="106" xr:uid="{00000000-0005-0000-0000-00009B000000}"/>
    <cellStyle name="20% - Accent4 6" xfId="120" xr:uid="{00000000-0005-0000-0000-00009C000000}"/>
    <cellStyle name="20% - Accent4 7" xfId="134" xr:uid="{00000000-0005-0000-0000-00009D000000}"/>
    <cellStyle name="20% - Accent4 8" xfId="148" xr:uid="{00000000-0005-0000-0000-00009E000000}"/>
    <cellStyle name="20% - Accent4 9" xfId="162" xr:uid="{00000000-0005-0000-0000-00009F000000}"/>
    <cellStyle name="20% - Accent5" xfId="33" builtinId="46" customBuiltin="1"/>
    <cellStyle name="20% - Accent5 10" xfId="178" xr:uid="{00000000-0005-0000-0000-0000A1000000}"/>
    <cellStyle name="20% - Accent5 11" xfId="192" xr:uid="{00000000-0005-0000-0000-0000A2000000}"/>
    <cellStyle name="20% - Accent5 12" xfId="206" xr:uid="{00000000-0005-0000-0000-0000A3000000}"/>
    <cellStyle name="20% - Accent5 13" xfId="220" xr:uid="{00000000-0005-0000-0000-0000A4000000}"/>
    <cellStyle name="20% - Accent5 14" xfId="234" xr:uid="{00000000-0005-0000-0000-0000A5000000}"/>
    <cellStyle name="20% - Accent5 15" xfId="248" xr:uid="{00000000-0005-0000-0000-0000A6000000}"/>
    <cellStyle name="20% - Accent5 16" xfId="262" xr:uid="{00000000-0005-0000-0000-0000A7000000}"/>
    <cellStyle name="20% - Accent5 17" xfId="276" xr:uid="{00000000-0005-0000-0000-0000A8000000}"/>
    <cellStyle name="20% - Accent5 18" xfId="290" xr:uid="{00000000-0005-0000-0000-0000A9000000}"/>
    <cellStyle name="20% - Accent5 19" xfId="304" xr:uid="{00000000-0005-0000-0000-0000AA000000}"/>
    <cellStyle name="20% - Accent5 2" xfId="66" xr:uid="{00000000-0005-0000-0000-0000AB000000}"/>
    <cellStyle name="20% - Accent5 20" xfId="318" xr:uid="{00000000-0005-0000-0000-0000AC000000}"/>
    <cellStyle name="20% - Accent5 21" xfId="332" xr:uid="{00000000-0005-0000-0000-0000AD000000}"/>
    <cellStyle name="20% - Accent5 22" xfId="346" xr:uid="{00000000-0005-0000-0000-0000AE000000}"/>
    <cellStyle name="20% - Accent5 23" xfId="360" xr:uid="{00000000-0005-0000-0000-0000AF000000}"/>
    <cellStyle name="20% - Accent5 24" xfId="374" xr:uid="{00000000-0005-0000-0000-0000B0000000}"/>
    <cellStyle name="20% - Accent5 25" xfId="388" xr:uid="{00000000-0005-0000-0000-0000B1000000}"/>
    <cellStyle name="20% - Accent5 26" xfId="402" xr:uid="{00000000-0005-0000-0000-0000B2000000}"/>
    <cellStyle name="20% - Accent5 27" xfId="416" xr:uid="{00000000-0005-0000-0000-0000B3000000}"/>
    <cellStyle name="20% - Accent5 28" xfId="430" xr:uid="{00000000-0005-0000-0000-0000B4000000}"/>
    <cellStyle name="20% - Accent5 29" xfId="444" xr:uid="{00000000-0005-0000-0000-0000B5000000}"/>
    <cellStyle name="20% - Accent5 3" xfId="80" xr:uid="{00000000-0005-0000-0000-0000B6000000}"/>
    <cellStyle name="20% - Accent5 30" xfId="458" xr:uid="{00000000-0005-0000-0000-0000B7000000}"/>
    <cellStyle name="20% - Accent5 31" xfId="472" xr:uid="{00000000-0005-0000-0000-0000B8000000}"/>
    <cellStyle name="20% - Accent5 32" xfId="486" xr:uid="{00000000-0005-0000-0000-0000B9000000}"/>
    <cellStyle name="20% - Accent5 33" xfId="500" xr:uid="{00000000-0005-0000-0000-0000BA000000}"/>
    <cellStyle name="20% - Accent5 34" xfId="514" xr:uid="{00000000-0005-0000-0000-0000BB000000}"/>
    <cellStyle name="20% - Accent5 35" xfId="528" xr:uid="{00000000-0005-0000-0000-0000BC000000}"/>
    <cellStyle name="20% - Accent5 36" xfId="542" xr:uid="{00000000-0005-0000-0000-0000BD000000}"/>
    <cellStyle name="20% - Accent5 37" xfId="581" xr:uid="{00000000-0005-0000-0000-0000BE000000}"/>
    <cellStyle name="20% - Accent5 38" xfId="598" xr:uid="{00000000-0005-0000-0000-0000BF000000}"/>
    <cellStyle name="20% - Accent5 39" xfId="612" xr:uid="{00000000-0005-0000-0000-0000C0000000}"/>
    <cellStyle name="20% - Accent5 4" xfId="94" xr:uid="{00000000-0005-0000-0000-0000C1000000}"/>
    <cellStyle name="20% - Accent5 40" xfId="626" xr:uid="{00000000-0005-0000-0000-0000C2000000}"/>
    <cellStyle name="20% - Accent5 5" xfId="108" xr:uid="{00000000-0005-0000-0000-0000C3000000}"/>
    <cellStyle name="20% - Accent5 6" xfId="122" xr:uid="{00000000-0005-0000-0000-0000C4000000}"/>
    <cellStyle name="20% - Accent5 7" xfId="136" xr:uid="{00000000-0005-0000-0000-0000C5000000}"/>
    <cellStyle name="20% - Accent5 8" xfId="150" xr:uid="{00000000-0005-0000-0000-0000C6000000}"/>
    <cellStyle name="20% - Accent5 9" xfId="164" xr:uid="{00000000-0005-0000-0000-0000C7000000}"/>
    <cellStyle name="20% - Accent6" xfId="37" builtinId="50" customBuiltin="1"/>
    <cellStyle name="20% - Accent6 10" xfId="180" xr:uid="{00000000-0005-0000-0000-0000C9000000}"/>
    <cellStyle name="20% - Accent6 11" xfId="194" xr:uid="{00000000-0005-0000-0000-0000CA000000}"/>
    <cellStyle name="20% - Accent6 12" xfId="208" xr:uid="{00000000-0005-0000-0000-0000CB000000}"/>
    <cellStyle name="20% - Accent6 13" xfId="222" xr:uid="{00000000-0005-0000-0000-0000CC000000}"/>
    <cellStyle name="20% - Accent6 14" xfId="236" xr:uid="{00000000-0005-0000-0000-0000CD000000}"/>
    <cellStyle name="20% - Accent6 15" xfId="250" xr:uid="{00000000-0005-0000-0000-0000CE000000}"/>
    <cellStyle name="20% - Accent6 16" xfId="264" xr:uid="{00000000-0005-0000-0000-0000CF000000}"/>
    <cellStyle name="20% - Accent6 17" xfId="278" xr:uid="{00000000-0005-0000-0000-0000D0000000}"/>
    <cellStyle name="20% - Accent6 18" xfId="292" xr:uid="{00000000-0005-0000-0000-0000D1000000}"/>
    <cellStyle name="20% - Accent6 19" xfId="306" xr:uid="{00000000-0005-0000-0000-0000D2000000}"/>
    <cellStyle name="20% - Accent6 2" xfId="68" xr:uid="{00000000-0005-0000-0000-0000D3000000}"/>
    <cellStyle name="20% - Accent6 20" xfId="320" xr:uid="{00000000-0005-0000-0000-0000D4000000}"/>
    <cellStyle name="20% - Accent6 21" xfId="334" xr:uid="{00000000-0005-0000-0000-0000D5000000}"/>
    <cellStyle name="20% - Accent6 22" xfId="348" xr:uid="{00000000-0005-0000-0000-0000D6000000}"/>
    <cellStyle name="20% - Accent6 23" xfId="362" xr:uid="{00000000-0005-0000-0000-0000D7000000}"/>
    <cellStyle name="20% - Accent6 24" xfId="376" xr:uid="{00000000-0005-0000-0000-0000D8000000}"/>
    <cellStyle name="20% - Accent6 25" xfId="390" xr:uid="{00000000-0005-0000-0000-0000D9000000}"/>
    <cellStyle name="20% - Accent6 26" xfId="404" xr:uid="{00000000-0005-0000-0000-0000DA000000}"/>
    <cellStyle name="20% - Accent6 27" xfId="418" xr:uid="{00000000-0005-0000-0000-0000DB000000}"/>
    <cellStyle name="20% - Accent6 28" xfId="432" xr:uid="{00000000-0005-0000-0000-0000DC000000}"/>
    <cellStyle name="20% - Accent6 29" xfId="446" xr:uid="{00000000-0005-0000-0000-0000DD000000}"/>
    <cellStyle name="20% - Accent6 3" xfId="82" xr:uid="{00000000-0005-0000-0000-0000DE000000}"/>
    <cellStyle name="20% - Accent6 30" xfId="460" xr:uid="{00000000-0005-0000-0000-0000DF000000}"/>
    <cellStyle name="20% - Accent6 31" xfId="474" xr:uid="{00000000-0005-0000-0000-0000E0000000}"/>
    <cellStyle name="20% - Accent6 32" xfId="488" xr:uid="{00000000-0005-0000-0000-0000E1000000}"/>
    <cellStyle name="20% - Accent6 33" xfId="502" xr:uid="{00000000-0005-0000-0000-0000E2000000}"/>
    <cellStyle name="20% - Accent6 34" xfId="516" xr:uid="{00000000-0005-0000-0000-0000E3000000}"/>
    <cellStyle name="20% - Accent6 35" xfId="530" xr:uid="{00000000-0005-0000-0000-0000E4000000}"/>
    <cellStyle name="20% - Accent6 36" xfId="544" xr:uid="{00000000-0005-0000-0000-0000E5000000}"/>
    <cellStyle name="20% - Accent6 37" xfId="585" xr:uid="{00000000-0005-0000-0000-0000E6000000}"/>
    <cellStyle name="20% - Accent6 38" xfId="600" xr:uid="{00000000-0005-0000-0000-0000E7000000}"/>
    <cellStyle name="20% - Accent6 39" xfId="614" xr:uid="{00000000-0005-0000-0000-0000E8000000}"/>
    <cellStyle name="20% - Accent6 4" xfId="96" xr:uid="{00000000-0005-0000-0000-0000E9000000}"/>
    <cellStyle name="20% - Accent6 40" xfId="628" xr:uid="{00000000-0005-0000-0000-0000EA000000}"/>
    <cellStyle name="20% - Accent6 5" xfId="110" xr:uid="{00000000-0005-0000-0000-0000EB000000}"/>
    <cellStyle name="20% - Accent6 6" xfId="124" xr:uid="{00000000-0005-0000-0000-0000EC000000}"/>
    <cellStyle name="20% - Accent6 7" xfId="138" xr:uid="{00000000-0005-0000-0000-0000ED000000}"/>
    <cellStyle name="20% - Accent6 8" xfId="152" xr:uid="{00000000-0005-0000-0000-0000EE000000}"/>
    <cellStyle name="20% - Accent6 9" xfId="166" xr:uid="{00000000-0005-0000-0000-0000EF000000}"/>
    <cellStyle name="40% - Accent1" xfId="18" builtinId="31" customBuiltin="1"/>
    <cellStyle name="40% - Accent1 10" xfId="171" xr:uid="{00000000-0005-0000-0000-0000F1000000}"/>
    <cellStyle name="40% - Accent1 11" xfId="185" xr:uid="{00000000-0005-0000-0000-0000F2000000}"/>
    <cellStyle name="40% - Accent1 12" xfId="199" xr:uid="{00000000-0005-0000-0000-0000F3000000}"/>
    <cellStyle name="40% - Accent1 13" xfId="213" xr:uid="{00000000-0005-0000-0000-0000F4000000}"/>
    <cellStyle name="40% - Accent1 14" xfId="227" xr:uid="{00000000-0005-0000-0000-0000F5000000}"/>
    <cellStyle name="40% - Accent1 15" xfId="241" xr:uid="{00000000-0005-0000-0000-0000F6000000}"/>
    <cellStyle name="40% - Accent1 16" xfId="255" xr:uid="{00000000-0005-0000-0000-0000F7000000}"/>
    <cellStyle name="40% - Accent1 17" xfId="269" xr:uid="{00000000-0005-0000-0000-0000F8000000}"/>
    <cellStyle name="40% - Accent1 18" xfId="283" xr:uid="{00000000-0005-0000-0000-0000F9000000}"/>
    <cellStyle name="40% - Accent1 19" xfId="297" xr:uid="{00000000-0005-0000-0000-0000FA000000}"/>
    <cellStyle name="40% - Accent1 2" xfId="59" xr:uid="{00000000-0005-0000-0000-0000FB000000}"/>
    <cellStyle name="40% - Accent1 20" xfId="311" xr:uid="{00000000-0005-0000-0000-0000FC000000}"/>
    <cellStyle name="40% - Accent1 21" xfId="325" xr:uid="{00000000-0005-0000-0000-0000FD000000}"/>
    <cellStyle name="40% - Accent1 22" xfId="339" xr:uid="{00000000-0005-0000-0000-0000FE000000}"/>
    <cellStyle name="40% - Accent1 23" xfId="353" xr:uid="{00000000-0005-0000-0000-0000FF000000}"/>
    <cellStyle name="40% - Accent1 24" xfId="367" xr:uid="{00000000-0005-0000-0000-000000010000}"/>
    <cellStyle name="40% - Accent1 25" xfId="381" xr:uid="{00000000-0005-0000-0000-000001010000}"/>
    <cellStyle name="40% - Accent1 26" xfId="395" xr:uid="{00000000-0005-0000-0000-000002010000}"/>
    <cellStyle name="40% - Accent1 27" xfId="409" xr:uid="{00000000-0005-0000-0000-000003010000}"/>
    <cellStyle name="40% - Accent1 28" xfId="423" xr:uid="{00000000-0005-0000-0000-000004010000}"/>
    <cellStyle name="40% - Accent1 29" xfId="437" xr:uid="{00000000-0005-0000-0000-000005010000}"/>
    <cellStyle name="40% - Accent1 3" xfId="73" xr:uid="{00000000-0005-0000-0000-000006010000}"/>
    <cellStyle name="40% - Accent1 30" xfId="451" xr:uid="{00000000-0005-0000-0000-000007010000}"/>
    <cellStyle name="40% - Accent1 31" xfId="465" xr:uid="{00000000-0005-0000-0000-000008010000}"/>
    <cellStyle name="40% - Accent1 32" xfId="479" xr:uid="{00000000-0005-0000-0000-000009010000}"/>
    <cellStyle name="40% - Accent1 33" xfId="493" xr:uid="{00000000-0005-0000-0000-00000A010000}"/>
    <cellStyle name="40% - Accent1 34" xfId="507" xr:uid="{00000000-0005-0000-0000-00000B010000}"/>
    <cellStyle name="40% - Accent1 35" xfId="521" xr:uid="{00000000-0005-0000-0000-00000C010000}"/>
    <cellStyle name="40% - Accent1 36" xfId="535" xr:uid="{00000000-0005-0000-0000-00000D010000}"/>
    <cellStyle name="40% - Accent1 37" xfId="566" xr:uid="{00000000-0005-0000-0000-00000E010000}"/>
    <cellStyle name="40% - Accent1 38" xfId="591" xr:uid="{00000000-0005-0000-0000-00000F010000}"/>
    <cellStyle name="40% - Accent1 39" xfId="605" xr:uid="{00000000-0005-0000-0000-000010010000}"/>
    <cellStyle name="40% - Accent1 4" xfId="87" xr:uid="{00000000-0005-0000-0000-000011010000}"/>
    <cellStyle name="40% - Accent1 40" xfId="619" xr:uid="{00000000-0005-0000-0000-000012010000}"/>
    <cellStyle name="40% - Accent1 5" xfId="101" xr:uid="{00000000-0005-0000-0000-000013010000}"/>
    <cellStyle name="40% - Accent1 6" xfId="115" xr:uid="{00000000-0005-0000-0000-000014010000}"/>
    <cellStyle name="40% - Accent1 7" xfId="129" xr:uid="{00000000-0005-0000-0000-000015010000}"/>
    <cellStyle name="40% - Accent1 8" xfId="143" xr:uid="{00000000-0005-0000-0000-000016010000}"/>
    <cellStyle name="40% - Accent1 9" xfId="157" xr:uid="{00000000-0005-0000-0000-000017010000}"/>
    <cellStyle name="40% - Accent2" xfId="22" builtinId="35" customBuiltin="1"/>
    <cellStyle name="40% - Accent2 10" xfId="173" xr:uid="{00000000-0005-0000-0000-000019010000}"/>
    <cellStyle name="40% - Accent2 11" xfId="187" xr:uid="{00000000-0005-0000-0000-00001A010000}"/>
    <cellStyle name="40% - Accent2 12" xfId="201" xr:uid="{00000000-0005-0000-0000-00001B010000}"/>
    <cellStyle name="40% - Accent2 13" xfId="215" xr:uid="{00000000-0005-0000-0000-00001C010000}"/>
    <cellStyle name="40% - Accent2 14" xfId="229" xr:uid="{00000000-0005-0000-0000-00001D010000}"/>
    <cellStyle name="40% - Accent2 15" xfId="243" xr:uid="{00000000-0005-0000-0000-00001E010000}"/>
    <cellStyle name="40% - Accent2 16" xfId="257" xr:uid="{00000000-0005-0000-0000-00001F010000}"/>
    <cellStyle name="40% - Accent2 17" xfId="271" xr:uid="{00000000-0005-0000-0000-000020010000}"/>
    <cellStyle name="40% - Accent2 18" xfId="285" xr:uid="{00000000-0005-0000-0000-000021010000}"/>
    <cellStyle name="40% - Accent2 19" xfId="299" xr:uid="{00000000-0005-0000-0000-000022010000}"/>
    <cellStyle name="40% - Accent2 2" xfId="61" xr:uid="{00000000-0005-0000-0000-000023010000}"/>
    <cellStyle name="40% - Accent2 20" xfId="313" xr:uid="{00000000-0005-0000-0000-000024010000}"/>
    <cellStyle name="40% - Accent2 21" xfId="327" xr:uid="{00000000-0005-0000-0000-000025010000}"/>
    <cellStyle name="40% - Accent2 22" xfId="341" xr:uid="{00000000-0005-0000-0000-000026010000}"/>
    <cellStyle name="40% - Accent2 23" xfId="355" xr:uid="{00000000-0005-0000-0000-000027010000}"/>
    <cellStyle name="40% - Accent2 24" xfId="369" xr:uid="{00000000-0005-0000-0000-000028010000}"/>
    <cellStyle name="40% - Accent2 25" xfId="383" xr:uid="{00000000-0005-0000-0000-000029010000}"/>
    <cellStyle name="40% - Accent2 26" xfId="397" xr:uid="{00000000-0005-0000-0000-00002A010000}"/>
    <cellStyle name="40% - Accent2 27" xfId="411" xr:uid="{00000000-0005-0000-0000-00002B010000}"/>
    <cellStyle name="40% - Accent2 28" xfId="425" xr:uid="{00000000-0005-0000-0000-00002C010000}"/>
    <cellStyle name="40% - Accent2 29" xfId="439" xr:uid="{00000000-0005-0000-0000-00002D010000}"/>
    <cellStyle name="40% - Accent2 3" xfId="75" xr:uid="{00000000-0005-0000-0000-00002E010000}"/>
    <cellStyle name="40% - Accent2 30" xfId="453" xr:uid="{00000000-0005-0000-0000-00002F010000}"/>
    <cellStyle name="40% - Accent2 31" xfId="467" xr:uid="{00000000-0005-0000-0000-000030010000}"/>
    <cellStyle name="40% - Accent2 32" xfId="481" xr:uid="{00000000-0005-0000-0000-000031010000}"/>
    <cellStyle name="40% - Accent2 33" xfId="495" xr:uid="{00000000-0005-0000-0000-000032010000}"/>
    <cellStyle name="40% - Accent2 34" xfId="509" xr:uid="{00000000-0005-0000-0000-000033010000}"/>
    <cellStyle name="40% - Accent2 35" xfId="523" xr:uid="{00000000-0005-0000-0000-000034010000}"/>
    <cellStyle name="40% - Accent2 36" xfId="537" xr:uid="{00000000-0005-0000-0000-000035010000}"/>
    <cellStyle name="40% - Accent2 37" xfId="570" xr:uid="{00000000-0005-0000-0000-000036010000}"/>
    <cellStyle name="40% - Accent2 38" xfId="593" xr:uid="{00000000-0005-0000-0000-000037010000}"/>
    <cellStyle name="40% - Accent2 39" xfId="607" xr:uid="{00000000-0005-0000-0000-000038010000}"/>
    <cellStyle name="40% - Accent2 4" xfId="89" xr:uid="{00000000-0005-0000-0000-000039010000}"/>
    <cellStyle name="40% - Accent2 40" xfId="621" xr:uid="{00000000-0005-0000-0000-00003A010000}"/>
    <cellStyle name="40% - Accent2 5" xfId="103" xr:uid="{00000000-0005-0000-0000-00003B010000}"/>
    <cellStyle name="40% - Accent2 6" xfId="117" xr:uid="{00000000-0005-0000-0000-00003C010000}"/>
    <cellStyle name="40% - Accent2 7" xfId="131" xr:uid="{00000000-0005-0000-0000-00003D010000}"/>
    <cellStyle name="40% - Accent2 8" xfId="145" xr:uid="{00000000-0005-0000-0000-00003E010000}"/>
    <cellStyle name="40% - Accent2 9" xfId="159" xr:uid="{00000000-0005-0000-0000-00003F010000}"/>
    <cellStyle name="40% - Accent3" xfId="26" builtinId="39" customBuiltin="1"/>
    <cellStyle name="40% - Accent3 10" xfId="175" xr:uid="{00000000-0005-0000-0000-000041010000}"/>
    <cellStyle name="40% - Accent3 11" xfId="189" xr:uid="{00000000-0005-0000-0000-000042010000}"/>
    <cellStyle name="40% - Accent3 12" xfId="203" xr:uid="{00000000-0005-0000-0000-000043010000}"/>
    <cellStyle name="40% - Accent3 13" xfId="217" xr:uid="{00000000-0005-0000-0000-000044010000}"/>
    <cellStyle name="40% - Accent3 14" xfId="231" xr:uid="{00000000-0005-0000-0000-000045010000}"/>
    <cellStyle name="40% - Accent3 15" xfId="245" xr:uid="{00000000-0005-0000-0000-000046010000}"/>
    <cellStyle name="40% - Accent3 16" xfId="259" xr:uid="{00000000-0005-0000-0000-000047010000}"/>
    <cellStyle name="40% - Accent3 17" xfId="273" xr:uid="{00000000-0005-0000-0000-000048010000}"/>
    <cellStyle name="40% - Accent3 18" xfId="287" xr:uid="{00000000-0005-0000-0000-000049010000}"/>
    <cellStyle name="40% - Accent3 19" xfId="301" xr:uid="{00000000-0005-0000-0000-00004A010000}"/>
    <cellStyle name="40% - Accent3 2" xfId="63" xr:uid="{00000000-0005-0000-0000-00004B010000}"/>
    <cellStyle name="40% - Accent3 20" xfId="315" xr:uid="{00000000-0005-0000-0000-00004C010000}"/>
    <cellStyle name="40% - Accent3 21" xfId="329" xr:uid="{00000000-0005-0000-0000-00004D010000}"/>
    <cellStyle name="40% - Accent3 22" xfId="343" xr:uid="{00000000-0005-0000-0000-00004E010000}"/>
    <cellStyle name="40% - Accent3 23" xfId="357" xr:uid="{00000000-0005-0000-0000-00004F010000}"/>
    <cellStyle name="40% - Accent3 24" xfId="371" xr:uid="{00000000-0005-0000-0000-000050010000}"/>
    <cellStyle name="40% - Accent3 25" xfId="385" xr:uid="{00000000-0005-0000-0000-000051010000}"/>
    <cellStyle name="40% - Accent3 26" xfId="399" xr:uid="{00000000-0005-0000-0000-000052010000}"/>
    <cellStyle name="40% - Accent3 27" xfId="413" xr:uid="{00000000-0005-0000-0000-000053010000}"/>
    <cellStyle name="40% - Accent3 28" xfId="427" xr:uid="{00000000-0005-0000-0000-000054010000}"/>
    <cellStyle name="40% - Accent3 29" xfId="441" xr:uid="{00000000-0005-0000-0000-000055010000}"/>
    <cellStyle name="40% - Accent3 3" xfId="77" xr:uid="{00000000-0005-0000-0000-000056010000}"/>
    <cellStyle name="40% - Accent3 30" xfId="455" xr:uid="{00000000-0005-0000-0000-000057010000}"/>
    <cellStyle name="40% - Accent3 31" xfId="469" xr:uid="{00000000-0005-0000-0000-000058010000}"/>
    <cellStyle name="40% - Accent3 32" xfId="483" xr:uid="{00000000-0005-0000-0000-000059010000}"/>
    <cellStyle name="40% - Accent3 33" xfId="497" xr:uid="{00000000-0005-0000-0000-00005A010000}"/>
    <cellStyle name="40% - Accent3 34" xfId="511" xr:uid="{00000000-0005-0000-0000-00005B010000}"/>
    <cellStyle name="40% - Accent3 35" xfId="525" xr:uid="{00000000-0005-0000-0000-00005C010000}"/>
    <cellStyle name="40% - Accent3 36" xfId="539" xr:uid="{00000000-0005-0000-0000-00005D010000}"/>
    <cellStyle name="40% - Accent3 37" xfId="574" xr:uid="{00000000-0005-0000-0000-00005E010000}"/>
    <cellStyle name="40% - Accent3 38" xfId="595" xr:uid="{00000000-0005-0000-0000-00005F010000}"/>
    <cellStyle name="40% - Accent3 39" xfId="609" xr:uid="{00000000-0005-0000-0000-000060010000}"/>
    <cellStyle name="40% - Accent3 4" xfId="91" xr:uid="{00000000-0005-0000-0000-000061010000}"/>
    <cellStyle name="40% - Accent3 40" xfId="623" xr:uid="{00000000-0005-0000-0000-000062010000}"/>
    <cellStyle name="40% - Accent3 5" xfId="105" xr:uid="{00000000-0005-0000-0000-000063010000}"/>
    <cellStyle name="40% - Accent3 6" xfId="119" xr:uid="{00000000-0005-0000-0000-000064010000}"/>
    <cellStyle name="40% - Accent3 7" xfId="133" xr:uid="{00000000-0005-0000-0000-000065010000}"/>
    <cellStyle name="40% - Accent3 8" xfId="147" xr:uid="{00000000-0005-0000-0000-000066010000}"/>
    <cellStyle name="40% - Accent3 9" xfId="161" xr:uid="{00000000-0005-0000-0000-000067010000}"/>
    <cellStyle name="40% - Accent4" xfId="30" builtinId="43" customBuiltin="1"/>
    <cellStyle name="40% - Accent4 10" xfId="177" xr:uid="{00000000-0005-0000-0000-000069010000}"/>
    <cellStyle name="40% - Accent4 11" xfId="191" xr:uid="{00000000-0005-0000-0000-00006A010000}"/>
    <cellStyle name="40% - Accent4 12" xfId="205" xr:uid="{00000000-0005-0000-0000-00006B010000}"/>
    <cellStyle name="40% - Accent4 13" xfId="219" xr:uid="{00000000-0005-0000-0000-00006C010000}"/>
    <cellStyle name="40% - Accent4 14" xfId="233" xr:uid="{00000000-0005-0000-0000-00006D010000}"/>
    <cellStyle name="40% - Accent4 15" xfId="247" xr:uid="{00000000-0005-0000-0000-00006E010000}"/>
    <cellStyle name="40% - Accent4 16" xfId="261" xr:uid="{00000000-0005-0000-0000-00006F010000}"/>
    <cellStyle name="40% - Accent4 17" xfId="275" xr:uid="{00000000-0005-0000-0000-000070010000}"/>
    <cellStyle name="40% - Accent4 18" xfId="289" xr:uid="{00000000-0005-0000-0000-000071010000}"/>
    <cellStyle name="40% - Accent4 19" xfId="303" xr:uid="{00000000-0005-0000-0000-000072010000}"/>
    <cellStyle name="40% - Accent4 2" xfId="65" xr:uid="{00000000-0005-0000-0000-000073010000}"/>
    <cellStyle name="40% - Accent4 20" xfId="317" xr:uid="{00000000-0005-0000-0000-000074010000}"/>
    <cellStyle name="40% - Accent4 21" xfId="331" xr:uid="{00000000-0005-0000-0000-000075010000}"/>
    <cellStyle name="40% - Accent4 22" xfId="345" xr:uid="{00000000-0005-0000-0000-000076010000}"/>
    <cellStyle name="40% - Accent4 23" xfId="359" xr:uid="{00000000-0005-0000-0000-000077010000}"/>
    <cellStyle name="40% - Accent4 24" xfId="373" xr:uid="{00000000-0005-0000-0000-000078010000}"/>
    <cellStyle name="40% - Accent4 25" xfId="387" xr:uid="{00000000-0005-0000-0000-000079010000}"/>
    <cellStyle name="40% - Accent4 26" xfId="401" xr:uid="{00000000-0005-0000-0000-00007A010000}"/>
    <cellStyle name="40% - Accent4 27" xfId="415" xr:uid="{00000000-0005-0000-0000-00007B010000}"/>
    <cellStyle name="40% - Accent4 28" xfId="429" xr:uid="{00000000-0005-0000-0000-00007C010000}"/>
    <cellStyle name="40% - Accent4 29" xfId="443" xr:uid="{00000000-0005-0000-0000-00007D010000}"/>
    <cellStyle name="40% - Accent4 3" xfId="79" xr:uid="{00000000-0005-0000-0000-00007E010000}"/>
    <cellStyle name="40% - Accent4 30" xfId="457" xr:uid="{00000000-0005-0000-0000-00007F010000}"/>
    <cellStyle name="40% - Accent4 31" xfId="471" xr:uid="{00000000-0005-0000-0000-000080010000}"/>
    <cellStyle name="40% - Accent4 32" xfId="485" xr:uid="{00000000-0005-0000-0000-000081010000}"/>
    <cellStyle name="40% - Accent4 33" xfId="499" xr:uid="{00000000-0005-0000-0000-000082010000}"/>
    <cellStyle name="40% - Accent4 34" xfId="513" xr:uid="{00000000-0005-0000-0000-000083010000}"/>
    <cellStyle name="40% - Accent4 35" xfId="527" xr:uid="{00000000-0005-0000-0000-000084010000}"/>
    <cellStyle name="40% - Accent4 36" xfId="541" xr:uid="{00000000-0005-0000-0000-000085010000}"/>
    <cellStyle name="40% - Accent4 37" xfId="578" xr:uid="{00000000-0005-0000-0000-000086010000}"/>
    <cellStyle name="40% - Accent4 38" xfId="597" xr:uid="{00000000-0005-0000-0000-000087010000}"/>
    <cellStyle name="40% - Accent4 39" xfId="611" xr:uid="{00000000-0005-0000-0000-000088010000}"/>
    <cellStyle name="40% - Accent4 4" xfId="93" xr:uid="{00000000-0005-0000-0000-000089010000}"/>
    <cellStyle name="40% - Accent4 40" xfId="625" xr:uid="{00000000-0005-0000-0000-00008A010000}"/>
    <cellStyle name="40% - Accent4 5" xfId="107" xr:uid="{00000000-0005-0000-0000-00008B010000}"/>
    <cellStyle name="40% - Accent4 6" xfId="121" xr:uid="{00000000-0005-0000-0000-00008C010000}"/>
    <cellStyle name="40% - Accent4 7" xfId="135" xr:uid="{00000000-0005-0000-0000-00008D010000}"/>
    <cellStyle name="40% - Accent4 8" xfId="149" xr:uid="{00000000-0005-0000-0000-00008E010000}"/>
    <cellStyle name="40% - Accent4 9" xfId="163" xr:uid="{00000000-0005-0000-0000-00008F010000}"/>
    <cellStyle name="40% - Accent5" xfId="34" builtinId="47" customBuiltin="1"/>
    <cellStyle name="40% - Accent5 10" xfId="179" xr:uid="{00000000-0005-0000-0000-000091010000}"/>
    <cellStyle name="40% - Accent5 11" xfId="193" xr:uid="{00000000-0005-0000-0000-000092010000}"/>
    <cellStyle name="40% - Accent5 12" xfId="207" xr:uid="{00000000-0005-0000-0000-000093010000}"/>
    <cellStyle name="40% - Accent5 13" xfId="221" xr:uid="{00000000-0005-0000-0000-000094010000}"/>
    <cellStyle name="40% - Accent5 14" xfId="235" xr:uid="{00000000-0005-0000-0000-000095010000}"/>
    <cellStyle name="40% - Accent5 15" xfId="249" xr:uid="{00000000-0005-0000-0000-000096010000}"/>
    <cellStyle name="40% - Accent5 16" xfId="263" xr:uid="{00000000-0005-0000-0000-000097010000}"/>
    <cellStyle name="40% - Accent5 17" xfId="277" xr:uid="{00000000-0005-0000-0000-000098010000}"/>
    <cellStyle name="40% - Accent5 18" xfId="291" xr:uid="{00000000-0005-0000-0000-000099010000}"/>
    <cellStyle name="40% - Accent5 19" xfId="305" xr:uid="{00000000-0005-0000-0000-00009A010000}"/>
    <cellStyle name="40% - Accent5 2" xfId="67" xr:uid="{00000000-0005-0000-0000-00009B010000}"/>
    <cellStyle name="40% - Accent5 20" xfId="319" xr:uid="{00000000-0005-0000-0000-00009C010000}"/>
    <cellStyle name="40% - Accent5 21" xfId="333" xr:uid="{00000000-0005-0000-0000-00009D010000}"/>
    <cellStyle name="40% - Accent5 22" xfId="347" xr:uid="{00000000-0005-0000-0000-00009E010000}"/>
    <cellStyle name="40% - Accent5 23" xfId="361" xr:uid="{00000000-0005-0000-0000-00009F010000}"/>
    <cellStyle name="40% - Accent5 24" xfId="375" xr:uid="{00000000-0005-0000-0000-0000A0010000}"/>
    <cellStyle name="40% - Accent5 25" xfId="389" xr:uid="{00000000-0005-0000-0000-0000A1010000}"/>
    <cellStyle name="40% - Accent5 26" xfId="403" xr:uid="{00000000-0005-0000-0000-0000A2010000}"/>
    <cellStyle name="40% - Accent5 27" xfId="417" xr:uid="{00000000-0005-0000-0000-0000A3010000}"/>
    <cellStyle name="40% - Accent5 28" xfId="431" xr:uid="{00000000-0005-0000-0000-0000A4010000}"/>
    <cellStyle name="40% - Accent5 29" xfId="445" xr:uid="{00000000-0005-0000-0000-0000A5010000}"/>
    <cellStyle name="40% - Accent5 3" xfId="81" xr:uid="{00000000-0005-0000-0000-0000A6010000}"/>
    <cellStyle name="40% - Accent5 30" xfId="459" xr:uid="{00000000-0005-0000-0000-0000A7010000}"/>
    <cellStyle name="40% - Accent5 31" xfId="473" xr:uid="{00000000-0005-0000-0000-0000A8010000}"/>
    <cellStyle name="40% - Accent5 32" xfId="487" xr:uid="{00000000-0005-0000-0000-0000A9010000}"/>
    <cellStyle name="40% - Accent5 33" xfId="501" xr:uid="{00000000-0005-0000-0000-0000AA010000}"/>
    <cellStyle name="40% - Accent5 34" xfId="515" xr:uid="{00000000-0005-0000-0000-0000AB010000}"/>
    <cellStyle name="40% - Accent5 35" xfId="529" xr:uid="{00000000-0005-0000-0000-0000AC010000}"/>
    <cellStyle name="40% - Accent5 36" xfId="543" xr:uid="{00000000-0005-0000-0000-0000AD010000}"/>
    <cellStyle name="40% - Accent5 37" xfId="582" xr:uid="{00000000-0005-0000-0000-0000AE010000}"/>
    <cellStyle name="40% - Accent5 38" xfId="599" xr:uid="{00000000-0005-0000-0000-0000AF010000}"/>
    <cellStyle name="40% - Accent5 39" xfId="613" xr:uid="{00000000-0005-0000-0000-0000B0010000}"/>
    <cellStyle name="40% - Accent5 4" xfId="95" xr:uid="{00000000-0005-0000-0000-0000B1010000}"/>
    <cellStyle name="40% - Accent5 40" xfId="627" xr:uid="{00000000-0005-0000-0000-0000B2010000}"/>
    <cellStyle name="40% - Accent5 5" xfId="109" xr:uid="{00000000-0005-0000-0000-0000B3010000}"/>
    <cellStyle name="40% - Accent5 6" xfId="123" xr:uid="{00000000-0005-0000-0000-0000B4010000}"/>
    <cellStyle name="40% - Accent5 7" xfId="137" xr:uid="{00000000-0005-0000-0000-0000B5010000}"/>
    <cellStyle name="40% - Accent5 8" xfId="151" xr:uid="{00000000-0005-0000-0000-0000B6010000}"/>
    <cellStyle name="40% - Accent5 9" xfId="165" xr:uid="{00000000-0005-0000-0000-0000B7010000}"/>
    <cellStyle name="40% - Accent6" xfId="38" builtinId="51" customBuiltin="1"/>
    <cellStyle name="40% - Accent6 10" xfId="181" xr:uid="{00000000-0005-0000-0000-0000B9010000}"/>
    <cellStyle name="40% - Accent6 11" xfId="195" xr:uid="{00000000-0005-0000-0000-0000BA010000}"/>
    <cellStyle name="40% - Accent6 12" xfId="209" xr:uid="{00000000-0005-0000-0000-0000BB010000}"/>
    <cellStyle name="40% - Accent6 13" xfId="223" xr:uid="{00000000-0005-0000-0000-0000BC010000}"/>
    <cellStyle name="40% - Accent6 14" xfId="237" xr:uid="{00000000-0005-0000-0000-0000BD010000}"/>
    <cellStyle name="40% - Accent6 15" xfId="251" xr:uid="{00000000-0005-0000-0000-0000BE010000}"/>
    <cellStyle name="40% - Accent6 16" xfId="265" xr:uid="{00000000-0005-0000-0000-0000BF010000}"/>
    <cellStyle name="40% - Accent6 17" xfId="279" xr:uid="{00000000-0005-0000-0000-0000C0010000}"/>
    <cellStyle name="40% - Accent6 18" xfId="293" xr:uid="{00000000-0005-0000-0000-0000C1010000}"/>
    <cellStyle name="40% - Accent6 19" xfId="307" xr:uid="{00000000-0005-0000-0000-0000C2010000}"/>
    <cellStyle name="40% - Accent6 2" xfId="69" xr:uid="{00000000-0005-0000-0000-0000C3010000}"/>
    <cellStyle name="40% - Accent6 20" xfId="321" xr:uid="{00000000-0005-0000-0000-0000C4010000}"/>
    <cellStyle name="40% - Accent6 21" xfId="335" xr:uid="{00000000-0005-0000-0000-0000C5010000}"/>
    <cellStyle name="40% - Accent6 22" xfId="349" xr:uid="{00000000-0005-0000-0000-0000C6010000}"/>
    <cellStyle name="40% - Accent6 23" xfId="363" xr:uid="{00000000-0005-0000-0000-0000C7010000}"/>
    <cellStyle name="40% - Accent6 24" xfId="377" xr:uid="{00000000-0005-0000-0000-0000C8010000}"/>
    <cellStyle name="40% - Accent6 25" xfId="391" xr:uid="{00000000-0005-0000-0000-0000C9010000}"/>
    <cellStyle name="40% - Accent6 26" xfId="405" xr:uid="{00000000-0005-0000-0000-0000CA010000}"/>
    <cellStyle name="40% - Accent6 27" xfId="419" xr:uid="{00000000-0005-0000-0000-0000CB010000}"/>
    <cellStyle name="40% - Accent6 28" xfId="433" xr:uid="{00000000-0005-0000-0000-0000CC010000}"/>
    <cellStyle name="40% - Accent6 29" xfId="447" xr:uid="{00000000-0005-0000-0000-0000CD010000}"/>
    <cellStyle name="40% - Accent6 3" xfId="83" xr:uid="{00000000-0005-0000-0000-0000CE010000}"/>
    <cellStyle name="40% - Accent6 30" xfId="461" xr:uid="{00000000-0005-0000-0000-0000CF010000}"/>
    <cellStyle name="40% - Accent6 31" xfId="475" xr:uid="{00000000-0005-0000-0000-0000D0010000}"/>
    <cellStyle name="40% - Accent6 32" xfId="489" xr:uid="{00000000-0005-0000-0000-0000D1010000}"/>
    <cellStyle name="40% - Accent6 33" xfId="503" xr:uid="{00000000-0005-0000-0000-0000D2010000}"/>
    <cellStyle name="40% - Accent6 34" xfId="517" xr:uid="{00000000-0005-0000-0000-0000D3010000}"/>
    <cellStyle name="40% - Accent6 35" xfId="531" xr:uid="{00000000-0005-0000-0000-0000D4010000}"/>
    <cellStyle name="40% - Accent6 36" xfId="545" xr:uid="{00000000-0005-0000-0000-0000D5010000}"/>
    <cellStyle name="40% - Accent6 37" xfId="586" xr:uid="{00000000-0005-0000-0000-0000D6010000}"/>
    <cellStyle name="40% - Accent6 38" xfId="601" xr:uid="{00000000-0005-0000-0000-0000D7010000}"/>
    <cellStyle name="40% - Accent6 39" xfId="615" xr:uid="{00000000-0005-0000-0000-0000D8010000}"/>
    <cellStyle name="40% - Accent6 4" xfId="97" xr:uid="{00000000-0005-0000-0000-0000D9010000}"/>
    <cellStyle name="40% - Accent6 40" xfId="629" xr:uid="{00000000-0005-0000-0000-0000DA010000}"/>
    <cellStyle name="40% - Accent6 5" xfId="111" xr:uid="{00000000-0005-0000-0000-0000DB010000}"/>
    <cellStyle name="40% - Accent6 6" xfId="125" xr:uid="{00000000-0005-0000-0000-0000DC010000}"/>
    <cellStyle name="40% - Accent6 7" xfId="139" xr:uid="{00000000-0005-0000-0000-0000DD010000}"/>
    <cellStyle name="40% - Accent6 8" xfId="153" xr:uid="{00000000-0005-0000-0000-0000DE010000}"/>
    <cellStyle name="40% - Accent6 9" xfId="167" xr:uid="{00000000-0005-0000-0000-0000DF010000}"/>
    <cellStyle name="60% - Accent1" xfId="19" builtinId="32" customBuiltin="1"/>
    <cellStyle name="60% - Accent1 2" xfId="567" xr:uid="{00000000-0005-0000-0000-0000E1010000}"/>
    <cellStyle name="60% - Accent2" xfId="23" builtinId="36" customBuiltin="1"/>
    <cellStyle name="60% - Accent2 2" xfId="571" xr:uid="{00000000-0005-0000-0000-0000E3010000}"/>
    <cellStyle name="60% - Accent3" xfId="27" builtinId="40" customBuiltin="1"/>
    <cellStyle name="60% - Accent3 2" xfId="575" xr:uid="{00000000-0005-0000-0000-0000E5010000}"/>
    <cellStyle name="60% - Accent4" xfId="31" builtinId="44" customBuiltin="1"/>
    <cellStyle name="60% - Accent4 2" xfId="579" xr:uid="{00000000-0005-0000-0000-0000E7010000}"/>
    <cellStyle name="60% - Accent5" xfId="35" builtinId="48" customBuiltin="1"/>
    <cellStyle name="60% - Accent5 2" xfId="583" xr:uid="{00000000-0005-0000-0000-0000E9010000}"/>
    <cellStyle name="60% - Accent6" xfId="39" builtinId="52" customBuiltin="1"/>
    <cellStyle name="60% - Accent6 2" xfId="587" xr:uid="{00000000-0005-0000-0000-0000EB010000}"/>
    <cellStyle name="Accent1" xfId="16" builtinId="29" customBuiltin="1"/>
    <cellStyle name="Accent1 2" xfId="564" xr:uid="{00000000-0005-0000-0000-0000ED010000}"/>
    <cellStyle name="Accent2" xfId="20" builtinId="33" customBuiltin="1"/>
    <cellStyle name="Accent2 2" xfId="568" xr:uid="{00000000-0005-0000-0000-0000EF010000}"/>
    <cellStyle name="Accent3" xfId="24" builtinId="37" customBuiltin="1"/>
    <cellStyle name="Accent3 2" xfId="572" xr:uid="{00000000-0005-0000-0000-0000F1010000}"/>
    <cellStyle name="Accent4" xfId="28" builtinId="41" customBuiltin="1"/>
    <cellStyle name="Accent4 2" xfId="576" xr:uid="{00000000-0005-0000-0000-0000F3010000}"/>
    <cellStyle name="Accent5" xfId="32" builtinId="45" customBuiltin="1"/>
    <cellStyle name="Accent5 2" xfId="580" xr:uid="{00000000-0005-0000-0000-0000F5010000}"/>
    <cellStyle name="Accent6" xfId="36" builtinId="49" customBuiltin="1"/>
    <cellStyle name="Accent6 2" xfId="584" xr:uid="{00000000-0005-0000-0000-0000F7010000}"/>
    <cellStyle name="Bad" xfId="6" builtinId="27" customBuiltin="1"/>
    <cellStyle name="Bad 2" xfId="553" xr:uid="{00000000-0005-0000-0000-0000F9010000}"/>
    <cellStyle name="Calculation" xfId="10" builtinId="22" customBuiltin="1"/>
    <cellStyle name="Calculation 2" xfId="557" xr:uid="{00000000-0005-0000-0000-0000FB010000}"/>
    <cellStyle name="Check Cell" xfId="12" builtinId="23" customBuiltin="1"/>
    <cellStyle name="Check Cell 2" xfId="559" xr:uid="{00000000-0005-0000-0000-0000FD010000}"/>
    <cellStyle name="Comma" xfId="632" builtinId="3"/>
    <cellStyle name="Comma [0]" xfId="630" builtinId="6"/>
    <cellStyle name="Comma 2" xfId="42" xr:uid="{00000000-0005-0000-0000-0000FF010000}"/>
    <cellStyle name="Comma 2 2" xfId="43" xr:uid="{00000000-0005-0000-0000-000000020000}"/>
    <cellStyle name="Comma 3" xfId="44" xr:uid="{00000000-0005-0000-0000-000001020000}"/>
    <cellStyle name="Comma 4" xfId="45" xr:uid="{00000000-0005-0000-0000-000002020000}"/>
    <cellStyle name="Comma 5" xfId="46" xr:uid="{00000000-0005-0000-0000-000003020000}"/>
    <cellStyle name="Comma 6" xfId="47" xr:uid="{00000000-0005-0000-0000-000004020000}"/>
    <cellStyle name="Comma 7" xfId="41" xr:uid="{00000000-0005-0000-0000-000005020000}"/>
    <cellStyle name="Excel Built-in Normal" xfId="52" xr:uid="{00000000-0005-0000-0000-000006020000}"/>
    <cellStyle name="Explanatory Text" xfId="14" builtinId="53" customBuiltin="1"/>
    <cellStyle name="Explanatory Text 2" xfId="562" xr:uid="{00000000-0005-0000-0000-000008020000}"/>
    <cellStyle name="Good" xfId="5" builtinId="26" customBuiltin="1"/>
    <cellStyle name="Good 2" xfId="552" xr:uid="{00000000-0005-0000-0000-00000A020000}"/>
    <cellStyle name="Heading 1" xfId="1" builtinId="16" customBuiltin="1"/>
    <cellStyle name="Heading 1 2" xfId="548" xr:uid="{00000000-0005-0000-0000-00000C020000}"/>
    <cellStyle name="Heading 2" xfId="2" builtinId="17" customBuiltin="1"/>
    <cellStyle name="Heading 2 2" xfId="549" xr:uid="{00000000-0005-0000-0000-00000E020000}"/>
    <cellStyle name="Heading 3" xfId="3" builtinId="18" customBuiltin="1"/>
    <cellStyle name="Heading 3 2" xfId="550" xr:uid="{00000000-0005-0000-0000-000010020000}"/>
    <cellStyle name="Heading 4" xfId="4" builtinId="19" customBuiltin="1"/>
    <cellStyle name="Heading 4 2" xfId="551" xr:uid="{00000000-0005-0000-0000-000012020000}"/>
    <cellStyle name="Hyperlink" xfId="631" builtinId="8"/>
    <cellStyle name="Input" xfId="8" builtinId="20" customBuiltin="1"/>
    <cellStyle name="Input 2" xfId="555" xr:uid="{00000000-0005-0000-0000-000014020000}"/>
    <cellStyle name="Linked Cell" xfId="11" builtinId="24" customBuiltin="1"/>
    <cellStyle name="Linked Cell 2" xfId="558" xr:uid="{00000000-0005-0000-0000-000016020000}"/>
    <cellStyle name="Neutral" xfId="7" builtinId="28" customBuiltin="1"/>
    <cellStyle name="Neutral 2" xfId="554" xr:uid="{00000000-0005-0000-0000-000018020000}"/>
    <cellStyle name="Normal" xfId="0" builtinId="0"/>
    <cellStyle name="Normal 10" xfId="112" xr:uid="{00000000-0005-0000-0000-00001A020000}"/>
    <cellStyle name="Normal 11" xfId="126" xr:uid="{00000000-0005-0000-0000-00001B020000}"/>
    <cellStyle name="Normal 12" xfId="140" xr:uid="{00000000-0005-0000-0000-00001C020000}"/>
    <cellStyle name="Normal 13" xfId="154" xr:uid="{00000000-0005-0000-0000-00001D020000}"/>
    <cellStyle name="Normal 14" xfId="168" xr:uid="{00000000-0005-0000-0000-00001E020000}"/>
    <cellStyle name="Normal 15" xfId="182" xr:uid="{00000000-0005-0000-0000-00001F020000}"/>
    <cellStyle name="Normal 16" xfId="196" xr:uid="{00000000-0005-0000-0000-000020020000}"/>
    <cellStyle name="Normal 17" xfId="210" xr:uid="{00000000-0005-0000-0000-000021020000}"/>
    <cellStyle name="Normal 18" xfId="224" xr:uid="{00000000-0005-0000-0000-000022020000}"/>
    <cellStyle name="Normal 19" xfId="238" xr:uid="{00000000-0005-0000-0000-000023020000}"/>
    <cellStyle name="Normal 2" xfId="48" xr:uid="{00000000-0005-0000-0000-000024020000}"/>
    <cellStyle name="Normal 20" xfId="252" xr:uid="{00000000-0005-0000-0000-000025020000}"/>
    <cellStyle name="Normal 21" xfId="266" xr:uid="{00000000-0005-0000-0000-000026020000}"/>
    <cellStyle name="Normal 22" xfId="280" xr:uid="{00000000-0005-0000-0000-000027020000}"/>
    <cellStyle name="Normal 23" xfId="294" xr:uid="{00000000-0005-0000-0000-000028020000}"/>
    <cellStyle name="Normal 24" xfId="308" xr:uid="{00000000-0005-0000-0000-000029020000}"/>
    <cellStyle name="Normal 25" xfId="322" xr:uid="{00000000-0005-0000-0000-00002A020000}"/>
    <cellStyle name="Normal 26" xfId="336" xr:uid="{00000000-0005-0000-0000-00002B020000}"/>
    <cellStyle name="Normal 27" xfId="350" xr:uid="{00000000-0005-0000-0000-00002C020000}"/>
    <cellStyle name="Normal 28" xfId="364" xr:uid="{00000000-0005-0000-0000-00002D020000}"/>
    <cellStyle name="Normal 29" xfId="378" xr:uid="{00000000-0005-0000-0000-00002E020000}"/>
    <cellStyle name="Normal 3" xfId="49" xr:uid="{00000000-0005-0000-0000-00002F020000}"/>
    <cellStyle name="Normal 30" xfId="392" xr:uid="{00000000-0005-0000-0000-000030020000}"/>
    <cellStyle name="Normal 31" xfId="406" xr:uid="{00000000-0005-0000-0000-000031020000}"/>
    <cellStyle name="Normal 32" xfId="420" xr:uid="{00000000-0005-0000-0000-000032020000}"/>
    <cellStyle name="Normal 33" xfId="434" xr:uid="{00000000-0005-0000-0000-000033020000}"/>
    <cellStyle name="Normal 34" xfId="448" xr:uid="{00000000-0005-0000-0000-000034020000}"/>
    <cellStyle name="Normal 35" xfId="462" xr:uid="{00000000-0005-0000-0000-000035020000}"/>
    <cellStyle name="Normal 36" xfId="476" xr:uid="{00000000-0005-0000-0000-000036020000}"/>
    <cellStyle name="Normal 37" xfId="490" xr:uid="{00000000-0005-0000-0000-000037020000}"/>
    <cellStyle name="Normal 38" xfId="504" xr:uid="{00000000-0005-0000-0000-000038020000}"/>
    <cellStyle name="Normal 39" xfId="518" xr:uid="{00000000-0005-0000-0000-000039020000}"/>
    <cellStyle name="Normal 4" xfId="50" xr:uid="{00000000-0005-0000-0000-00003A020000}"/>
    <cellStyle name="Normal 40" xfId="532" xr:uid="{00000000-0005-0000-0000-00003B020000}"/>
    <cellStyle name="Normal 41" xfId="546" xr:uid="{00000000-0005-0000-0000-00003C020000}"/>
    <cellStyle name="Normal 42" xfId="588" xr:uid="{00000000-0005-0000-0000-00003D020000}"/>
    <cellStyle name="Normal 43" xfId="602" xr:uid="{00000000-0005-0000-0000-00003E020000}"/>
    <cellStyle name="Normal 44" xfId="616" xr:uid="{00000000-0005-0000-0000-00003F020000}"/>
    <cellStyle name="Normal 45" xfId="40" xr:uid="{00000000-0005-0000-0000-000040020000}"/>
    <cellStyle name="Normal 5" xfId="54" xr:uid="{00000000-0005-0000-0000-000041020000}"/>
    <cellStyle name="Normal 6" xfId="56" xr:uid="{00000000-0005-0000-0000-000042020000}"/>
    <cellStyle name="Normal 7" xfId="70" xr:uid="{00000000-0005-0000-0000-000043020000}"/>
    <cellStyle name="Normal 8" xfId="84" xr:uid="{00000000-0005-0000-0000-000044020000}"/>
    <cellStyle name="Normal 9" xfId="98" xr:uid="{00000000-0005-0000-0000-000045020000}"/>
    <cellStyle name="Note 10" xfId="155" xr:uid="{00000000-0005-0000-0000-000046020000}"/>
    <cellStyle name="Note 11" xfId="169" xr:uid="{00000000-0005-0000-0000-000047020000}"/>
    <cellStyle name="Note 12" xfId="183" xr:uid="{00000000-0005-0000-0000-000048020000}"/>
    <cellStyle name="Note 13" xfId="197" xr:uid="{00000000-0005-0000-0000-000049020000}"/>
    <cellStyle name="Note 14" xfId="211" xr:uid="{00000000-0005-0000-0000-00004A020000}"/>
    <cellStyle name="Note 15" xfId="225" xr:uid="{00000000-0005-0000-0000-00004B020000}"/>
    <cellStyle name="Note 16" xfId="239" xr:uid="{00000000-0005-0000-0000-00004C020000}"/>
    <cellStyle name="Note 17" xfId="253" xr:uid="{00000000-0005-0000-0000-00004D020000}"/>
    <cellStyle name="Note 18" xfId="267" xr:uid="{00000000-0005-0000-0000-00004E020000}"/>
    <cellStyle name="Note 19" xfId="281" xr:uid="{00000000-0005-0000-0000-00004F020000}"/>
    <cellStyle name="Note 2" xfId="55" xr:uid="{00000000-0005-0000-0000-000050020000}"/>
    <cellStyle name="Note 20" xfId="295" xr:uid="{00000000-0005-0000-0000-000051020000}"/>
    <cellStyle name="Note 21" xfId="309" xr:uid="{00000000-0005-0000-0000-000052020000}"/>
    <cellStyle name="Note 22" xfId="323" xr:uid="{00000000-0005-0000-0000-000053020000}"/>
    <cellStyle name="Note 23" xfId="337" xr:uid="{00000000-0005-0000-0000-000054020000}"/>
    <cellStyle name="Note 24" xfId="351" xr:uid="{00000000-0005-0000-0000-000055020000}"/>
    <cellStyle name="Note 25" xfId="365" xr:uid="{00000000-0005-0000-0000-000056020000}"/>
    <cellStyle name="Note 26" xfId="379" xr:uid="{00000000-0005-0000-0000-000057020000}"/>
    <cellStyle name="Note 27" xfId="393" xr:uid="{00000000-0005-0000-0000-000058020000}"/>
    <cellStyle name="Note 28" xfId="407" xr:uid="{00000000-0005-0000-0000-000059020000}"/>
    <cellStyle name="Note 29" xfId="421" xr:uid="{00000000-0005-0000-0000-00005A020000}"/>
    <cellStyle name="Note 3" xfId="57" xr:uid="{00000000-0005-0000-0000-00005B020000}"/>
    <cellStyle name="Note 30" xfId="435" xr:uid="{00000000-0005-0000-0000-00005C020000}"/>
    <cellStyle name="Note 31" xfId="449" xr:uid="{00000000-0005-0000-0000-00005D020000}"/>
    <cellStyle name="Note 32" xfId="463" xr:uid="{00000000-0005-0000-0000-00005E020000}"/>
    <cellStyle name="Note 33" xfId="477" xr:uid="{00000000-0005-0000-0000-00005F020000}"/>
    <cellStyle name="Note 34" xfId="491" xr:uid="{00000000-0005-0000-0000-000060020000}"/>
    <cellStyle name="Note 35" xfId="505" xr:uid="{00000000-0005-0000-0000-000061020000}"/>
    <cellStyle name="Note 36" xfId="519" xr:uid="{00000000-0005-0000-0000-000062020000}"/>
    <cellStyle name="Note 37" xfId="533" xr:uid="{00000000-0005-0000-0000-000063020000}"/>
    <cellStyle name="Note 38" xfId="561" xr:uid="{00000000-0005-0000-0000-000064020000}"/>
    <cellStyle name="Note 39" xfId="589" xr:uid="{00000000-0005-0000-0000-000065020000}"/>
    <cellStyle name="Note 4" xfId="71" xr:uid="{00000000-0005-0000-0000-000066020000}"/>
    <cellStyle name="Note 40" xfId="603" xr:uid="{00000000-0005-0000-0000-000067020000}"/>
    <cellStyle name="Note 41" xfId="617" xr:uid="{00000000-0005-0000-0000-000068020000}"/>
    <cellStyle name="Note 5" xfId="85" xr:uid="{00000000-0005-0000-0000-000069020000}"/>
    <cellStyle name="Note 6" xfId="99" xr:uid="{00000000-0005-0000-0000-00006A020000}"/>
    <cellStyle name="Note 7" xfId="113" xr:uid="{00000000-0005-0000-0000-00006B020000}"/>
    <cellStyle name="Note 8" xfId="127" xr:uid="{00000000-0005-0000-0000-00006C020000}"/>
    <cellStyle name="Note 9" xfId="141" xr:uid="{00000000-0005-0000-0000-00006D020000}"/>
    <cellStyle name="Output" xfId="9" builtinId="21" customBuiltin="1"/>
    <cellStyle name="Output 2" xfId="556" xr:uid="{00000000-0005-0000-0000-00006F020000}"/>
    <cellStyle name="Percent" xfId="633" builtinId="5"/>
    <cellStyle name="Percent 2" xfId="51" xr:uid="{00000000-0005-0000-0000-000070020000}"/>
    <cellStyle name="Title 2" xfId="547" xr:uid="{00000000-0005-0000-0000-000071020000}"/>
    <cellStyle name="Title 3" xfId="53" xr:uid="{00000000-0005-0000-0000-000072020000}"/>
    <cellStyle name="Total" xfId="15" builtinId="25" customBuiltin="1"/>
    <cellStyle name="Total 2" xfId="563" xr:uid="{00000000-0005-0000-0000-000074020000}"/>
    <cellStyle name="Warning Text" xfId="13" builtinId="11" customBuiltin="1"/>
    <cellStyle name="Warning Text 2" xfId="560" xr:uid="{00000000-0005-0000-0000-000076020000}"/>
  </cellStyles>
  <dxfs count="12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79998168889431442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Invisible" pivot="0" table="0" count="0" xr9:uid="{43DBB4D9-30CE-43AC-85F7-B34A858E07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419102</xdr:colOff>
      <xdr:row>3</xdr:row>
      <xdr:rowOff>11906</xdr:rowOff>
    </xdr:from>
    <xdr:to>
      <xdr:col>57</xdr:col>
      <xdr:colOff>1041402</xdr:colOff>
      <xdr:row>6</xdr:row>
      <xdr:rowOff>110880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8B48FC-E8A8-4CF4-8172-813E2C915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81202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56</xdr:col>
      <xdr:colOff>215350</xdr:colOff>
      <xdr:row>3</xdr:row>
      <xdr:rowOff>33131</xdr:rowOff>
    </xdr:from>
    <xdr:to>
      <xdr:col>57</xdr:col>
      <xdr:colOff>1012430</xdr:colOff>
      <xdr:row>6</xdr:row>
      <xdr:rowOff>36364</xdr:rowOff>
    </xdr:to>
    <xdr:pic>
      <xdr:nvPicPr>
        <xdr:cNvPr id="9" name="Picture 8" descr="A blue and white logo&#10;&#10;AI-generated content may be incorrect.">
          <a:extLst>
            <a:ext uri="{FF2B5EF4-FFF2-40B4-BE49-F238E27FC236}">
              <a16:creationId xmlns:a16="http://schemas.microsoft.com/office/drawing/2014/main" id="{49B42892-6EBA-4DB8-BA2C-A8665A558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21459" y="596348"/>
          <a:ext cx="1848971" cy="7412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419102</xdr:colOff>
      <xdr:row>3</xdr:row>
      <xdr:rowOff>11906</xdr:rowOff>
    </xdr:from>
    <xdr:to>
      <xdr:col>52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703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51</xdr:col>
      <xdr:colOff>223630</xdr:colOff>
      <xdr:row>3</xdr:row>
      <xdr:rowOff>49697</xdr:rowOff>
    </xdr:from>
    <xdr:to>
      <xdr:col>52</xdr:col>
      <xdr:colOff>1020710</xdr:colOff>
      <xdr:row>6</xdr:row>
      <xdr:rowOff>45508</xdr:rowOff>
    </xdr:to>
    <xdr:pic>
      <xdr:nvPicPr>
        <xdr:cNvPr id="8" name="Picture 7" descr="A blue and white logo&#10;&#10;AI-generated content may be incorrect.">
          <a:extLst>
            <a:ext uri="{FF2B5EF4-FFF2-40B4-BE49-F238E27FC236}">
              <a16:creationId xmlns:a16="http://schemas.microsoft.com/office/drawing/2014/main" id="{E562DDAA-EF2F-4AB6-9DC9-B77EF981E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9043" y="612914"/>
          <a:ext cx="1848971" cy="7412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419102</xdr:colOff>
      <xdr:row>3</xdr:row>
      <xdr:rowOff>11906</xdr:rowOff>
    </xdr:from>
    <xdr:to>
      <xdr:col>47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808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46</xdr:col>
      <xdr:colOff>215349</xdr:colOff>
      <xdr:row>3</xdr:row>
      <xdr:rowOff>49699</xdr:rowOff>
    </xdr:from>
    <xdr:to>
      <xdr:col>47</xdr:col>
      <xdr:colOff>1007910</xdr:colOff>
      <xdr:row>6</xdr:row>
      <xdr:rowOff>57557</xdr:rowOff>
    </xdr:to>
    <xdr:pic>
      <xdr:nvPicPr>
        <xdr:cNvPr id="6" name="Picture 5" descr="A blue and white logo&#10;&#10;AI-generated content may be incorrect.">
          <a:extLst>
            <a:ext uri="{FF2B5EF4-FFF2-40B4-BE49-F238E27FC236}">
              <a16:creationId xmlns:a16="http://schemas.microsoft.com/office/drawing/2014/main" id="{80E95049-388B-4B32-94CE-1CB9CC3F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40066" y="612916"/>
          <a:ext cx="1844453" cy="7532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419102</xdr:colOff>
      <xdr:row>3</xdr:row>
      <xdr:rowOff>11906</xdr:rowOff>
    </xdr:from>
    <xdr:to>
      <xdr:col>42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7557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41</xdr:col>
      <xdr:colOff>206109</xdr:colOff>
      <xdr:row>3</xdr:row>
      <xdr:rowOff>42369</xdr:rowOff>
    </xdr:from>
    <xdr:to>
      <xdr:col>42</xdr:col>
      <xdr:colOff>1003189</xdr:colOff>
      <xdr:row>6</xdr:row>
      <xdr:rowOff>38180</xdr:rowOff>
    </xdr:to>
    <xdr:pic>
      <xdr:nvPicPr>
        <xdr:cNvPr id="8" name="Picture 7" descr="A blue and white logo&#10;&#10;AI-generated content may be incorrect.">
          <a:extLst>
            <a:ext uri="{FF2B5EF4-FFF2-40B4-BE49-F238E27FC236}">
              <a16:creationId xmlns:a16="http://schemas.microsoft.com/office/drawing/2014/main" id="{E34DED63-1C12-4153-BDE8-A719F0ED6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4744" y="599215"/>
          <a:ext cx="1844830" cy="7431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419102</xdr:colOff>
      <xdr:row>3</xdr:row>
      <xdr:rowOff>11906</xdr:rowOff>
    </xdr:from>
    <xdr:to>
      <xdr:col>37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703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36</xdr:col>
      <xdr:colOff>205154</xdr:colOff>
      <xdr:row>3</xdr:row>
      <xdr:rowOff>37927</xdr:rowOff>
    </xdr:from>
    <xdr:to>
      <xdr:col>37</xdr:col>
      <xdr:colOff>1000772</xdr:colOff>
      <xdr:row>6</xdr:row>
      <xdr:rowOff>39585</xdr:rowOff>
    </xdr:to>
    <xdr:pic>
      <xdr:nvPicPr>
        <xdr:cNvPr id="7" name="Picture 6" descr="A blue and white logo&#10;&#10;AI-generated content may be incorrect.">
          <a:extLst>
            <a:ext uri="{FF2B5EF4-FFF2-40B4-BE49-F238E27FC236}">
              <a16:creationId xmlns:a16="http://schemas.microsoft.com/office/drawing/2014/main" id="{A28668F8-0692-4542-A2EF-DD830858A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4173" y="594773"/>
          <a:ext cx="1843368" cy="7490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419102</xdr:colOff>
      <xdr:row>3</xdr:row>
      <xdr:rowOff>11906</xdr:rowOff>
    </xdr:from>
    <xdr:to>
      <xdr:col>32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507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208838</xdr:colOff>
      <xdr:row>3</xdr:row>
      <xdr:rowOff>31945</xdr:rowOff>
    </xdr:from>
    <xdr:to>
      <xdr:col>32</xdr:col>
      <xdr:colOff>1014200</xdr:colOff>
      <xdr:row>6</xdr:row>
      <xdr:rowOff>38405</xdr:rowOff>
    </xdr:to>
    <xdr:pic>
      <xdr:nvPicPr>
        <xdr:cNvPr id="7" name="Picture 6" descr="A blue and white logo&#10;&#10;AI-generated content may be incorrect.">
          <a:extLst>
            <a:ext uri="{FF2B5EF4-FFF2-40B4-BE49-F238E27FC236}">
              <a16:creationId xmlns:a16="http://schemas.microsoft.com/office/drawing/2014/main" id="{DB55D302-7A76-496A-811B-E819C3E7E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11468" y="595162"/>
          <a:ext cx="1857254" cy="7518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419102</xdr:colOff>
      <xdr:row>3</xdr:row>
      <xdr:rowOff>11906</xdr:rowOff>
    </xdr:from>
    <xdr:to>
      <xdr:col>27</xdr:col>
      <xdr:colOff>1041402</xdr:colOff>
      <xdr:row>6</xdr:row>
      <xdr:rowOff>103458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9827" y="573881"/>
          <a:ext cx="1670050" cy="834502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202955</xdr:colOff>
      <xdr:row>3</xdr:row>
      <xdr:rowOff>27110</xdr:rowOff>
    </xdr:from>
    <xdr:to>
      <xdr:col>27</xdr:col>
      <xdr:colOff>1004176</xdr:colOff>
      <xdr:row>6</xdr:row>
      <xdr:rowOff>29383</xdr:rowOff>
    </xdr:to>
    <xdr:pic>
      <xdr:nvPicPr>
        <xdr:cNvPr id="6" name="Picture 5" descr="A blue and white logo&#10;&#10;AI-generated content may be incorrect.">
          <a:extLst>
            <a:ext uri="{FF2B5EF4-FFF2-40B4-BE49-F238E27FC236}">
              <a16:creationId xmlns:a16="http://schemas.microsoft.com/office/drawing/2014/main" id="{6A87510A-5DB5-48DD-95B9-11AA9B5D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1930" y="589085"/>
          <a:ext cx="1848971" cy="745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187621</xdr:colOff>
      <xdr:row>3</xdr:row>
      <xdr:rowOff>33128</xdr:rowOff>
    </xdr:from>
    <xdr:to>
      <xdr:col>22</xdr:col>
      <xdr:colOff>982001</xdr:colOff>
      <xdr:row>6</xdr:row>
      <xdr:rowOff>28939</xdr:rowOff>
    </xdr:to>
    <xdr:pic>
      <xdr:nvPicPr>
        <xdr:cNvPr id="8" name="Picture 7" descr="A blue and white logo&#10;&#10;AI-generated content may be incorrect.">
          <a:extLst>
            <a:ext uri="{FF2B5EF4-FFF2-40B4-BE49-F238E27FC236}">
              <a16:creationId xmlns:a16="http://schemas.microsoft.com/office/drawing/2014/main" id="{C7374626-D63F-4BA2-BDBB-79F08348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03503" y="593422"/>
          <a:ext cx="1847733" cy="735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6514-F5B8-486D-A5DC-9BECFE558351}">
  <sheetPr codeName="Sheet15">
    <pageSetUpPr fitToPage="1"/>
  </sheetPr>
  <dimension ref="B1:CF83"/>
  <sheetViews>
    <sheetView showGridLines="0" tabSelected="1" topLeftCell="AZ10" zoomScale="55" zoomScaleNormal="55" zoomScaleSheetLayoutView="55" zoomScalePageLayoutView="70" workbookViewId="0">
      <selection activeCell="BU28" sqref="BU28"/>
    </sheetView>
  </sheetViews>
  <sheetFormatPr defaultColWidth="9.28515625" defaultRowHeight="16.5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43" width="15.7109375" style="4" customWidth="1"/>
    <col min="44" max="46" width="10.7109375" style="4" customWidth="1"/>
    <col min="47" max="48" width="15.7109375" style="4" customWidth="1"/>
    <col min="49" max="51" width="10.7109375" style="4" customWidth="1"/>
    <col min="52" max="53" width="15.7109375" style="4" customWidth="1"/>
    <col min="54" max="56" width="10.7109375" style="4" customWidth="1"/>
    <col min="57" max="72" width="15.7109375" style="4" customWidth="1"/>
    <col min="73" max="74" width="15.7109375" style="56" customWidth="1"/>
    <col min="75" max="75" width="22" style="55" bestFit="1" customWidth="1"/>
    <col min="76" max="76" width="12" style="4" customWidth="1" outlineLevel="1"/>
    <col min="77" max="77" width="4.7109375" style="66" customWidth="1" outlineLevel="1"/>
    <col min="78" max="78" width="22" style="55" customWidth="1" outlineLevel="1"/>
    <col min="79" max="79" width="9.7109375" style="4" customWidth="1" outlineLevel="1"/>
    <col min="80" max="80" width="4.7109375" style="4" customWidth="1" outlineLevel="1"/>
    <col min="81" max="81" width="22" style="55" customWidth="1" outlineLevel="1"/>
    <col min="82" max="83" width="9.28515625" style="4"/>
    <col min="84" max="84" width="20.7109375" style="4" customWidth="1"/>
    <col min="85" max="16384" width="9.28515625" style="4"/>
  </cols>
  <sheetData>
    <row r="1" spans="2:81" s="1" customFormat="1" ht="13.5" x14ac:dyDescent="0.25">
      <c r="D1" s="2"/>
      <c r="J1" s="83"/>
      <c r="U1" s="3"/>
      <c r="BU1" s="79"/>
      <c r="BV1" s="79"/>
      <c r="BW1" s="70"/>
      <c r="BY1" s="65"/>
      <c r="BZ1" s="70"/>
      <c r="CC1" s="70"/>
    </row>
    <row r="2" spans="2:81" s="1" customFormat="1" ht="13.5" x14ac:dyDescent="0.25">
      <c r="D2" s="2"/>
      <c r="U2" s="3"/>
      <c r="BU2" s="79"/>
      <c r="BV2" s="79"/>
      <c r="BW2" s="70"/>
      <c r="BY2" s="65"/>
      <c r="BZ2" s="70"/>
      <c r="CC2" s="70"/>
    </row>
    <row r="3" spans="2:81" ht="17.25" thickBot="1" x14ac:dyDescent="0.3"/>
    <row r="4" spans="2:81" ht="20.100000000000001" customHeight="1" thickTop="1" x14ac:dyDescent="0.25">
      <c r="B4" s="115" t="s">
        <v>2</v>
      </c>
      <c r="C4" s="116"/>
      <c r="D4" s="116"/>
      <c r="E4" s="116"/>
      <c r="F4" s="116"/>
      <c r="G4" s="119" t="s">
        <v>3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6"/>
      <c r="BF4" s="7"/>
    </row>
    <row r="5" spans="2:81" ht="20.100000000000001" customHeight="1" x14ac:dyDescent="0.25">
      <c r="B5" s="117"/>
      <c r="C5" s="118"/>
      <c r="D5" s="118"/>
      <c r="E5" s="118"/>
      <c r="F5" s="118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8"/>
      <c r="BF5" s="9"/>
    </row>
    <row r="6" spans="2:81" ht="20.100000000000001" customHeight="1" x14ac:dyDescent="0.25">
      <c r="B6" s="117"/>
      <c r="C6" s="118"/>
      <c r="D6" s="118"/>
      <c r="E6" s="118"/>
      <c r="F6" s="118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8"/>
      <c r="BF6" s="9"/>
    </row>
    <row r="7" spans="2:81" s="12" customFormat="1" ht="15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U7" s="13"/>
      <c r="AZ7" s="14"/>
      <c r="BA7" s="15"/>
      <c r="BC7" s="123"/>
      <c r="BD7" s="123"/>
      <c r="BE7" s="123"/>
      <c r="BF7" s="124"/>
      <c r="BU7" s="80"/>
      <c r="BV7" s="80"/>
      <c r="BW7" s="73"/>
      <c r="BY7" s="67"/>
      <c r="BZ7" s="73"/>
      <c r="CC7" s="73"/>
    </row>
    <row r="8" spans="2:81" s="12" customFormat="1" ht="15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U8" s="13"/>
      <c r="AZ8" s="16"/>
      <c r="BA8" s="15"/>
      <c r="BC8" s="142">
        <f ca="1">TODAY()</f>
        <v>46314</v>
      </c>
      <c r="BD8" s="142"/>
      <c r="BE8" s="142"/>
      <c r="BF8" s="143"/>
      <c r="BU8" s="80"/>
      <c r="BV8" s="80"/>
      <c r="BW8" s="73"/>
      <c r="BY8" s="67"/>
      <c r="BZ8" s="73"/>
      <c r="CC8" s="73"/>
    </row>
    <row r="9" spans="2:81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U9" s="13"/>
      <c r="BB9" s="10"/>
      <c r="BC9" s="17"/>
      <c r="BD9" s="17"/>
      <c r="BE9" s="17"/>
      <c r="BF9" s="18"/>
      <c r="BU9" s="80"/>
      <c r="BV9" s="80"/>
      <c r="BW9" s="73"/>
      <c r="BY9" s="67"/>
      <c r="BZ9" s="73"/>
      <c r="CC9" s="73"/>
    </row>
    <row r="10" spans="2:81" s="1" customFormat="1" ht="14.25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 t="shared" ref="S10" si="0">N10+1</f>
        <v>3</v>
      </c>
      <c r="T10" s="125"/>
      <c r="U10" s="125"/>
      <c r="V10" s="125"/>
      <c r="W10" s="140"/>
      <c r="X10" s="139">
        <f t="shared" ref="X10" si="1">S10+1</f>
        <v>4</v>
      </c>
      <c r="Y10" s="125"/>
      <c r="Z10" s="125"/>
      <c r="AA10" s="125"/>
      <c r="AB10" s="140"/>
      <c r="AC10" s="139">
        <f t="shared" ref="AC10" si="2">X10+1</f>
        <v>5</v>
      </c>
      <c r="AD10" s="125"/>
      <c r="AE10" s="125"/>
      <c r="AF10" s="125"/>
      <c r="AG10" s="140"/>
      <c r="AH10" s="139">
        <f>AC10+1</f>
        <v>6</v>
      </c>
      <c r="AI10" s="125"/>
      <c r="AJ10" s="125"/>
      <c r="AK10" s="125"/>
      <c r="AL10" s="140"/>
      <c r="AM10" s="139">
        <f t="shared" ref="AM10" si="3">AH10+1</f>
        <v>7</v>
      </c>
      <c r="AN10" s="125"/>
      <c r="AO10" s="125"/>
      <c r="AP10" s="125"/>
      <c r="AQ10" s="140"/>
      <c r="AR10" s="139">
        <f t="shared" ref="AR10" si="4">AM10+1</f>
        <v>8</v>
      </c>
      <c r="AS10" s="125"/>
      <c r="AT10" s="125"/>
      <c r="AU10" s="125"/>
      <c r="AV10" s="140"/>
      <c r="AW10" s="139">
        <f t="shared" ref="AW10" si="5">AR10+1</f>
        <v>9</v>
      </c>
      <c r="AX10" s="125"/>
      <c r="AY10" s="125"/>
      <c r="AZ10" s="125"/>
      <c r="BA10" s="140"/>
      <c r="BB10" s="125">
        <f>AW10+1</f>
        <v>10</v>
      </c>
      <c r="BC10" s="125"/>
      <c r="BD10" s="125"/>
      <c r="BE10" s="125"/>
      <c r="BF10" s="126"/>
      <c r="BU10" s="79"/>
      <c r="BV10" s="79"/>
      <c r="BW10" s="70"/>
      <c r="BY10" s="65"/>
      <c r="BZ10" s="70"/>
      <c r="CC10" s="70"/>
    </row>
    <row r="11" spans="2:81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 t="s">
        <v>47</v>
      </c>
      <c r="J11" s="130"/>
      <c r="K11" s="130"/>
      <c r="L11" s="130"/>
      <c r="M11" s="131"/>
      <c r="N11" s="19" t="s">
        <v>47</v>
      </c>
      <c r="O11" s="130"/>
      <c r="P11" s="130"/>
      <c r="Q11" s="130"/>
      <c r="R11" s="131"/>
      <c r="S11" s="19"/>
      <c r="T11" s="130"/>
      <c r="U11" s="130"/>
      <c r="V11" s="130"/>
      <c r="W11" s="131"/>
      <c r="X11" s="19"/>
      <c r="Y11" s="130"/>
      <c r="Z11" s="130"/>
      <c r="AA11" s="130"/>
      <c r="AB11" s="131"/>
      <c r="AC11" s="19"/>
      <c r="AD11" s="130"/>
      <c r="AE11" s="130"/>
      <c r="AF11" s="130"/>
      <c r="AG11" s="131"/>
      <c r="AH11" s="19"/>
      <c r="AI11" s="130"/>
      <c r="AJ11" s="130"/>
      <c r="AK11" s="130"/>
      <c r="AL11" s="131"/>
      <c r="AM11" s="19"/>
      <c r="AN11" s="130"/>
      <c r="AO11" s="130"/>
      <c r="AP11" s="130"/>
      <c r="AQ11" s="131"/>
      <c r="AR11" s="19"/>
      <c r="AS11" s="130"/>
      <c r="AT11" s="130"/>
      <c r="AU11" s="130"/>
      <c r="AV11" s="131"/>
      <c r="AW11" s="19"/>
      <c r="AX11" s="130"/>
      <c r="AY11" s="130"/>
      <c r="AZ11" s="130"/>
      <c r="BA11" s="131"/>
      <c r="BB11" s="19"/>
      <c r="BC11" s="130"/>
      <c r="BD11" s="130"/>
      <c r="BE11" s="130"/>
      <c r="BF11" s="280"/>
      <c r="BL11" s="86"/>
      <c r="BM11" s="86"/>
      <c r="BU11" s="79"/>
      <c r="BV11" s="79"/>
      <c r="BW11" s="70"/>
      <c r="BY11" s="65"/>
      <c r="BZ11" s="70"/>
      <c r="CC11" s="70"/>
    </row>
    <row r="12" spans="2:81" s="1" customFormat="1" ht="13.5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153"/>
      <c r="X12" s="151">
        <v>0</v>
      </c>
      <c r="Y12" s="152"/>
      <c r="Z12" s="152"/>
      <c r="AA12" s="152"/>
      <c r="AB12" s="153"/>
      <c r="AC12" s="151">
        <v>0</v>
      </c>
      <c r="AD12" s="152"/>
      <c r="AE12" s="152"/>
      <c r="AF12" s="152"/>
      <c r="AG12" s="153"/>
      <c r="AH12" s="151">
        <v>0</v>
      </c>
      <c r="AI12" s="152"/>
      <c r="AJ12" s="152"/>
      <c r="AK12" s="152"/>
      <c r="AL12" s="153"/>
      <c r="AM12" s="151">
        <v>0</v>
      </c>
      <c r="AN12" s="152"/>
      <c r="AO12" s="152"/>
      <c r="AP12" s="152"/>
      <c r="AQ12" s="153"/>
      <c r="AR12" s="151">
        <v>0</v>
      </c>
      <c r="AS12" s="152"/>
      <c r="AT12" s="152"/>
      <c r="AU12" s="152"/>
      <c r="AV12" s="153"/>
      <c r="AW12" s="151">
        <v>0</v>
      </c>
      <c r="AX12" s="152"/>
      <c r="AY12" s="152"/>
      <c r="AZ12" s="152"/>
      <c r="BA12" s="153"/>
      <c r="BB12" s="151">
        <v>0</v>
      </c>
      <c r="BC12" s="152"/>
      <c r="BD12" s="152"/>
      <c r="BE12" s="152"/>
      <c r="BF12" s="276"/>
      <c r="BL12" s="86"/>
      <c r="BM12" s="86"/>
      <c r="BU12" s="79"/>
      <c r="BV12" s="79"/>
      <c r="BW12" s="70"/>
      <c r="BY12" s="65"/>
      <c r="BZ12" s="70"/>
      <c r="CC12" s="70"/>
    </row>
    <row r="13" spans="2:81" s="1" customFormat="1" ht="13.5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156"/>
      <c r="X13" s="154"/>
      <c r="Y13" s="155"/>
      <c r="Z13" s="155"/>
      <c r="AA13" s="155"/>
      <c r="AB13" s="156"/>
      <c r="AC13" s="154"/>
      <c r="AD13" s="155"/>
      <c r="AE13" s="155"/>
      <c r="AF13" s="155"/>
      <c r="AG13" s="156"/>
      <c r="AH13" s="154"/>
      <c r="AI13" s="155"/>
      <c r="AJ13" s="155"/>
      <c r="AK13" s="155"/>
      <c r="AL13" s="156"/>
      <c r="AM13" s="154"/>
      <c r="AN13" s="155"/>
      <c r="AO13" s="155"/>
      <c r="AP13" s="155"/>
      <c r="AQ13" s="156"/>
      <c r="AR13" s="154"/>
      <c r="AS13" s="155"/>
      <c r="AT13" s="155"/>
      <c r="AU13" s="155"/>
      <c r="AV13" s="156"/>
      <c r="AW13" s="154"/>
      <c r="AX13" s="155"/>
      <c r="AY13" s="155"/>
      <c r="AZ13" s="155"/>
      <c r="BA13" s="156"/>
      <c r="BB13" s="154"/>
      <c r="BC13" s="155"/>
      <c r="BD13" s="155"/>
      <c r="BE13" s="155"/>
      <c r="BF13" s="277"/>
      <c r="BL13" s="86"/>
      <c r="BM13" s="86"/>
      <c r="BU13" s="79"/>
      <c r="BV13" s="79"/>
      <c r="BW13" s="70"/>
      <c r="BY13" s="65"/>
      <c r="BZ13" s="70"/>
      <c r="CC13" s="70"/>
    </row>
    <row r="14" spans="2:81" s="1" customFormat="1" ht="15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165"/>
      <c r="X14" s="164"/>
      <c r="Y14" s="128"/>
      <c r="Z14" s="128"/>
      <c r="AA14" s="128"/>
      <c r="AB14" s="165"/>
      <c r="AC14" s="164"/>
      <c r="AD14" s="128"/>
      <c r="AE14" s="128"/>
      <c r="AF14" s="128"/>
      <c r="AG14" s="165"/>
      <c r="AH14" s="164"/>
      <c r="AI14" s="128"/>
      <c r="AJ14" s="128"/>
      <c r="AK14" s="128"/>
      <c r="AL14" s="165"/>
      <c r="AM14" s="164"/>
      <c r="AN14" s="128"/>
      <c r="AO14" s="128"/>
      <c r="AP14" s="128"/>
      <c r="AQ14" s="165"/>
      <c r="AR14" s="164"/>
      <c r="AS14" s="128"/>
      <c r="AT14" s="128"/>
      <c r="AU14" s="128"/>
      <c r="AV14" s="165"/>
      <c r="AW14" s="164"/>
      <c r="AX14" s="128"/>
      <c r="AY14" s="128"/>
      <c r="AZ14" s="128"/>
      <c r="BA14" s="165"/>
      <c r="BB14" s="164"/>
      <c r="BC14" s="128"/>
      <c r="BD14" s="128"/>
      <c r="BE14" s="128"/>
      <c r="BF14" s="278"/>
      <c r="BL14" s="86"/>
      <c r="BM14" s="86"/>
      <c r="BU14" s="79"/>
      <c r="BV14" s="79"/>
      <c r="BW14" s="70"/>
      <c r="BY14" s="65"/>
      <c r="BZ14" s="70"/>
      <c r="CC14" s="70"/>
    </row>
    <row r="15" spans="2:81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170"/>
      <c r="X15" s="168" t="s">
        <v>47</v>
      </c>
      <c r="Y15" s="169"/>
      <c r="Z15" s="169"/>
      <c r="AA15" s="169"/>
      <c r="AB15" s="170"/>
      <c r="AC15" s="168" t="s">
        <v>47</v>
      </c>
      <c r="AD15" s="169"/>
      <c r="AE15" s="169"/>
      <c r="AF15" s="169"/>
      <c r="AG15" s="170"/>
      <c r="AH15" s="168" t="s">
        <v>47</v>
      </c>
      <c r="AI15" s="169"/>
      <c r="AJ15" s="169"/>
      <c r="AK15" s="169"/>
      <c r="AL15" s="170"/>
      <c r="AM15" s="168" t="s">
        <v>47</v>
      </c>
      <c r="AN15" s="169"/>
      <c r="AO15" s="169"/>
      <c r="AP15" s="169"/>
      <c r="AQ15" s="170"/>
      <c r="AR15" s="168" t="s">
        <v>47</v>
      </c>
      <c r="AS15" s="169"/>
      <c r="AT15" s="169"/>
      <c r="AU15" s="169"/>
      <c r="AV15" s="170"/>
      <c r="AW15" s="168" t="s">
        <v>47</v>
      </c>
      <c r="AX15" s="169"/>
      <c r="AY15" s="169"/>
      <c r="AZ15" s="169"/>
      <c r="BA15" s="170"/>
      <c r="BB15" s="168" t="s">
        <v>47</v>
      </c>
      <c r="BC15" s="169"/>
      <c r="BD15" s="169"/>
      <c r="BE15" s="169"/>
      <c r="BF15" s="279"/>
      <c r="BL15" s="86"/>
      <c r="BM15" s="86"/>
      <c r="BU15" s="79"/>
      <c r="BV15" s="79"/>
      <c r="BW15" s="70"/>
      <c r="BY15" s="65"/>
      <c r="BZ15" s="70"/>
      <c r="CC15" s="70"/>
    </row>
    <row r="16" spans="2:81" s="1" customFormat="1" ht="15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74"/>
      <c r="X16" s="172"/>
      <c r="Y16" s="173"/>
      <c r="Z16" s="173"/>
      <c r="AA16" s="173"/>
      <c r="AB16" s="174"/>
      <c r="AC16" s="172"/>
      <c r="AD16" s="173"/>
      <c r="AE16" s="173"/>
      <c r="AF16" s="173"/>
      <c r="AG16" s="174"/>
      <c r="AH16" s="172"/>
      <c r="AI16" s="173"/>
      <c r="AJ16" s="173"/>
      <c r="AK16" s="173"/>
      <c r="AL16" s="174"/>
      <c r="AM16" s="172"/>
      <c r="AN16" s="173"/>
      <c r="AO16" s="173"/>
      <c r="AP16" s="173"/>
      <c r="AQ16" s="174"/>
      <c r="AR16" s="172"/>
      <c r="AS16" s="173"/>
      <c r="AT16" s="173"/>
      <c r="AU16" s="173"/>
      <c r="AV16" s="174"/>
      <c r="AW16" s="172"/>
      <c r="AX16" s="173"/>
      <c r="AY16" s="173"/>
      <c r="AZ16" s="173"/>
      <c r="BA16" s="174"/>
      <c r="BB16" s="172"/>
      <c r="BC16" s="173"/>
      <c r="BD16" s="173"/>
      <c r="BE16" s="173"/>
      <c r="BF16" s="184"/>
      <c r="BL16" s="79"/>
      <c r="BU16" s="79"/>
      <c r="BV16" s="79"/>
      <c r="BW16" s="70"/>
      <c r="BY16" s="65"/>
      <c r="BZ16" s="70"/>
      <c r="CC16" s="70"/>
    </row>
    <row r="17" spans="2:84" s="1" customFormat="1" ht="15" x14ac:dyDescent="0.25">
      <c r="B17" s="270"/>
      <c r="C17" s="271"/>
      <c r="D17" s="271"/>
      <c r="E17" s="271"/>
      <c r="F17" s="114"/>
      <c r="G17" s="178" t="s">
        <v>15</v>
      </c>
      <c r="H17" s="178"/>
      <c r="I17" s="179"/>
      <c r="J17" s="180"/>
      <c r="K17" s="181"/>
      <c r="L17" s="181"/>
      <c r="M17" s="182"/>
      <c r="N17" s="179"/>
      <c r="O17" s="180"/>
      <c r="P17" s="181"/>
      <c r="Q17" s="181"/>
      <c r="R17" s="182"/>
      <c r="S17" s="179"/>
      <c r="T17" s="180"/>
      <c r="U17" s="181"/>
      <c r="V17" s="181"/>
      <c r="W17" s="182"/>
      <c r="X17" s="179"/>
      <c r="Y17" s="180"/>
      <c r="Z17" s="181"/>
      <c r="AA17" s="181"/>
      <c r="AB17" s="182"/>
      <c r="AC17" s="179"/>
      <c r="AD17" s="180"/>
      <c r="AE17" s="181"/>
      <c r="AF17" s="181"/>
      <c r="AG17" s="182"/>
      <c r="AH17" s="179"/>
      <c r="AI17" s="180"/>
      <c r="AJ17" s="181"/>
      <c r="AK17" s="181"/>
      <c r="AL17" s="182"/>
      <c r="AM17" s="179"/>
      <c r="AN17" s="180"/>
      <c r="AO17" s="181"/>
      <c r="AP17" s="181"/>
      <c r="AQ17" s="182"/>
      <c r="AR17" s="179"/>
      <c r="AS17" s="180"/>
      <c r="AT17" s="181"/>
      <c r="AU17" s="181"/>
      <c r="AV17" s="182"/>
      <c r="AW17" s="179"/>
      <c r="AX17" s="180"/>
      <c r="AY17" s="181"/>
      <c r="AZ17" s="181"/>
      <c r="BA17" s="182"/>
      <c r="BB17" s="179"/>
      <c r="BC17" s="180"/>
      <c r="BD17" s="181"/>
      <c r="BE17" s="181"/>
      <c r="BF17" s="185"/>
      <c r="BL17" s="37"/>
      <c r="BM17" s="37"/>
      <c r="BN17" s="37"/>
      <c r="BO17" s="37"/>
      <c r="BP17" s="37"/>
      <c r="BQ17" s="37"/>
      <c r="BR17" s="37"/>
      <c r="BS17" s="37"/>
      <c r="BT17" s="37"/>
      <c r="BU17" s="79"/>
      <c r="BV17" s="79"/>
      <c r="BW17" s="70"/>
      <c r="BY17" s="65"/>
      <c r="BZ17" s="70"/>
      <c r="CC17" s="70"/>
    </row>
    <row r="18" spans="2:84" s="1" customFormat="1" ht="15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83"/>
      <c r="X18" s="175"/>
      <c r="Y18" s="176"/>
      <c r="Z18" s="176"/>
      <c r="AA18" s="176"/>
      <c r="AB18" s="183"/>
      <c r="AC18" s="175"/>
      <c r="AD18" s="176"/>
      <c r="AE18" s="176"/>
      <c r="AF18" s="176"/>
      <c r="AG18" s="183"/>
      <c r="AH18" s="175"/>
      <c r="AI18" s="176"/>
      <c r="AJ18" s="176"/>
      <c r="AK18" s="176"/>
      <c r="AL18" s="183"/>
      <c r="AM18" s="175"/>
      <c r="AN18" s="176"/>
      <c r="AO18" s="176"/>
      <c r="AP18" s="176"/>
      <c r="AQ18" s="183"/>
      <c r="AR18" s="175"/>
      <c r="AS18" s="176"/>
      <c r="AT18" s="176"/>
      <c r="AU18" s="176"/>
      <c r="AV18" s="183"/>
      <c r="AW18" s="175"/>
      <c r="AX18" s="176"/>
      <c r="AY18" s="176"/>
      <c r="AZ18" s="176"/>
      <c r="BA18" s="183"/>
      <c r="BB18" s="175"/>
      <c r="BC18" s="176"/>
      <c r="BD18" s="176"/>
      <c r="BE18" s="176"/>
      <c r="BF18" s="177"/>
      <c r="BL18" s="22">
        <v>1</v>
      </c>
      <c r="BM18" s="22">
        <f>BL18+1</f>
        <v>2</v>
      </c>
      <c r="BN18" s="22">
        <f t="shared" ref="BN18:BT18" si="6">BM18+1</f>
        <v>3</v>
      </c>
      <c r="BO18" s="22">
        <f t="shared" si="6"/>
        <v>4</v>
      </c>
      <c r="BP18" s="22">
        <f t="shared" si="6"/>
        <v>5</v>
      </c>
      <c r="BQ18" s="22">
        <f t="shared" si="6"/>
        <v>6</v>
      </c>
      <c r="BR18" s="22">
        <f t="shared" si="6"/>
        <v>7</v>
      </c>
      <c r="BS18" s="22">
        <f t="shared" si="6"/>
        <v>8</v>
      </c>
      <c r="BT18" s="22">
        <f t="shared" si="6"/>
        <v>9</v>
      </c>
      <c r="BU18" s="201" t="s">
        <v>17</v>
      </c>
      <c r="BV18" s="273" t="s">
        <v>18</v>
      </c>
      <c r="BW18" s="70"/>
      <c r="BY18" s="65"/>
      <c r="BZ18" s="70"/>
      <c r="CC18" s="70"/>
    </row>
    <row r="19" spans="2:84" s="1" customFormat="1" ht="15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83"/>
      <c r="X19" s="175"/>
      <c r="Y19" s="176"/>
      <c r="Z19" s="176"/>
      <c r="AA19" s="176"/>
      <c r="AB19" s="183"/>
      <c r="AC19" s="175"/>
      <c r="AD19" s="176"/>
      <c r="AE19" s="176"/>
      <c r="AF19" s="176"/>
      <c r="AG19" s="183"/>
      <c r="AH19" s="175"/>
      <c r="AI19" s="176"/>
      <c r="AJ19" s="176"/>
      <c r="AK19" s="176"/>
      <c r="AL19" s="183"/>
      <c r="AM19" s="175"/>
      <c r="AN19" s="176"/>
      <c r="AO19" s="176"/>
      <c r="AP19" s="176"/>
      <c r="AQ19" s="183"/>
      <c r="AR19" s="175"/>
      <c r="AS19" s="176"/>
      <c r="AT19" s="176"/>
      <c r="AU19" s="176"/>
      <c r="AV19" s="183"/>
      <c r="AW19" s="175"/>
      <c r="AX19" s="176"/>
      <c r="AY19" s="176"/>
      <c r="AZ19" s="176"/>
      <c r="BA19" s="183"/>
      <c r="BB19" s="175"/>
      <c r="BC19" s="176"/>
      <c r="BD19" s="176"/>
      <c r="BE19" s="176"/>
      <c r="BF19" s="177"/>
      <c r="BL19" s="200">
        <f>J11</f>
        <v>0</v>
      </c>
      <c r="BM19" s="200">
        <f>O11</f>
        <v>0</v>
      </c>
      <c r="BN19" s="200">
        <f>T11</f>
        <v>0</v>
      </c>
      <c r="BO19" s="200">
        <f>Y11</f>
        <v>0</v>
      </c>
      <c r="BP19" s="200">
        <f>AD11</f>
        <v>0</v>
      </c>
      <c r="BQ19" s="200">
        <f>AI11</f>
        <v>0</v>
      </c>
      <c r="BR19" s="200">
        <f>AN11</f>
        <v>0</v>
      </c>
      <c r="BS19" s="200">
        <f>AX11</f>
        <v>0</v>
      </c>
      <c r="BT19" s="200">
        <f>BC11</f>
        <v>0</v>
      </c>
      <c r="BU19" s="202"/>
      <c r="BV19" s="274"/>
    </row>
    <row r="20" spans="2:84" s="1" customFormat="1" ht="15.75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8"/>
      <c r="X20" s="196"/>
      <c r="Y20" s="197"/>
      <c r="Z20" s="197"/>
      <c r="AA20" s="197"/>
      <c r="AB20" s="198"/>
      <c r="AC20" s="196"/>
      <c r="AD20" s="197"/>
      <c r="AE20" s="197"/>
      <c r="AF20" s="197"/>
      <c r="AG20" s="198"/>
      <c r="AH20" s="196"/>
      <c r="AI20" s="197"/>
      <c r="AJ20" s="197"/>
      <c r="AK20" s="197"/>
      <c r="AL20" s="198"/>
      <c r="AM20" s="196"/>
      <c r="AN20" s="197"/>
      <c r="AO20" s="197"/>
      <c r="AP20" s="197"/>
      <c r="AQ20" s="198"/>
      <c r="AR20" s="196"/>
      <c r="AS20" s="197"/>
      <c r="AT20" s="197"/>
      <c r="AU20" s="197"/>
      <c r="AV20" s="198"/>
      <c r="AW20" s="196"/>
      <c r="AX20" s="197"/>
      <c r="AY20" s="197"/>
      <c r="AZ20" s="197"/>
      <c r="BA20" s="198"/>
      <c r="BB20" s="196"/>
      <c r="BC20" s="197"/>
      <c r="BD20" s="197"/>
      <c r="BE20" s="197"/>
      <c r="BF20" s="199"/>
      <c r="BG20" s="47"/>
      <c r="BH20" s="47"/>
      <c r="BL20" s="200"/>
      <c r="BM20" s="200"/>
      <c r="BN20" s="200"/>
      <c r="BO20" s="200"/>
      <c r="BP20" s="200"/>
      <c r="BQ20" s="200"/>
      <c r="BR20" s="200"/>
      <c r="BS20" s="200"/>
      <c r="BT20" s="200"/>
      <c r="BU20" s="202"/>
      <c r="BV20" s="274"/>
      <c r="BW20" s="70"/>
      <c r="BY20" s="65"/>
      <c r="BZ20" s="70"/>
      <c r="CC20" s="70"/>
      <c r="CE20" s="272">
        <f>SUM(CE22:CE50)</f>
        <v>0</v>
      </c>
      <c r="CF20" s="176"/>
    </row>
    <row r="21" spans="2:84" s="37" customFormat="1" ht="14.25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29" t="s">
        <v>25</v>
      </c>
      <c r="O21" s="27" t="s">
        <v>17</v>
      </c>
      <c r="P21" s="30" t="s">
        <v>26</v>
      </c>
      <c r="Q21" s="187" t="s">
        <v>27</v>
      </c>
      <c r="R21" s="190"/>
      <c r="S21" s="31" t="s">
        <v>25</v>
      </c>
      <c r="T21" s="27" t="s">
        <v>17</v>
      </c>
      <c r="U21" s="32" t="s">
        <v>26</v>
      </c>
      <c r="V21" s="187" t="s">
        <v>27</v>
      </c>
      <c r="W21" s="191"/>
      <c r="X21" s="29" t="s">
        <v>25</v>
      </c>
      <c r="Y21" s="27" t="s">
        <v>17</v>
      </c>
      <c r="Z21" s="30" t="s">
        <v>26</v>
      </c>
      <c r="AA21" s="187" t="s">
        <v>27</v>
      </c>
      <c r="AB21" s="190"/>
      <c r="AC21" s="31" t="s">
        <v>25</v>
      </c>
      <c r="AD21" s="27" t="s">
        <v>17</v>
      </c>
      <c r="AE21" s="32" t="s">
        <v>26</v>
      </c>
      <c r="AF21" s="187" t="s">
        <v>27</v>
      </c>
      <c r="AG21" s="191"/>
      <c r="AH21" s="33" t="s">
        <v>25</v>
      </c>
      <c r="AI21" s="27" t="s">
        <v>17</v>
      </c>
      <c r="AJ21" s="32" t="s">
        <v>26</v>
      </c>
      <c r="AK21" s="187" t="s">
        <v>27</v>
      </c>
      <c r="AL21" s="191"/>
      <c r="AM21" s="33" t="s">
        <v>25</v>
      </c>
      <c r="AN21" s="27" t="s">
        <v>17</v>
      </c>
      <c r="AO21" s="32" t="s">
        <v>26</v>
      </c>
      <c r="AP21" s="187" t="s">
        <v>27</v>
      </c>
      <c r="AQ21" s="191"/>
      <c r="AR21" s="33" t="s">
        <v>25</v>
      </c>
      <c r="AS21" s="27" t="s">
        <v>17</v>
      </c>
      <c r="AT21" s="32" t="s">
        <v>26</v>
      </c>
      <c r="AU21" s="187" t="s">
        <v>27</v>
      </c>
      <c r="AV21" s="191"/>
      <c r="AW21" s="33" t="s">
        <v>25</v>
      </c>
      <c r="AX21" s="27" t="s">
        <v>17</v>
      </c>
      <c r="AY21" s="32" t="s">
        <v>26</v>
      </c>
      <c r="AZ21" s="187" t="s">
        <v>27</v>
      </c>
      <c r="BA21" s="191"/>
      <c r="BB21" s="34" t="s">
        <v>25</v>
      </c>
      <c r="BC21" s="35" t="s">
        <v>17</v>
      </c>
      <c r="BD21" s="36" t="s">
        <v>26</v>
      </c>
      <c r="BE21" s="204" t="s">
        <v>27</v>
      </c>
      <c r="BF21" s="205"/>
      <c r="BG21" s="37" t="s">
        <v>28</v>
      </c>
      <c r="BH21" s="37" t="s">
        <v>0</v>
      </c>
      <c r="BI21" s="37" t="s">
        <v>29</v>
      </c>
      <c r="BJ21" s="37" t="s">
        <v>30</v>
      </c>
      <c r="BK21" s="111" t="s">
        <v>1</v>
      </c>
      <c r="BL21" s="200"/>
      <c r="BM21" s="200"/>
      <c r="BN21" s="200"/>
      <c r="BO21" s="200"/>
      <c r="BP21" s="200"/>
      <c r="BQ21" s="200"/>
      <c r="BR21" s="200"/>
      <c r="BS21" s="200"/>
      <c r="BT21" s="200"/>
      <c r="BU21" s="203"/>
      <c r="BV21" s="275"/>
      <c r="BW21" s="104" t="s">
        <v>31</v>
      </c>
      <c r="BX21" s="186" t="s">
        <v>32</v>
      </c>
      <c r="BY21" s="186"/>
      <c r="BZ21" s="186"/>
      <c r="CA21" s="186" t="s">
        <v>33</v>
      </c>
      <c r="CB21" s="186"/>
      <c r="CC21" s="186"/>
      <c r="CE21" s="281" t="s">
        <v>34</v>
      </c>
      <c r="CF21" s="282"/>
    </row>
    <row r="22" spans="2:84" s="1" customFormat="1" ht="62.1" customHeight="1" x14ac:dyDescent="0.25">
      <c r="B22" s="38">
        <v>1</v>
      </c>
      <c r="C22" s="210"/>
      <c r="D22" s="210"/>
      <c r="E22" s="210"/>
      <c r="F22" s="210"/>
      <c r="G22" s="39"/>
      <c r="H22" s="40"/>
      <c r="I22" s="41"/>
      <c r="J22" s="42" t="str">
        <f>IF($G22="","",$G22*I22)</f>
        <v/>
      </c>
      <c r="K22" s="90"/>
      <c r="L22" s="206" t="str">
        <f>IF($I22="","No Quote",IF($K22="","","No Comply"))</f>
        <v>No Quote</v>
      </c>
      <c r="M22" s="207"/>
      <c r="N22" s="41"/>
      <c r="O22" s="42" t="str">
        <f>IF($G22="","",$G22*N22)</f>
        <v/>
      </c>
      <c r="P22" s="90"/>
      <c r="Q22" s="206" t="str">
        <f>IF($N22="","No Quote",IF($P22="","","NoComply"))</f>
        <v>No Quote</v>
      </c>
      <c r="R22" s="207"/>
      <c r="S22" s="41"/>
      <c r="T22" s="42" t="str">
        <f>IF($G22="","",$G22*S22)</f>
        <v/>
      </c>
      <c r="U22" s="89"/>
      <c r="V22" s="206" t="str">
        <f>IF($S22="","No Quote",IF($U22="","","No Comply"))</f>
        <v>No Quote</v>
      </c>
      <c r="W22" s="207"/>
      <c r="X22" s="41"/>
      <c r="Y22" s="42" t="str">
        <f>IF($G22="","",$G22*X22)</f>
        <v/>
      </c>
      <c r="Z22" s="90"/>
      <c r="AA22" s="206" t="str">
        <f>IF($X22="","No Quote",IF($Z22="","","No Comply"))</f>
        <v>No Quote</v>
      </c>
      <c r="AB22" s="207"/>
      <c r="AC22" s="41"/>
      <c r="AD22" s="42" t="str">
        <f>IF($G22="","",$G22*AC22)</f>
        <v/>
      </c>
      <c r="AE22" s="89"/>
      <c r="AF22" s="206" t="str">
        <f>IF($AC22="","No Quote",IF($AE22="","","No Comply"))</f>
        <v>No Quote</v>
      </c>
      <c r="AG22" s="207"/>
      <c r="AH22" s="41"/>
      <c r="AI22" s="42" t="str">
        <f>IF($G22="","",$G22*AH22)</f>
        <v/>
      </c>
      <c r="AJ22" s="89"/>
      <c r="AK22" s="206" t="str">
        <f>IF($AH22="","No Quote",IF(AJ22="","","No Comply"))</f>
        <v>No Quote</v>
      </c>
      <c r="AL22" s="207"/>
      <c r="AM22" s="41"/>
      <c r="AN22" s="42" t="str">
        <f>IF($G22="","",$G22*AM22)</f>
        <v/>
      </c>
      <c r="AO22" s="89"/>
      <c r="AP22" s="206" t="str">
        <f>IF($AM22="","No Quote",IF($AO22="","","No Comply"))</f>
        <v>No Quote</v>
      </c>
      <c r="AQ22" s="207"/>
      <c r="AR22" s="41"/>
      <c r="AS22" s="42" t="str">
        <f>IF($G22="","",$G22*AR22)</f>
        <v/>
      </c>
      <c r="AT22" s="89"/>
      <c r="AU22" s="206" t="str">
        <f>IF($AR22="","No Quote",IF($AT22="","","No Comply"))</f>
        <v>No Quote</v>
      </c>
      <c r="AV22" s="207"/>
      <c r="AW22" s="41"/>
      <c r="AX22" s="42" t="str">
        <f>IF($G22="","",$G22*AW22)</f>
        <v/>
      </c>
      <c r="AY22" s="43"/>
      <c r="AZ22" s="206" t="str">
        <f>IF($AW22="","No Quote",IF($AY22="","","No Comply"))</f>
        <v>No Quote</v>
      </c>
      <c r="BA22" s="207"/>
      <c r="BB22" s="41"/>
      <c r="BC22" s="42" t="str">
        <f>IF($G22="","",$G22*BB22)</f>
        <v/>
      </c>
      <c r="BD22" s="43"/>
      <c r="BE22" s="208" t="str">
        <f>IF($BB22="","No Quote",IF($BD22="","","No Comply"))</f>
        <v>No Quote</v>
      </c>
      <c r="BF22" s="209"/>
      <c r="BG22" s="87"/>
      <c r="BH22" s="93"/>
      <c r="BI22" s="63" t="str">
        <f>IF(BG22="","",BG22*G22)</f>
        <v/>
      </c>
      <c r="BJ22" s="92"/>
      <c r="BK22" s="92" t="str">
        <f>IFERROR(IF(#REF!="","",#REF!),"")</f>
        <v/>
      </c>
      <c r="BL22" s="77" t="str">
        <f t="shared" ref="BL22:BL50" si="7">IF(OR(K22="X",J22=""),"-",J22)</f>
        <v>-</v>
      </c>
      <c r="BM22" s="77" t="str">
        <f t="shared" ref="BM22:BM50" si="8">IF(OR(P22="X",O22=""),"-",O22)</f>
        <v>-</v>
      </c>
      <c r="BN22" s="77" t="str">
        <f t="shared" ref="BN22:BN50" si="9">IF(OR(U22="X",T22=""),"-",T22)</f>
        <v>-</v>
      </c>
      <c r="BO22" s="77" t="str">
        <f t="shared" ref="BO22:BO50" si="10">IF(OR(Z22="X",Y22=""),"-",Y22)</f>
        <v>-</v>
      </c>
      <c r="BP22" s="77" t="str">
        <f t="shared" ref="BP22:BP50" si="11">IF(OR(AE22="X",AD22=""),"-",AD22)</f>
        <v>-</v>
      </c>
      <c r="BQ22" s="77" t="str">
        <f t="shared" ref="BQ22:BQ50" si="12">IF(OR(AO22="X",AN22=""),"-",AN22)</f>
        <v>-</v>
      </c>
      <c r="BR22" s="77" t="str">
        <f t="shared" ref="BR22:BR50" si="13">IF(OR(AT22="X",AS22=""),"-",AS22)</f>
        <v>-</v>
      </c>
      <c r="BS22" s="77" t="str">
        <f t="shared" ref="BS22:BS50" si="14">IF(OR(AY22="X",AX22=""),"-",AX22)</f>
        <v>-</v>
      </c>
      <c r="BT22" s="77" t="str">
        <f t="shared" ref="BT22:BT50" si="15">IF(OR(BD22="X",BC22=""),"-",BC22)</f>
        <v>-</v>
      </c>
      <c r="BU22" s="78" t="str">
        <f>IFERROR(SMALL($BL22:$BT22,COUNTIF($BL22:$BT22,0)+1),"")</f>
        <v/>
      </c>
      <c r="BV22" s="105" t="str">
        <f t="shared" ref="BV22:BV50" si="16">IFERROR(IF(OR(BU22&gt;BI22,BI22&gt;BU22),(BU22-BI22)/BI22,(BI22-BU22)/BI22),"-")</f>
        <v>-</v>
      </c>
      <c r="BW22" s="74" t="str">
        <f>IF(BU22=BL22,$BL$19,IF(BU22=BM22,$BM$19,IF(BU22=BN22,$BN$19,IF(BU22=BO22,$BO$19,IF(BU22=BP22,$BP$19,IF(BU22=BQ22,$BQ$19,IF(BU22=BR22,$BR$19,IF(BU22=BS22,$BS$19,IF(BU22=BT22,$BT$19,"")))))))))</f>
        <v/>
      </c>
      <c r="BX22" s="72" t="str">
        <f>IFERROR(SMALL($BL22:$BT22,2),"")</f>
        <v/>
      </c>
      <c r="BY22" s="71" t="str">
        <f>IFERROR(IF(($BX22-$BU22)/$BU22&lt;0%,"",($BX22-$BU22)/$BU22),"")</f>
        <v/>
      </c>
      <c r="BZ22" s="74" t="str">
        <f>IFERROR(IF(BX22="","",IF(BX22=BL22,$BL$19,IF(BX22=BM22,$BM$19,IF(BX22=BN22,$BN$19,IF(BX22=BO22,$BO$19,IF(BX22=BP22,$BP$19,IF(BX22=BQ22,$BQ$19,IF(BX22=BR22,$BR$19,IF(BX22=BS22,$BS$19,IF(BX22=BT22,$BT$19,"")))))))))),"")</f>
        <v/>
      </c>
      <c r="CA22" s="72" t="str">
        <f>IFERROR(SMALL($BL22:$BT22,3),"")</f>
        <v/>
      </c>
      <c r="CB22" s="71" t="str">
        <f>IFERROR(IF((CA22-$BU22)/$BU22&lt;0%,"",(CA22-$BU22)/$BU22),"")</f>
        <v/>
      </c>
      <c r="CC22" s="74" t="str">
        <f t="shared" ref="CC22:CC50" si="17">IFERROR(IF(CA22="","",IF(BL22=CA22,$BL$19,IF(BM22=CA22,$BM$19,IF(BN22=CA22,$BN$19,IF(BO22=CA22,$BO$19,IF(BP22=CA22,$BP$19,IF(BQ22=CA22,$BQ$19,IF(BR22=CA22,$BR$19,IF(BS22=CA22,$BS$19,IF(BT22=CA22,$BT$19)))))))))),"")</f>
        <v/>
      </c>
      <c r="CE22" s="99">
        <f>SUMIFS($BU$22:$BU$50,$BW$22:$BW$50,CF22)</f>
        <v>0</v>
      </c>
      <c r="CF22" s="100" t="str" cm="1">
        <f t="array" ref="CF22">IFERROR(INDEX(_xlfn.UNIQUE(_xlfn._xlws.FILTER($BW$22:$BW$50,($BW$22:$BW$50&lt;&gt;"")*($BW$22:$BW$50&lt;&gt;"-"))),ROWS($CF22:CF$22)),"")</f>
        <v/>
      </c>
    </row>
    <row r="23" spans="2:84" s="1" customFormat="1" ht="62.1" customHeight="1" x14ac:dyDescent="0.25">
      <c r="B23" s="38">
        <f>B22+1</f>
        <v>2</v>
      </c>
      <c r="C23" s="210"/>
      <c r="D23" s="210"/>
      <c r="E23" s="210"/>
      <c r="F23" s="210"/>
      <c r="G23" s="39"/>
      <c r="H23" s="40"/>
      <c r="I23" s="41"/>
      <c r="J23" s="42" t="str">
        <f t="shared" ref="J23:J50" si="18">IF($G23="","",$G23*I23)</f>
        <v/>
      </c>
      <c r="K23" s="90"/>
      <c r="L23" s="206" t="str">
        <f t="shared" ref="L23:L50" si="19">IF($I23="","No Quote",IF($K23="","","No Comply"))</f>
        <v>No Quote</v>
      </c>
      <c r="M23" s="207"/>
      <c r="N23" s="41"/>
      <c r="O23" s="42" t="str">
        <f t="shared" ref="O23:O50" si="20">IF($G23="","",$G23*N23)</f>
        <v/>
      </c>
      <c r="P23" s="90"/>
      <c r="Q23" s="206" t="str">
        <f t="shared" ref="Q23:Q50" si="21">IF($N23="","No Quote",IF($P23="","","NoComply"))</f>
        <v>No Quote</v>
      </c>
      <c r="R23" s="207"/>
      <c r="S23" s="41"/>
      <c r="T23" s="42" t="str">
        <f t="shared" ref="T23:T50" si="22">IF($G23="","",$G23*S23)</f>
        <v/>
      </c>
      <c r="U23" s="89"/>
      <c r="V23" s="206" t="str">
        <f t="shared" ref="V23:V50" si="23">IF($S23="","No Quote",IF($U23="","","No Comply"))</f>
        <v>No Quote</v>
      </c>
      <c r="W23" s="207"/>
      <c r="X23" s="41"/>
      <c r="Y23" s="42" t="str">
        <f t="shared" ref="Y23:Y50" si="24">IF($G23="","",$G23*X23)</f>
        <v/>
      </c>
      <c r="Z23" s="90"/>
      <c r="AA23" s="206" t="str">
        <f t="shared" ref="AA23:AA50" si="25">IF($X23="","No Quote",IF($Z23="","","No Comply"))</f>
        <v>No Quote</v>
      </c>
      <c r="AB23" s="207"/>
      <c r="AC23" s="41"/>
      <c r="AD23" s="42" t="str">
        <f t="shared" ref="AD23:AD50" si="26">IF($G23="","",$G23*AC23)</f>
        <v/>
      </c>
      <c r="AE23" s="89"/>
      <c r="AF23" s="206" t="str">
        <f t="shared" ref="AF23:AF50" si="27">IF($AC23="","No Quote",IF($AE23="","","No Comply"))</f>
        <v>No Quote</v>
      </c>
      <c r="AG23" s="207"/>
      <c r="AH23" s="41"/>
      <c r="AI23" s="42" t="str">
        <f t="shared" ref="AI23:AI50" si="28">IF($G23="","",$G23*AH23)</f>
        <v/>
      </c>
      <c r="AJ23" s="89"/>
      <c r="AK23" s="206" t="str">
        <f t="shared" ref="AK23:AK50" si="29">IF($AH23="","No Quote",IF(AJ23="","","No Comply"))</f>
        <v>No Quote</v>
      </c>
      <c r="AL23" s="207"/>
      <c r="AM23" s="41"/>
      <c r="AN23" s="42" t="str">
        <f t="shared" ref="AN23:AN50" si="30">IF($G23="","",$G23*AM23)</f>
        <v/>
      </c>
      <c r="AO23" s="89"/>
      <c r="AP23" s="206" t="str">
        <f t="shared" ref="AP23:AP50" si="31">IF($AM23="","No Quote",IF($AO23="","","No Comply"))</f>
        <v>No Quote</v>
      </c>
      <c r="AQ23" s="207"/>
      <c r="AR23" s="41"/>
      <c r="AS23" s="42" t="str">
        <f t="shared" ref="AS23:AS50" si="32">IF($G23="","",$G23*AR23)</f>
        <v/>
      </c>
      <c r="AT23" s="89"/>
      <c r="AU23" s="206" t="str">
        <f t="shared" ref="AU23:AU50" si="33">IF($AR23="","No Quote",IF($AT23="","","No Comply"))</f>
        <v>No Quote</v>
      </c>
      <c r="AV23" s="207"/>
      <c r="AW23" s="41"/>
      <c r="AX23" s="42" t="str">
        <f t="shared" ref="AX23:AX50" si="34">IF($G23="","",$G23*AW23)</f>
        <v/>
      </c>
      <c r="AY23" s="43"/>
      <c r="AZ23" s="206" t="str">
        <f t="shared" ref="AZ23:AZ50" si="35">IF($AW23="","No Quote",IF($AY23="","","No Comply"))</f>
        <v>No Quote</v>
      </c>
      <c r="BA23" s="207"/>
      <c r="BB23" s="41"/>
      <c r="BC23" s="42" t="str">
        <f t="shared" ref="BC23:BC50" si="36">IF($G23="","",$G23*BB23)</f>
        <v/>
      </c>
      <c r="BD23" s="43"/>
      <c r="BE23" s="208" t="str">
        <f t="shared" ref="BE23:BE50" si="37">IF($BB23="","No Quote",IF($BD23="","","No Comply"))</f>
        <v>No Quote</v>
      </c>
      <c r="BF23" s="209"/>
      <c r="BG23" s="87"/>
      <c r="BH23" s="93"/>
      <c r="BI23" s="63" t="str">
        <f t="shared" ref="BI23:BI50" si="38">IF(BG23="","",BG23*G23)</f>
        <v/>
      </c>
      <c r="BJ23" s="92"/>
      <c r="BK23" s="92" t="str">
        <f>IFERROR(IF(#REF!="","",#REF!),"")</f>
        <v/>
      </c>
      <c r="BL23" s="77" t="str">
        <f t="shared" si="7"/>
        <v>-</v>
      </c>
      <c r="BM23" s="77" t="str">
        <f t="shared" si="8"/>
        <v>-</v>
      </c>
      <c r="BN23" s="77" t="str">
        <f t="shared" si="9"/>
        <v>-</v>
      </c>
      <c r="BO23" s="77" t="str">
        <f t="shared" si="10"/>
        <v>-</v>
      </c>
      <c r="BP23" s="77" t="str">
        <f t="shared" si="11"/>
        <v>-</v>
      </c>
      <c r="BQ23" s="77" t="str">
        <f t="shared" si="12"/>
        <v>-</v>
      </c>
      <c r="BR23" s="77" t="str">
        <f t="shared" si="13"/>
        <v>-</v>
      </c>
      <c r="BS23" s="77" t="str">
        <f t="shared" si="14"/>
        <v>-</v>
      </c>
      <c r="BT23" s="77" t="str">
        <f t="shared" si="15"/>
        <v>-</v>
      </c>
      <c r="BU23" s="78" t="str">
        <f t="shared" ref="BU23:BU51" si="39">IFERROR(SMALL($BL23:$BT23,COUNTIF($BL23:$BT23,0)+1),"")</f>
        <v/>
      </c>
      <c r="BV23" s="88" t="str">
        <f t="shared" si="16"/>
        <v>-</v>
      </c>
      <c r="BW23" s="74" t="str">
        <f t="shared" ref="BW23:BW50" si="40">IF(BU23=BL23,$BL$19,IF(BU23=BM23,$BM$19,IF(BU23=BN23,$BN$19,IF(BU23=BO23,$BO$19,IF(BU23=BP23,$BP$19,IF(BU23=BQ23,$BQ$19,IF(BU23=BR23,$BR$19,IF(BU23=BS23,$BS$19,IF(BU23=BT23,$BT$19,"")))))))))</f>
        <v/>
      </c>
      <c r="BX23" s="72" t="str">
        <f t="shared" ref="BX23:BX51" si="41">IFERROR(SMALL($BL23:$BT23,2),"")</f>
        <v/>
      </c>
      <c r="BY23" s="71" t="str">
        <f t="shared" ref="BY23:BY51" si="42">IFERROR(IF(($BX23-$BU23)/$BU23&lt;0%,"",($BX23-$BU23)/$BU23),"")</f>
        <v/>
      </c>
      <c r="BZ23" s="74" t="str">
        <f t="shared" ref="BZ23:BZ50" si="43">IFERROR(IF(BX23="","",IF(BX23=BL23,$BL$19,IF(BX23=BM23,$BM$19,IF(BX23=BN23,$BN$19,IF(BX23=BO23,$BO$19,IF(BX23=BP23,$BP$19,IF(BX23=BQ23,$BQ$19,IF(BX23=BR23,$BR$19,IF(BX23=BS23,$BS$19,IF(BX23=BT23,$BT$19,"")))))))))),"")</f>
        <v/>
      </c>
      <c r="CA23" s="72" t="str">
        <f t="shared" ref="CA23:CA51" si="44">IFERROR(SMALL($BL23:$BT23,3),"")</f>
        <v/>
      </c>
      <c r="CB23" s="71" t="str">
        <f t="shared" ref="CB23:CB50" si="45">IFERROR(IF((CA23-$BU23)/$BU23&lt;0%,"",(CA23-$BU23)/$BU23),"")</f>
        <v/>
      </c>
      <c r="CC23" s="74" t="str">
        <f t="shared" si="17"/>
        <v/>
      </c>
      <c r="CE23" s="99">
        <f t="shared" ref="CE23:CE50" si="46">SUMIFS($BU$22:$BU$50,$BW$22:$BW$50,CF23)</f>
        <v>0</v>
      </c>
      <c r="CF23" s="100" t="str" cm="1">
        <f t="array" ref="CF23">IFERROR(INDEX(_xlfn.UNIQUE(_xlfn._xlws.FILTER($BW$22:$BW$50,($BW$22:$BW$50&lt;&gt;"")*($BW$22:$BW$50&lt;&gt;"-"))),ROWS($CF$22:CF23)),"")</f>
        <v/>
      </c>
    </row>
    <row r="24" spans="2:84" s="1" customFormat="1" ht="62.1" customHeight="1" x14ac:dyDescent="0.25">
      <c r="B24" s="38">
        <f t="shared" ref="B24:B50" si="47">B23+1</f>
        <v>3</v>
      </c>
      <c r="C24" s="210"/>
      <c r="D24" s="210"/>
      <c r="E24" s="210"/>
      <c r="F24" s="210"/>
      <c r="G24" s="39"/>
      <c r="H24" s="40"/>
      <c r="I24" s="41"/>
      <c r="J24" s="42" t="str">
        <f t="shared" si="18"/>
        <v/>
      </c>
      <c r="K24" s="90"/>
      <c r="L24" s="206" t="str">
        <f t="shared" si="19"/>
        <v>No Quote</v>
      </c>
      <c r="M24" s="207"/>
      <c r="N24" s="41"/>
      <c r="O24" s="42" t="str">
        <f t="shared" si="20"/>
        <v/>
      </c>
      <c r="P24" s="90"/>
      <c r="Q24" s="206" t="str">
        <f t="shared" si="21"/>
        <v>No Quote</v>
      </c>
      <c r="R24" s="207"/>
      <c r="S24" s="41"/>
      <c r="T24" s="42" t="str">
        <f t="shared" si="22"/>
        <v/>
      </c>
      <c r="U24" s="89"/>
      <c r="V24" s="206" t="str">
        <f t="shared" si="23"/>
        <v>No Quote</v>
      </c>
      <c r="W24" s="207"/>
      <c r="X24" s="41"/>
      <c r="Y24" s="42" t="str">
        <f t="shared" si="24"/>
        <v/>
      </c>
      <c r="Z24" s="90"/>
      <c r="AA24" s="206" t="str">
        <f t="shared" si="25"/>
        <v>No Quote</v>
      </c>
      <c r="AB24" s="207"/>
      <c r="AC24" s="41"/>
      <c r="AD24" s="42" t="str">
        <f t="shared" si="26"/>
        <v/>
      </c>
      <c r="AE24" s="89"/>
      <c r="AF24" s="206" t="str">
        <f t="shared" si="27"/>
        <v>No Quote</v>
      </c>
      <c r="AG24" s="207"/>
      <c r="AH24" s="41"/>
      <c r="AI24" s="42" t="str">
        <f t="shared" si="28"/>
        <v/>
      </c>
      <c r="AJ24" s="89"/>
      <c r="AK24" s="206" t="str">
        <f t="shared" si="29"/>
        <v>No Quote</v>
      </c>
      <c r="AL24" s="207"/>
      <c r="AM24" s="41"/>
      <c r="AN24" s="42" t="str">
        <f t="shared" si="30"/>
        <v/>
      </c>
      <c r="AO24" s="89"/>
      <c r="AP24" s="206" t="str">
        <f t="shared" si="31"/>
        <v>No Quote</v>
      </c>
      <c r="AQ24" s="207"/>
      <c r="AR24" s="41"/>
      <c r="AS24" s="42" t="str">
        <f t="shared" si="32"/>
        <v/>
      </c>
      <c r="AT24" s="89"/>
      <c r="AU24" s="206" t="str">
        <f t="shared" si="33"/>
        <v>No Quote</v>
      </c>
      <c r="AV24" s="207"/>
      <c r="AW24" s="41"/>
      <c r="AX24" s="42" t="str">
        <f t="shared" si="34"/>
        <v/>
      </c>
      <c r="AY24" s="43"/>
      <c r="AZ24" s="206" t="str">
        <f t="shared" si="35"/>
        <v>No Quote</v>
      </c>
      <c r="BA24" s="207"/>
      <c r="BB24" s="41"/>
      <c r="BC24" s="42" t="str">
        <f t="shared" si="36"/>
        <v/>
      </c>
      <c r="BD24" s="43"/>
      <c r="BE24" s="208" t="str">
        <f t="shared" si="37"/>
        <v>No Quote</v>
      </c>
      <c r="BF24" s="209"/>
      <c r="BG24" s="87"/>
      <c r="BH24" s="93"/>
      <c r="BI24" s="63" t="str">
        <f t="shared" si="38"/>
        <v/>
      </c>
      <c r="BJ24" s="92"/>
      <c r="BK24" s="92" t="str">
        <f>IFERROR(IF(#REF!="","",#REF!),"")</f>
        <v/>
      </c>
      <c r="BL24" s="77" t="str">
        <f t="shared" si="7"/>
        <v>-</v>
      </c>
      <c r="BM24" s="77" t="str">
        <f t="shared" si="8"/>
        <v>-</v>
      </c>
      <c r="BN24" s="77" t="str">
        <f t="shared" si="9"/>
        <v>-</v>
      </c>
      <c r="BO24" s="77" t="str">
        <f t="shared" si="10"/>
        <v>-</v>
      </c>
      <c r="BP24" s="77" t="str">
        <f t="shared" si="11"/>
        <v>-</v>
      </c>
      <c r="BQ24" s="77" t="str">
        <f t="shared" si="12"/>
        <v>-</v>
      </c>
      <c r="BR24" s="77" t="str">
        <f t="shared" si="13"/>
        <v>-</v>
      </c>
      <c r="BS24" s="77" t="str">
        <f t="shared" si="14"/>
        <v>-</v>
      </c>
      <c r="BT24" s="77" t="str">
        <f t="shared" si="15"/>
        <v>-</v>
      </c>
      <c r="BU24" s="78" t="str">
        <f t="shared" si="39"/>
        <v/>
      </c>
      <c r="BV24" s="88" t="str">
        <f t="shared" si="16"/>
        <v>-</v>
      </c>
      <c r="BW24" s="74" t="str">
        <f t="shared" si="40"/>
        <v/>
      </c>
      <c r="BX24" s="72" t="str">
        <f t="shared" si="41"/>
        <v/>
      </c>
      <c r="BY24" s="71" t="str">
        <f t="shared" si="42"/>
        <v/>
      </c>
      <c r="BZ24" s="74" t="str">
        <f t="shared" si="43"/>
        <v/>
      </c>
      <c r="CA24" s="72" t="str">
        <f t="shared" si="44"/>
        <v/>
      </c>
      <c r="CB24" s="71" t="str">
        <f t="shared" si="45"/>
        <v/>
      </c>
      <c r="CC24" s="74" t="str">
        <f t="shared" si="17"/>
        <v/>
      </c>
      <c r="CE24" s="99">
        <f t="shared" si="46"/>
        <v>0</v>
      </c>
      <c r="CF24" s="100" t="str" cm="1">
        <f t="array" ref="CF24">IFERROR(INDEX(_xlfn.UNIQUE(_xlfn._xlws.FILTER($BW$22:$BW$50,($BW$22:$BW$50&lt;&gt;"")*($BW$22:$BW$50&lt;&gt;"-"))),ROWS($CF$22:CF24)),"")</f>
        <v/>
      </c>
    </row>
    <row r="25" spans="2:84" s="1" customFormat="1" ht="62.1" customHeight="1" x14ac:dyDescent="0.25">
      <c r="B25" s="38">
        <f t="shared" si="47"/>
        <v>4</v>
      </c>
      <c r="C25" s="210"/>
      <c r="D25" s="210"/>
      <c r="E25" s="210"/>
      <c r="F25" s="210"/>
      <c r="G25" s="39"/>
      <c r="H25" s="40"/>
      <c r="I25" s="41"/>
      <c r="J25" s="42" t="str">
        <f t="shared" si="18"/>
        <v/>
      </c>
      <c r="K25" s="90"/>
      <c r="L25" s="206" t="str">
        <f t="shared" si="19"/>
        <v>No Quote</v>
      </c>
      <c r="M25" s="207"/>
      <c r="N25" s="41"/>
      <c r="O25" s="42" t="str">
        <f t="shared" si="20"/>
        <v/>
      </c>
      <c r="P25" s="90"/>
      <c r="Q25" s="206" t="str">
        <f t="shared" si="21"/>
        <v>No Quote</v>
      </c>
      <c r="R25" s="207"/>
      <c r="S25" s="41"/>
      <c r="T25" s="42" t="str">
        <f t="shared" si="22"/>
        <v/>
      </c>
      <c r="U25" s="89"/>
      <c r="V25" s="206" t="str">
        <f t="shared" si="23"/>
        <v>No Quote</v>
      </c>
      <c r="W25" s="207"/>
      <c r="X25" s="41"/>
      <c r="Y25" s="42" t="str">
        <f t="shared" si="24"/>
        <v/>
      </c>
      <c r="Z25" s="90"/>
      <c r="AA25" s="206" t="str">
        <f t="shared" si="25"/>
        <v>No Quote</v>
      </c>
      <c r="AB25" s="207"/>
      <c r="AC25" s="41"/>
      <c r="AD25" s="42" t="str">
        <f t="shared" si="26"/>
        <v/>
      </c>
      <c r="AE25" s="89"/>
      <c r="AF25" s="206" t="str">
        <f t="shared" si="27"/>
        <v>No Quote</v>
      </c>
      <c r="AG25" s="207"/>
      <c r="AH25" s="41"/>
      <c r="AI25" s="42" t="str">
        <f t="shared" si="28"/>
        <v/>
      </c>
      <c r="AJ25" s="89"/>
      <c r="AK25" s="206" t="str">
        <f t="shared" si="29"/>
        <v>No Quote</v>
      </c>
      <c r="AL25" s="207"/>
      <c r="AM25" s="41"/>
      <c r="AN25" s="42" t="str">
        <f t="shared" si="30"/>
        <v/>
      </c>
      <c r="AO25" s="89"/>
      <c r="AP25" s="206" t="str">
        <f t="shared" si="31"/>
        <v>No Quote</v>
      </c>
      <c r="AQ25" s="207"/>
      <c r="AR25" s="41"/>
      <c r="AS25" s="42" t="str">
        <f t="shared" si="32"/>
        <v/>
      </c>
      <c r="AT25" s="89"/>
      <c r="AU25" s="206" t="str">
        <f t="shared" si="33"/>
        <v>No Quote</v>
      </c>
      <c r="AV25" s="207"/>
      <c r="AW25" s="41"/>
      <c r="AX25" s="42" t="str">
        <f t="shared" si="34"/>
        <v/>
      </c>
      <c r="AY25" s="43"/>
      <c r="AZ25" s="206" t="str">
        <f t="shared" si="35"/>
        <v>No Quote</v>
      </c>
      <c r="BA25" s="207"/>
      <c r="BB25" s="41"/>
      <c r="BC25" s="42" t="str">
        <f t="shared" si="36"/>
        <v/>
      </c>
      <c r="BD25" s="43"/>
      <c r="BE25" s="208" t="str">
        <f t="shared" si="37"/>
        <v>No Quote</v>
      </c>
      <c r="BF25" s="209"/>
      <c r="BG25" s="87"/>
      <c r="BH25" s="93"/>
      <c r="BI25" s="63" t="str">
        <f t="shared" si="38"/>
        <v/>
      </c>
      <c r="BJ25" s="92"/>
      <c r="BK25" s="92" t="str">
        <f>IFERROR(IF(#REF!="","",#REF!),"")</f>
        <v/>
      </c>
      <c r="BL25" s="77" t="str">
        <f t="shared" si="7"/>
        <v>-</v>
      </c>
      <c r="BM25" s="77" t="str">
        <f t="shared" si="8"/>
        <v>-</v>
      </c>
      <c r="BN25" s="77" t="str">
        <f t="shared" si="9"/>
        <v>-</v>
      </c>
      <c r="BO25" s="77" t="str">
        <f t="shared" si="10"/>
        <v>-</v>
      </c>
      <c r="BP25" s="77" t="str">
        <f t="shared" si="11"/>
        <v>-</v>
      </c>
      <c r="BQ25" s="77" t="str">
        <f t="shared" si="12"/>
        <v>-</v>
      </c>
      <c r="BR25" s="77" t="str">
        <f t="shared" si="13"/>
        <v>-</v>
      </c>
      <c r="BS25" s="77" t="str">
        <f t="shared" si="14"/>
        <v>-</v>
      </c>
      <c r="BT25" s="77" t="str">
        <f t="shared" si="15"/>
        <v>-</v>
      </c>
      <c r="BU25" s="78" t="str">
        <f t="shared" si="39"/>
        <v/>
      </c>
      <c r="BV25" s="88" t="str">
        <f t="shared" si="16"/>
        <v>-</v>
      </c>
      <c r="BW25" s="74" t="str">
        <f t="shared" si="40"/>
        <v/>
      </c>
      <c r="BX25" s="72" t="str">
        <f t="shared" si="41"/>
        <v/>
      </c>
      <c r="BY25" s="71" t="str">
        <f t="shared" si="42"/>
        <v/>
      </c>
      <c r="BZ25" s="74" t="str">
        <f t="shared" si="43"/>
        <v/>
      </c>
      <c r="CA25" s="72" t="str">
        <f t="shared" si="44"/>
        <v/>
      </c>
      <c r="CB25" s="71" t="str">
        <f t="shared" si="45"/>
        <v/>
      </c>
      <c r="CC25" s="74" t="str">
        <f t="shared" si="17"/>
        <v/>
      </c>
      <c r="CE25" s="99">
        <f t="shared" si="46"/>
        <v>0</v>
      </c>
      <c r="CF25" s="100" t="str" cm="1">
        <f t="array" ref="CF25">IFERROR(INDEX(_xlfn.UNIQUE(_xlfn._xlws.FILTER($BW$22:$BW$50,($BW$22:$BW$50&lt;&gt;"")*($BW$22:$BW$50&lt;&gt;"-"))),ROWS($CF$22:CF25)),"")</f>
        <v/>
      </c>
    </row>
    <row r="26" spans="2:84" s="1" customFormat="1" ht="62.1" customHeight="1" x14ac:dyDescent="0.25">
      <c r="B26" s="38">
        <f t="shared" si="47"/>
        <v>5</v>
      </c>
      <c r="C26" s="210"/>
      <c r="D26" s="210"/>
      <c r="E26" s="210"/>
      <c r="F26" s="210"/>
      <c r="G26" s="39"/>
      <c r="H26" s="40"/>
      <c r="I26" s="41"/>
      <c r="J26" s="42" t="str">
        <f t="shared" si="18"/>
        <v/>
      </c>
      <c r="K26" s="90"/>
      <c r="L26" s="206" t="str">
        <f t="shared" si="19"/>
        <v>No Quote</v>
      </c>
      <c r="M26" s="207"/>
      <c r="N26" s="41"/>
      <c r="O26" s="42" t="str">
        <f t="shared" si="20"/>
        <v/>
      </c>
      <c r="P26" s="90"/>
      <c r="Q26" s="206" t="str">
        <f t="shared" si="21"/>
        <v>No Quote</v>
      </c>
      <c r="R26" s="207"/>
      <c r="S26" s="41"/>
      <c r="T26" s="42" t="str">
        <f t="shared" si="22"/>
        <v/>
      </c>
      <c r="U26" s="89"/>
      <c r="V26" s="206" t="str">
        <f t="shared" si="23"/>
        <v>No Quote</v>
      </c>
      <c r="W26" s="207"/>
      <c r="X26" s="41"/>
      <c r="Y26" s="42" t="str">
        <f t="shared" si="24"/>
        <v/>
      </c>
      <c r="Z26" s="90"/>
      <c r="AA26" s="206" t="str">
        <f t="shared" si="25"/>
        <v>No Quote</v>
      </c>
      <c r="AB26" s="207"/>
      <c r="AC26" s="41"/>
      <c r="AD26" s="42" t="str">
        <f t="shared" si="26"/>
        <v/>
      </c>
      <c r="AE26" s="89"/>
      <c r="AF26" s="206" t="str">
        <f t="shared" si="27"/>
        <v>No Quote</v>
      </c>
      <c r="AG26" s="207"/>
      <c r="AH26" s="41"/>
      <c r="AI26" s="42" t="str">
        <f t="shared" si="28"/>
        <v/>
      </c>
      <c r="AJ26" s="89"/>
      <c r="AK26" s="206" t="str">
        <f t="shared" si="29"/>
        <v>No Quote</v>
      </c>
      <c r="AL26" s="207"/>
      <c r="AM26" s="41"/>
      <c r="AN26" s="42" t="str">
        <f t="shared" si="30"/>
        <v/>
      </c>
      <c r="AO26" s="89"/>
      <c r="AP26" s="206" t="str">
        <f t="shared" si="31"/>
        <v>No Quote</v>
      </c>
      <c r="AQ26" s="207"/>
      <c r="AR26" s="41"/>
      <c r="AS26" s="42" t="str">
        <f t="shared" si="32"/>
        <v/>
      </c>
      <c r="AT26" s="89"/>
      <c r="AU26" s="206" t="str">
        <f t="shared" si="33"/>
        <v>No Quote</v>
      </c>
      <c r="AV26" s="207"/>
      <c r="AW26" s="41"/>
      <c r="AX26" s="42" t="str">
        <f t="shared" si="34"/>
        <v/>
      </c>
      <c r="AY26" s="43"/>
      <c r="AZ26" s="206" t="str">
        <f t="shared" si="35"/>
        <v>No Quote</v>
      </c>
      <c r="BA26" s="207"/>
      <c r="BB26" s="41"/>
      <c r="BC26" s="42" t="str">
        <f t="shared" si="36"/>
        <v/>
      </c>
      <c r="BD26" s="43"/>
      <c r="BE26" s="208" t="str">
        <f t="shared" si="37"/>
        <v>No Quote</v>
      </c>
      <c r="BF26" s="209"/>
      <c r="BG26" s="87"/>
      <c r="BH26" s="93"/>
      <c r="BI26" s="63" t="str">
        <f t="shared" si="38"/>
        <v/>
      </c>
      <c r="BJ26" s="92"/>
      <c r="BK26" s="92" t="str">
        <f>IFERROR(IF(#REF!="","",#REF!),"")</f>
        <v/>
      </c>
      <c r="BL26" s="77" t="str">
        <f t="shared" si="7"/>
        <v>-</v>
      </c>
      <c r="BM26" s="77" t="str">
        <f t="shared" si="8"/>
        <v>-</v>
      </c>
      <c r="BN26" s="77" t="str">
        <f t="shared" si="9"/>
        <v>-</v>
      </c>
      <c r="BO26" s="77" t="str">
        <f t="shared" si="10"/>
        <v>-</v>
      </c>
      <c r="BP26" s="77" t="str">
        <f t="shared" si="11"/>
        <v>-</v>
      </c>
      <c r="BQ26" s="77" t="str">
        <f t="shared" si="12"/>
        <v>-</v>
      </c>
      <c r="BR26" s="77" t="str">
        <f t="shared" si="13"/>
        <v>-</v>
      </c>
      <c r="BS26" s="77" t="str">
        <f t="shared" si="14"/>
        <v>-</v>
      </c>
      <c r="BT26" s="77" t="str">
        <f t="shared" si="15"/>
        <v>-</v>
      </c>
      <c r="BU26" s="78" t="str">
        <f t="shared" si="39"/>
        <v/>
      </c>
      <c r="BV26" s="88" t="str">
        <f t="shared" si="16"/>
        <v>-</v>
      </c>
      <c r="BW26" s="74" t="str">
        <f t="shared" si="40"/>
        <v/>
      </c>
      <c r="BX26" s="72" t="str">
        <f t="shared" si="41"/>
        <v/>
      </c>
      <c r="BY26" s="71" t="str">
        <f t="shared" si="42"/>
        <v/>
      </c>
      <c r="BZ26" s="74" t="str">
        <f t="shared" si="43"/>
        <v/>
      </c>
      <c r="CA26" s="72" t="str">
        <f t="shared" si="44"/>
        <v/>
      </c>
      <c r="CB26" s="71" t="str">
        <f t="shared" si="45"/>
        <v/>
      </c>
      <c r="CC26" s="74" t="str">
        <f t="shared" si="17"/>
        <v/>
      </c>
      <c r="CE26" s="99">
        <f t="shared" si="46"/>
        <v>0</v>
      </c>
      <c r="CF26" s="100" t="str" cm="1">
        <f t="array" ref="CF26">IFERROR(INDEX(_xlfn.UNIQUE(_xlfn._xlws.FILTER($BW$22:$BW$50,($BW$22:$BW$50&lt;&gt;"")*($BW$22:$BW$50&lt;&gt;"-"))),ROWS($CF$22:CF26)),"")</f>
        <v/>
      </c>
    </row>
    <row r="27" spans="2:84" s="1" customFormat="1" ht="62.1" customHeight="1" outlineLevel="1" x14ac:dyDescent="0.25">
      <c r="B27" s="38">
        <f t="shared" si="47"/>
        <v>6</v>
      </c>
      <c r="C27" s="210"/>
      <c r="D27" s="210"/>
      <c r="E27" s="210"/>
      <c r="F27" s="210"/>
      <c r="G27" s="39"/>
      <c r="H27" s="40"/>
      <c r="I27" s="41"/>
      <c r="J27" s="42" t="str">
        <f t="shared" si="18"/>
        <v/>
      </c>
      <c r="K27" s="90"/>
      <c r="L27" s="206" t="str">
        <f t="shared" si="19"/>
        <v>No Quote</v>
      </c>
      <c r="M27" s="207"/>
      <c r="N27" s="41"/>
      <c r="O27" s="42" t="str">
        <f t="shared" si="20"/>
        <v/>
      </c>
      <c r="P27" s="90"/>
      <c r="Q27" s="206" t="str">
        <f t="shared" si="21"/>
        <v>No Quote</v>
      </c>
      <c r="R27" s="207"/>
      <c r="S27" s="41"/>
      <c r="T27" s="42" t="str">
        <f t="shared" si="22"/>
        <v/>
      </c>
      <c r="U27" s="89"/>
      <c r="V27" s="206" t="str">
        <f t="shared" si="23"/>
        <v>No Quote</v>
      </c>
      <c r="W27" s="207"/>
      <c r="X27" s="41"/>
      <c r="Y27" s="42" t="str">
        <f t="shared" si="24"/>
        <v/>
      </c>
      <c r="Z27" s="90"/>
      <c r="AA27" s="206" t="str">
        <f t="shared" si="25"/>
        <v>No Quote</v>
      </c>
      <c r="AB27" s="207"/>
      <c r="AC27" s="41"/>
      <c r="AD27" s="42" t="str">
        <f t="shared" si="26"/>
        <v/>
      </c>
      <c r="AE27" s="89"/>
      <c r="AF27" s="206" t="str">
        <f t="shared" si="27"/>
        <v>No Quote</v>
      </c>
      <c r="AG27" s="207"/>
      <c r="AH27" s="41"/>
      <c r="AI27" s="42" t="str">
        <f t="shared" si="28"/>
        <v/>
      </c>
      <c r="AJ27" s="89"/>
      <c r="AK27" s="206" t="str">
        <f t="shared" si="29"/>
        <v>No Quote</v>
      </c>
      <c r="AL27" s="207"/>
      <c r="AM27" s="41"/>
      <c r="AN27" s="42" t="str">
        <f t="shared" si="30"/>
        <v/>
      </c>
      <c r="AO27" s="89"/>
      <c r="AP27" s="206" t="str">
        <f t="shared" si="31"/>
        <v>No Quote</v>
      </c>
      <c r="AQ27" s="207"/>
      <c r="AR27" s="41"/>
      <c r="AS27" s="42" t="str">
        <f t="shared" si="32"/>
        <v/>
      </c>
      <c r="AT27" s="89"/>
      <c r="AU27" s="206" t="str">
        <f t="shared" si="33"/>
        <v>No Quote</v>
      </c>
      <c r="AV27" s="207"/>
      <c r="AW27" s="41"/>
      <c r="AX27" s="42" t="str">
        <f t="shared" si="34"/>
        <v/>
      </c>
      <c r="AY27" s="43"/>
      <c r="AZ27" s="206" t="str">
        <f t="shared" si="35"/>
        <v>No Quote</v>
      </c>
      <c r="BA27" s="207"/>
      <c r="BB27" s="41"/>
      <c r="BC27" s="42" t="str">
        <f t="shared" si="36"/>
        <v/>
      </c>
      <c r="BD27" s="43"/>
      <c r="BE27" s="208" t="str">
        <f t="shared" si="37"/>
        <v>No Quote</v>
      </c>
      <c r="BF27" s="209"/>
      <c r="BG27" s="87"/>
      <c r="BH27" s="93"/>
      <c r="BI27" s="63" t="str">
        <f t="shared" si="38"/>
        <v/>
      </c>
      <c r="BJ27" s="92"/>
      <c r="BK27" s="92" t="str">
        <f>IFERROR(IF(#REF!="","",#REF!),"")</f>
        <v/>
      </c>
      <c r="BL27" s="77" t="str">
        <f t="shared" si="7"/>
        <v>-</v>
      </c>
      <c r="BM27" s="77" t="str">
        <f t="shared" si="8"/>
        <v>-</v>
      </c>
      <c r="BN27" s="77" t="str">
        <f t="shared" si="9"/>
        <v>-</v>
      </c>
      <c r="BO27" s="77" t="str">
        <f t="shared" si="10"/>
        <v>-</v>
      </c>
      <c r="BP27" s="77" t="str">
        <f t="shared" si="11"/>
        <v>-</v>
      </c>
      <c r="BQ27" s="77" t="str">
        <f t="shared" si="12"/>
        <v>-</v>
      </c>
      <c r="BR27" s="77" t="str">
        <f t="shared" si="13"/>
        <v>-</v>
      </c>
      <c r="BS27" s="77" t="str">
        <f t="shared" si="14"/>
        <v>-</v>
      </c>
      <c r="BT27" s="77" t="str">
        <f t="shared" si="15"/>
        <v>-</v>
      </c>
      <c r="BU27" s="78" t="str">
        <f t="shared" si="39"/>
        <v/>
      </c>
      <c r="BV27" s="88" t="str">
        <f t="shared" si="16"/>
        <v>-</v>
      </c>
      <c r="BW27" s="74" t="str">
        <f t="shared" si="40"/>
        <v/>
      </c>
      <c r="BX27" s="72" t="str">
        <f t="shared" si="41"/>
        <v/>
      </c>
      <c r="BY27" s="71" t="str">
        <f t="shared" si="42"/>
        <v/>
      </c>
      <c r="BZ27" s="74" t="str">
        <f t="shared" si="43"/>
        <v/>
      </c>
      <c r="CA27" s="72" t="str">
        <f t="shared" si="44"/>
        <v/>
      </c>
      <c r="CB27" s="71" t="str">
        <f t="shared" si="45"/>
        <v/>
      </c>
      <c r="CC27" s="74" t="str">
        <f t="shared" si="17"/>
        <v/>
      </c>
      <c r="CE27" s="99">
        <f t="shared" si="46"/>
        <v>0</v>
      </c>
      <c r="CF27" s="100" t="str" cm="1">
        <f t="array" ref="CF27">IFERROR(INDEX(_xlfn.UNIQUE(_xlfn._xlws.FILTER($BW$22:$BW$50,($BW$22:$BW$50&lt;&gt;"")*($BW$22:$BW$50&lt;&gt;"-"))),ROWS($CF$22:CF27)),"")</f>
        <v/>
      </c>
    </row>
    <row r="28" spans="2:84" s="1" customFormat="1" ht="62.1" customHeight="1" outlineLevel="1" x14ac:dyDescent="0.25">
      <c r="B28" s="38">
        <f t="shared" si="47"/>
        <v>7</v>
      </c>
      <c r="C28" s="210"/>
      <c r="D28" s="210"/>
      <c r="E28" s="210"/>
      <c r="F28" s="210"/>
      <c r="G28" s="39"/>
      <c r="H28" s="40"/>
      <c r="I28" s="41"/>
      <c r="J28" s="42" t="str">
        <f t="shared" si="18"/>
        <v/>
      </c>
      <c r="K28" s="90"/>
      <c r="L28" s="206" t="str">
        <f t="shared" si="19"/>
        <v>No Quote</v>
      </c>
      <c r="M28" s="207"/>
      <c r="N28" s="41"/>
      <c r="O28" s="42" t="str">
        <f t="shared" si="20"/>
        <v/>
      </c>
      <c r="P28" s="90"/>
      <c r="Q28" s="206" t="str">
        <f t="shared" si="21"/>
        <v>No Quote</v>
      </c>
      <c r="R28" s="207"/>
      <c r="S28" s="41"/>
      <c r="T28" s="42" t="str">
        <f t="shared" si="22"/>
        <v/>
      </c>
      <c r="U28" s="89"/>
      <c r="V28" s="206" t="str">
        <f t="shared" si="23"/>
        <v>No Quote</v>
      </c>
      <c r="W28" s="207"/>
      <c r="X28" s="41"/>
      <c r="Y28" s="42" t="str">
        <f t="shared" si="24"/>
        <v/>
      </c>
      <c r="Z28" s="90"/>
      <c r="AA28" s="206" t="str">
        <f t="shared" si="25"/>
        <v>No Quote</v>
      </c>
      <c r="AB28" s="207"/>
      <c r="AC28" s="41"/>
      <c r="AD28" s="42" t="str">
        <f t="shared" si="26"/>
        <v/>
      </c>
      <c r="AE28" s="89"/>
      <c r="AF28" s="206" t="str">
        <f t="shared" si="27"/>
        <v>No Quote</v>
      </c>
      <c r="AG28" s="207"/>
      <c r="AH28" s="41"/>
      <c r="AI28" s="42" t="str">
        <f t="shared" si="28"/>
        <v/>
      </c>
      <c r="AJ28" s="89"/>
      <c r="AK28" s="206" t="str">
        <f t="shared" si="29"/>
        <v>No Quote</v>
      </c>
      <c r="AL28" s="207"/>
      <c r="AM28" s="41"/>
      <c r="AN28" s="42" t="str">
        <f t="shared" si="30"/>
        <v/>
      </c>
      <c r="AO28" s="89"/>
      <c r="AP28" s="206" t="str">
        <f t="shared" si="31"/>
        <v>No Quote</v>
      </c>
      <c r="AQ28" s="207"/>
      <c r="AR28" s="41"/>
      <c r="AS28" s="42" t="str">
        <f t="shared" si="32"/>
        <v/>
      </c>
      <c r="AT28" s="89"/>
      <c r="AU28" s="206" t="str">
        <f t="shared" si="33"/>
        <v>No Quote</v>
      </c>
      <c r="AV28" s="207"/>
      <c r="AW28" s="41"/>
      <c r="AX28" s="42" t="str">
        <f t="shared" si="34"/>
        <v/>
      </c>
      <c r="AY28" s="43"/>
      <c r="AZ28" s="206" t="str">
        <f t="shared" si="35"/>
        <v>No Quote</v>
      </c>
      <c r="BA28" s="207"/>
      <c r="BB28" s="41"/>
      <c r="BC28" s="42" t="str">
        <f t="shared" si="36"/>
        <v/>
      </c>
      <c r="BD28" s="43"/>
      <c r="BE28" s="208" t="str">
        <f t="shared" si="37"/>
        <v>No Quote</v>
      </c>
      <c r="BF28" s="209"/>
      <c r="BG28" s="87"/>
      <c r="BH28" s="93"/>
      <c r="BI28" s="63" t="str">
        <f t="shared" si="38"/>
        <v/>
      </c>
      <c r="BJ28" s="92"/>
      <c r="BK28" s="92" t="str">
        <f>IFERROR(IF(#REF!="","",#REF!),"")</f>
        <v/>
      </c>
      <c r="BL28" s="77" t="str">
        <f t="shared" si="7"/>
        <v>-</v>
      </c>
      <c r="BM28" s="77" t="str">
        <f t="shared" si="8"/>
        <v>-</v>
      </c>
      <c r="BN28" s="77" t="str">
        <f t="shared" si="9"/>
        <v>-</v>
      </c>
      <c r="BO28" s="77" t="str">
        <f t="shared" si="10"/>
        <v>-</v>
      </c>
      <c r="BP28" s="77" t="str">
        <f t="shared" si="11"/>
        <v>-</v>
      </c>
      <c r="BQ28" s="77" t="str">
        <f t="shared" si="12"/>
        <v>-</v>
      </c>
      <c r="BR28" s="77" t="str">
        <f t="shared" si="13"/>
        <v>-</v>
      </c>
      <c r="BS28" s="77" t="str">
        <f t="shared" si="14"/>
        <v>-</v>
      </c>
      <c r="BT28" s="77" t="str">
        <f t="shared" si="15"/>
        <v>-</v>
      </c>
      <c r="BU28" s="78" t="str">
        <f t="shared" si="39"/>
        <v/>
      </c>
      <c r="BV28" s="88" t="str">
        <f t="shared" si="16"/>
        <v>-</v>
      </c>
      <c r="BW28" s="74" t="str">
        <f t="shared" si="40"/>
        <v/>
      </c>
      <c r="BX28" s="72" t="str">
        <f t="shared" si="41"/>
        <v/>
      </c>
      <c r="BY28" s="71" t="str">
        <f t="shared" si="42"/>
        <v/>
      </c>
      <c r="BZ28" s="74" t="str">
        <f t="shared" si="43"/>
        <v/>
      </c>
      <c r="CA28" s="72" t="str">
        <f t="shared" si="44"/>
        <v/>
      </c>
      <c r="CB28" s="71" t="str">
        <f t="shared" si="45"/>
        <v/>
      </c>
      <c r="CC28" s="74" t="str">
        <f t="shared" si="17"/>
        <v/>
      </c>
      <c r="CE28" s="99">
        <f t="shared" si="46"/>
        <v>0</v>
      </c>
      <c r="CF28" s="100" t="str" cm="1">
        <f t="array" ref="CF28">IFERROR(INDEX(_xlfn.UNIQUE(_xlfn._xlws.FILTER($BW$22:$BW$50,($BW$22:$BW$50&lt;&gt;"")*($BW$22:$BW$50&lt;&gt;"-"))),ROWS($CF$22:CF28)),"")</f>
        <v/>
      </c>
    </row>
    <row r="29" spans="2:84" s="1" customFormat="1" ht="62.1" customHeight="1" outlineLevel="1" x14ac:dyDescent="0.25">
      <c r="B29" s="38">
        <f t="shared" si="47"/>
        <v>8</v>
      </c>
      <c r="C29" s="210"/>
      <c r="D29" s="210"/>
      <c r="E29" s="210"/>
      <c r="F29" s="210"/>
      <c r="G29" s="39"/>
      <c r="H29" s="40"/>
      <c r="I29" s="41"/>
      <c r="J29" s="42" t="str">
        <f t="shared" si="18"/>
        <v/>
      </c>
      <c r="K29" s="90"/>
      <c r="L29" s="206" t="str">
        <f t="shared" si="19"/>
        <v>No Quote</v>
      </c>
      <c r="M29" s="207"/>
      <c r="N29" s="41"/>
      <c r="O29" s="42" t="str">
        <f t="shared" si="20"/>
        <v/>
      </c>
      <c r="P29" s="90"/>
      <c r="Q29" s="206" t="str">
        <f t="shared" si="21"/>
        <v>No Quote</v>
      </c>
      <c r="R29" s="207"/>
      <c r="S29" s="41"/>
      <c r="T29" s="42" t="str">
        <f t="shared" si="22"/>
        <v/>
      </c>
      <c r="U29" s="89"/>
      <c r="V29" s="206" t="str">
        <f t="shared" si="23"/>
        <v>No Quote</v>
      </c>
      <c r="W29" s="207"/>
      <c r="X29" s="41"/>
      <c r="Y29" s="42" t="str">
        <f t="shared" si="24"/>
        <v/>
      </c>
      <c r="Z29" s="90"/>
      <c r="AA29" s="206" t="str">
        <f t="shared" si="25"/>
        <v>No Quote</v>
      </c>
      <c r="AB29" s="207"/>
      <c r="AC29" s="41"/>
      <c r="AD29" s="42" t="str">
        <f t="shared" si="26"/>
        <v/>
      </c>
      <c r="AE29" s="89"/>
      <c r="AF29" s="206" t="str">
        <f t="shared" si="27"/>
        <v>No Quote</v>
      </c>
      <c r="AG29" s="207"/>
      <c r="AH29" s="41"/>
      <c r="AI29" s="42" t="str">
        <f t="shared" si="28"/>
        <v/>
      </c>
      <c r="AJ29" s="89"/>
      <c r="AK29" s="206" t="str">
        <f t="shared" si="29"/>
        <v>No Quote</v>
      </c>
      <c r="AL29" s="207"/>
      <c r="AM29" s="41"/>
      <c r="AN29" s="42" t="str">
        <f t="shared" si="30"/>
        <v/>
      </c>
      <c r="AO29" s="89"/>
      <c r="AP29" s="206" t="str">
        <f t="shared" si="31"/>
        <v>No Quote</v>
      </c>
      <c r="AQ29" s="207"/>
      <c r="AR29" s="41"/>
      <c r="AS29" s="42" t="str">
        <f t="shared" si="32"/>
        <v/>
      </c>
      <c r="AT29" s="89"/>
      <c r="AU29" s="206" t="str">
        <f t="shared" si="33"/>
        <v>No Quote</v>
      </c>
      <c r="AV29" s="207"/>
      <c r="AW29" s="41"/>
      <c r="AX29" s="42" t="str">
        <f t="shared" si="34"/>
        <v/>
      </c>
      <c r="AY29" s="43"/>
      <c r="AZ29" s="206" t="str">
        <f t="shared" si="35"/>
        <v>No Quote</v>
      </c>
      <c r="BA29" s="207"/>
      <c r="BB29" s="41"/>
      <c r="BC29" s="42" t="str">
        <f t="shared" si="36"/>
        <v/>
      </c>
      <c r="BD29" s="43"/>
      <c r="BE29" s="208" t="str">
        <f t="shared" si="37"/>
        <v>No Quote</v>
      </c>
      <c r="BF29" s="209"/>
      <c r="BG29" s="87"/>
      <c r="BH29" s="93"/>
      <c r="BI29" s="63" t="str">
        <f t="shared" si="38"/>
        <v/>
      </c>
      <c r="BJ29" s="92"/>
      <c r="BK29" s="92" t="str">
        <f>IFERROR(IF(#REF!="","",#REF!),"")</f>
        <v/>
      </c>
      <c r="BL29" s="77" t="str">
        <f t="shared" si="7"/>
        <v>-</v>
      </c>
      <c r="BM29" s="77" t="str">
        <f t="shared" si="8"/>
        <v>-</v>
      </c>
      <c r="BN29" s="77" t="str">
        <f t="shared" si="9"/>
        <v>-</v>
      </c>
      <c r="BO29" s="77" t="str">
        <f t="shared" si="10"/>
        <v>-</v>
      </c>
      <c r="BP29" s="77" t="str">
        <f t="shared" si="11"/>
        <v>-</v>
      </c>
      <c r="BQ29" s="77" t="str">
        <f t="shared" si="12"/>
        <v>-</v>
      </c>
      <c r="BR29" s="77" t="str">
        <f t="shared" si="13"/>
        <v>-</v>
      </c>
      <c r="BS29" s="77" t="str">
        <f t="shared" si="14"/>
        <v>-</v>
      </c>
      <c r="BT29" s="77" t="str">
        <f t="shared" si="15"/>
        <v>-</v>
      </c>
      <c r="BU29" s="78" t="str">
        <f t="shared" si="39"/>
        <v/>
      </c>
      <c r="BV29" s="88" t="str">
        <f t="shared" si="16"/>
        <v>-</v>
      </c>
      <c r="BW29" s="74" t="str">
        <f t="shared" si="40"/>
        <v/>
      </c>
      <c r="BX29" s="72" t="str">
        <f t="shared" si="41"/>
        <v/>
      </c>
      <c r="BY29" s="71" t="str">
        <f t="shared" si="42"/>
        <v/>
      </c>
      <c r="BZ29" s="74" t="str">
        <f t="shared" si="43"/>
        <v/>
      </c>
      <c r="CA29" s="72" t="str">
        <f t="shared" si="44"/>
        <v/>
      </c>
      <c r="CB29" s="71" t="str">
        <f t="shared" si="45"/>
        <v/>
      </c>
      <c r="CC29" s="74" t="str">
        <f t="shared" si="17"/>
        <v/>
      </c>
      <c r="CE29" s="99">
        <f t="shared" si="46"/>
        <v>0</v>
      </c>
      <c r="CF29" s="100" t="str" cm="1">
        <f t="array" ref="CF29">IFERROR(INDEX(_xlfn.UNIQUE(_xlfn._xlws.FILTER($BW$22:$BW$50,($BW$22:$BW$50&lt;&gt;"")*($BW$22:$BW$50&lt;&gt;"-"))),ROWS($CF$22:CF29)),"")</f>
        <v/>
      </c>
    </row>
    <row r="30" spans="2:84" s="1" customFormat="1" ht="62.1" customHeight="1" outlineLevel="1" x14ac:dyDescent="0.25">
      <c r="B30" s="38">
        <f t="shared" si="47"/>
        <v>9</v>
      </c>
      <c r="C30" s="210"/>
      <c r="D30" s="210"/>
      <c r="E30" s="210"/>
      <c r="F30" s="210"/>
      <c r="G30" s="39"/>
      <c r="H30" s="40"/>
      <c r="I30" s="41"/>
      <c r="J30" s="42" t="str">
        <f t="shared" si="18"/>
        <v/>
      </c>
      <c r="K30" s="90"/>
      <c r="L30" s="206" t="str">
        <f t="shared" si="19"/>
        <v>No Quote</v>
      </c>
      <c r="M30" s="207"/>
      <c r="N30" s="41"/>
      <c r="O30" s="42" t="str">
        <f t="shared" si="20"/>
        <v/>
      </c>
      <c r="P30" s="90"/>
      <c r="Q30" s="206" t="str">
        <f t="shared" si="21"/>
        <v>No Quote</v>
      </c>
      <c r="R30" s="207"/>
      <c r="S30" s="41"/>
      <c r="T30" s="42" t="str">
        <f t="shared" si="22"/>
        <v/>
      </c>
      <c r="U30" s="89"/>
      <c r="V30" s="206" t="str">
        <f t="shared" si="23"/>
        <v>No Quote</v>
      </c>
      <c r="W30" s="207"/>
      <c r="X30" s="41"/>
      <c r="Y30" s="42" t="str">
        <f t="shared" si="24"/>
        <v/>
      </c>
      <c r="Z30" s="90"/>
      <c r="AA30" s="206" t="str">
        <f t="shared" si="25"/>
        <v>No Quote</v>
      </c>
      <c r="AB30" s="207"/>
      <c r="AC30" s="41"/>
      <c r="AD30" s="42" t="str">
        <f t="shared" si="26"/>
        <v/>
      </c>
      <c r="AE30" s="89"/>
      <c r="AF30" s="206" t="str">
        <f t="shared" si="27"/>
        <v>No Quote</v>
      </c>
      <c r="AG30" s="207"/>
      <c r="AH30" s="41"/>
      <c r="AI30" s="42" t="str">
        <f t="shared" si="28"/>
        <v/>
      </c>
      <c r="AJ30" s="89"/>
      <c r="AK30" s="206" t="str">
        <f t="shared" si="29"/>
        <v>No Quote</v>
      </c>
      <c r="AL30" s="207"/>
      <c r="AM30" s="41"/>
      <c r="AN30" s="42" t="str">
        <f t="shared" si="30"/>
        <v/>
      </c>
      <c r="AO30" s="89"/>
      <c r="AP30" s="206" t="str">
        <f t="shared" si="31"/>
        <v>No Quote</v>
      </c>
      <c r="AQ30" s="207"/>
      <c r="AR30" s="41"/>
      <c r="AS30" s="42" t="str">
        <f t="shared" si="32"/>
        <v/>
      </c>
      <c r="AT30" s="89"/>
      <c r="AU30" s="206" t="str">
        <f t="shared" si="33"/>
        <v>No Quote</v>
      </c>
      <c r="AV30" s="207"/>
      <c r="AW30" s="41"/>
      <c r="AX30" s="42" t="str">
        <f t="shared" si="34"/>
        <v/>
      </c>
      <c r="AY30" s="43"/>
      <c r="AZ30" s="206" t="str">
        <f t="shared" si="35"/>
        <v>No Quote</v>
      </c>
      <c r="BA30" s="207"/>
      <c r="BB30" s="41"/>
      <c r="BC30" s="42" t="str">
        <f t="shared" si="36"/>
        <v/>
      </c>
      <c r="BD30" s="43"/>
      <c r="BE30" s="208" t="str">
        <f t="shared" si="37"/>
        <v>No Quote</v>
      </c>
      <c r="BF30" s="209"/>
      <c r="BG30" s="87"/>
      <c r="BH30" s="93"/>
      <c r="BI30" s="63" t="str">
        <f t="shared" si="38"/>
        <v/>
      </c>
      <c r="BJ30" s="92"/>
      <c r="BK30" s="92" t="str">
        <f>IFERROR(IF(#REF!="","",#REF!),"")</f>
        <v/>
      </c>
      <c r="BL30" s="77" t="str">
        <f t="shared" si="7"/>
        <v>-</v>
      </c>
      <c r="BM30" s="77" t="str">
        <f t="shared" si="8"/>
        <v>-</v>
      </c>
      <c r="BN30" s="77" t="str">
        <f t="shared" si="9"/>
        <v>-</v>
      </c>
      <c r="BO30" s="77" t="str">
        <f t="shared" si="10"/>
        <v>-</v>
      </c>
      <c r="BP30" s="77" t="str">
        <f t="shared" si="11"/>
        <v>-</v>
      </c>
      <c r="BQ30" s="77" t="str">
        <f t="shared" si="12"/>
        <v>-</v>
      </c>
      <c r="BR30" s="77" t="str">
        <f t="shared" si="13"/>
        <v>-</v>
      </c>
      <c r="BS30" s="77" t="str">
        <f t="shared" si="14"/>
        <v>-</v>
      </c>
      <c r="BT30" s="77" t="str">
        <f t="shared" si="15"/>
        <v>-</v>
      </c>
      <c r="BU30" s="78" t="str">
        <f t="shared" si="39"/>
        <v/>
      </c>
      <c r="BV30" s="88" t="str">
        <f t="shared" si="16"/>
        <v>-</v>
      </c>
      <c r="BW30" s="74" t="str">
        <f t="shared" si="40"/>
        <v/>
      </c>
      <c r="BX30" s="72" t="str">
        <f t="shared" si="41"/>
        <v/>
      </c>
      <c r="BY30" s="71" t="str">
        <f t="shared" si="42"/>
        <v/>
      </c>
      <c r="BZ30" s="74" t="str">
        <f t="shared" si="43"/>
        <v/>
      </c>
      <c r="CA30" s="72" t="str">
        <f t="shared" si="44"/>
        <v/>
      </c>
      <c r="CB30" s="71" t="str">
        <f t="shared" si="45"/>
        <v/>
      </c>
      <c r="CC30" s="74" t="str">
        <f t="shared" si="17"/>
        <v/>
      </c>
      <c r="CE30" s="99">
        <f t="shared" si="46"/>
        <v>0</v>
      </c>
      <c r="CF30" s="100" t="str" cm="1">
        <f t="array" ref="CF30">IFERROR(INDEX(_xlfn.UNIQUE(_xlfn._xlws.FILTER($BW$22:$BW$50,($BW$22:$BW$50&lt;&gt;"")*($BW$22:$BW$50&lt;&gt;"-"))),ROWS($CF$22:CF30)),"")</f>
        <v/>
      </c>
    </row>
    <row r="31" spans="2:84" s="1" customFormat="1" ht="62.1" customHeight="1" outlineLevel="1" x14ac:dyDescent="0.25">
      <c r="B31" s="38">
        <f t="shared" si="47"/>
        <v>10</v>
      </c>
      <c r="C31" s="210"/>
      <c r="D31" s="210"/>
      <c r="E31" s="210"/>
      <c r="F31" s="210"/>
      <c r="G31" s="39"/>
      <c r="H31" s="40"/>
      <c r="I31" s="41"/>
      <c r="J31" s="42" t="str">
        <f t="shared" si="18"/>
        <v/>
      </c>
      <c r="K31" s="90"/>
      <c r="L31" s="206" t="str">
        <f t="shared" si="19"/>
        <v>No Quote</v>
      </c>
      <c r="M31" s="207"/>
      <c r="N31" s="41"/>
      <c r="O31" s="42" t="str">
        <f t="shared" si="20"/>
        <v/>
      </c>
      <c r="P31" s="90"/>
      <c r="Q31" s="206" t="str">
        <f t="shared" si="21"/>
        <v>No Quote</v>
      </c>
      <c r="R31" s="207"/>
      <c r="S31" s="41"/>
      <c r="T31" s="42" t="str">
        <f t="shared" si="22"/>
        <v/>
      </c>
      <c r="U31" s="89"/>
      <c r="V31" s="206" t="str">
        <f t="shared" si="23"/>
        <v>No Quote</v>
      </c>
      <c r="W31" s="207"/>
      <c r="X31" s="41"/>
      <c r="Y31" s="42" t="str">
        <f t="shared" si="24"/>
        <v/>
      </c>
      <c r="Z31" s="90"/>
      <c r="AA31" s="206" t="str">
        <f t="shared" si="25"/>
        <v>No Quote</v>
      </c>
      <c r="AB31" s="207"/>
      <c r="AC31" s="41"/>
      <c r="AD31" s="42" t="str">
        <f t="shared" si="26"/>
        <v/>
      </c>
      <c r="AE31" s="89"/>
      <c r="AF31" s="206" t="str">
        <f t="shared" si="27"/>
        <v>No Quote</v>
      </c>
      <c r="AG31" s="207"/>
      <c r="AH31" s="41"/>
      <c r="AI31" s="42" t="str">
        <f t="shared" si="28"/>
        <v/>
      </c>
      <c r="AJ31" s="89"/>
      <c r="AK31" s="206" t="str">
        <f t="shared" si="29"/>
        <v>No Quote</v>
      </c>
      <c r="AL31" s="207"/>
      <c r="AM31" s="41"/>
      <c r="AN31" s="42" t="str">
        <f t="shared" si="30"/>
        <v/>
      </c>
      <c r="AO31" s="89"/>
      <c r="AP31" s="206" t="str">
        <f t="shared" si="31"/>
        <v>No Quote</v>
      </c>
      <c r="AQ31" s="207"/>
      <c r="AR31" s="41"/>
      <c r="AS31" s="42" t="str">
        <f t="shared" si="32"/>
        <v/>
      </c>
      <c r="AT31" s="89"/>
      <c r="AU31" s="206" t="str">
        <f t="shared" si="33"/>
        <v>No Quote</v>
      </c>
      <c r="AV31" s="207"/>
      <c r="AW31" s="41"/>
      <c r="AX31" s="42" t="str">
        <f t="shared" si="34"/>
        <v/>
      </c>
      <c r="AY31" s="43"/>
      <c r="AZ31" s="206" t="str">
        <f t="shared" si="35"/>
        <v>No Quote</v>
      </c>
      <c r="BA31" s="207"/>
      <c r="BB31" s="41"/>
      <c r="BC31" s="42" t="str">
        <f t="shared" si="36"/>
        <v/>
      </c>
      <c r="BD31" s="43"/>
      <c r="BE31" s="208" t="str">
        <f t="shared" si="37"/>
        <v>No Quote</v>
      </c>
      <c r="BF31" s="209"/>
      <c r="BG31" s="87"/>
      <c r="BH31" s="93"/>
      <c r="BI31" s="63" t="str">
        <f t="shared" si="38"/>
        <v/>
      </c>
      <c r="BJ31" s="92"/>
      <c r="BK31" s="92" t="str">
        <f>IFERROR(IF(#REF!="","",#REF!),"")</f>
        <v/>
      </c>
      <c r="BL31" s="77" t="str">
        <f t="shared" si="7"/>
        <v>-</v>
      </c>
      <c r="BM31" s="77" t="str">
        <f t="shared" si="8"/>
        <v>-</v>
      </c>
      <c r="BN31" s="77" t="str">
        <f t="shared" si="9"/>
        <v>-</v>
      </c>
      <c r="BO31" s="77" t="str">
        <f t="shared" si="10"/>
        <v>-</v>
      </c>
      <c r="BP31" s="77" t="str">
        <f t="shared" si="11"/>
        <v>-</v>
      </c>
      <c r="BQ31" s="77" t="str">
        <f t="shared" si="12"/>
        <v>-</v>
      </c>
      <c r="BR31" s="77" t="str">
        <f t="shared" si="13"/>
        <v>-</v>
      </c>
      <c r="BS31" s="77" t="str">
        <f t="shared" si="14"/>
        <v>-</v>
      </c>
      <c r="BT31" s="77" t="str">
        <f t="shared" si="15"/>
        <v>-</v>
      </c>
      <c r="BU31" s="78" t="str">
        <f t="shared" si="39"/>
        <v/>
      </c>
      <c r="BV31" s="88" t="str">
        <f t="shared" si="16"/>
        <v>-</v>
      </c>
      <c r="BW31" s="74" t="str">
        <f t="shared" si="40"/>
        <v/>
      </c>
      <c r="BX31" s="72" t="str">
        <f t="shared" si="41"/>
        <v/>
      </c>
      <c r="BY31" s="71" t="str">
        <f t="shared" si="42"/>
        <v/>
      </c>
      <c r="BZ31" s="74" t="str">
        <f t="shared" si="43"/>
        <v/>
      </c>
      <c r="CA31" s="72" t="str">
        <f t="shared" si="44"/>
        <v/>
      </c>
      <c r="CB31" s="71" t="str">
        <f t="shared" si="45"/>
        <v/>
      </c>
      <c r="CC31" s="74" t="str">
        <f t="shared" si="17"/>
        <v/>
      </c>
      <c r="CE31" s="99">
        <f t="shared" si="46"/>
        <v>0</v>
      </c>
      <c r="CF31" s="100" t="str" cm="1">
        <f t="array" ref="CF31">IFERROR(INDEX(_xlfn.UNIQUE(_xlfn._xlws.FILTER($BW$22:$BW$50,($BW$22:$BW$50&lt;&gt;"")*($BW$22:$BW$50&lt;&gt;"-"))),ROWS($CF$22:CF31)),"")</f>
        <v/>
      </c>
    </row>
    <row r="32" spans="2:84" s="1" customFormat="1" ht="62.1" customHeight="1" outlineLevel="1" x14ac:dyDescent="0.25">
      <c r="B32" s="38">
        <f t="shared" si="47"/>
        <v>11</v>
      </c>
      <c r="C32" s="210"/>
      <c r="D32" s="210"/>
      <c r="E32" s="210"/>
      <c r="F32" s="210"/>
      <c r="G32" s="39"/>
      <c r="H32" s="40"/>
      <c r="I32" s="41"/>
      <c r="J32" s="42" t="str">
        <f t="shared" si="18"/>
        <v/>
      </c>
      <c r="K32" s="90"/>
      <c r="L32" s="206" t="str">
        <f t="shared" si="19"/>
        <v>No Quote</v>
      </c>
      <c r="M32" s="207"/>
      <c r="N32" s="41"/>
      <c r="O32" s="42" t="str">
        <f t="shared" si="20"/>
        <v/>
      </c>
      <c r="P32" s="90"/>
      <c r="Q32" s="206" t="str">
        <f t="shared" si="21"/>
        <v>No Quote</v>
      </c>
      <c r="R32" s="207"/>
      <c r="S32" s="41"/>
      <c r="T32" s="42" t="str">
        <f t="shared" si="22"/>
        <v/>
      </c>
      <c r="U32" s="89"/>
      <c r="V32" s="206" t="str">
        <f t="shared" si="23"/>
        <v>No Quote</v>
      </c>
      <c r="W32" s="207"/>
      <c r="X32" s="41"/>
      <c r="Y32" s="42" t="str">
        <f t="shared" si="24"/>
        <v/>
      </c>
      <c r="Z32" s="90"/>
      <c r="AA32" s="206" t="str">
        <f t="shared" si="25"/>
        <v>No Quote</v>
      </c>
      <c r="AB32" s="207"/>
      <c r="AC32" s="41"/>
      <c r="AD32" s="42" t="str">
        <f t="shared" si="26"/>
        <v/>
      </c>
      <c r="AE32" s="89"/>
      <c r="AF32" s="206" t="str">
        <f t="shared" si="27"/>
        <v>No Quote</v>
      </c>
      <c r="AG32" s="207"/>
      <c r="AH32" s="41"/>
      <c r="AI32" s="42" t="str">
        <f t="shared" si="28"/>
        <v/>
      </c>
      <c r="AJ32" s="89"/>
      <c r="AK32" s="206" t="str">
        <f t="shared" si="29"/>
        <v>No Quote</v>
      </c>
      <c r="AL32" s="207"/>
      <c r="AM32" s="41"/>
      <c r="AN32" s="42" t="str">
        <f t="shared" si="30"/>
        <v/>
      </c>
      <c r="AO32" s="89"/>
      <c r="AP32" s="206" t="str">
        <f t="shared" si="31"/>
        <v>No Quote</v>
      </c>
      <c r="AQ32" s="207"/>
      <c r="AR32" s="41"/>
      <c r="AS32" s="42" t="str">
        <f t="shared" si="32"/>
        <v/>
      </c>
      <c r="AT32" s="89"/>
      <c r="AU32" s="206" t="str">
        <f t="shared" si="33"/>
        <v>No Quote</v>
      </c>
      <c r="AV32" s="207"/>
      <c r="AW32" s="41"/>
      <c r="AX32" s="42" t="str">
        <f t="shared" si="34"/>
        <v/>
      </c>
      <c r="AY32" s="43"/>
      <c r="AZ32" s="206" t="str">
        <f t="shared" si="35"/>
        <v>No Quote</v>
      </c>
      <c r="BA32" s="207"/>
      <c r="BB32" s="41"/>
      <c r="BC32" s="42" t="str">
        <f t="shared" si="36"/>
        <v/>
      </c>
      <c r="BD32" s="43"/>
      <c r="BE32" s="208" t="str">
        <f t="shared" si="37"/>
        <v>No Quote</v>
      </c>
      <c r="BF32" s="209"/>
      <c r="BG32" s="87"/>
      <c r="BH32" s="93"/>
      <c r="BI32" s="63" t="str">
        <f t="shared" si="38"/>
        <v/>
      </c>
      <c r="BJ32" s="92"/>
      <c r="BK32" s="92" t="str">
        <f>IFERROR(IF(#REF!="","",#REF!),"")</f>
        <v/>
      </c>
      <c r="BL32" s="77" t="str">
        <f t="shared" si="7"/>
        <v>-</v>
      </c>
      <c r="BM32" s="77" t="str">
        <f t="shared" si="8"/>
        <v>-</v>
      </c>
      <c r="BN32" s="77" t="str">
        <f t="shared" si="9"/>
        <v>-</v>
      </c>
      <c r="BO32" s="77" t="str">
        <f t="shared" si="10"/>
        <v>-</v>
      </c>
      <c r="BP32" s="77" t="str">
        <f t="shared" si="11"/>
        <v>-</v>
      </c>
      <c r="BQ32" s="77" t="str">
        <f t="shared" si="12"/>
        <v>-</v>
      </c>
      <c r="BR32" s="77" t="str">
        <f t="shared" si="13"/>
        <v>-</v>
      </c>
      <c r="BS32" s="77" t="str">
        <f t="shared" si="14"/>
        <v>-</v>
      </c>
      <c r="BT32" s="77" t="str">
        <f t="shared" si="15"/>
        <v>-</v>
      </c>
      <c r="BU32" s="78" t="str">
        <f t="shared" si="39"/>
        <v/>
      </c>
      <c r="BV32" s="88" t="str">
        <f t="shared" si="16"/>
        <v>-</v>
      </c>
      <c r="BW32" s="74" t="str">
        <f t="shared" si="40"/>
        <v/>
      </c>
      <c r="BX32" s="72" t="str">
        <f t="shared" si="41"/>
        <v/>
      </c>
      <c r="BY32" s="71" t="str">
        <f t="shared" si="42"/>
        <v/>
      </c>
      <c r="BZ32" s="74" t="str">
        <f t="shared" si="43"/>
        <v/>
      </c>
      <c r="CA32" s="72" t="str">
        <f t="shared" si="44"/>
        <v/>
      </c>
      <c r="CB32" s="71" t="str">
        <f t="shared" si="45"/>
        <v/>
      </c>
      <c r="CC32" s="74" t="str">
        <f t="shared" si="17"/>
        <v/>
      </c>
      <c r="CE32" s="99">
        <f t="shared" si="46"/>
        <v>0</v>
      </c>
      <c r="CF32" s="100" t="str" cm="1">
        <f t="array" ref="CF32">IFERROR(INDEX(_xlfn.UNIQUE(_xlfn._xlws.FILTER($BW$22:$BW$50,($BW$22:$BW$50&lt;&gt;"")*($BW$22:$BW$50&lt;&gt;"-"))),ROWS($CF$22:CF32)),"")</f>
        <v/>
      </c>
    </row>
    <row r="33" spans="2:84" s="1" customFormat="1" ht="62.1" customHeight="1" outlineLevel="1" x14ac:dyDescent="0.25">
      <c r="B33" s="38">
        <f t="shared" si="47"/>
        <v>12</v>
      </c>
      <c r="C33" s="210"/>
      <c r="D33" s="210"/>
      <c r="E33" s="210"/>
      <c r="F33" s="210"/>
      <c r="G33" s="39"/>
      <c r="H33" s="40"/>
      <c r="I33" s="41"/>
      <c r="J33" s="42" t="str">
        <f t="shared" si="18"/>
        <v/>
      </c>
      <c r="K33" s="90"/>
      <c r="L33" s="206" t="str">
        <f t="shared" si="19"/>
        <v>No Quote</v>
      </c>
      <c r="M33" s="207"/>
      <c r="N33" s="41"/>
      <c r="O33" s="42" t="str">
        <f t="shared" si="20"/>
        <v/>
      </c>
      <c r="P33" s="90"/>
      <c r="Q33" s="206" t="str">
        <f t="shared" si="21"/>
        <v>No Quote</v>
      </c>
      <c r="R33" s="207"/>
      <c r="S33" s="41"/>
      <c r="T33" s="42" t="str">
        <f t="shared" si="22"/>
        <v/>
      </c>
      <c r="U33" s="89"/>
      <c r="V33" s="206" t="str">
        <f t="shared" si="23"/>
        <v>No Quote</v>
      </c>
      <c r="W33" s="207"/>
      <c r="X33" s="41"/>
      <c r="Y33" s="42" t="str">
        <f t="shared" si="24"/>
        <v/>
      </c>
      <c r="Z33" s="90"/>
      <c r="AA33" s="206" t="str">
        <f t="shared" si="25"/>
        <v>No Quote</v>
      </c>
      <c r="AB33" s="207"/>
      <c r="AC33" s="41"/>
      <c r="AD33" s="42" t="str">
        <f t="shared" si="26"/>
        <v/>
      </c>
      <c r="AE33" s="89"/>
      <c r="AF33" s="206" t="str">
        <f t="shared" si="27"/>
        <v>No Quote</v>
      </c>
      <c r="AG33" s="207"/>
      <c r="AH33" s="41"/>
      <c r="AI33" s="42" t="str">
        <f t="shared" si="28"/>
        <v/>
      </c>
      <c r="AJ33" s="89"/>
      <c r="AK33" s="206" t="str">
        <f t="shared" si="29"/>
        <v>No Quote</v>
      </c>
      <c r="AL33" s="207"/>
      <c r="AM33" s="41"/>
      <c r="AN33" s="42" t="str">
        <f t="shared" si="30"/>
        <v/>
      </c>
      <c r="AO33" s="89"/>
      <c r="AP33" s="206" t="str">
        <f t="shared" si="31"/>
        <v>No Quote</v>
      </c>
      <c r="AQ33" s="207"/>
      <c r="AR33" s="41"/>
      <c r="AS33" s="42" t="str">
        <f t="shared" si="32"/>
        <v/>
      </c>
      <c r="AT33" s="89"/>
      <c r="AU33" s="206" t="str">
        <f t="shared" si="33"/>
        <v>No Quote</v>
      </c>
      <c r="AV33" s="207"/>
      <c r="AW33" s="41"/>
      <c r="AX33" s="42" t="str">
        <f t="shared" si="34"/>
        <v/>
      </c>
      <c r="AY33" s="43"/>
      <c r="AZ33" s="206" t="str">
        <f t="shared" si="35"/>
        <v>No Quote</v>
      </c>
      <c r="BA33" s="207"/>
      <c r="BB33" s="41"/>
      <c r="BC33" s="42" t="str">
        <f t="shared" si="36"/>
        <v/>
      </c>
      <c r="BD33" s="43"/>
      <c r="BE33" s="208" t="str">
        <f t="shared" si="37"/>
        <v>No Quote</v>
      </c>
      <c r="BF33" s="209"/>
      <c r="BG33" s="87"/>
      <c r="BH33" s="93"/>
      <c r="BI33" s="63" t="str">
        <f t="shared" si="38"/>
        <v/>
      </c>
      <c r="BJ33" s="92"/>
      <c r="BK33" s="92" t="str">
        <f>IFERROR(IF(#REF!="","",#REF!),"")</f>
        <v/>
      </c>
      <c r="BL33" s="77" t="str">
        <f t="shared" si="7"/>
        <v>-</v>
      </c>
      <c r="BM33" s="77" t="str">
        <f t="shared" si="8"/>
        <v>-</v>
      </c>
      <c r="BN33" s="77" t="str">
        <f t="shared" si="9"/>
        <v>-</v>
      </c>
      <c r="BO33" s="77" t="str">
        <f t="shared" si="10"/>
        <v>-</v>
      </c>
      <c r="BP33" s="77" t="str">
        <f t="shared" si="11"/>
        <v>-</v>
      </c>
      <c r="BQ33" s="77" t="str">
        <f t="shared" si="12"/>
        <v>-</v>
      </c>
      <c r="BR33" s="77" t="str">
        <f t="shared" si="13"/>
        <v>-</v>
      </c>
      <c r="BS33" s="77" t="str">
        <f t="shared" si="14"/>
        <v>-</v>
      </c>
      <c r="BT33" s="77" t="str">
        <f t="shared" si="15"/>
        <v>-</v>
      </c>
      <c r="BU33" s="78" t="str">
        <f t="shared" si="39"/>
        <v/>
      </c>
      <c r="BV33" s="88" t="str">
        <f t="shared" si="16"/>
        <v>-</v>
      </c>
      <c r="BW33" s="74" t="str">
        <f t="shared" si="40"/>
        <v/>
      </c>
      <c r="BX33" s="72" t="str">
        <f t="shared" si="41"/>
        <v/>
      </c>
      <c r="BY33" s="71" t="str">
        <f t="shared" si="42"/>
        <v/>
      </c>
      <c r="BZ33" s="74" t="str">
        <f t="shared" si="43"/>
        <v/>
      </c>
      <c r="CA33" s="72" t="str">
        <f t="shared" si="44"/>
        <v/>
      </c>
      <c r="CB33" s="71" t="str">
        <f t="shared" si="45"/>
        <v/>
      </c>
      <c r="CC33" s="74" t="str">
        <f t="shared" si="17"/>
        <v/>
      </c>
      <c r="CE33" s="99">
        <f t="shared" si="46"/>
        <v>0</v>
      </c>
      <c r="CF33" s="100" t="str" cm="1">
        <f t="array" ref="CF33">IFERROR(INDEX(_xlfn.UNIQUE(_xlfn._xlws.FILTER($BW$22:$BW$50,($BW$22:$BW$50&lt;&gt;"")*($BW$22:$BW$50&lt;&gt;"-"))),ROWS($CF$22:CF33)),"")</f>
        <v/>
      </c>
    </row>
    <row r="34" spans="2:84" s="1" customFormat="1" ht="62.1" customHeight="1" outlineLevel="1" x14ac:dyDescent="0.25">
      <c r="B34" s="38">
        <f t="shared" si="47"/>
        <v>13</v>
      </c>
      <c r="C34" s="210"/>
      <c r="D34" s="210"/>
      <c r="E34" s="210"/>
      <c r="F34" s="210"/>
      <c r="G34" s="39"/>
      <c r="H34" s="40"/>
      <c r="I34" s="41"/>
      <c r="J34" s="42" t="str">
        <f t="shared" si="18"/>
        <v/>
      </c>
      <c r="K34" s="90"/>
      <c r="L34" s="206" t="str">
        <f t="shared" si="19"/>
        <v>No Quote</v>
      </c>
      <c r="M34" s="207"/>
      <c r="N34" s="41"/>
      <c r="O34" s="42" t="str">
        <f t="shared" si="20"/>
        <v/>
      </c>
      <c r="P34" s="90"/>
      <c r="Q34" s="206" t="str">
        <f t="shared" si="21"/>
        <v>No Quote</v>
      </c>
      <c r="R34" s="207"/>
      <c r="S34" s="41"/>
      <c r="T34" s="42" t="str">
        <f t="shared" si="22"/>
        <v/>
      </c>
      <c r="U34" s="89"/>
      <c r="V34" s="206" t="str">
        <f t="shared" si="23"/>
        <v>No Quote</v>
      </c>
      <c r="W34" s="207"/>
      <c r="X34" s="41"/>
      <c r="Y34" s="42" t="str">
        <f t="shared" si="24"/>
        <v/>
      </c>
      <c r="Z34" s="90"/>
      <c r="AA34" s="206" t="str">
        <f t="shared" si="25"/>
        <v>No Quote</v>
      </c>
      <c r="AB34" s="207"/>
      <c r="AC34" s="41"/>
      <c r="AD34" s="42" t="str">
        <f t="shared" si="26"/>
        <v/>
      </c>
      <c r="AE34" s="89"/>
      <c r="AF34" s="206" t="str">
        <f t="shared" si="27"/>
        <v>No Quote</v>
      </c>
      <c r="AG34" s="207"/>
      <c r="AH34" s="41"/>
      <c r="AI34" s="42" t="str">
        <f t="shared" si="28"/>
        <v/>
      </c>
      <c r="AJ34" s="89"/>
      <c r="AK34" s="206" t="str">
        <f t="shared" si="29"/>
        <v>No Quote</v>
      </c>
      <c r="AL34" s="207"/>
      <c r="AM34" s="41"/>
      <c r="AN34" s="42" t="str">
        <f t="shared" si="30"/>
        <v/>
      </c>
      <c r="AO34" s="89"/>
      <c r="AP34" s="206" t="str">
        <f t="shared" si="31"/>
        <v>No Quote</v>
      </c>
      <c r="AQ34" s="207"/>
      <c r="AR34" s="41"/>
      <c r="AS34" s="42" t="str">
        <f t="shared" si="32"/>
        <v/>
      </c>
      <c r="AT34" s="89"/>
      <c r="AU34" s="206" t="str">
        <f t="shared" si="33"/>
        <v>No Quote</v>
      </c>
      <c r="AV34" s="207"/>
      <c r="AW34" s="41"/>
      <c r="AX34" s="42" t="str">
        <f t="shared" si="34"/>
        <v/>
      </c>
      <c r="AY34" s="43"/>
      <c r="AZ34" s="206" t="str">
        <f t="shared" si="35"/>
        <v>No Quote</v>
      </c>
      <c r="BA34" s="207"/>
      <c r="BB34" s="41"/>
      <c r="BC34" s="42" t="str">
        <f t="shared" si="36"/>
        <v/>
      </c>
      <c r="BD34" s="43"/>
      <c r="BE34" s="208" t="str">
        <f t="shared" si="37"/>
        <v>No Quote</v>
      </c>
      <c r="BF34" s="209"/>
      <c r="BG34" s="87"/>
      <c r="BH34" s="93"/>
      <c r="BI34" s="63" t="str">
        <f t="shared" si="38"/>
        <v/>
      </c>
      <c r="BJ34" s="92"/>
      <c r="BK34" s="92" t="str">
        <f>IFERROR(IF(#REF!="","",#REF!),"")</f>
        <v/>
      </c>
      <c r="BL34" s="77" t="str">
        <f t="shared" si="7"/>
        <v>-</v>
      </c>
      <c r="BM34" s="77" t="str">
        <f t="shared" si="8"/>
        <v>-</v>
      </c>
      <c r="BN34" s="77" t="str">
        <f t="shared" si="9"/>
        <v>-</v>
      </c>
      <c r="BO34" s="77" t="str">
        <f t="shared" si="10"/>
        <v>-</v>
      </c>
      <c r="BP34" s="77" t="str">
        <f t="shared" si="11"/>
        <v>-</v>
      </c>
      <c r="BQ34" s="77" t="str">
        <f t="shared" si="12"/>
        <v>-</v>
      </c>
      <c r="BR34" s="77" t="str">
        <f t="shared" si="13"/>
        <v>-</v>
      </c>
      <c r="BS34" s="77" t="str">
        <f t="shared" si="14"/>
        <v>-</v>
      </c>
      <c r="BT34" s="77" t="str">
        <f t="shared" si="15"/>
        <v>-</v>
      </c>
      <c r="BU34" s="78" t="str">
        <f t="shared" si="39"/>
        <v/>
      </c>
      <c r="BV34" s="88" t="str">
        <f t="shared" si="16"/>
        <v>-</v>
      </c>
      <c r="BW34" s="74" t="str">
        <f t="shared" si="40"/>
        <v/>
      </c>
      <c r="BX34" s="72" t="str">
        <f t="shared" si="41"/>
        <v/>
      </c>
      <c r="BY34" s="71" t="str">
        <f t="shared" si="42"/>
        <v/>
      </c>
      <c r="BZ34" s="74" t="str">
        <f t="shared" si="43"/>
        <v/>
      </c>
      <c r="CA34" s="72" t="str">
        <f t="shared" si="44"/>
        <v/>
      </c>
      <c r="CB34" s="71" t="str">
        <f t="shared" si="45"/>
        <v/>
      </c>
      <c r="CC34" s="74" t="str">
        <f t="shared" si="17"/>
        <v/>
      </c>
      <c r="CE34" s="99">
        <f t="shared" si="46"/>
        <v>0</v>
      </c>
      <c r="CF34" s="100" t="str" cm="1">
        <f t="array" ref="CF34">IFERROR(INDEX(_xlfn.UNIQUE(_xlfn._xlws.FILTER($BW$22:$BW$50,($BW$22:$BW$50&lt;&gt;"")*($BW$22:$BW$50&lt;&gt;"-"))),ROWS($CF$22:CF34)),"")</f>
        <v/>
      </c>
    </row>
    <row r="35" spans="2:84" s="1" customFormat="1" ht="62.1" customHeight="1" outlineLevel="1" x14ac:dyDescent="0.25">
      <c r="B35" s="38">
        <f t="shared" si="47"/>
        <v>14</v>
      </c>
      <c r="C35" s="210"/>
      <c r="D35" s="210"/>
      <c r="E35" s="210"/>
      <c r="F35" s="210"/>
      <c r="G35" s="39"/>
      <c r="H35" s="40"/>
      <c r="I35" s="41"/>
      <c r="J35" s="42" t="str">
        <f t="shared" si="18"/>
        <v/>
      </c>
      <c r="K35" s="90"/>
      <c r="L35" s="206" t="str">
        <f t="shared" si="19"/>
        <v>No Quote</v>
      </c>
      <c r="M35" s="207"/>
      <c r="N35" s="41"/>
      <c r="O35" s="42" t="str">
        <f t="shared" si="20"/>
        <v/>
      </c>
      <c r="P35" s="90"/>
      <c r="Q35" s="206" t="str">
        <f t="shared" si="21"/>
        <v>No Quote</v>
      </c>
      <c r="R35" s="207"/>
      <c r="S35" s="41"/>
      <c r="T35" s="42" t="str">
        <f t="shared" si="22"/>
        <v/>
      </c>
      <c r="U35" s="89"/>
      <c r="V35" s="206" t="str">
        <f t="shared" si="23"/>
        <v>No Quote</v>
      </c>
      <c r="W35" s="207"/>
      <c r="X35" s="41"/>
      <c r="Y35" s="42" t="str">
        <f t="shared" si="24"/>
        <v/>
      </c>
      <c r="Z35" s="90"/>
      <c r="AA35" s="206" t="str">
        <f t="shared" si="25"/>
        <v>No Quote</v>
      </c>
      <c r="AB35" s="207"/>
      <c r="AC35" s="41"/>
      <c r="AD35" s="42" t="str">
        <f t="shared" si="26"/>
        <v/>
      </c>
      <c r="AE35" s="89"/>
      <c r="AF35" s="206" t="str">
        <f t="shared" si="27"/>
        <v>No Quote</v>
      </c>
      <c r="AG35" s="207"/>
      <c r="AH35" s="41"/>
      <c r="AI35" s="42" t="str">
        <f t="shared" si="28"/>
        <v/>
      </c>
      <c r="AJ35" s="89"/>
      <c r="AK35" s="206" t="str">
        <f t="shared" si="29"/>
        <v>No Quote</v>
      </c>
      <c r="AL35" s="207"/>
      <c r="AM35" s="41"/>
      <c r="AN35" s="42" t="str">
        <f t="shared" si="30"/>
        <v/>
      </c>
      <c r="AO35" s="89"/>
      <c r="AP35" s="206" t="str">
        <f t="shared" si="31"/>
        <v>No Quote</v>
      </c>
      <c r="AQ35" s="207"/>
      <c r="AR35" s="41"/>
      <c r="AS35" s="42" t="str">
        <f t="shared" si="32"/>
        <v/>
      </c>
      <c r="AT35" s="89"/>
      <c r="AU35" s="206" t="str">
        <f t="shared" si="33"/>
        <v>No Quote</v>
      </c>
      <c r="AV35" s="207"/>
      <c r="AW35" s="41"/>
      <c r="AX35" s="42" t="str">
        <f t="shared" si="34"/>
        <v/>
      </c>
      <c r="AY35" s="43"/>
      <c r="AZ35" s="206" t="str">
        <f t="shared" si="35"/>
        <v>No Quote</v>
      </c>
      <c r="BA35" s="207"/>
      <c r="BB35" s="41"/>
      <c r="BC35" s="42" t="str">
        <f t="shared" si="36"/>
        <v/>
      </c>
      <c r="BD35" s="43"/>
      <c r="BE35" s="208" t="str">
        <f t="shared" si="37"/>
        <v>No Quote</v>
      </c>
      <c r="BF35" s="209"/>
      <c r="BG35" s="87"/>
      <c r="BH35" s="93"/>
      <c r="BI35" s="63" t="str">
        <f t="shared" si="38"/>
        <v/>
      </c>
      <c r="BJ35" s="92"/>
      <c r="BK35" s="92" t="str">
        <f>IFERROR(IF(#REF!="","",#REF!),"")</f>
        <v/>
      </c>
      <c r="BL35" s="77" t="str">
        <f t="shared" si="7"/>
        <v>-</v>
      </c>
      <c r="BM35" s="77" t="str">
        <f t="shared" si="8"/>
        <v>-</v>
      </c>
      <c r="BN35" s="77" t="str">
        <f t="shared" si="9"/>
        <v>-</v>
      </c>
      <c r="BO35" s="77" t="str">
        <f t="shared" si="10"/>
        <v>-</v>
      </c>
      <c r="BP35" s="77" t="str">
        <f t="shared" si="11"/>
        <v>-</v>
      </c>
      <c r="BQ35" s="77" t="str">
        <f t="shared" si="12"/>
        <v>-</v>
      </c>
      <c r="BR35" s="77" t="str">
        <f t="shared" si="13"/>
        <v>-</v>
      </c>
      <c r="BS35" s="77" t="str">
        <f t="shared" si="14"/>
        <v>-</v>
      </c>
      <c r="BT35" s="77" t="str">
        <f t="shared" si="15"/>
        <v>-</v>
      </c>
      <c r="BU35" s="78" t="str">
        <f t="shared" si="39"/>
        <v/>
      </c>
      <c r="BV35" s="88" t="str">
        <f t="shared" si="16"/>
        <v>-</v>
      </c>
      <c r="BW35" s="74" t="str">
        <f t="shared" si="40"/>
        <v/>
      </c>
      <c r="BX35" s="72" t="str">
        <f t="shared" si="41"/>
        <v/>
      </c>
      <c r="BY35" s="71" t="str">
        <f t="shared" si="42"/>
        <v/>
      </c>
      <c r="BZ35" s="74" t="str">
        <f t="shared" si="43"/>
        <v/>
      </c>
      <c r="CA35" s="72" t="str">
        <f t="shared" si="44"/>
        <v/>
      </c>
      <c r="CB35" s="71" t="str">
        <f t="shared" si="45"/>
        <v/>
      </c>
      <c r="CC35" s="74" t="str">
        <f t="shared" si="17"/>
        <v/>
      </c>
      <c r="CE35" s="99">
        <f t="shared" si="46"/>
        <v>0</v>
      </c>
      <c r="CF35" s="100" t="str" cm="1">
        <f t="array" ref="CF35">IFERROR(INDEX(_xlfn.UNIQUE(_xlfn._xlws.FILTER($BW$22:$BW$50,($BW$22:$BW$50&lt;&gt;"")*($BW$22:$BW$50&lt;&gt;"-"))),ROWS($CF$22:CF35)),"")</f>
        <v/>
      </c>
    </row>
    <row r="36" spans="2:84" s="1" customFormat="1" ht="62.1" customHeight="1" outlineLevel="1" x14ac:dyDescent="0.25">
      <c r="B36" s="38">
        <f t="shared" si="47"/>
        <v>15</v>
      </c>
      <c r="C36" s="210"/>
      <c r="D36" s="210"/>
      <c r="E36" s="210"/>
      <c r="F36" s="210"/>
      <c r="G36" s="39"/>
      <c r="H36" s="40"/>
      <c r="I36" s="41"/>
      <c r="J36" s="42" t="str">
        <f t="shared" si="18"/>
        <v/>
      </c>
      <c r="K36" s="90"/>
      <c r="L36" s="206" t="str">
        <f t="shared" si="19"/>
        <v>No Quote</v>
      </c>
      <c r="M36" s="207"/>
      <c r="N36" s="41"/>
      <c r="O36" s="42" t="str">
        <f t="shared" si="20"/>
        <v/>
      </c>
      <c r="P36" s="90"/>
      <c r="Q36" s="206" t="str">
        <f t="shared" si="21"/>
        <v>No Quote</v>
      </c>
      <c r="R36" s="207"/>
      <c r="S36" s="41"/>
      <c r="T36" s="42" t="str">
        <f t="shared" si="22"/>
        <v/>
      </c>
      <c r="U36" s="89"/>
      <c r="V36" s="206" t="str">
        <f t="shared" si="23"/>
        <v>No Quote</v>
      </c>
      <c r="W36" s="207"/>
      <c r="X36" s="41"/>
      <c r="Y36" s="42" t="str">
        <f t="shared" si="24"/>
        <v/>
      </c>
      <c r="Z36" s="90"/>
      <c r="AA36" s="206" t="str">
        <f t="shared" si="25"/>
        <v>No Quote</v>
      </c>
      <c r="AB36" s="207"/>
      <c r="AC36" s="41"/>
      <c r="AD36" s="42" t="str">
        <f t="shared" si="26"/>
        <v/>
      </c>
      <c r="AE36" s="89"/>
      <c r="AF36" s="206" t="str">
        <f t="shared" si="27"/>
        <v>No Quote</v>
      </c>
      <c r="AG36" s="207"/>
      <c r="AH36" s="41"/>
      <c r="AI36" s="42" t="str">
        <f t="shared" si="28"/>
        <v/>
      </c>
      <c r="AJ36" s="89"/>
      <c r="AK36" s="206" t="str">
        <f t="shared" si="29"/>
        <v>No Quote</v>
      </c>
      <c r="AL36" s="207"/>
      <c r="AM36" s="41"/>
      <c r="AN36" s="42" t="str">
        <f t="shared" si="30"/>
        <v/>
      </c>
      <c r="AO36" s="89"/>
      <c r="AP36" s="206" t="str">
        <f t="shared" si="31"/>
        <v>No Quote</v>
      </c>
      <c r="AQ36" s="207"/>
      <c r="AR36" s="41"/>
      <c r="AS36" s="42" t="str">
        <f t="shared" si="32"/>
        <v/>
      </c>
      <c r="AT36" s="89"/>
      <c r="AU36" s="206" t="str">
        <f t="shared" si="33"/>
        <v>No Quote</v>
      </c>
      <c r="AV36" s="207"/>
      <c r="AW36" s="41"/>
      <c r="AX36" s="42" t="str">
        <f t="shared" si="34"/>
        <v/>
      </c>
      <c r="AY36" s="43"/>
      <c r="AZ36" s="206" t="str">
        <f t="shared" si="35"/>
        <v>No Quote</v>
      </c>
      <c r="BA36" s="207"/>
      <c r="BB36" s="41"/>
      <c r="BC36" s="42" t="str">
        <f t="shared" si="36"/>
        <v/>
      </c>
      <c r="BD36" s="43"/>
      <c r="BE36" s="208" t="str">
        <f t="shared" si="37"/>
        <v>No Quote</v>
      </c>
      <c r="BF36" s="209"/>
      <c r="BG36" s="87"/>
      <c r="BH36" s="93"/>
      <c r="BI36" s="63" t="str">
        <f t="shared" si="38"/>
        <v/>
      </c>
      <c r="BJ36" s="92"/>
      <c r="BK36" s="92" t="str">
        <f>IFERROR(IF(#REF!="","",#REF!),"")</f>
        <v/>
      </c>
      <c r="BL36" s="77" t="str">
        <f t="shared" si="7"/>
        <v>-</v>
      </c>
      <c r="BM36" s="77" t="str">
        <f t="shared" si="8"/>
        <v>-</v>
      </c>
      <c r="BN36" s="77" t="str">
        <f t="shared" si="9"/>
        <v>-</v>
      </c>
      <c r="BO36" s="77" t="str">
        <f t="shared" si="10"/>
        <v>-</v>
      </c>
      <c r="BP36" s="77" t="str">
        <f t="shared" si="11"/>
        <v>-</v>
      </c>
      <c r="BQ36" s="77" t="str">
        <f t="shared" si="12"/>
        <v>-</v>
      </c>
      <c r="BR36" s="77" t="str">
        <f t="shared" si="13"/>
        <v>-</v>
      </c>
      <c r="BS36" s="77" t="str">
        <f t="shared" si="14"/>
        <v>-</v>
      </c>
      <c r="BT36" s="77" t="str">
        <f t="shared" si="15"/>
        <v>-</v>
      </c>
      <c r="BU36" s="78" t="str">
        <f t="shared" si="39"/>
        <v/>
      </c>
      <c r="BV36" s="88" t="str">
        <f t="shared" si="16"/>
        <v>-</v>
      </c>
      <c r="BW36" s="74" t="str">
        <f t="shared" si="40"/>
        <v/>
      </c>
      <c r="BX36" s="72" t="str">
        <f t="shared" si="41"/>
        <v/>
      </c>
      <c r="BY36" s="71" t="str">
        <f t="shared" si="42"/>
        <v/>
      </c>
      <c r="BZ36" s="74" t="str">
        <f t="shared" si="43"/>
        <v/>
      </c>
      <c r="CA36" s="72" t="str">
        <f t="shared" si="44"/>
        <v/>
      </c>
      <c r="CB36" s="71" t="str">
        <f t="shared" si="45"/>
        <v/>
      </c>
      <c r="CC36" s="74" t="str">
        <f t="shared" si="17"/>
        <v/>
      </c>
      <c r="CE36" s="99">
        <f t="shared" si="46"/>
        <v>0</v>
      </c>
      <c r="CF36" s="100" t="str" cm="1">
        <f t="array" ref="CF36">IFERROR(INDEX(_xlfn.UNIQUE(_xlfn._xlws.FILTER($BW$22:$BW$50,($BW$22:$BW$50&lt;&gt;"")*($BW$22:$BW$50&lt;&gt;"-"))),ROWS($CF$22:CF36)),"")</f>
        <v/>
      </c>
    </row>
    <row r="37" spans="2:84" s="1" customFormat="1" ht="62.1" customHeight="1" outlineLevel="1" x14ac:dyDescent="0.25">
      <c r="B37" s="38">
        <f t="shared" si="47"/>
        <v>16</v>
      </c>
      <c r="C37" s="210"/>
      <c r="D37" s="210"/>
      <c r="E37" s="210"/>
      <c r="F37" s="210"/>
      <c r="G37" s="39"/>
      <c r="H37" s="40"/>
      <c r="I37" s="41"/>
      <c r="J37" s="42" t="str">
        <f t="shared" si="18"/>
        <v/>
      </c>
      <c r="K37" s="90"/>
      <c r="L37" s="206" t="str">
        <f t="shared" si="19"/>
        <v>No Quote</v>
      </c>
      <c r="M37" s="207"/>
      <c r="N37" s="41"/>
      <c r="O37" s="42" t="str">
        <f t="shared" si="20"/>
        <v/>
      </c>
      <c r="P37" s="90"/>
      <c r="Q37" s="206" t="str">
        <f t="shared" si="21"/>
        <v>No Quote</v>
      </c>
      <c r="R37" s="207"/>
      <c r="S37" s="41"/>
      <c r="T37" s="42" t="str">
        <f t="shared" si="22"/>
        <v/>
      </c>
      <c r="U37" s="89"/>
      <c r="V37" s="206" t="str">
        <f t="shared" si="23"/>
        <v>No Quote</v>
      </c>
      <c r="W37" s="207"/>
      <c r="X37" s="41"/>
      <c r="Y37" s="42" t="str">
        <f t="shared" si="24"/>
        <v/>
      </c>
      <c r="Z37" s="90"/>
      <c r="AA37" s="206" t="str">
        <f t="shared" si="25"/>
        <v>No Quote</v>
      </c>
      <c r="AB37" s="207"/>
      <c r="AC37" s="41"/>
      <c r="AD37" s="42" t="str">
        <f t="shared" si="26"/>
        <v/>
      </c>
      <c r="AE37" s="89"/>
      <c r="AF37" s="206" t="str">
        <f t="shared" si="27"/>
        <v>No Quote</v>
      </c>
      <c r="AG37" s="207"/>
      <c r="AH37" s="41"/>
      <c r="AI37" s="42" t="str">
        <f t="shared" si="28"/>
        <v/>
      </c>
      <c r="AJ37" s="89"/>
      <c r="AK37" s="206" t="str">
        <f t="shared" si="29"/>
        <v>No Quote</v>
      </c>
      <c r="AL37" s="207"/>
      <c r="AM37" s="41"/>
      <c r="AN37" s="42" t="str">
        <f t="shared" si="30"/>
        <v/>
      </c>
      <c r="AO37" s="89"/>
      <c r="AP37" s="206" t="str">
        <f t="shared" si="31"/>
        <v>No Quote</v>
      </c>
      <c r="AQ37" s="207"/>
      <c r="AR37" s="41"/>
      <c r="AS37" s="42" t="str">
        <f t="shared" si="32"/>
        <v/>
      </c>
      <c r="AT37" s="89"/>
      <c r="AU37" s="206" t="str">
        <f t="shared" si="33"/>
        <v>No Quote</v>
      </c>
      <c r="AV37" s="207"/>
      <c r="AW37" s="41"/>
      <c r="AX37" s="42" t="str">
        <f t="shared" si="34"/>
        <v/>
      </c>
      <c r="AY37" s="43"/>
      <c r="AZ37" s="206" t="str">
        <f t="shared" si="35"/>
        <v>No Quote</v>
      </c>
      <c r="BA37" s="207"/>
      <c r="BB37" s="41"/>
      <c r="BC37" s="42" t="str">
        <f t="shared" si="36"/>
        <v/>
      </c>
      <c r="BD37" s="43"/>
      <c r="BE37" s="208" t="str">
        <f t="shared" si="37"/>
        <v>No Quote</v>
      </c>
      <c r="BF37" s="209"/>
      <c r="BG37" s="87"/>
      <c r="BH37" s="93"/>
      <c r="BI37" s="63" t="str">
        <f t="shared" si="38"/>
        <v/>
      </c>
      <c r="BJ37" s="92"/>
      <c r="BK37" s="92" t="str">
        <f>IFERROR(IF(#REF!="","",#REF!),"")</f>
        <v/>
      </c>
      <c r="BL37" s="77" t="str">
        <f t="shared" si="7"/>
        <v>-</v>
      </c>
      <c r="BM37" s="77" t="str">
        <f t="shared" si="8"/>
        <v>-</v>
      </c>
      <c r="BN37" s="77" t="str">
        <f t="shared" si="9"/>
        <v>-</v>
      </c>
      <c r="BO37" s="77" t="str">
        <f t="shared" si="10"/>
        <v>-</v>
      </c>
      <c r="BP37" s="77" t="str">
        <f t="shared" si="11"/>
        <v>-</v>
      </c>
      <c r="BQ37" s="77" t="str">
        <f t="shared" si="12"/>
        <v>-</v>
      </c>
      <c r="BR37" s="77" t="str">
        <f t="shared" si="13"/>
        <v>-</v>
      </c>
      <c r="BS37" s="77" t="str">
        <f t="shared" si="14"/>
        <v>-</v>
      </c>
      <c r="BT37" s="77" t="str">
        <f t="shared" si="15"/>
        <v>-</v>
      </c>
      <c r="BU37" s="78" t="str">
        <f t="shared" si="39"/>
        <v/>
      </c>
      <c r="BV37" s="88" t="str">
        <f t="shared" si="16"/>
        <v>-</v>
      </c>
      <c r="BW37" s="74" t="str">
        <f t="shared" si="40"/>
        <v/>
      </c>
      <c r="BX37" s="72" t="str">
        <f t="shared" si="41"/>
        <v/>
      </c>
      <c r="BY37" s="71" t="str">
        <f t="shared" si="42"/>
        <v/>
      </c>
      <c r="BZ37" s="74" t="str">
        <f t="shared" si="43"/>
        <v/>
      </c>
      <c r="CA37" s="72" t="str">
        <f t="shared" si="44"/>
        <v/>
      </c>
      <c r="CB37" s="71" t="str">
        <f t="shared" si="45"/>
        <v/>
      </c>
      <c r="CC37" s="74" t="str">
        <f t="shared" si="17"/>
        <v/>
      </c>
      <c r="CE37" s="99">
        <f t="shared" si="46"/>
        <v>0</v>
      </c>
      <c r="CF37" s="100" t="str" cm="1">
        <f t="array" ref="CF37">IFERROR(INDEX(_xlfn.UNIQUE(_xlfn._xlws.FILTER($BW$22:$BW$50,($BW$22:$BW$50&lt;&gt;"")*($BW$22:$BW$50&lt;&gt;"-"))),ROWS($CF$22:CF37)),"")</f>
        <v/>
      </c>
    </row>
    <row r="38" spans="2:84" s="1" customFormat="1" ht="62.1" customHeight="1" outlineLevel="1" x14ac:dyDescent="0.25">
      <c r="B38" s="38">
        <f t="shared" si="47"/>
        <v>17</v>
      </c>
      <c r="C38" s="210"/>
      <c r="D38" s="210"/>
      <c r="E38" s="210"/>
      <c r="F38" s="210"/>
      <c r="G38" s="39"/>
      <c r="H38" s="40"/>
      <c r="I38" s="41"/>
      <c r="J38" s="42" t="str">
        <f t="shared" si="18"/>
        <v/>
      </c>
      <c r="K38" s="90"/>
      <c r="L38" s="206" t="str">
        <f t="shared" si="19"/>
        <v>No Quote</v>
      </c>
      <c r="M38" s="207"/>
      <c r="N38" s="41"/>
      <c r="O38" s="42" t="str">
        <f t="shared" si="20"/>
        <v/>
      </c>
      <c r="P38" s="90"/>
      <c r="Q38" s="206" t="str">
        <f t="shared" si="21"/>
        <v>No Quote</v>
      </c>
      <c r="R38" s="207"/>
      <c r="S38" s="41"/>
      <c r="T38" s="42" t="str">
        <f t="shared" si="22"/>
        <v/>
      </c>
      <c r="U38" s="89"/>
      <c r="V38" s="206" t="str">
        <f t="shared" si="23"/>
        <v>No Quote</v>
      </c>
      <c r="W38" s="207"/>
      <c r="X38" s="41"/>
      <c r="Y38" s="42" t="str">
        <f t="shared" si="24"/>
        <v/>
      </c>
      <c r="Z38" s="90"/>
      <c r="AA38" s="206" t="str">
        <f t="shared" si="25"/>
        <v>No Quote</v>
      </c>
      <c r="AB38" s="207"/>
      <c r="AC38" s="41"/>
      <c r="AD38" s="42" t="str">
        <f t="shared" si="26"/>
        <v/>
      </c>
      <c r="AE38" s="89"/>
      <c r="AF38" s="206" t="str">
        <f t="shared" si="27"/>
        <v>No Quote</v>
      </c>
      <c r="AG38" s="207"/>
      <c r="AH38" s="41"/>
      <c r="AI38" s="42" t="str">
        <f t="shared" si="28"/>
        <v/>
      </c>
      <c r="AJ38" s="89"/>
      <c r="AK38" s="206" t="str">
        <f t="shared" si="29"/>
        <v>No Quote</v>
      </c>
      <c r="AL38" s="207"/>
      <c r="AM38" s="41"/>
      <c r="AN38" s="42" t="str">
        <f t="shared" si="30"/>
        <v/>
      </c>
      <c r="AO38" s="89"/>
      <c r="AP38" s="206" t="str">
        <f t="shared" si="31"/>
        <v>No Quote</v>
      </c>
      <c r="AQ38" s="207"/>
      <c r="AR38" s="41"/>
      <c r="AS38" s="42" t="str">
        <f t="shared" si="32"/>
        <v/>
      </c>
      <c r="AT38" s="89"/>
      <c r="AU38" s="206" t="str">
        <f t="shared" si="33"/>
        <v>No Quote</v>
      </c>
      <c r="AV38" s="207"/>
      <c r="AW38" s="41"/>
      <c r="AX38" s="42" t="str">
        <f t="shared" si="34"/>
        <v/>
      </c>
      <c r="AY38" s="43"/>
      <c r="AZ38" s="206" t="str">
        <f t="shared" si="35"/>
        <v>No Quote</v>
      </c>
      <c r="BA38" s="207"/>
      <c r="BB38" s="41"/>
      <c r="BC38" s="42" t="str">
        <f t="shared" si="36"/>
        <v/>
      </c>
      <c r="BD38" s="43"/>
      <c r="BE38" s="208" t="str">
        <f t="shared" si="37"/>
        <v>No Quote</v>
      </c>
      <c r="BF38" s="209"/>
      <c r="BG38" s="87"/>
      <c r="BH38" s="93"/>
      <c r="BI38" s="63" t="str">
        <f t="shared" si="38"/>
        <v/>
      </c>
      <c r="BJ38" s="92"/>
      <c r="BK38" s="92" t="str">
        <f>IFERROR(IF(#REF!="","",#REF!),"")</f>
        <v/>
      </c>
      <c r="BL38" s="77" t="str">
        <f t="shared" si="7"/>
        <v>-</v>
      </c>
      <c r="BM38" s="77" t="str">
        <f t="shared" si="8"/>
        <v>-</v>
      </c>
      <c r="BN38" s="77" t="str">
        <f t="shared" si="9"/>
        <v>-</v>
      </c>
      <c r="BO38" s="77" t="str">
        <f t="shared" si="10"/>
        <v>-</v>
      </c>
      <c r="BP38" s="77" t="str">
        <f t="shared" si="11"/>
        <v>-</v>
      </c>
      <c r="BQ38" s="77" t="str">
        <f t="shared" si="12"/>
        <v>-</v>
      </c>
      <c r="BR38" s="77" t="str">
        <f t="shared" si="13"/>
        <v>-</v>
      </c>
      <c r="BS38" s="77" t="str">
        <f t="shared" si="14"/>
        <v>-</v>
      </c>
      <c r="BT38" s="77" t="str">
        <f t="shared" si="15"/>
        <v>-</v>
      </c>
      <c r="BU38" s="78" t="str">
        <f t="shared" si="39"/>
        <v/>
      </c>
      <c r="BV38" s="88" t="str">
        <f t="shared" si="16"/>
        <v>-</v>
      </c>
      <c r="BW38" s="74" t="str">
        <f t="shared" si="40"/>
        <v/>
      </c>
      <c r="BX38" s="72" t="str">
        <f t="shared" si="41"/>
        <v/>
      </c>
      <c r="BY38" s="71" t="str">
        <f t="shared" si="42"/>
        <v/>
      </c>
      <c r="BZ38" s="74" t="str">
        <f t="shared" si="43"/>
        <v/>
      </c>
      <c r="CA38" s="72" t="str">
        <f t="shared" si="44"/>
        <v/>
      </c>
      <c r="CB38" s="71" t="str">
        <f t="shared" si="45"/>
        <v/>
      </c>
      <c r="CC38" s="74" t="str">
        <f t="shared" si="17"/>
        <v/>
      </c>
      <c r="CE38" s="99">
        <f t="shared" si="46"/>
        <v>0</v>
      </c>
      <c r="CF38" s="100" t="str" cm="1">
        <f t="array" ref="CF38">IFERROR(INDEX(_xlfn.UNIQUE(_xlfn._xlws.FILTER($BW$22:$BW$50,($BW$22:$BW$50&lt;&gt;"")*($BW$22:$BW$50&lt;&gt;"-"))),ROWS($CF$22:CF38)),"")</f>
        <v/>
      </c>
    </row>
    <row r="39" spans="2:84" s="1" customFormat="1" ht="62.1" customHeight="1" outlineLevel="1" x14ac:dyDescent="0.25">
      <c r="B39" s="38">
        <f t="shared" si="47"/>
        <v>18</v>
      </c>
      <c r="C39" s="210"/>
      <c r="D39" s="210"/>
      <c r="E39" s="210"/>
      <c r="F39" s="210"/>
      <c r="G39" s="39"/>
      <c r="H39" s="40"/>
      <c r="I39" s="41"/>
      <c r="J39" s="42" t="str">
        <f t="shared" si="18"/>
        <v/>
      </c>
      <c r="K39" s="90"/>
      <c r="L39" s="206" t="str">
        <f t="shared" si="19"/>
        <v>No Quote</v>
      </c>
      <c r="M39" s="207"/>
      <c r="N39" s="41"/>
      <c r="O39" s="42" t="str">
        <f t="shared" si="20"/>
        <v/>
      </c>
      <c r="P39" s="90"/>
      <c r="Q39" s="206" t="str">
        <f t="shared" si="21"/>
        <v>No Quote</v>
      </c>
      <c r="R39" s="207"/>
      <c r="S39" s="41"/>
      <c r="T39" s="42" t="str">
        <f t="shared" si="22"/>
        <v/>
      </c>
      <c r="U39" s="89"/>
      <c r="V39" s="206" t="str">
        <f t="shared" si="23"/>
        <v>No Quote</v>
      </c>
      <c r="W39" s="207"/>
      <c r="X39" s="41"/>
      <c r="Y39" s="42" t="str">
        <f t="shared" si="24"/>
        <v/>
      </c>
      <c r="Z39" s="90"/>
      <c r="AA39" s="206" t="str">
        <f t="shared" si="25"/>
        <v>No Quote</v>
      </c>
      <c r="AB39" s="207"/>
      <c r="AC39" s="41"/>
      <c r="AD39" s="42" t="str">
        <f t="shared" si="26"/>
        <v/>
      </c>
      <c r="AE39" s="89"/>
      <c r="AF39" s="206" t="str">
        <f t="shared" si="27"/>
        <v>No Quote</v>
      </c>
      <c r="AG39" s="207"/>
      <c r="AH39" s="41"/>
      <c r="AI39" s="42" t="str">
        <f t="shared" si="28"/>
        <v/>
      </c>
      <c r="AJ39" s="89"/>
      <c r="AK39" s="206" t="str">
        <f t="shared" si="29"/>
        <v>No Quote</v>
      </c>
      <c r="AL39" s="207"/>
      <c r="AM39" s="41"/>
      <c r="AN39" s="42" t="str">
        <f t="shared" si="30"/>
        <v/>
      </c>
      <c r="AO39" s="89"/>
      <c r="AP39" s="206" t="str">
        <f t="shared" si="31"/>
        <v>No Quote</v>
      </c>
      <c r="AQ39" s="207"/>
      <c r="AR39" s="41"/>
      <c r="AS39" s="42" t="str">
        <f t="shared" si="32"/>
        <v/>
      </c>
      <c r="AT39" s="89"/>
      <c r="AU39" s="206" t="str">
        <f t="shared" si="33"/>
        <v>No Quote</v>
      </c>
      <c r="AV39" s="207"/>
      <c r="AW39" s="41"/>
      <c r="AX39" s="42" t="str">
        <f t="shared" si="34"/>
        <v/>
      </c>
      <c r="AY39" s="43"/>
      <c r="AZ39" s="206" t="str">
        <f t="shared" si="35"/>
        <v>No Quote</v>
      </c>
      <c r="BA39" s="207"/>
      <c r="BB39" s="41"/>
      <c r="BC39" s="42" t="str">
        <f t="shared" si="36"/>
        <v/>
      </c>
      <c r="BD39" s="43"/>
      <c r="BE39" s="208" t="str">
        <f t="shared" si="37"/>
        <v>No Quote</v>
      </c>
      <c r="BF39" s="209"/>
      <c r="BG39" s="87"/>
      <c r="BH39" s="93"/>
      <c r="BI39" s="63" t="str">
        <f t="shared" si="38"/>
        <v/>
      </c>
      <c r="BJ39" s="92"/>
      <c r="BK39" s="92" t="str">
        <f>IFERROR(IF(#REF!="","",#REF!),"")</f>
        <v/>
      </c>
      <c r="BL39" s="77" t="str">
        <f t="shared" si="7"/>
        <v>-</v>
      </c>
      <c r="BM39" s="77" t="str">
        <f t="shared" si="8"/>
        <v>-</v>
      </c>
      <c r="BN39" s="77" t="str">
        <f t="shared" si="9"/>
        <v>-</v>
      </c>
      <c r="BO39" s="77" t="str">
        <f t="shared" si="10"/>
        <v>-</v>
      </c>
      <c r="BP39" s="77" t="str">
        <f t="shared" si="11"/>
        <v>-</v>
      </c>
      <c r="BQ39" s="77" t="str">
        <f t="shared" si="12"/>
        <v>-</v>
      </c>
      <c r="BR39" s="77" t="str">
        <f t="shared" si="13"/>
        <v>-</v>
      </c>
      <c r="BS39" s="77" t="str">
        <f t="shared" si="14"/>
        <v>-</v>
      </c>
      <c r="BT39" s="77" t="str">
        <f t="shared" si="15"/>
        <v>-</v>
      </c>
      <c r="BU39" s="78" t="str">
        <f t="shared" si="39"/>
        <v/>
      </c>
      <c r="BV39" s="88" t="str">
        <f t="shared" si="16"/>
        <v>-</v>
      </c>
      <c r="BW39" s="74" t="str">
        <f t="shared" si="40"/>
        <v/>
      </c>
      <c r="BX39" s="72" t="str">
        <f t="shared" si="41"/>
        <v/>
      </c>
      <c r="BY39" s="71" t="str">
        <f t="shared" si="42"/>
        <v/>
      </c>
      <c r="BZ39" s="74" t="str">
        <f t="shared" si="43"/>
        <v/>
      </c>
      <c r="CA39" s="72" t="str">
        <f t="shared" si="44"/>
        <v/>
      </c>
      <c r="CB39" s="71" t="str">
        <f t="shared" si="45"/>
        <v/>
      </c>
      <c r="CC39" s="74" t="str">
        <f t="shared" si="17"/>
        <v/>
      </c>
      <c r="CE39" s="99">
        <f t="shared" si="46"/>
        <v>0</v>
      </c>
      <c r="CF39" s="100" t="str" cm="1">
        <f t="array" ref="CF39">IFERROR(INDEX(_xlfn.UNIQUE(_xlfn._xlws.FILTER($BW$22:$BW$50,($BW$22:$BW$50&lt;&gt;"")*($BW$22:$BW$50&lt;&gt;"-"))),ROWS($CF$22:CF39)),"")</f>
        <v/>
      </c>
    </row>
    <row r="40" spans="2:84" s="1" customFormat="1" ht="62.1" customHeight="1" outlineLevel="1" x14ac:dyDescent="0.25">
      <c r="B40" s="38">
        <f t="shared" si="47"/>
        <v>19</v>
      </c>
      <c r="C40" s="210"/>
      <c r="D40" s="210"/>
      <c r="E40" s="210"/>
      <c r="F40" s="210"/>
      <c r="G40" s="39"/>
      <c r="H40" s="40"/>
      <c r="I40" s="41"/>
      <c r="J40" s="42" t="str">
        <f t="shared" si="18"/>
        <v/>
      </c>
      <c r="K40" s="90"/>
      <c r="L40" s="206" t="str">
        <f t="shared" si="19"/>
        <v>No Quote</v>
      </c>
      <c r="M40" s="207"/>
      <c r="N40" s="41"/>
      <c r="O40" s="42" t="str">
        <f t="shared" si="20"/>
        <v/>
      </c>
      <c r="P40" s="90"/>
      <c r="Q40" s="206" t="str">
        <f t="shared" si="21"/>
        <v>No Quote</v>
      </c>
      <c r="R40" s="207"/>
      <c r="S40" s="41"/>
      <c r="T40" s="42" t="str">
        <f t="shared" si="22"/>
        <v/>
      </c>
      <c r="U40" s="89"/>
      <c r="V40" s="206" t="str">
        <f t="shared" si="23"/>
        <v>No Quote</v>
      </c>
      <c r="W40" s="207"/>
      <c r="X40" s="41"/>
      <c r="Y40" s="42" t="str">
        <f t="shared" si="24"/>
        <v/>
      </c>
      <c r="Z40" s="90"/>
      <c r="AA40" s="206" t="str">
        <f t="shared" si="25"/>
        <v>No Quote</v>
      </c>
      <c r="AB40" s="207"/>
      <c r="AC40" s="41"/>
      <c r="AD40" s="42" t="str">
        <f t="shared" si="26"/>
        <v/>
      </c>
      <c r="AE40" s="89"/>
      <c r="AF40" s="206" t="str">
        <f t="shared" si="27"/>
        <v>No Quote</v>
      </c>
      <c r="AG40" s="207"/>
      <c r="AH40" s="41"/>
      <c r="AI40" s="42" t="str">
        <f t="shared" si="28"/>
        <v/>
      </c>
      <c r="AJ40" s="89"/>
      <c r="AK40" s="206" t="str">
        <f t="shared" si="29"/>
        <v>No Quote</v>
      </c>
      <c r="AL40" s="207"/>
      <c r="AM40" s="41"/>
      <c r="AN40" s="42" t="str">
        <f t="shared" si="30"/>
        <v/>
      </c>
      <c r="AO40" s="89"/>
      <c r="AP40" s="206" t="str">
        <f t="shared" si="31"/>
        <v>No Quote</v>
      </c>
      <c r="AQ40" s="207"/>
      <c r="AR40" s="41"/>
      <c r="AS40" s="42" t="str">
        <f t="shared" si="32"/>
        <v/>
      </c>
      <c r="AT40" s="89"/>
      <c r="AU40" s="206" t="str">
        <f t="shared" si="33"/>
        <v>No Quote</v>
      </c>
      <c r="AV40" s="207"/>
      <c r="AW40" s="41"/>
      <c r="AX40" s="42" t="str">
        <f t="shared" si="34"/>
        <v/>
      </c>
      <c r="AY40" s="43"/>
      <c r="AZ40" s="206" t="str">
        <f t="shared" si="35"/>
        <v>No Quote</v>
      </c>
      <c r="BA40" s="207"/>
      <c r="BB40" s="41"/>
      <c r="BC40" s="42" t="str">
        <f t="shared" si="36"/>
        <v/>
      </c>
      <c r="BD40" s="43"/>
      <c r="BE40" s="208" t="str">
        <f t="shared" si="37"/>
        <v>No Quote</v>
      </c>
      <c r="BF40" s="209"/>
      <c r="BG40" s="87"/>
      <c r="BH40" s="93"/>
      <c r="BI40" s="63" t="str">
        <f t="shared" si="38"/>
        <v/>
      </c>
      <c r="BJ40" s="92"/>
      <c r="BK40" s="92" t="str">
        <f>IFERROR(IF(#REF!="","",#REF!),"")</f>
        <v/>
      </c>
      <c r="BL40" s="77" t="str">
        <f t="shared" si="7"/>
        <v>-</v>
      </c>
      <c r="BM40" s="77" t="str">
        <f t="shared" si="8"/>
        <v>-</v>
      </c>
      <c r="BN40" s="77" t="str">
        <f t="shared" si="9"/>
        <v>-</v>
      </c>
      <c r="BO40" s="77" t="str">
        <f t="shared" si="10"/>
        <v>-</v>
      </c>
      <c r="BP40" s="77" t="str">
        <f t="shared" si="11"/>
        <v>-</v>
      </c>
      <c r="BQ40" s="77" t="str">
        <f t="shared" si="12"/>
        <v>-</v>
      </c>
      <c r="BR40" s="77" t="str">
        <f t="shared" si="13"/>
        <v>-</v>
      </c>
      <c r="BS40" s="77" t="str">
        <f t="shared" si="14"/>
        <v>-</v>
      </c>
      <c r="BT40" s="77" t="str">
        <f t="shared" si="15"/>
        <v>-</v>
      </c>
      <c r="BU40" s="78" t="str">
        <f t="shared" si="39"/>
        <v/>
      </c>
      <c r="BV40" s="88" t="str">
        <f t="shared" si="16"/>
        <v>-</v>
      </c>
      <c r="BW40" s="74" t="str">
        <f t="shared" si="40"/>
        <v/>
      </c>
      <c r="BX40" s="72" t="str">
        <f t="shared" si="41"/>
        <v/>
      </c>
      <c r="BY40" s="71" t="str">
        <f t="shared" si="42"/>
        <v/>
      </c>
      <c r="BZ40" s="74" t="str">
        <f t="shared" si="43"/>
        <v/>
      </c>
      <c r="CA40" s="72" t="str">
        <f t="shared" si="44"/>
        <v/>
      </c>
      <c r="CB40" s="71" t="str">
        <f t="shared" si="45"/>
        <v/>
      </c>
      <c r="CC40" s="74" t="str">
        <f t="shared" si="17"/>
        <v/>
      </c>
      <c r="CE40" s="99">
        <f t="shared" si="46"/>
        <v>0</v>
      </c>
      <c r="CF40" s="100" t="str" cm="1">
        <f t="array" ref="CF40">IFERROR(INDEX(_xlfn.UNIQUE(_xlfn._xlws.FILTER($BW$22:$BW$50,($BW$22:$BW$50&lt;&gt;"")*($BW$22:$BW$50&lt;&gt;"-"))),ROWS($CF$22:CF40)),"")</f>
        <v/>
      </c>
    </row>
    <row r="41" spans="2:84" s="1" customFormat="1" ht="62.1" customHeight="1" outlineLevel="1" x14ac:dyDescent="0.25">
      <c r="B41" s="38">
        <f t="shared" si="47"/>
        <v>20</v>
      </c>
      <c r="C41" s="210"/>
      <c r="D41" s="210"/>
      <c r="E41" s="210"/>
      <c r="F41" s="210"/>
      <c r="G41" s="39"/>
      <c r="H41" s="40"/>
      <c r="I41" s="41"/>
      <c r="J41" s="42" t="str">
        <f t="shared" si="18"/>
        <v/>
      </c>
      <c r="K41" s="90"/>
      <c r="L41" s="206" t="str">
        <f t="shared" si="19"/>
        <v>No Quote</v>
      </c>
      <c r="M41" s="207"/>
      <c r="N41" s="41"/>
      <c r="O41" s="42" t="str">
        <f t="shared" si="20"/>
        <v/>
      </c>
      <c r="P41" s="90"/>
      <c r="Q41" s="206" t="str">
        <f t="shared" si="21"/>
        <v>No Quote</v>
      </c>
      <c r="R41" s="207"/>
      <c r="S41" s="41"/>
      <c r="T41" s="42" t="str">
        <f t="shared" si="22"/>
        <v/>
      </c>
      <c r="U41" s="89"/>
      <c r="V41" s="206" t="str">
        <f t="shared" si="23"/>
        <v>No Quote</v>
      </c>
      <c r="W41" s="207"/>
      <c r="X41" s="41"/>
      <c r="Y41" s="42" t="str">
        <f t="shared" si="24"/>
        <v/>
      </c>
      <c r="Z41" s="90"/>
      <c r="AA41" s="206" t="str">
        <f t="shared" si="25"/>
        <v>No Quote</v>
      </c>
      <c r="AB41" s="207"/>
      <c r="AC41" s="41"/>
      <c r="AD41" s="42" t="str">
        <f t="shared" si="26"/>
        <v/>
      </c>
      <c r="AE41" s="89"/>
      <c r="AF41" s="206" t="str">
        <f t="shared" si="27"/>
        <v>No Quote</v>
      </c>
      <c r="AG41" s="207"/>
      <c r="AH41" s="41"/>
      <c r="AI41" s="42" t="str">
        <f t="shared" si="28"/>
        <v/>
      </c>
      <c r="AJ41" s="89"/>
      <c r="AK41" s="206" t="str">
        <f t="shared" si="29"/>
        <v>No Quote</v>
      </c>
      <c r="AL41" s="207"/>
      <c r="AM41" s="41"/>
      <c r="AN41" s="42" t="str">
        <f t="shared" si="30"/>
        <v/>
      </c>
      <c r="AO41" s="89"/>
      <c r="AP41" s="206" t="str">
        <f t="shared" si="31"/>
        <v>No Quote</v>
      </c>
      <c r="AQ41" s="207"/>
      <c r="AR41" s="41"/>
      <c r="AS41" s="42" t="str">
        <f t="shared" si="32"/>
        <v/>
      </c>
      <c r="AT41" s="89"/>
      <c r="AU41" s="206" t="str">
        <f t="shared" si="33"/>
        <v>No Quote</v>
      </c>
      <c r="AV41" s="207"/>
      <c r="AW41" s="41"/>
      <c r="AX41" s="42" t="str">
        <f t="shared" si="34"/>
        <v/>
      </c>
      <c r="AY41" s="43"/>
      <c r="AZ41" s="206" t="str">
        <f t="shared" si="35"/>
        <v>No Quote</v>
      </c>
      <c r="BA41" s="207"/>
      <c r="BB41" s="41"/>
      <c r="BC41" s="42" t="str">
        <f t="shared" si="36"/>
        <v/>
      </c>
      <c r="BD41" s="43"/>
      <c r="BE41" s="208" t="str">
        <f t="shared" si="37"/>
        <v>No Quote</v>
      </c>
      <c r="BF41" s="209"/>
      <c r="BG41" s="87"/>
      <c r="BH41" s="93"/>
      <c r="BI41" s="63" t="str">
        <f t="shared" si="38"/>
        <v/>
      </c>
      <c r="BJ41" s="92"/>
      <c r="BK41" s="92" t="str">
        <f>IFERROR(IF(#REF!="","",#REF!),"")</f>
        <v/>
      </c>
      <c r="BL41" s="77" t="str">
        <f t="shared" si="7"/>
        <v>-</v>
      </c>
      <c r="BM41" s="77" t="str">
        <f t="shared" si="8"/>
        <v>-</v>
      </c>
      <c r="BN41" s="77" t="str">
        <f t="shared" si="9"/>
        <v>-</v>
      </c>
      <c r="BO41" s="77" t="str">
        <f t="shared" si="10"/>
        <v>-</v>
      </c>
      <c r="BP41" s="77" t="str">
        <f t="shared" si="11"/>
        <v>-</v>
      </c>
      <c r="BQ41" s="77" t="str">
        <f t="shared" si="12"/>
        <v>-</v>
      </c>
      <c r="BR41" s="77" t="str">
        <f t="shared" si="13"/>
        <v>-</v>
      </c>
      <c r="BS41" s="77" t="str">
        <f t="shared" si="14"/>
        <v>-</v>
      </c>
      <c r="BT41" s="77" t="str">
        <f t="shared" si="15"/>
        <v>-</v>
      </c>
      <c r="BU41" s="78" t="str">
        <f t="shared" si="39"/>
        <v/>
      </c>
      <c r="BV41" s="88" t="str">
        <f t="shared" si="16"/>
        <v>-</v>
      </c>
      <c r="BW41" s="74" t="str">
        <f t="shared" si="40"/>
        <v/>
      </c>
      <c r="BX41" s="72" t="str">
        <f t="shared" si="41"/>
        <v/>
      </c>
      <c r="BY41" s="71" t="str">
        <f t="shared" si="42"/>
        <v/>
      </c>
      <c r="BZ41" s="74" t="str">
        <f t="shared" si="43"/>
        <v/>
      </c>
      <c r="CA41" s="72" t="str">
        <f t="shared" si="44"/>
        <v/>
      </c>
      <c r="CB41" s="71" t="str">
        <f t="shared" si="45"/>
        <v/>
      </c>
      <c r="CC41" s="74" t="str">
        <f t="shared" si="17"/>
        <v/>
      </c>
      <c r="CE41" s="99">
        <f t="shared" si="46"/>
        <v>0</v>
      </c>
      <c r="CF41" s="100" t="str" cm="1">
        <f t="array" ref="CF41">IFERROR(INDEX(_xlfn.UNIQUE(_xlfn._xlws.FILTER($BW$22:$BW$50,($BW$22:$BW$50&lt;&gt;"")*($BW$22:$BW$50&lt;&gt;"-"))),ROWS($CF$22:CF41)),"")</f>
        <v/>
      </c>
    </row>
    <row r="42" spans="2:84" s="1" customFormat="1" ht="62.1" customHeight="1" outlineLevel="1" x14ac:dyDescent="0.25">
      <c r="B42" s="38">
        <f t="shared" si="47"/>
        <v>21</v>
      </c>
      <c r="C42" s="210"/>
      <c r="D42" s="210"/>
      <c r="E42" s="210"/>
      <c r="F42" s="210"/>
      <c r="G42" s="39"/>
      <c r="H42" s="40"/>
      <c r="I42" s="41"/>
      <c r="J42" s="42" t="str">
        <f t="shared" si="18"/>
        <v/>
      </c>
      <c r="K42" s="90"/>
      <c r="L42" s="206" t="str">
        <f t="shared" si="19"/>
        <v>No Quote</v>
      </c>
      <c r="M42" s="207"/>
      <c r="N42" s="41"/>
      <c r="O42" s="42" t="str">
        <f t="shared" si="20"/>
        <v/>
      </c>
      <c r="P42" s="90"/>
      <c r="Q42" s="206" t="str">
        <f t="shared" si="21"/>
        <v>No Quote</v>
      </c>
      <c r="R42" s="207"/>
      <c r="S42" s="41"/>
      <c r="T42" s="42" t="str">
        <f t="shared" si="22"/>
        <v/>
      </c>
      <c r="U42" s="89"/>
      <c r="V42" s="206" t="str">
        <f t="shared" si="23"/>
        <v>No Quote</v>
      </c>
      <c r="W42" s="207"/>
      <c r="X42" s="41"/>
      <c r="Y42" s="42" t="str">
        <f t="shared" si="24"/>
        <v/>
      </c>
      <c r="Z42" s="90"/>
      <c r="AA42" s="206" t="str">
        <f t="shared" si="25"/>
        <v>No Quote</v>
      </c>
      <c r="AB42" s="207"/>
      <c r="AC42" s="41"/>
      <c r="AD42" s="42" t="str">
        <f t="shared" si="26"/>
        <v/>
      </c>
      <c r="AE42" s="89"/>
      <c r="AF42" s="206" t="str">
        <f t="shared" si="27"/>
        <v>No Quote</v>
      </c>
      <c r="AG42" s="207"/>
      <c r="AH42" s="41"/>
      <c r="AI42" s="42" t="str">
        <f t="shared" si="28"/>
        <v/>
      </c>
      <c r="AJ42" s="89"/>
      <c r="AK42" s="206" t="str">
        <f t="shared" si="29"/>
        <v>No Quote</v>
      </c>
      <c r="AL42" s="207"/>
      <c r="AM42" s="41"/>
      <c r="AN42" s="42" t="str">
        <f t="shared" si="30"/>
        <v/>
      </c>
      <c r="AO42" s="89"/>
      <c r="AP42" s="206" t="str">
        <f t="shared" si="31"/>
        <v>No Quote</v>
      </c>
      <c r="AQ42" s="207"/>
      <c r="AR42" s="41"/>
      <c r="AS42" s="42" t="str">
        <f t="shared" si="32"/>
        <v/>
      </c>
      <c r="AT42" s="89"/>
      <c r="AU42" s="206" t="str">
        <f t="shared" si="33"/>
        <v>No Quote</v>
      </c>
      <c r="AV42" s="207"/>
      <c r="AW42" s="41"/>
      <c r="AX42" s="42" t="str">
        <f t="shared" si="34"/>
        <v/>
      </c>
      <c r="AY42" s="43"/>
      <c r="AZ42" s="206" t="str">
        <f t="shared" si="35"/>
        <v>No Quote</v>
      </c>
      <c r="BA42" s="207"/>
      <c r="BB42" s="41"/>
      <c r="BC42" s="42" t="str">
        <f t="shared" si="36"/>
        <v/>
      </c>
      <c r="BD42" s="43"/>
      <c r="BE42" s="208" t="str">
        <f t="shared" si="37"/>
        <v>No Quote</v>
      </c>
      <c r="BF42" s="209"/>
      <c r="BG42" s="87"/>
      <c r="BH42" s="93"/>
      <c r="BI42" s="63" t="str">
        <f t="shared" si="38"/>
        <v/>
      </c>
      <c r="BJ42" s="92"/>
      <c r="BK42" s="92" t="str">
        <f>IFERROR(IF(#REF!="","",#REF!),"")</f>
        <v/>
      </c>
      <c r="BL42" s="77" t="str">
        <f t="shared" si="7"/>
        <v>-</v>
      </c>
      <c r="BM42" s="77" t="str">
        <f t="shared" si="8"/>
        <v>-</v>
      </c>
      <c r="BN42" s="77" t="str">
        <f t="shared" si="9"/>
        <v>-</v>
      </c>
      <c r="BO42" s="77" t="str">
        <f t="shared" si="10"/>
        <v>-</v>
      </c>
      <c r="BP42" s="77" t="str">
        <f t="shared" si="11"/>
        <v>-</v>
      </c>
      <c r="BQ42" s="77" t="str">
        <f t="shared" si="12"/>
        <v>-</v>
      </c>
      <c r="BR42" s="77" t="str">
        <f t="shared" si="13"/>
        <v>-</v>
      </c>
      <c r="BS42" s="77" t="str">
        <f t="shared" si="14"/>
        <v>-</v>
      </c>
      <c r="BT42" s="77" t="str">
        <f t="shared" si="15"/>
        <v>-</v>
      </c>
      <c r="BU42" s="78" t="str">
        <f t="shared" si="39"/>
        <v/>
      </c>
      <c r="BV42" s="88" t="str">
        <f t="shared" si="16"/>
        <v>-</v>
      </c>
      <c r="BW42" s="74" t="str">
        <f t="shared" si="40"/>
        <v/>
      </c>
      <c r="BX42" s="72" t="str">
        <f t="shared" si="41"/>
        <v/>
      </c>
      <c r="BY42" s="71" t="str">
        <f t="shared" si="42"/>
        <v/>
      </c>
      <c r="BZ42" s="74" t="str">
        <f t="shared" si="43"/>
        <v/>
      </c>
      <c r="CA42" s="72" t="str">
        <f t="shared" si="44"/>
        <v/>
      </c>
      <c r="CB42" s="71" t="str">
        <f t="shared" si="45"/>
        <v/>
      </c>
      <c r="CC42" s="74" t="str">
        <f t="shared" si="17"/>
        <v/>
      </c>
      <c r="CE42" s="99">
        <f t="shared" si="46"/>
        <v>0</v>
      </c>
      <c r="CF42" s="100" t="str" cm="1">
        <f t="array" ref="CF42">IFERROR(INDEX(_xlfn.UNIQUE(_xlfn._xlws.FILTER($BW$22:$BW$50,($BW$22:$BW$50&lt;&gt;"")*($BW$22:$BW$50&lt;&gt;"-"))),ROWS($CF$22:CF42)),"")</f>
        <v/>
      </c>
    </row>
    <row r="43" spans="2:84" s="1" customFormat="1" ht="62.1" customHeight="1" outlineLevel="1" x14ac:dyDescent="0.25">
      <c r="B43" s="38">
        <f t="shared" si="47"/>
        <v>22</v>
      </c>
      <c r="C43" s="210"/>
      <c r="D43" s="210"/>
      <c r="E43" s="210"/>
      <c r="F43" s="210"/>
      <c r="G43" s="39"/>
      <c r="H43" s="40"/>
      <c r="I43" s="41"/>
      <c r="J43" s="42" t="str">
        <f t="shared" si="18"/>
        <v/>
      </c>
      <c r="K43" s="90"/>
      <c r="L43" s="206" t="str">
        <f t="shared" si="19"/>
        <v>No Quote</v>
      </c>
      <c r="M43" s="207"/>
      <c r="N43" s="41"/>
      <c r="O43" s="42" t="str">
        <f t="shared" si="20"/>
        <v/>
      </c>
      <c r="P43" s="90"/>
      <c r="Q43" s="206" t="str">
        <f t="shared" si="21"/>
        <v>No Quote</v>
      </c>
      <c r="R43" s="207"/>
      <c r="S43" s="41"/>
      <c r="T43" s="42" t="str">
        <f t="shared" si="22"/>
        <v/>
      </c>
      <c r="U43" s="89"/>
      <c r="V43" s="206" t="str">
        <f t="shared" si="23"/>
        <v>No Quote</v>
      </c>
      <c r="W43" s="207"/>
      <c r="X43" s="41"/>
      <c r="Y43" s="42" t="str">
        <f t="shared" si="24"/>
        <v/>
      </c>
      <c r="Z43" s="90"/>
      <c r="AA43" s="206" t="str">
        <f t="shared" si="25"/>
        <v>No Quote</v>
      </c>
      <c r="AB43" s="207"/>
      <c r="AC43" s="41"/>
      <c r="AD43" s="42" t="str">
        <f t="shared" si="26"/>
        <v/>
      </c>
      <c r="AE43" s="89"/>
      <c r="AF43" s="206" t="str">
        <f t="shared" si="27"/>
        <v>No Quote</v>
      </c>
      <c r="AG43" s="207"/>
      <c r="AH43" s="41"/>
      <c r="AI43" s="42" t="str">
        <f t="shared" si="28"/>
        <v/>
      </c>
      <c r="AJ43" s="89"/>
      <c r="AK43" s="206" t="str">
        <f t="shared" si="29"/>
        <v>No Quote</v>
      </c>
      <c r="AL43" s="207"/>
      <c r="AM43" s="41"/>
      <c r="AN43" s="42" t="str">
        <f t="shared" si="30"/>
        <v/>
      </c>
      <c r="AO43" s="89"/>
      <c r="AP43" s="206" t="str">
        <f t="shared" si="31"/>
        <v>No Quote</v>
      </c>
      <c r="AQ43" s="207"/>
      <c r="AR43" s="41"/>
      <c r="AS43" s="42" t="str">
        <f t="shared" si="32"/>
        <v/>
      </c>
      <c r="AT43" s="89"/>
      <c r="AU43" s="206" t="str">
        <f t="shared" si="33"/>
        <v>No Quote</v>
      </c>
      <c r="AV43" s="207"/>
      <c r="AW43" s="41"/>
      <c r="AX43" s="42" t="str">
        <f t="shared" si="34"/>
        <v/>
      </c>
      <c r="AY43" s="43"/>
      <c r="AZ43" s="206" t="str">
        <f t="shared" si="35"/>
        <v>No Quote</v>
      </c>
      <c r="BA43" s="207"/>
      <c r="BB43" s="41"/>
      <c r="BC43" s="42" t="str">
        <f t="shared" si="36"/>
        <v/>
      </c>
      <c r="BD43" s="43"/>
      <c r="BE43" s="208" t="str">
        <f t="shared" si="37"/>
        <v>No Quote</v>
      </c>
      <c r="BF43" s="209"/>
      <c r="BG43" s="87"/>
      <c r="BH43" s="93"/>
      <c r="BI43" s="63" t="str">
        <f t="shared" si="38"/>
        <v/>
      </c>
      <c r="BJ43" s="92"/>
      <c r="BK43" s="92" t="str">
        <f>IFERROR(IF(#REF!="","",#REF!),"")</f>
        <v/>
      </c>
      <c r="BL43" s="77" t="str">
        <f t="shared" si="7"/>
        <v>-</v>
      </c>
      <c r="BM43" s="77" t="str">
        <f t="shared" si="8"/>
        <v>-</v>
      </c>
      <c r="BN43" s="77" t="str">
        <f t="shared" si="9"/>
        <v>-</v>
      </c>
      <c r="BO43" s="77" t="str">
        <f t="shared" si="10"/>
        <v>-</v>
      </c>
      <c r="BP43" s="77" t="str">
        <f t="shared" si="11"/>
        <v>-</v>
      </c>
      <c r="BQ43" s="77" t="str">
        <f t="shared" si="12"/>
        <v>-</v>
      </c>
      <c r="BR43" s="77" t="str">
        <f t="shared" si="13"/>
        <v>-</v>
      </c>
      <c r="BS43" s="77" t="str">
        <f t="shared" si="14"/>
        <v>-</v>
      </c>
      <c r="BT43" s="77" t="str">
        <f t="shared" si="15"/>
        <v>-</v>
      </c>
      <c r="BU43" s="78" t="str">
        <f t="shared" si="39"/>
        <v/>
      </c>
      <c r="BV43" s="88" t="str">
        <f t="shared" si="16"/>
        <v>-</v>
      </c>
      <c r="BW43" s="74" t="str">
        <f t="shared" si="40"/>
        <v/>
      </c>
      <c r="BX43" s="72" t="str">
        <f t="shared" si="41"/>
        <v/>
      </c>
      <c r="BY43" s="71" t="str">
        <f t="shared" si="42"/>
        <v/>
      </c>
      <c r="BZ43" s="74" t="str">
        <f t="shared" si="43"/>
        <v/>
      </c>
      <c r="CA43" s="72" t="str">
        <f t="shared" si="44"/>
        <v/>
      </c>
      <c r="CB43" s="71" t="str">
        <f t="shared" si="45"/>
        <v/>
      </c>
      <c r="CC43" s="74" t="str">
        <f t="shared" si="17"/>
        <v/>
      </c>
      <c r="CE43" s="99">
        <f t="shared" si="46"/>
        <v>0</v>
      </c>
      <c r="CF43" s="100" t="str" cm="1">
        <f t="array" ref="CF43">IFERROR(INDEX(_xlfn.UNIQUE(_xlfn._xlws.FILTER($BW$22:$BW$50,($BW$22:$BW$50&lt;&gt;"")*($BW$22:$BW$50&lt;&gt;"-"))),ROWS($CF$22:CF43)),"")</f>
        <v/>
      </c>
    </row>
    <row r="44" spans="2:84" s="1" customFormat="1" ht="62.1" customHeight="1" outlineLevel="1" x14ac:dyDescent="0.25">
      <c r="B44" s="38">
        <f t="shared" si="47"/>
        <v>23</v>
      </c>
      <c r="C44" s="210"/>
      <c r="D44" s="210"/>
      <c r="E44" s="210"/>
      <c r="F44" s="210"/>
      <c r="G44" s="39"/>
      <c r="H44" s="40"/>
      <c r="I44" s="41"/>
      <c r="J44" s="42" t="str">
        <f t="shared" si="18"/>
        <v/>
      </c>
      <c r="K44" s="90"/>
      <c r="L44" s="206" t="str">
        <f t="shared" si="19"/>
        <v>No Quote</v>
      </c>
      <c r="M44" s="207"/>
      <c r="N44" s="41"/>
      <c r="O44" s="42" t="str">
        <f t="shared" si="20"/>
        <v/>
      </c>
      <c r="P44" s="90"/>
      <c r="Q44" s="206" t="str">
        <f t="shared" si="21"/>
        <v>No Quote</v>
      </c>
      <c r="R44" s="207"/>
      <c r="S44" s="41"/>
      <c r="T44" s="42" t="str">
        <f t="shared" si="22"/>
        <v/>
      </c>
      <c r="U44" s="89"/>
      <c r="V44" s="206" t="str">
        <f t="shared" si="23"/>
        <v>No Quote</v>
      </c>
      <c r="W44" s="207"/>
      <c r="X44" s="41"/>
      <c r="Y44" s="42" t="str">
        <f t="shared" si="24"/>
        <v/>
      </c>
      <c r="Z44" s="90"/>
      <c r="AA44" s="206" t="str">
        <f t="shared" si="25"/>
        <v>No Quote</v>
      </c>
      <c r="AB44" s="207"/>
      <c r="AC44" s="41"/>
      <c r="AD44" s="42" t="str">
        <f t="shared" si="26"/>
        <v/>
      </c>
      <c r="AE44" s="89"/>
      <c r="AF44" s="206" t="str">
        <f t="shared" si="27"/>
        <v>No Quote</v>
      </c>
      <c r="AG44" s="207"/>
      <c r="AH44" s="41"/>
      <c r="AI44" s="42" t="str">
        <f t="shared" si="28"/>
        <v/>
      </c>
      <c r="AJ44" s="89"/>
      <c r="AK44" s="206" t="str">
        <f t="shared" si="29"/>
        <v>No Quote</v>
      </c>
      <c r="AL44" s="207"/>
      <c r="AM44" s="41"/>
      <c r="AN44" s="42" t="str">
        <f t="shared" si="30"/>
        <v/>
      </c>
      <c r="AO44" s="89"/>
      <c r="AP44" s="206" t="str">
        <f t="shared" si="31"/>
        <v>No Quote</v>
      </c>
      <c r="AQ44" s="207"/>
      <c r="AR44" s="41"/>
      <c r="AS44" s="42" t="str">
        <f t="shared" si="32"/>
        <v/>
      </c>
      <c r="AT44" s="89"/>
      <c r="AU44" s="206" t="str">
        <f t="shared" si="33"/>
        <v>No Quote</v>
      </c>
      <c r="AV44" s="207"/>
      <c r="AW44" s="41"/>
      <c r="AX44" s="42" t="str">
        <f t="shared" si="34"/>
        <v/>
      </c>
      <c r="AY44" s="43"/>
      <c r="AZ44" s="206" t="str">
        <f t="shared" si="35"/>
        <v>No Quote</v>
      </c>
      <c r="BA44" s="207"/>
      <c r="BB44" s="41"/>
      <c r="BC44" s="42" t="str">
        <f t="shared" si="36"/>
        <v/>
      </c>
      <c r="BD44" s="43"/>
      <c r="BE44" s="208" t="str">
        <f t="shared" si="37"/>
        <v>No Quote</v>
      </c>
      <c r="BF44" s="209"/>
      <c r="BG44" s="87"/>
      <c r="BH44" s="93"/>
      <c r="BI44" s="63" t="str">
        <f t="shared" si="38"/>
        <v/>
      </c>
      <c r="BJ44" s="92"/>
      <c r="BK44" s="92" t="str">
        <f>IFERROR(IF(#REF!="","",#REF!),"")</f>
        <v/>
      </c>
      <c r="BL44" s="77" t="str">
        <f t="shared" si="7"/>
        <v>-</v>
      </c>
      <c r="BM44" s="77" t="str">
        <f t="shared" si="8"/>
        <v>-</v>
      </c>
      <c r="BN44" s="77" t="str">
        <f t="shared" si="9"/>
        <v>-</v>
      </c>
      <c r="BO44" s="77" t="str">
        <f t="shared" si="10"/>
        <v>-</v>
      </c>
      <c r="BP44" s="77" t="str">
        <f t="shared" si="11"/>
        <v>-</v>
      </c>
      <c r="BQ44" s="77" t="str">
        <f t="shared" si="12"/>
        <v>-</v>
      </c>
      <c r="BR44" s="77" t="str">
        <f t="shared" si="13"/>
        <v>-</v>
      </c>
      <c r="BS44" s="77" t="str">
        <f t="shared" si="14"/>
        <v>-</v>
      </c>
      <c r="BT44" s="77" t="str">
        <f t="shared" si="15"/>
        <v>-</v>
      </c>
      <c r="BU44" s="78" t="str">
        <f t="shared" si="39"/>
        <v/>
      </c>
      <c r="BV44" s="88" t="str">
        <f t="shared" si="16"/>
        <v>-</v>
      </c>
      <c r="BW44" s="74" t="str">
        <f t="shared" si="40"/>
        <v/>
      </c>
      <c r="BX44" s="72" t="str">
        <f t="shared" si="41"/>
        <v/>
      </c>
      <c r="BY44" s="71" t="str">
        <f t="shared" si="42"/>
        <v/>
      </c>
      <c r="BZ44" s="74" t="str">
        <f t="shared" si="43"/>
        <v/>
      </c>
      <c r="CA44" s="72" t="str">
        <f t="shared" si="44"/>
        <v/>
      </c>
      <c r="CB44" s="71" t="str">
        <f t="shared" si="45"/>
        <v/>
      </c>
      <c r="CC44" s="74" t="str">
        <f t="shared" si="17"/>
        <v/>
      </c>
      <c r="CE44" s="99">
        <f t="shared" si="46"/>
        <v>0</v>
      </c>
      <c r="CF44" s="100" t="str" cm="1">
        <f t="array" ref="CF44">IFERROR(INDEX(_xlfn.UNIQUE(_xlfn._xlws.FILTER($BW$22:$BW$50,($BW$22:$BW$50&lt;&gt;"")*($BW$22:$BW$50&lt;&gt;"-"))),ROWS($CF$22:CF44)),"")</f>
        <v/>
      </c>
    </row>
    <row r="45" spans="2:84" s="1" customFormat="1" ht="62.1" customHeight="1" outlineLevel="1" x14ac:dyDescent="0.25">
      <c r="B45" s="38">
        <f t="shared" si="47"/>
        <v>24</v>
      </c>
      <c r="C45" s="210"/>
      <c r="D45" s="210"/>
      <c r="E45" s="210"/>
      <c r="F45" s="210"/>
      <c r="G45" s="39"/>
      <c r="H45" s="40"/>
      <c r="I45" s="41"/>
      <c r="J45" s="42" t="str">
        <f t="shared" si="18"/>
        <v/>
      </c>
      <c r="K45" s="90"/>
      <c r="L45" s="206" t="str">
        <f t="shared" si="19"/>
        <v>No Quote</v>
      </c>
      <c r="M45" s="207"/>
      <c r="N45" s="41"/>
      <c r="O45" s="42" t="str">
        <f t="shared" si="20"/>
        <v/>
      </c>
      <c r="P45" s="90"/>
      <c r="Q45" s="206" t="str">
        <f t="shared" si="21"/>
        <v>No Quote</v>
      </c>
      <c r="R45" s="207"/>
      <c r="S45" s="41"/>
      <c r="T45" s="42" t="str">
        <f t="shared" si="22"/>
        <v/>
      </c>
      <c r="U45" s="89"/>
      <c r="V45" s="206" t="str">
        <f t="shared" si="23"/>
        <v>No Quote</v>
      </c>
      <c r="W45" s="207"/>
      <c r="X45" s="41"/>
      <c r="Y45" s="42" t="str">
        <f t="shared" si="24"/>
        <v/>
      </c>
      <c r="Z45" s="90"/>
      <c r="AA45" s="206" t="str">
        <f t="shared" si="25"/>
        <v>No Quote</v>
      </c>
      <c r="AB45" s="207"/>
      <c r="AC45" s="41"/>
      <c r="AD45" s="42" t="str">
        <f t="shared" si="26"/>
        <v/>
      </c>
      <c r="AE45" s="89"/>
      <c r="AF45" s="206" t="str">
        <f t="shared" si="27"/>
        <v>No Quote</v>
      </c>
      <c r="AG45" s="207"/>
      <c r="AH45" s="41"/>
      <c r="AI45" s="42" t="str">
        <f t="shared" si="28"/>
        <v/>
      </c>
      <c r="AJ45" s="89"/>
      <c r="AK45" s="206" t="str">
        <f t="shared" si="29"/>
        <v>No Quote</v>
      </c>
      <c r="AL45" s="207"/>
      <c r="AM45" s="41"/>
      <c r="AN45" s="42" t="str">
        <f t="shared" si="30"/>
        <v/>
      </c>
      <c r="AO45" s="89"/>
      <c r="AP45" s="206" t="str">
        <f t="shared" si="31"/>
        <v>No Quote</v>
      </c>
      <c r="AQ45" s="207"/>
      <c r="AR45" s="41"/>
      <c r="AS45" s="42" t="str">
        <f t="shared" si="32"/>
        <v/>
      </c>
      <c r="AT45" s="89"/>
      <c r="AU45" s="206" t="str">
        <f t="shared" si="33"/>
        <v>No Quote</v>
      </c>
      <c r="AV45" s="207"/>
      <c r="AW45" s="41"/>
      <c r="AX45" s="42" t="str">
        <f t="shared" si="34"/>
        <v/>
      </c>
      <c r="AY45" s="43"/>
      <c r="AZ45" s="206" t="str">
        <f t="shared" si="35"/>
        <v>No Quote</v>
      </c>
      <c r="BA45" s="207"/>
      <c r="BB45" s="41"/>
      <c r="BC45" s="42" t="str">
        <f t="shared" si="36"/>
        <v/>
      </c>
      <c r="BD45" s="43"/>
      <c r="BE45" s="208" t="str">
        <f t="shared" si="37"/>
        <v>No Quote</v>
      </c>
      <c r="BF45" s="209"/>
      <c r="BG45" s="87"/>
      <c r="BH45" s="93"/>
      <c r="BI45" s="63" t="str">
        <f t="shared" si="38"/>
        <v/>
      </c>
      <c r="BJ45" s="92"/>
      <c r="BK45" s="92" t="str">
        <f>IFERROR(IF(#REF!="","",#REF!),"")</f>
        <v/>
      </c>
      <c r="BL45" s="77" t="str">
        <f t="shared" si="7"/>
        <v>-</v>
      </c>
      <c r="BM45" s="77" t="str">
        <f t="shared" si="8"/>
        <v>-</v>
      </c>
      <c r="BN45" s="77" t="str">
        <f t="shared" si="9"/>
        <v>-</v>
      </c>
      <c r="BO45" s="77" t="str">
        <f t="shared" si="10"/>
        <v>-</v>
      </c>
      <c r="BP45" s="77" t="str">
        <f t="shared" si="11"/>
        <v>-</v>
      </c>
      <c r="BQ45" s="77" t="str">
        <f t="shared" si="12"/>
        <v>-</v>
      </c>
      <c r="BR45" s="77" t="str">
        <f t="shared" si="13"/>
        <v>-</v>
      </c>
      <c r="BS45" s="77" t="str">
        <f t="shared" si="14"/>
        <v>-</v>
      </c>
      <c r="BT45" s="77" t="str">
        <f t="shared" si="15"/>
        <v>-</v>
      </c>
      <c r="BU45" s="78" t="str">
        <f t="shared" si="39"/>
        <v/>
      </c>
      <c r="BV45" s="88" t="str">
        <f t="shared" si="16"/>
        <v>-</v>
      </c>
      <c r="BW45" s="74" t="str">
        <f t="shared" si="40"/>
        <v/>
      </c>
      <c r="BX45" s="72" t="str">
        <f t="shared" si="41"/>
        <v/>
      </c>
      <c r="BY45" s="71" t="str">
        <f t="shared" si="42"/>
        <v/>
      </c>
      <c r="BZ45" s="74" t="str">
        <f t="shared" si="43"/>
        <v/>
      </c>
      <c r="CA45" s="72" t="str">
        <f t="shared" si="44"/>
        <v/>
      </c>
      <c r="CB45" s="71" t="str">
        <f t="shared" si="45"/>
        <v/>
      </c>
      <c r="CC45" s="74" t="str">
        <f t="shared" si="17"/>
        <v/>
      </c>
      <c r="CE45" s="99">
        <f t="shared" si="46"/>
        <v>0</v>
      </c>
      <c r="CF45" s="100" t="str" cm="1">
        <f t="array" ref="CF45">IFERROR(INDEX(_xlfn.UNIQUE(_xlfn._xlws.FILTER($BW$22:$BW$50,($BW$22:$BW$50&lt;&gt;"")*($BW$22:$BW$50&lt;&gt;"-"))),ROWS($CF$22:CF45)),"")</f>
        <v/>
      </c>
    </row>
    <row r="46" spans="2:84" s="1" customFormat="1" ht="62.1" customHeight="1" outlineLevel="1" x14ac:dyDescent="0.25">
      <c r="B46" s="38">
        <f t="shared" si="47"/>
        <v>25</v>
      </c>
      <c r="C46" s="210"/>
      <c r="D46" s="210"/>
      <c r="E46" s="210"/>
      <c r="F46" s="210"/>
      <c r="G46" s="39"/>
      <c r="H46" s="40"/>
      <c r="I46" s="41"/>
      <c r="J46" s="42" t="str">
        <f t="shared" si="18"/>
        <v/>
      </c>
      <c r="K46" s="90"/>
      <c r="L46" s="206" t="str">
        <f t="shared" si="19"/>
        <v>No Quote</v>
      </c>
      <c r="M46" s="207"/>
      <c r="N46" s="41"/>
      <c r="O46" s="42" t="str">
        <f t="shared" si="20"/>
        <v/>
      </c>
      <c r="P46" s="90"/>
      <c r="Q46" s="206" t="str">
        <f t="shared" si="21"/>
        <v>No Quote</v>
      </c>
      <c r="R46" s="207"/>
      <c r="S46" s="41"/>
      <c r="T46" s="42" t="str">
        <f t="shared" si="22"/>
        <v/>
      </c>
      <c r="U46" s="89"/>
      <c r="V46" s="206" t="str">
        <f t="shared" si="23"/>
        <v>No Quote</v>
      </c>
      <c r="W46" s="207"/>
      <c r="X46" s="41"/>
      <c r="Y46" s="42" t="str">
        <f t="shared" si="24"/>
        <v/>
      </c>
      <c r="Z46" s="90"/>
      <c r="AA46" s="206" t="str">
        <f t="shared" si="25"/>
        <v>No Quote</v>
      </c>
      <c r="AB46" s="207"/>
      <c r="AC46" s="41"/>
      <c r="AD46" s="42" t="str">
        <f t="shared" si="26"/>
        <v/>
      </c>
      <c r="AE46" s="89"/>
      <c r="AF46" s="206" t="str">
        <f t="shared" si="27"/>
        <v>No Quote</v>
      </c>
      <c r="AG46" s="207"/>
      <c r="AH46" s="41"/>
      <c r="AI46" s="42" t="str">
        <f t="shared" si="28"/>
        <v/>
      </c>
      <c r="AJ46" s="89"/>
      <c r="AK46" s="206" t="str">
        <f t="shared" si="29"/>
        <v>No Quote</v>
      </c>
      <c r="AL46" s="207"/>
      <c r="AM46" s="41"/>
      <c r="AN46" s="42" t="str">
        <f t="shared" si="30"/>
        <v/>
      </c>
      <c r="AO46" s="89"/>
      <c r="AP46" s="206" t="str">
        <f t="shared" si="31"/>
        <v>No Quote</v>
      </c>
      <c r="AQ46" s="207"/>
      <c r="AR46" s="41"/>
      <c r="AS46" s="42" t="str">
        <f t="shared" si="32"/>
        <v/>
      </c>
      <c r="AT46" s="89"/>
      <c r="AU46" s="206" t="str">
        <f t="shared" si="33"/>
        <v>No Quote</v>
      </c>
      <c r="AV46" s="207"/>
      <c r="AW46" s="41"/>
      <c r="AX46" s="42" t="str">
        <f t="shared" si="34"/>
        <v/>
      </c>
      <c r="AY46" s="43"/>
      <c r="AZ46" s="206" t="str">
        <f t="shared" si="35"/>
        <v>No Quote</v>
      </c>
      <c r="BA46" s="207"/>
      <c r="BB46" s="41"/>
      <c r="BC46" s="42" t="str">
        <f t="shared" si="36"/>
        <v/>
      </c>
      <c r="BD46" s="43"/>
      <c r="BE46" s="208" t="str">
        <f t="shared" si="37"/>
        <v>No Quote</v>
      </c>
      <c r="BF46" s="209"/>
      <c r="BG46" s="87"/>
      <c r="BH46" s="93"/>
      <c r="BI46" s="63" t="str">
        <f t="shared" si="38"/>
        <v/>
      </c>
      <c r="BJ46" s="92"/>
      <c r="BK46" s="92" t="str">
        <f>IFERROR(IF(#REF!="","",#REF!),"")</f>
        <v/>
      </c>
      <c r="BL46" s="77" t="str">
        <f t="shared" si="7"/>
        <v>-</v>
      </c>
      <c r="BM46" s="77" t="str">
        <f t="shared" si="8"/>
        <v>-</v>
      </c>
      <c r="BN46" s="77" t="str">
        <f t="shared" si="9"/>
        <v>-</v>
      </c>
      <c r="BO46" s="77" t="str">
        <f t="shared" si="10"/>
        <v>-</v>
      </c>
      <c r="BP46" s="77" t="str">
        <f t="shared" si="11"/>
        <v>-</v>
      </c>
      <c r="BQ46" s="77" t="str">
        <f t="shared" si="12"/>
        <v>-</v>
      </c>
      <c r="BR46" s="77" t="str">
        <f t="shared" si="13"/>
        <v>-</v>
      </c>
      <c r="BS46" s="77" t="str">
        <f t="shared" si="14"/>
        <v>-</v>
      </c>
      <c r="BT46" s="77" t="str">
        <f t="shared" si="15"/>
        <v>-</v>
      </c>
      <c r="BU46" s="78" t="str">
        <f t="shared" si="39"/>
        <v/>
      </c>
      <c r="BV46" s="88" t="str">
        <f t="shared" si="16"/>
        <v>-</v>
      </c>
      <c r="BW46" s="74" t="str">
        <f t="shared" si="40"/>
        <v/>
      </c>
      <c r="BX46" s="72" t="str">
        <f t="shared" si="41"/>
        <v/>
      </c>
      <c r="BY46" s="71" t="str">
        <f t="shared" si="42"/>
        <v/>
      </c>
      <c r="BZ46" s="74" t="str">
        <f t="shared" si="43"/>
        <v/>
      </c>
      <c r="CA46" s="72" t="str">
        <f t="shared" si="44"/>
        <v/>
      </c>
      <c r="CB46" s="71" t="str">
        <f t="shared" si="45"/>
        <v/>
      </c>
      <c r="CC46" s="74" t="str">
        <f t="shared" si="17"/>
        <v/>
      </c>
      <c r="CE46" s="99">
        <f t="shared" si="46"/>
        <v>0</v>
      </c>
      <c r="CF46" s="100" t="str" cm="1">
        <f t="array" ref="CF46">IFERROR(INDEX(_xlfn.UNIQUE(_xlfn._xlws.FILTER($BW$22:$BW$50,($BW$22:$BW$50&lt;&gt;"")*($BW$22:$BW$50&lt;&gt;"-"))),ROWS($CF$22:CF46)),"")</f>
        <v/>
      </c>
    </row>
    <row r="47" spans="2:84" s="1" customFormat="1" ht="62.1" customHeight="1" outlineLevel="1" x14ac:dyDescent="0.25">
      <c r="B47" s="38">
        <f t="shared" si="47"/>
        <v>26</v>
      </c>
      <c r="C47" s="210"/>
      <c r="D47" s="210"/>
      <c r="E47" s="210"/>
      <c r="F47" s="210"/>
      <c r="G47" s="39"/>
      <c r="H47" s="40"/>
      <c r="I47" s="41"/>
      <c r="J47" s="42" t="str">
        <f t="shared" si="18"/>
        <v/>
      </c>
      <c r="K47" s="90"/>
      <c r="L47" s="206" t="str">
        <f t="shared" si="19"/>
        <v>No Quote</v>
      </c>
      <c r="M47" s="207"/>
      <c r="N47" s="41"/>
      <c r="O47" s="42" t="str">
        <f t="shared" si="20"/>
        <v/>
      </c>
      <c r="P47" s="90"/>
      <c r="Q47" s="206" t="str">
        <f t="shared" si="21"/>
        <v>No Quote</v>
      </c>
      <c r="R47" s="207"/>
      <c r="S47" s="41"/>
      <c r="T47" s="42" t="str">
        <f t="shared" si="22"/>
        <v/>
      </c>
      <c r="U47" s="89"/>
      <c r="V47" s="206" t="str">
        <f t="shared" si="23"/>
        <v>No Quote</v>
      </c>
      <c r="W47" s="207"/>
      <c r="X47" s="41"/>
      <c r="Y47" s="42" t="str">
        <f t="shared" si="24"/>
        <v/>
      </c>
      <c r="Z47" s="90"/>
      <c r="AA47" s="206" t="str">
        <f t="shared" si="25"/>
        <v>No Quote</v>
      </c>
      <c r="AB47" s="207"/>
      <c r="AC47" s="41"/>
      <c r="AD47" s="42" t="str">
        <f t="shared" si="26"/>
        <v/>
      </c>
      <c r="AE47" s="89"/>
      <c r="AF47" s="206" t="str">
        <f t="shared" si="27"/>
        <v>No Quote</v>
      </c>
      <c r="AG47" s="207"/>
      <c r="AH47" s="41"/>
      <c r="AI47" s="42" t="str">
        <f t="shared" si="28"/>
        <v/>
      </c>
      <c r="AJ47" s="89"/>
      <c r="AK47" s="206" t="str">
        <f t="shared" si="29"/>
        <v>No Quote</v>
      </c>
      <c r="AL47" s="207"/>
      <c r="AM47" s="41"/>
      <c r="AN47" s="42" t="str">
        <f t="shared" si="30"/>
        <v/>
      </c>
      <c r="AO47" s="89"/>
      <c r="AP47" s="206" t="str">
        <f t="shared" si="31"/>
        <v>No Quote</v>
      </c>
      <c r="AQ47" s="207"/>
      <c r="AR47" s="41"/>
      <c r="AS47" s="42" t="str">
        <f t="shared" si="32"/>
        <v/>
      </c>
      <c r="AT47" s="89"/>
      <c r="AU47" s="206" t="str">
        <f t="shared" si="33"/>
        <v>No Quote</v>
      </c>
      <c r="AV47" s="207"/>
      <c r="AW47" s="41"/>
      <c r="AX47" s="42" t="str">
        <f t="shared" si="34"/>
        <v/>
      </c>
      <c r="AY47" s="43"/>
      <c r="AZ47" s="206" t="str">
        <f t="shared" si="35"/>
        <v>No Quote</v>
      </c>
      <c r="BA47" s="207"/>
      <c r="BB47" s="41"/>
      <c r="BC47" s="42" t="str">
        <f t="shared" si="36"/>
        <v/>
      </c>
      <c r="BD47" s="43"/>
      <c r="BE47" s="208" t="str">
        <f t="shared" si="37"/>
        <v>No Quote</v>
      </c>
      <c r="BF47" s="209"/>
      <c r="BG47" s="87"/>
      <c r="BH47" s="93"/>
      <c r="BI47" s="63" t="str">
        <f t="shared" si="38"/>
        <v/>
      </c>
      <c r="BJ47" s="92"/>
      <c r="BK47" s="92" t="str">
        <f>IFERROR(IF(#REF!="","",#REF!),"")</f>
        <v/>
      </c>
      <c r="BL47" s="77" t="str">
        <f t="shared" si="7"/>
        <v>-</v>
      </c>
      <c r="BM47" s="77" t="str">
        <f t="shared" si="8"/>
        <v>-</v>
      </c>
      <c r="BN47" s="77" t="str">
        <f t="shared" si="9"/>
        <v>-</v>
      </c>
      <c r="BO47" s="77" t="str">
        <f t="shared" si="10"/>
        <v>-</v>
      </c>
      <c r="BP47" s="77" t="str">
        <f t="shared" si="11"/>
        <v>-</v>
      </c>
      <c r="BQ47" s="77" t="str">
        <f t="shared" si="12"/>
        <v>-</v>
      </c>
      <c r="BR47" s="77" t="str">
        <f t="shared" si="13"/>
        <v>-</v>
      </c>
      <c r="BS47" s="77" t="str">
        <f t="shared" si="14"/>
        <v>-</v>
      </c>
      <c r="BT47" s="77" t="str">
        <f t="shared" si="15"/>
        <v>-</v>
      </c>
      <c r="BU47" s="78" t="str">
        <f t="shared" si="39"/>
        <v/>
      </c>
      <c r="BV47" s="88" t="str">
        <f t="shared" si="16"/>
        <v>-</v>
      </c>
      <c r="BW47" s="74" t="str">
        <f t="shared" si="40"/>
        <v/>
      </c>
      <c r="BX47" s="72" t="str">
        <f t="shared" si="41"/>
        <v/>
      </c>
      <c r="BY47" s="71" t="str">
        <f t="shared" si="42"/>
        <v/>
      </c>
      <c r="BZ47" s="74" t="str">
        <f t="shared" si="43"/>
        <v/>
      </c>
      <c r="CA47" s="72" t="str">
        <f t="shared" si="44"/>
        <v/>
      </c>
      <c r="CB47" s="71" t="str">
        <f t="shared" si="45"/>
        <v/>
      </c>
      <c r="CC47" s="74" t="str">
        <f t="shared" si="17"/>
        <v/>
      </c>
      <c r="CE47" s="99">
        <f t="shared" si="46"/>
        <v>0</v>
      </c>
      <c r="CF47" s="100" t="str" cm="1">
        <f t="array" ref="CF47">IFERROR(INDEX(_xlfn.UNIQUE(_xlfn._xlws.FILTER($BW$22:$BW$50,($BW$22:$BW$50&lt;&gt;"")*($BW$22:$BW$50&lt;&gt;"-"))),ROWS($CF$22:CF47)),"")</f>
        <v/>
      </c>
    </row>
    <row r="48" spans="2:84" s="1" customFormat="1" ht="62.1" customHeight="1" outlineLevel="1" x14ac:dyDescent="0.25">
      <c r="B48" s="38">
        <f t="shared" si="47"/>
        <v>27</v>
      </c>
      <c r="C48" s="210"/>
      <c r="D48" s="210"/>
      <c r="E48" s="210"/>
      <c r="F48" s="210"/>
      <c r="G48" s="39"/>
      <c r="H48" s="40"/>
      <c r="I48" s="41"/>
      <c r="J48" s="42" t="str">
        <f t="shared" si="18"/>
        <v/>
      </c>
      <c r="K48" s="90"/>
      <c r="L48" s="206" t="str">
        <f t="shared" si="19"/>
        <v>No Quote</v>
      </c>
      <c r="M48" s="207"/>
      <c r="N48" s="41"/>
      <c r="O48" s="42" t="str">
        <f t="shared" si="20"/>
        <v/>
      </c>
      <c r="P48" s="90"/>
      <c r="Q48" s="206" t="str">
        <f t="shared" si="21"/>
        <v>No Quote</v>
      </c>
      <c r="R48" s="207"/>
      <c r="S48" s="41"/>
      <c r="T48" s="42" t="str">
        <f t="shared" si="22"/>
        <v/>
      </c>
      <c r="U48" s="89"/>
      <c r="V48" s="206" t="str">
        <f t="shared" si="23"/>
        <v>No Quote</v>
      </c>
      <c r="W48" s="207"/>
      <c r="X48" s="41"/>
      <c r="Y48" s="42" t="str">
        <f t="shared" si="24"/>
        <v/>
      </c>
      <c r="Z48" s="90"/>
      <c r="AA48" s="206" t="str">
        <f t="shared" si="25"/>
        <v>No Quote</v>
      </c>
      <c r="AB48" s="207"/>
      <c r="AC48" s="41"/>
      <c r="AD48" s="42" t="str">
        <f t="shared" si="26"/>
        <v/>
      </c>
      <c r="AE48" s="89"/>
      <c r="AF48" s="206" t="str">
        <f t="shared" si="27"/>
        <v>No Quote</v>
      </c>
      <c r="AG48" s="207"/>
      <c r="AH48" s="41"/>
      <c r="AI48" s="42" t="str">
        <f t="shared" si="28"/>
        <v/>
      </c>
      <c r="AJ48" s="89"/>
      <c r="AK48" s="206" t="str">
        <f t="shared" si="29"/>
        <v>No Quote</v>
      </c>
      <c r="AL48" s="207"/>
      <c r="AM48" s="41"/>
      <c r="AN48" s="42" t="str">
        <f t="shared" si="30"/>
        <v/>
      </c>
      <c r="AO48" s="89"/>
      <c r="AP48" s="206" t="str">
        <f t="shared" si="31"/>
        <v>No Quote</v>
      </c>
      <c r="AQ48" s="207"/>
      <c r="AR48" s="41"/>
      <c r="AS48" s="42" t="str">
        <f t="shared" si="32"/>
        <v/>
      </c>
      <c r="AT48" s="89"/>
      <c r="AU48" s="206" t="str">
        <f t="shared" si="33"/>
        <v>No Quote</v>
      </c>
      <c r="AV48" s="207"/>
      <c r="AW48" s="41"/>
      <c r="AX48" s="42" t="str">
        <f t="shared" si="34"/>
        <v/>
      </c>
      <c r="AY48" s="43"/>
      <c r="AZ48" s="206" t="str">
        <f t="shared" si="35"/>
        <v>No Quote</v>
      </c>
      <c r="BA48" s="207"/>
      <c r="BB48" s="41"/>
      <c r="BC48" s="42" t="str">
        <f t="shared" si="36"/>
        <v/>
      </c>
      <c r="BD48" s="43"/>
      <c r="BE48" s="208" t="str">
        <f t="shared" si="37"/>
        <v>No Quote</v>
      </c>
      <c r="BF48" s="209"/>
      <c r="BG48" s="87"/>
      <c r="BH48" s="93"/>
      <c r="BI48" s="63" t="str">
        <f t="shared" si="38"/>
        <v/>
      </c>
      <c r="BJ48" s="92"/>
      <c r="BK48" s="92" t="str">
        <f>IFERROR(IF(#REF!="","",#REF!),"")</f>
        <v/>
      </c>
      <c r="BL48" s="77" t="str">
        <f t="shared" si="7"/>
        <v>-</v>
      </c>
      <c r="BM48" s="77" t="str">
        <f t="shared" si="8"/>
        <v>-</v>
      </c>
      <c r="BN48" s="77" t="str">
        <f t="shared" si="9"/>
        <v>-</v>
      </c>
      <c r="BO48" s="77" t="str">
        <f t="shared" si="10"/>
        <v>-</v>
      </c>
      <c r="BP48" s="77" t="str">
        <f t="shared" si="11"/>
        <v>-</v>
      </c>
      <c r="BQ48" s="77" t="str">
        <f t="shared" si="12"/>
        <v>-</v>
      </c>
      <c r="BR48" s="77" t="str">
        <f t="shared" si="13"/>
        <v>-</v>
      </c>
      <c r="BS48" s="77" t="str">
        <f t="shared" si="14"/>
        <v>-</v>
      </c>
      <c r="BT48" s="77" t="str">
        <f t="shared" si="15"/>
        <v>-</v>
      </c>
      <c r="BU48" s="78" t="str">
        <f t="shared" si="39"/>
        <v/>
      </c>
      <c r="BV48" s="88" t="str">
        <f t="shared" si="16"/>
        <v>-</v>
      </c>
      <c r="BW48" s="74" t="str">
        <f t="shared" si="40"/>
        <v/>
      </c>
      <c r="BX48" s="72" t="str">
        <f t="shared" si="41"/>
        <v/>
      </c>
      <c r="BY48" s="71" t="str">
        <f t="shared" si="42"/>
        <v/>
      </c>
      <c r="BZ48" s="74" t="str">
        <f t="shared" si="43"/>
        <v/>
      </c>
      <c r="CA48" s="72" t="str">
        <f t="shared" si="44"/>
        <v/>
      </c>
      <c r="CB48" s="71" t="str">
        <f t="shared" si="45"/>
        <v/>
      </c>
      <c r="CC48" s="74" t="str">
        <f t="shared" si="17"/>
        <v/>
      </c>
      <c r="CE48" s="99">
        <f t="shared" si="46"/>
        <v>0</v>
      </c>
      <c r="CF48" s="100" t="str" cm="1">
        <f t="array" ref="CF48">IFERROR(INDEX(_xlfn.UNIQUE(_xlfn._xlws.FILTER($BW$22:$BW$50,($BW$22:$BW$50&lt;&gt;"")*($BW$22:$BW$50&lt;&gt;"-"))),ROWS($CF$22:CF48)),"")</f>
        <v/>
      </c>
    </row>
    <row r="49" spans="2:84" s="1" customFormat="1" ht="62.1" customHeight="1" outlineLevel="1" x14ac:dyDescent="0.25">
      <c r="B49" s="38">
        <f t="shared" si="47"/>
        <v>28</v>
      </c>
      <c r="C49" s="210"/>
      <c r="D49" s="210"/>
      <c r="E49" s="210"/>
      <c r="F49" s="210"/>
      <c r="G49" s="39"/>
      <c r="H49" s="40"/>
      <c r="I49" s="41"/>
      <c r="J49" s="42" t="str">
        <f t="shared" si="18"/>
        <v/>
      </c>
      <c r="K49" s="90"/>
      <c r="L49" s="206" t="str">
        <f t="shared" si="19"/>
        <v>No Quote</v>
      </c>
      <c r="M49" s="207"/>
      <c r="N49" s="41"/>
      <c r="O49" s="42" t="str">
        <f t="shared" si="20"/>
        <v/>
      </c>
      <c r="P49" s="90"/>
      <c r="Q49" s="206" t="str">
        <f t="shared" si="21"/>
        <v>No Quote</v>
      </c>
      <c r="R49" s="207"/>
      <c r="S49" s="41"/>
      <c r="T49" s="42" t="str">
        <f t="shared" si="22"/>
        <v/>
      </c>
      <c r="U49" s="89"/>
      <c r="V49" s="206" t="str">
        <f t="shared" si="23"/>
        <v>No Quote</v>
      </c>
      <c r="W49" s="207"/>
      <c r="X49" s="41"/>
      <c r="Y49" s="42" t="str">
        <f t="shared" si="24"/>
        <v/>
      </c>
      <c r="Z49" s="90"/>
      <c r="AA49" s="206" t="str">
        <f t="shared" si="25"/>
        <v>No Quote</v>
      </c>
      <c r="AB49" s="207"/>
      <c r="AC49" s="41"/>
      <c r="AD49" s="42" t="str">
        <f t="shared" si="26"/>
        <v/>
      </c>
      <c r="AE49" s="89"/>
      <c r="AF49" s="206" t="str">
        <f t="shared" si="27"/>
        <v>No Quote</v>
      </c>
      <c r="AG49" s="207"/>
      <c r="AH49" s="41"/>
      <c r="AI49" s="42" t="str">
        <f t="shared" si="28"/>
        <v/>
      </c>
      <c r="AJ49" s="89"/>
      <c r="AK49" s="206" t="str">
        <f t="shared" si="29"/>
        <v>No Quote</v>
      </c>
      <c r="AL49" s="207"/>
      <c r="AM49" s="41"/>
      <c r="AN49" s="42" t="str">
        <f t="shared" si="30"/>
        <v/>
      </c>
      <c r="AO49" s="89"/>
      <c r="AP49" s="206" t="str">
        <f t="shared" si="31"/>
        <v>No Quote</v>
      </c>
      <c r="AQ49" s="207"/>
      <c r="AR49" s="41"/>
      <c r="AS49" s="42" t="str">
        <f t="shared" si="32"/>
        <v/>
      </c>
      <c r="AT49" s="89"/>
      <c r="AU49" s="206" t="str">
        <f t="shared" si="33"/>
        <v>No Quote</v>
      </c>
      <c r="AV49" s="207"/>
      <c r="AW49" s="41"/>
      <c r="AX49" s="42" t="str">
        <f t="shared" si="34"/>
        <v/>
      </c>
      <c r="AY49" s="43"/>
      <c r="AZ49" s="206" t="str">
        <f t="shared" si="35"/>
        <v>No Quote</v>
      </c>
      <c r="BA49" s="207"/>
      <c r="BB49" s="41"/>
      <c r="BC49" s="42" t="str">
        <f t="shared" si="36"/>
        <v/>
      </c>
      <c r="BD49" s="43"/>
      <c r="BE49" s="208" t="str">
        <f t="shared" si="37"/>
        <v>No Quote</v>
      </c>
      <c r="BF49" s="209"/>
      <c r="BG49" s="87"/>
      <c r="BH49" s="93"/>
      <c r="BI49" s="63" t="str">
        <f t="shared" si="38"/>
        <v/>
      </c>
      <c r="BJ49" s="92"/>
      <c r="BK49" s="92" t="str">
        <f>IFERROR(IF(#REF!="","",#REF!),"")</f>
        <v/>
      </c>
      <c r="BL49" s="77" t="str">
        <f t="shared" si="7"/>
        <v>-</v>
      </c>
      <c r="BM49" s="77" t="str">
        <f t="shared" si="8"/>
        <v>-</v>
      </c>
      <c r="BN49" s="77" t="str">
        <f t="shared" si="9"/>
        <v>-</v>
      </c>
      <c r="BO49" s="77" t="str">
        <f t="shared" si="10"/>
        <v>-</v>
      </c>
      <c r="BP49" s="77" t="str">
        <f t="shared" si="11"/>
        <v>-</v>
      </c>
      <c r="BQ49" s="77" t="str">
        <f t="shared" si="12"/>
        <v>-</v>
      </c>
      <c r="BR49" s="77" t="str">
        <f t="shared" si="13"/>
        <v>-</v>
      </c>
      <c r="BS49" s="77" t="str">
        <f t="shared" si="14"/>
        <v>-</v>
      </c>
      <c r="BT49" s="77" t="str">
        <f t="shared" si="15"/>
        <v>-</v>
      </c>
      <c r="BU49" s="78" t="str">
        <f t="shared" si="39"/>
        <v/>
      </c>
      <c r="BV49" s="88" t="str">
        <f t="shared" si="16"/>
        <v>-</v>
      </c>
      <c r="BW49" s="74" t="str">
        <f t="shared" si="40"/>
        <v/>
      </c>
      <c r="BX49" s="72" t="str">
        <f t="shared" si="41"/>
        <v/>
      </c>
      <c r="BY49" s="71" t="str">
        <f t="shared" si="42"/>
        <v/>
      </c>
      <c r="BZ49" s="74" t="str">
        <f t="shared" si="43"/>
        <v/>
      </c>
      <c r="CA49" s="72" t="str">
        <f t="shared" si="44"/>
        <v/>
      </c>
      <c r="CB49" s="71" t="str">
        <f t="shared" si="45"/>
        <v/>
      </c>
      <c r="CC49" s="74" t="str">
        <f t="shared" si="17"/>
        <v/>
      </c>
      <c r="CE49" s="99">
        <f t="shared" si="46"/>
        <v>0</v>
      </c>
      <c r="CF49" s="100" t="str" cm="1">
        <f t="array" ref="CF49">IFERROR(INDEX(_xlfn.UNIQUE(_xlfn._xlws.FILTER($BW$22:$BW$50,($BW$22:$BW$50&lt;&gt;"")*($BW$22:$BW$50&lt;&gt;"-"))),ROWS($CF$22:CF49)),"")</f>
        <v/>
      </c>
    </row>
    <row r="50" spans="2:84" s="1" customFormat="1" ht="62.1" customHeight="1" outlineLevel="1" x14ac:dyDescent="0.25">
      <c r="B50" s="38">
        <f t="shared" si="47"/>
        <v>29</v>
      </c>
      <c r="C50" s="210"/>
      <c r="D50" s="210"/>
      <c r="E50" s="210"/>
      <c r="F50" s="210"/>
      <c r="G50" s="39"/>
      <c r="H50" s="40"/>
      <c r="I50" s="41"/>
      <c r="J50" s="42" t="str">
        <f t="shared" si="18"/>
        <v/>
      </c>
      <c r="K50" s="90"/>
      <c r="L50" s="206" t="str">
        <f t="shared" si="19"/>
        <v>No Quote</v>
      </c>
      <c r="M50" s="207"/>
      <c r="N50" s="41"/>
      <c r="O50" s="42" t="str">
        <f t="shared" si="20"/>
        <v/>
      </c>
      <c r="P50" s="90"/>
      <c r="Q50" s="206" t="str">
        <f t="shared" si="21"/>
        <v>No Quote</v>
      </c>
      <c r="R50" s="207"/>
      <c r="S50" s="41"/>
      <c r="T50" s="42" t="str">
        <f t="shared" si="22"/>
        <v/>
      </c>
      <c r="U50" s="89"/>
      <c r="V50" s="206" t="str">
        <f t="shared" si="23"/>
        <v>No Quote</v>
      </c>
      <c r="W50" s="207"/>
      <c r="X50" s="41"/>
      <c r="Y50" s="42" t="str">
        <f t="shared" si="24"/>
        <v/>
      </c>
      <c r="Z50" s="90"/>
      <c r="AA50" s="206" t="str">
        <f t="shared" si="25"/>
        <v>No Quote</v>
      </c>
      <c r="AB50" s="207"/>
      <c r="AC50" s="41"/>
      <c r="AD50" s="42" t="str">
        <f t="shared" si="26"/>
        <v/>
      </c>
      <c r="AE50" s="89"/>
      <c r="AF50" s="206" t="str">
        <f t="shared" si="27"/>
        <v>No Quote</v>
      </c>
      <c r="AG50" s="207"/>
      <c r="AH50" s="41"/>
      <c r="AI50" s="42" t="str">
        <f t="shared" si="28"/>
        <v/>
      </c>
      <c r="AJ50" s="89"/>
      <c r="AK50" s="206" t="str">
        <f t="shared" si="29"/>
        <v>No Quote</v>
      </c>
      <c r="AL50" s="207"/>
      <c r="AM50" s="41"/>
      <c r="AN50" s="42" t="str">
        <f t="shared" si="30"/>
        <v/>
      </c>
      <c r="AO50" s="89"/>
      <c r="AP50" s="206" t="str">
        <f t="shared" si="31"/>
        <v>No Quote</v>
      </c>
      <c r="AQ50" s="207"/>
      <c r="AR50" s="41"/>
      <c r="AS50" s="42" t="str">
        <f t="shared" si="32"/>
        <v/>
      </c>
      <c r="AT50" s="89"/>
      <c r="AU50" s="206" t="str">
        <f t="shared" si="33"/>
        <v>No Quote</v>
      </c>
      <c r="AV50" s="207"/>
      <c r="AW50" s="41"/>
      <c r="AX50" s="42" t="str">
        <f t="shared" si="34"/>
        <v/>
      </c>
      <c r="AY50" s="43"/>
      <c r="AZ50" s="206" t="str">
        <f t="shared" si="35"/>
        <v>No Quote</v>
      </c>
      <c r="BA50" s="207"/>
      <c r="BB50" s="41"/>
      <c r="BC50" s="42" t="str">
        <f t="shared" si="36"/>
        <v/>
      </c>
      <c r="BD50" s="43"/>
      <c r="BE50" s="208" t="str">
        <f t="shared" si="37"/>
        <v>No Quote</v>
      </c>
      <c r="BF50" s="209"/>
      <c r="BG50" s="87"/>
      <c r="BH50" s="93"/>
      <c r="BI50" s="63" t="str">
        <f t="shared" si="38"/>
        <v/>
      </c>
      <c r="BJ50" s="92"/>
      <c r="BK50" s="92" t="str">
        <f>IFERROR(IF(#REF!="","",#REF!),"")</f>
        <v/>
      </c>
      <c r="BL50" s="77" t="str">
        <f t="shared" si="7"/>
        <v>-</v>
      </c>
      <c r="BM50" s="77" t="str">
        <f t="shared" si="8"/>
        <v>-</v>
      </c>
      <c r="BN50" s="77" t="str">
        <f t="shared" si="9"/>
        <v>-</v>
      </c>
      <c r="BO50" s="77" t="str">
        <f t="shared" si="10"/>
        <v>-</v>
      </c>
      <c r="BP50" s="77" t="str">
        <f t="shared" si="11"/>
        <v>-</v>
      </c>
      <c r="BQ50" s="77" t="str">
        <f t="shared" si="12"/>
        <v>-</v>
      </c>
      <c r="BR50" s="77" t="str">
        <f t="shared" si="13"/>
        <v>-</v>
      </c>
      <c r="BS50" s="77" t="str">
        <f t="shared" si="14"/>
        <v>-</v>
      </c>
      <c r="BT50" s="77" t="str">
        <f t="shared" si="15"/>
        <v>-</v>
      </c>
      <c r="BU50" s="78" t="str">
        <f t="shared" si="39"/>
        <v/>
      </c>
      <c r="BV50" s="88" t="str">
        <f t="shared" si="16"/>
        <v>-</v>
      </c>
      <c r="BW50" s="74" t="str">
        <f t="shared" si="40"/>
        <v/>
      </c>
      <c r="BX50" s="72" t="str">
        <f t="shared" si="41"/>
        <v/>
      </c>
      <c r="BY50" s="71" t="str">
        <f t="shared" si="42"/>
        <v/>
      </c>
      <c r="BZ50" s="74" t="str">
        <f t="shared" si="43"/>
        <v/>
      </c>
      <c r="CA50" s="72" t="str">
        <f t="shared" si="44"/>
        <v/>
      </c>
      <c r="CB50" s="71" t="str">
        <f t="shared" si="45"/>
        <v/>
      </c>
      <c r="CC50" s="74" t="str">
        <f t="shared" si="17"/>
        <v/>
      </c>
      <c r="CE50" s="99">
        <f t="shared" si="46"/>
        <v>0</v>
      </c>
      <c r="CF50" s="100" t="str" cm="1">
        <f t="array" ref="CF50">IFERROR(INDEX(_xlfn.UNIQUE(_xlfn._xlws.FILTER($BW$22:$BW$50,($BW$22:$BW$50&lt;&gt;"")*($BW$22:$BW$50&lt;&gt;"-"))),ROWS($CF$22:CF50)),"")</f>
        <v/>
      </c>
    </row>
    <row r="51" spans="2:84" s="44" customFormat="1" ht="35.1" customHeight="1" x14ac:dyDescent="0.25">
      <c r="B51" s="222" t="s">
        <v>17</v>
      </c>
      <c r="C51" s="223"/>
      <c r="D51" s="223"/>
      <c r="E51" s="223"/>
      <c r="F51" s="223"/>
      <c r="G51" s="226" t="s">
        <v>35</v>
      </c>
      <c r="H51" s="183"/>
      <c r="I51" s="211">
        <f>SUMIF(K22:K50,"&lt;&gt;x",J22:J50)</f>
        <v>0</v>
      </c>
      <c r="J51" s="212"/>
      <c r="K51" s="212"/>
      <c r="L51" s="212"/>
      <c r="M51" s="213"/>
      <c r="N51" s="211">
        <f t="shared" ref="N51" si="48">SUMIF(P22:P50,"&lt;&gt;x",O22:O50)</f>
        <v>0</v>
      </c>
      <c r="O51" s="212"/>
      <c r="P51" s="212"/>
      <c r="Q51" s="212"/>
      <c r="R51" s="213"/>
      <c r="S51" s="211">
        <f t="shared" ref="S51" si="49">SUMIF(U22:U50,"&lt;&gt;x",T22:T50)</f>
        <v>0</v>
      </c>
      <c r="T51" s="212"/>
      <c r="U51" s="212"/>
      <c r="V51" s="212"/>
      <c r="W51" s="213"/>
      <c r="X51" s="211">
        <f t="shared" ref="X51" si="50">SUMIF(Z22:Z50,"&lt;&gt;x",Y22:Y50)</f>
        <v>0</v>
      </c>
      <c r="Y51" s="212"/>
      <c r="Z51" s="212"/>
      <c r="AA51" s="212"/>
      <c r="AB51" s="213"/>
      <c r="AC51" s="211">
        <f t="shared" ref="AC51" si="51">SUMIF(AE22:AE50,"&lt;&gt;x",AD22:AD50)</f>
        <v>0</v>
      </c>
      <c r="AD51" s="212"/>
      <c r="AE51" s="212"/>
      <c r="AF51" s="212"/>
      <c r="AG51" s="213"/>
      <c r="AH51" s="211">
        <f t="shared" ref="AH51" si="52">SUMIF(AJ22:AJ50,"&lt;&gt;x",AI22:AI50)</f>
        <v>0</v>
      </c>
      <c r="AI51" s="212"/>
      <c r="AJ51" s="212"/>
      <c r="AK51" s="212"/>
      <c r="AL51" s="213"/>
      <c r="AM51" s="211">
        <f t="shared" ref="AM51" si="53">SUMIF(AO22:AO50,"&lt;&gt;x",AN22:AN50)</f>
        <v>0</v>
      </c>
      <c r="AN51" s="212"/>
      <c r="AO51" s="212"/>
      <c r="AP51" s="212"/>
      <c r="AQ51" s="213"/>
      <c r="AR51" s="211">
        <f t="shared" ref="AR51" si="54">SUMIF(AT22:AT50,"&lt;&gt;x",AS22:AS50)</f>
        <v>0</v>
      </c>
      <c r="AS51" s="212"/>
      <c r="AT51" s="212"/>
      <c r="AU51" s="212"/>
      <c r="AV51" s="213"/>
      <c r="AW51" s="211">
        <f t="shared" ref="AW51" si="55">SUMIF(AY22:AY50,"&lt;&gt;x",AX22:AX50)</f>
        <v>0</v>
      </c>
      <c r="AX51" s="212"/>
      <c r="AY51" s="212"/>
      <c r="AZ51" s="212"/>
      <c r="BA51" s="213"/>
      <c r="BB51" s="211">
        <f t="shared" ref="BB51" si="56">SUMIF(BD22:BD50,"&lt;&gt;x",BC22:BC50)</f>
        <v>0</v>
      </c>
      <c r="BC51" s="212"/>
      <c r="BD51" s="212"/>
      <c r="BE51" s="212"/>
      <c r="BF51" s="214"/>
      <c r="BL51" s="108">
        <f>SUM(BL22:BL50)</f>
        <v>0</v>
      </c>
      <c r="BM51" s="108">
        <f t="shared" ref="BM51:BT51" si="57">SUM(BM22:BM50)</f>
        <v>0</v>
      </c>
      <c r="BN51" s="108">
        <f t="shared" si="57"/>
        <v>0</v>
      </c>
      <c r="BO51" s="108">
        <f t="shared" si="57"/>
        <v>0</v>
      </c>
      <c r="BP51" s="108">
        <f t="shared" si="57"/>
        <v>0</v>
      </c>
      <c r="BQ51" s="108">
        <f t="shared" si="57"/>
        <v>0</v>
      </c>
      <c r="BR51" s="108">
        <f t="shared" si="57"/>
        <v>0</v>
      </c>
      <c r="BS51" s="108">
        <f t="shared" si="57"/>
        <v>0</v>
      </c>
      <c r="BT51" s="108">
        <f t="shared" si="57"/>
        <v>0</v>
      </c>
      <c r="BU51" s="78" t="str">
        <f t="shared" si="39"/>
        <v/>
      </c>
      <c r="BV51" s="109"/>
      <c r="BW51" s="74" t="str">
        <f t="shared" ref="BW51" si="58">IF(BU51=BL51,$BL$19,IF(BU51=BM51,$BM$19,IF(BU51=BN51,$BN$19,IF(BU51=BO51,$BO$19,IF(BU51=BP51,$BP$19,IF(BU51=BQ51,$BQ$19,IF(BU51=BR51,$BR$19,IF(BU51=BS51,$BS$19,IF(BU51=BT51,$BT$19,"")))))))))</f>
        <v/>
      </c>
      <c r="BX51" s="72">
        <f t="shared" si="41"/>
        <v>0</v>
      </c>
      <c r="BY51" s="71" t="str">
        <f t="shared" si="42"/>
        <v/>
      </c>
      <c r="BZ51" s="74">
        <f t="shared" ref="BZ51" si="59">IFERROR(IF(BX51="","",IF(BX51=BL51,$BL$19,IF(BX51=BM51,$BM$19,IF(BX51=BN51,$BN$19,IF(BX51=BO51,$BO$19,IF(BX51=BP51,$BP$19,IF(BX51=BQ51,$BQ$19,IF(BX51=BR51,$BR$19,IF(BX51=BS51,$BS$19,IF(BX51=BT51,$BT$19,"")))))))))),"")</f>
        <v>0</v>
      </c>
      <c r="CA51" s="72">
        <f t="shared" si="44"/>
        <v>0</v>
      </c>
      <c r="CB51" s="71" t="str">
        <f t="shared" ref="CB51" si="60">IFERROR(IF((CA51-$BU51)/$BU51&lt;0%,"",(CA51-$BU51)/$BU51),"")</f>
        <v/>
      </c>
      <c r="CC51" s="74">
        <f t="shared" ref="CC51" si="61">IFERROR(IF(CA51="","",IF(BL51=CA51,$BL$19,IF(BM51=CA51,$BM$19,IF(BN51=CA51,$BN$19,IF(BO51=CA51,$BO$19,IF(BP51=CA51,$BP$19,IF(BQ51=CA51,$BQ$19,IF(BR51=CA51,$BR$19,IF(BS51=CA51,$BS$19,IF(BT51=CA51,$BT$19)))))))))),"")</f>
        <v>0</v>
      </c>
    </row>
    <row r="52" spans="2:84" s="44" customFormat="1" ht="35.1" customHeight="1" outlineLevel="1" x14ac:dyDescent="0.25">
      <c r="B52" s="224"/>
      <c r="C52" s="225"/>
      <c r="D52" s="225"/>
      <c r="E52" s="225"/>
      <c r="F52" s="225"/>
      <c r="G52" s="226" t="s">
        <v>36</v>
      </c>
      <c r="H52" s="183"/>
      <c r="I52" s="211">
        <f>I51+(I51*11%)</f>
        <v>0</v>
      </c>
      <c r="J52" s="212"/>
      <c r="K52" s="212"/>
      <c r="L52" s="212"/>
      <c r="M52" s="213"/>
      <c r="N52" s="211">
        <f>N51+(N51*11%)</f>
        <v>0</v>
      </c>
      <c r="O52" s="212"/>
      <c r="P52" s="212"/>
      <c r="Q52" s="212"/>
      <c r="R52" s="213"/>
      <c r="S52" s="211">
        <f>S51+(S51*11%)</f>
        <v>0</v>
      </c>
      <c r="T52" s="212"/>
      <c r="U52" s="212"/>
      <c r="V52" s="212"/>
      <c r="W52" s="213"/>
      <c r="X52" s="211">
        <f>X51+(X51*11%)</f>
        <v>0</v>
      </c>
      <c r="Y52" s="212"/>
      <c r="Z52" s="212"/>
      <c r="AA52" s="212"/>
      <c r="AB52" s="213"/>
      <c r="AC52" s="211">
        <f>AC51+(AC51*11%)</f>
        <v>0</v>
      </c>
      <c r="AD52" s="212"/>
      <c r="AE52" s="212"/>
      <c r="AF52" s="212"/>
      <c r="AG52" s="213"/>
      <c r="AH52" s="211">
        <f>AH51+(AH51*11%)</f>
        <v>0</v>
      </c>
      <c r="AI52" s="212"/>
      <c r="AJ52" s="212"/>
      <c r="AK52" s="212"/>
      <c r="AL52" s="213"/>
      <c r="AM52" s="211">
        <f>AM51+(AM51*11%)</f>
        <v>0</v>
      </c>
      <c r="AN52" s="212"/>
      <c r="AO52" s="212"/>
      <c r="AP52" s="212"/>
      <c r="AQ52" s="213"/>
      <c r="AR52" s="211">
        <f>AR51+(AR51*11%)</f>
        <v>0</v>
      </c>
      <c r="AS52" s="212"/>
      <c r="AT52" s="212"/>
      <c r="AU52" s="212"/>
      <c r="AV52" s="213"/>
      <c r="AW52" s="211">
        <f>AW51+(AW51*11%)</f>
        <v>0</v>
      </c>
      <c r="AX52" s="212"/>
      <c r="AY52" s="212"/>
      <c r="AZ52" s="212"/>
      <c r="BA52" s="213"/>
      <c r="BB52" s="211">
        <f>BB51+(BB51*11%)</f>
        <v>0</v>
      </c>
      <c r="BC52" s="212"/>
      <c r="BD52" s="212"/>
      <c r="BE52" s="212"/>
      <c r="BF52" s="214"/>
      <c r="BL52" s="11" t="str">
        <f>IF(COUNTIF(BL22:BL50,"-")&gt;0,"No Full Item","Full Item")</f>
        <v>No Full Item</v>
      </c>
      <c r="BM52" s="11" t="str">
        <f t="shared" ref="BM52:BT52" si="62">IF(COUNTIF(BM22:BM50,"-")&gt;0,"No Full Item","Full Item")</f>
        <v>No Full Item</v>
      </c>
      <c r="BN52" s="11" t="str">
        <f t="shared" si="62"/>
        <v>No Full Item</v>
      </c>
      <c r="BO52" s="11" t="str">
        <f t="shared" si="62"/>
        <v>No Full Item</v>
      </c>
      <c r="BP52" s="11" t="str">
        <f t="shared" si="62"/>
        <v>No Full Item</v>
      </c>
      <c r="BQ52" s="11" t="str">
        <f t="shared" si="62"/>
        <v>No Full Item</v>
      </c>
      <c r="BR52" s="11" t="str">
        <f t="shared" si="62"/>
        <v>No Full Item</v>
      </c>
      <c r="BS52" s="11" t="str">
        <f t="shared" si="62"/>
        <v>No Full Item</v>
      </c>
      <c r="BT52" s="11" t="str">
        <f t="shared" si="62"/>
        <v>No Full Item</v>
      </c>
      <c r="BU52" s="69"/>
      <c r="BV52" s="69"/>
      <c r="BW52" s="75"/>
      <c r="BY52" s="68"/>
      <c r="BZ52" s="75"/>
      <c r="CC52" s="75"/>
    </row>
    <row r="53" spans="2:84" s="44" customFormat="1" ht="35.1" customHeight="1" x14ac:dyDescent="0.25">
      <c r="B53" s="224"/>
      <c r="C53" s="225"/>
      <c r="D53" s="225"/>
      <c r="E53" s="225"/>
      <c r="F53" s="225"/>
      <c r="G53" s="226" t="s">
        <v>37</v>
      </c>
      <c r="H53" s="183"/>
      <c r="I53" s="211"/>
      <c r="J53" s="212"/>
      <c r="K53" s="212"/>
      <c r="L53" s="212"/>
      <c r="M53" s="213"/>
      <c r="N53" s="211"/>
      <c r="O53" s="212"/>
      <c r="P53" s="212"/>
      <c r="Q53" s="212"/>
      <c r="R53" s="213"/>
      <c r="S53" s="211"/>
      <c r="T53" s="212"/>
      <c r="U53" s="212"/>
      <c r="V53" s="212"/>
      <c r="W53" s="213"/>
      <c r="X53" s="211"/>
      <c r="Y53" s="212"/>
      <c r="Z53" s="212"/>
      <c r="AA53" s="212"/>
      <c r="AB53" s="213"/>
      <c r="AC53" s="211"/>
      <c r="AD53" s="212"/>
      <c r="AE53" s="212"/>
      <c r="AF53" s="212"/>
      <c r="AG53" s="213"/>
      <c r="AH53" s="211"/>
      <c r="AI53" s="212"/>
      <c r="AJ53" s="212"/>
      <c r="AK53" s="212"/>
      <c r="AL53" s="213"/>
      <c r="AM53" s="211"/>
      <c r="AN53" s="212"/>
      <c r="AO53" s="212"/>
      <c r="AP53" s="212"/>
      <c r="AQ53" s="213"/>
      <c r="AR53" s="84"/>
      <c r="AS53" s="84"/>
      <c r="AT53" s="84"/>
      <c r="AU53" s="84"/>
      <c r="AV53" s="84"/>
      <c r="AW53" s="211"/>
      <c r="AX53" s="212"/>
      <c r="AY53" s="212"/>
      <c r="AZ53" s="212"/>
      <c r="BA53" s="213"/>
      <c r="BB53" s="211"/>
      <c r="BC53" s="212"/>
      <c r="BD53" s="212"/>
      <c r="BE53" s="212"/>
      <c r="BF53" s="214"/>
      <c r="BU53" s="69"/>
      <c r="BV53" s="69"/>
      <c r="BW53" s="75"/>
      <c r="BY53" s="68"/>
      <c r="BZ53" s="75"/>
      <c r="CC53" s="75"/>
    </row>
    <row r="54" spans="2:84" s="1" customFormat="1" ht="80.099999999999994" customHeight="1" x14ac:dyDescent="0.25">
      <c r="B54" s="215" t="s">
        <v>38</v>
      </c>
      <c r="C54" s="216"/>
      <c r="D54" s="216"/>
      <c r="E54" s="216"/>
      <c r="F54" s="216"/>
      <c r="G54" s="216"/>
      <c r="H54" s="217"/>
      <c r="I54" s="218"/>
      <c r="J54" s="219"/>
      <c r="K54" s="219"/>
      <c r="L54" s="219"/>
      <c r="M54" s="220"/>
      <c r="N54" s="221"/>
      <c r="O54" s="219"/>
      <c r="P54" s="219"/>
      <c r="Q54" s="219"/>
      <c r="R54" s="220"/>
      <c r="S54" s="221"/>
      <c r="T54" s="219"/>
      <c r="U54" s="219"/>
      <c r="V54" s="219"/>
      <c r="W54" s="220"/>
      <c r="X54" s="221"/>
      <c r="Y54" s="219"/>
      <c r="Z54" s="219"/>
      <c r="AA54" s="219"/>
      <c r="AB54" s="220"/>
      <c r="AC54" s="221"/>
      <c r="AD54" s="219"/>
      <c r="AE54" s="219"/>
      <c r="AF54" s="219"/>
      <c r="AG54" s="220"/>
      <c r="AH54" s="221"/>
      <c r="AI54" s="219"/>
      <c r="AJ54" s="219"/>
      <c r="AK54" s="219"/>
      <c r="AL54" s="220"/>
      <c r="AM54" s="221"/>
      <c r="AN54" s="219"/>
      <c r="AO54" s="219"/>
      <c r="AP54" s="219"/>
      <c r="AQ54" s="220"/>
      <c r="AR54" s="85"/>
      <c r="AS54" s="85"/>
      <c r="AT54" s="85"/>
      <c r="AU54" s="85"/>
      <c r="AV54" s="85"/>
      <c r="AW54" s="221"/>
      <c r="AX54" s="219"/>
      <c r="AY54" s="219"/>
      <c r="AZ54" s="219"/>
      <c r="BA54" s="220"/>
      <c r="BB54" s="221"/>
      <c r="BC54" s="219"/>
      <c r="BD54" s="219"/>
      <c r="BE54" s="219"/>
      <c r="BF54" s="227"/>
      <c r="BU54" s="79"/>
      <c r="BV54" s="79"/>
      <c r="BW54" s="70"/>
      <c r="BY54" s="65"/>
      <c r="BZ54" s="70"/>
      <c r="CC54" s="70"/>
    </row>
    <row r="55" spans="2:84" s="1" customFormat="1" ht="120" customHeight="1" x14ac:dyDescent="0.25">
      <c r="B55" s="228"/>
      <c r="C55" s="229"/>
      <c r="D55" s="229"/>
      <c r="E55" s="229"/>
      <c r="F55" s="229"/>
      <c r="G55" s="229"/>
      <c r="H55" s="229"/>
      <c r="I55" s="230" t="s">
        <v>39</v>
      </c>
      <c r="J55" s="231"/>
      <c r="K55" s="231"/>
      <c r="L55" s="231"/>
      <c r="M55" s="232"/>
      <c r="N55" s="230" t="s">
        <v>39</v>
      </c>
      <c r="O55" s="231"/>
      <c r="P55" s="231"/>
      <c r="Q55" s="231"/>
      <c r="R55" s="232"/>
      <c r="S55" s="230" t="s">
        <v>39</v>
      </c>
      <c r="T55" s="231"/>
      <c r="U55" s="231"/>
      <c r="V55" s="231"/>
      <c r="W55" s="232"/>
      <c r="X55" s="230" t="s">
        <v>39</v>
      </c>
      <c r="Y55" s="231"/>
      <c r="Z55" s="231"/>
      <c r="AA55" s="231"/>
      <c r="AB55" s="232"/>
      <c r="AC55" s="230" t="s">
        <v>39</v>
      </c>
      <c r="AD55" s="231"/>
      <c r="AE55" s="231"/>
      <c r="AF55" s="231"/>
      <c r="AG55" s="232"/>
      <c r="AH55" s="230" t="s">
        <v>39</v>
      </c>
      <c r="AI55" s="231"/>
      <c r="AJ55" s="231"/>
      <c r="AK55" s="231"/>
      <c r="AL55" s="232"/>
      <c r="AM55" s="230" t="s">
        <v>39</v>
      </c>
      <c r="AN55" s="231"/>
      <c r="AO55" s="231"/>
      <c r="AP55" s="231"/>
      <c r="AQ55" s="232"/>
      <c r="AR55" s="230" t="s">
        <v>39</v>
      </c>
      <c r="AS55" s="231"/>
      <c r="AT55" s="231"/>
      <c r="AU55" s="231"/>
      <c r="AV55" s="232"/>
      <c r="AW55" s="230" t="s">
        <v>39</v>
      </c>
      <c r="AX55" s="231"/>
      <c r="AY55" s="231"/>
      <c r="AZ55" s="231"/>
      <c r="BA55" s="232"/>
      <c r="BB55" s="246" t="s">
        <v>39</v>
      </c>
      <c r="BC55" s="247"/>
      <c r="BD55" s="247"/>
      <c r="BE55" s="247"/>
      <c r="BF55" s="248"/>
      <c r="BU55" s="79"/>
      <c r="BV55" s="79"/>
      <c r="BW55" s="70"/>
      <c r="BY55" s="65"/>
      <c r="BZ55" s="70"/>
      <c r="CC55" s="70"/>
    </row>
    <row r="56" spans="2:84" s="47" customFormat="1" ht="13.5" x14ac:dyDescent="0.25">
      <c r="B56" s="249" t="s">
        <v>40</v>
      </c>
      <c r="C56" s="250"/>
      <c r="D56" s="250"/>
      <c r="E56" s="250"/>
      <c r="F56" s="250"/>
      <c r="G56" s="250"/>
      <c r="H56" s="251"/>
      <c r="I56" s="252" t="s">
        <v>41</v>
      </c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  <c r="AO56" s="253"/>
      <c r="AP56" s="253"/>
      <c r="AQ56" s="253"/>
      <c r="AR56" s="252" t="s">
        <v>51</v>
      </c>
      <c r="AS56" s="253"/>
      <c r="AT56" s="253"/>
      <c r="AU56" s="253"/>
      <c r="AV56" s="253"/>
      <c r="AW56" s="266" t="s">
        <v>42</v>
      </c>
      <c r="AX56" s="267"/>
      <c r="AY56" s="267"/>
      <c r="AZ56" s="267"/>
      <c r="BA56" s="267"/>
      <c r="BB56" s="267"/>
      <c r="BC56" s="267"/>
      <c r="BD56" s="267"/>
      <c r="BE56" s="267"/>
      <c r="BF56" s="268"/>
      <c r="BU56" s="81"/>
      <c r="BV56" s="81"/>
      <c r="BW56" s="70"/>
      <c r="BX56" s="1"/>
      <c r="BY56" s="65"/>
      <c r="BZ56" s="70"/>
      <c r="CC56" s="70"/>
    </row>
    <row r="57" spans="2:84" s="1" customFormat="1" ht="90" customHeight="1" x14ac:dyDescent="0.25">
      <c r="B57" s="258"/>
      <c r="C57" s="259"/>
      <c r="D57" s="259"/>
      <c r="E57" s="259"/>
      <c r="F57" s="259"/>
      <c r="G57" s="259"/>
      <c r="H57" s="260"/>
      <c r="I57" s="266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9"/>
      <c r="AR57" s="179"/>
      <c r="AS57" s="180"/>
      <c r="AT57" s="180"/>
      <c r="AU57" s="180"/>
      <c r="AV57" s="180"/>
      <c r="AW57" s="179"/>
      <c r="AX57" s="180"/>
      <c r="AY57" s="180"/>
      <c r="AZ57" s="180"/>
      <c r="BA57" s="180"/>
      <c r="BB57" s="180"/>
      <c r="BC57" s="180"/>
      <c r="BD57" s="180"/>
      <c r="BE57" s="180"/>
      <c r="BF57" s="245"/>
      <c r="BU57" s="79"/>
      <c r="BV57" s="79"/>
      <c r="BW57" s="70"/>
      <c r="BY57" s="65"/>
      <c r="BZ57" s="70"/>
      <c r="CC57" s="70"/>
    </row>
    <row r="58" spans="2:84" s="1" customFormat="1" ht="13.5" x14ac:dyDescent="0.25">
      <c r="B58" s="233" t="s">
        <v>47</v>
      </c>
      <c r="C58" s="234"/>
      <c r="D58" s="234"/>
      <c r="E58" s="234"/>
      <c r="F58" s="234"/>
      <c r="G58" s="234"/>
      <c r="H58" s="235"/>
      <c r="I58" s="236" t="s">
        <v>43</v>
      </c>
      <c r="J58" s="237"/>
      <c r="K58" s="237"/>
      <c r="L58" s="237"/>
      <c r="M58" s="237"/>
      <c r="N58" s="237" t="s">
        <v>52</v>
      </c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  <c r="AI58" s="238"/>
      <c r="AJ58" s="238"/>
      <c r="AK58" s="238"/>
      <c r="AL58" s="238"/>
      <c r="AM58" s="237" t="s">
        <v>45</v>
      </c>
      <c r="AN58" s="237"/>
      <c r="AO58" s="237"/>
      <c r="AP58" s="237"/>
      <c r="AQ58" s="237"/>
      <c r="AR58" s="261" t="s">
        <v>48</v>
      </c>
      <c r="AS58" s="262"/>
      <c r="AT58" s="262"/>
      <c r="AU58" s="262"/>
      <c r="AV58" s="262"/>
      <c r="AW58" s="236" t="str">
        <f>IF(OR($I$51&lt;200000000,$N$51&lt;200000000,$S$51&lt;200000000,$X$51&lt;200000000,$AC$51&lt;200000000,$AH$51&lt;200000000,$AM$51&lt;200000000,$AR$51&lt;200000000,$AW$51&lt;200000000,$BB$51&lt;200000000,),"Mochammad Rusfandy","Mochammad Rusfandy")</f>
        <v>Mochammad Rusfandy</v>
      </c>
      <c r="AX58" s="237"/>
      <c r="AY58" s="237"/>
      <c r="AZ58" s="237"/>
      <c r="BA58" s="237"/>
      <c r="BB58" s="237" t="str">
        <f>IF(OR($I$51="",$N$51="",$S$51="",$X$51="",$AC$51="",$AH$51="",$AM$51="",$AR$51="",$AW$51="",$BB$51=""),"",IF(OR($I$51&gt;200000000,$N$51&gt;200000000,$S$51&gt;200000000,$X$51&gt;200000000,$AC$51&gt;200000000,$AH$51&gt;200000000,$AM$51&gt;200000000,$AR$51&gt;200000000,$AW$51&gt;200000000,$BB$51&gt;200000000),"Heri Gunawan",""))</f>
        <v/>
      </c>
      <c r="BC58" s="237"/>
      <c r="BD58" s="237"/>
      <c r="BE58" s="237"/>
      <c r="BF58" s="254"/>
      <c r="BU58" s="79"/>
      <c r="BV58" s="79"/>
      <c r="BW58" s="70"/>
      <c r="BY58" s="65"/>
      <c r="BZ58" s="70"/>
      <c r="CC58" s="70"/>
    </row>
    <row r="59" spans="2:84" s="1" customFormat="1" ht="13.5" x14ac:dyDescent="0.25">
      <c r="B59" s="48" t="s">
        <v>46</v>
      </c>
      <c r="C59" s="49"/>
      <c r="D59" s="255">
        <f ca="1">BC8</f>
        <v>46314</v>
      </c>
      <c r="E59" s="255"/>
      <c r="F59" s="255"/>
      <c r="G59" s="255"/>
      <c r="H59" s="256"/>
      <c r="I59" s="242" t="str">
        <f>IF(I58="","","Date:")</f>
        <v>Date:</v>
      </c>
      <c r="J59" s="242"/>
      <c r="K59" s="242"/>
      <c r="L59" s="242"/>
      <c r="M59" s="242"/>
      <c r="N59" s="242" t="str">
        <f>IF(N58="","","Date:")</f>
        <v>Date:</v>
      </c>
      <c r="O59" s="242"/>
      <c r="P59" s="242"/>
      <c r="Q59" s="242"/>
      <c r="R59" s="242"/>
      <c r="S59" s="242"/>
      <c r="T59" s="242"/>
      <c r="U59" s="242"/>
      <c r="V59" s="242"/>
      <c r="W59" s="242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257"/>
      <c r="AI59" s="257"/>
      <c r="AJ59" s="257"/>
      <c r="AK59" s="257"/>
      <c r="AL59" s="257"/>
      <c r="AM59" s="242" t="str">
        <f>IF(AM58="","","Date:")</f>
        <v>Date:</v>
      </c>
      <c r="AN59" s="242"/>
      <c r="AO59" s="242"/>
      <c r="AP59" s="242"/>
      <c r="AQ59" s="242"/>
      <c r="AR59" s="263" t="s">
        <v>49</v>
      </c>
      <c r="AS59" s="264"/>
      <c r="AT59" s="264"/>
      <c r="AU59" s="264"/>
      <c r="AV59" s="264"/>
      <c r="AW59" s="241" t="str">
        <f>IF(AW58="","","Date:")</f>
        <v>Date:</v>
      </c>
      <c r="AX59" s="242"/>
      <c r="AY59" s="242"/>
      <c r="AZ59" s="242"/>
      <c r="BA59" s="242"/>
      <c r="BB59" s="242" t="str">
        <f>IF(BB58="","","Date:")</f>
        <v/>
      </c>
      <c r="BC59" s="242"/>
      <c r="BD59" s="242"/>
      <c r="BE59" s="242"/>
      <c r="BF59" s="243"/>
      <c r="BU59" s="79"/>
      <c r="BV59" s="79"/>
      <c r="BW59" s="70"/>
      <c r="BY59" s="65"/>
      <c r="BZ59" s="70"/>
      <c r="CC59" s="70"/>
    </row>
    <row r="60" spans="2:84" s="1" customFormat="1" ht="15.75" customHeight="1" thickBot="1" x14ac:dyDescent="0.3">
      <c r="B60" s="50"/>
      <c r="C60" s="51"/>
      <c r="D60" s="51"/>
      <c r="E60" s="51"/>
      <c r="F60" s="51"/>
      <c r="G60" s="51"/>
      <c r="H60" s="51"/>
      <c r="I60" s="51"/>
      <c r="J60" s="51"/>
      <c r="K60" s="51"/>
      <c r="L60" s="52"/>
      <c r="M60" s="52"/>
      <c r="N60" s="51"/>
      <c r="O60" s="51"/>
      <c r="P60" s="51"/>
      <c r="Q60" s="51"/>
      <c r="R60" s="51"/>
      <c r="S60" s="51"/>
      <c r="T60" s="51"/>
      <c r="U60" s="53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197"/>
      <c r="AS60" s="197"/>
      <c r="AT60" s="197"/>
      <c r="AU60" s="197"/>
      <c r="AV60" s="197"/>
      <c r="AW60" s="51"/>
      <c r="AX60" s="51"/>
      <c r="AY60" s="51"/>
      <c r="AZ60" s="51"/>
      <c r="BA60" s="51"/>
      <c r="BB60" s="51"/>
      <c r="BC60" s="51"/>
      <c r="BD60" s="51"/>
      <c r="BE60" s="51"/>
      <c r="BF60" s="54"/>
      <c r="BU60" s="79"/>
      <c r="BV60" s="79"/>
      <c r="BW60" s="70"/>
      <c r="BY60" s="65"/>
      <c r="BZ60" s="70"/>
      <c r="CC60" s="70"/>
    </row>
    <row r="61" spans="2:84" ht="17.25" thickTop="1" x14ac:dyDescent="0.25">
      <c r="L61" s="55"/>
      <c r="M61" s="55"/>
    </row>
    <row r="62" spans="2:84" x14ac:dyDescent="0.25">
      <c r="I62" s="56"/>
      <c r="L62" s="55"/>
      <c r="M62" s="55"/>
      <c r="N62" s="56"/>
    </row>
    <row r="63" spans="2:84" x14ac:dyDescent="0.25">
      <c r="J63" s="265"/>
      <c r="K63" s="244"/>
      <c r="L63" s="244"/>
      <c r="M63" s="244"/>
    </row>
    <row r="64" spans="2:84" x14ac:dyDescent="0.25">
      <c r="J64" s="265"/>
      <c r="K64" s="244"/>
      <c r="L64" s="244"/>
      <c r="M64" s="244"/>
    </row>
    <row r="65" spans="4:16" x14ac:dyDescent="0.25">
      <c r="J65" s="265"/>
      <c r="K65" s="244"/>
      <c r="L65" s="244"/>
      <c r="M65" s="244"/>
    </row>
    <row r="66" spans="4:16" x14ac:dyDescent="0.25">
      <c r="J66" s="265"/>
      <c r="K66" s="244"/>
      <c r="L66" s="244"/>
      <c r="M66" s="244"/>
      <c r="N66" s="265"/>
      <c r="O66" s="244"/>
      <c r="P66" s="244"/>
    </row>
    <row r="67" spans="4:16" x14ac:dyDescent="0.25">
      <c r="J67" s="265"/>
      <c r="K67" s="244"/>
      <c r="L67" s="244"/>
      <c r="M67" s="244"/>
    </row>
    <row r="68" spans="4:16" x14ac:dyDescent="0.25">
      <c r="J68" s="244"/>
      <c r="K68" s="244"/>
      <c r="L68" s="244"/>
      <c r="M68" s="244"/>
    </row>
    <row r="69" spans="4:16" x14ac:dyDescent="0.25">
      <c r="L69" s="55"/>
      <c r="M69" s="55"/>
    </row>
    <row r="70" spans="4:16" x14ac:dyDescent="0.25">
      <c r="L70" s="239"/>
      <c r="M70" s="239"/>
    </row>
    <row r="73" spans="4:16" x14ac:dyDescent="0.25">
      <c r="D73" s="56"/>
      <c r="E73" s="56"/>
      <c r="F73" s="56"/>
      <c r="G73" s="56"/>
      <c r="H73" s="56"/>
      <c r="I73" s="56"/>
    </row>
    <row r="74" spans="4:16" x14ac:dyDescent="0.25">
      <c r="D74" s="56"/>
      <c r="E74" s="56"/>
      <c r="F74" s="56"/>
      <c r="G74" s="56"/>
      <c r="H74" s="56"/>
      <c r="I74" s="56"/>
    </row>
    <row r="75" spans="4:16" x14ac:dyDescent="0.25">
      <c r="D75" s="56"/>
      <c r="E75" s="56"/>
      <c r="F75" s="56"/>
      <c r="G75" s="56"/>
      <c r="H75" s="56"/>
      <c r="I75" s="56"/>
    </row>
    <row r="76" spans="4:16" x14ac:dyDescent="0.25">
      <c r="D76" s="56"/>
      <c r="E76" s="56"/>
      <c r="F76" s="56"/>
      <c r="G76" s="56"/>
      <c r="H76" s="56"/>
      <c r="I76" s="56"/>
    </row>
    <row r="77" spans="4:16" x14ac:dyDescent="0.25">
      <c r="D77" s="56"/>
      <c r="E77" s="56"/>
      <c r="F77" s="57"/>
      <c r="G77" s="56"/>
      <c r="H77" s="56"/>
      <c r="I77" s="56"/>
    </row>
    <row r="78" spans="4:16" x14ac:dyDescent="0.25">
      <c r="D78" s="56"/>
      <c r="E78" s="56"/>
      <c r="F78" s="240"/>
      <c r="G78" s="240"/>
      <c r="H78" s="240"/>
      <c r="I78" s="56"/>
    </row>
    <row r="79" spans="4:16" x14ac:dyDescent="0.25">
      <c r="D79" s="56"/>
      <c r="E79" s="56"/>
      <c r="F79" s="240"/>
      <c r="G79" s="240"/>
      <c r="H79" s="240"/>
      <c r="I79" s="58"/>
      <c r="J79" s="59"/>
    </row>
    <row r="80" spans="4:16" x14ac:dyDescent="0.25">
      <c r="D80" s="56"/>
      <c r="E80" s="56"/>
      <c r="F80" s="56"/>
      <c r="G80" s="56"/>
      <c r="H80" s="56"/>
      <c r="I80" s="56"/>
    </row>
    <row r="81" spans="4:9" x14ac:dyDescent="0.25">
      <c r="D81" s="56"/>
      <c r="E81" s="56"/>
      <c r="F81" s="56"/>
      <c r="G81" s="56"/>
      <c r="H81" s="56"/>
      <c r="I81" s="56"/>
    </row>
    <row r="82" spans="4:9" x14ac:dyDescent="0.25">
      <c r="D82" s="56"/>
      <c r="E82" s="56"/>
      <c r="F82" s="56"/>
      <c r="G82" s="56"/>
      <c r="H82" s="56"/>
      <c r="I82" s="60"/>
    </row>
    <row r="83" spans="4:9" x14ac:dyDescent="0.25">
      <c r="D83" s="56"/>
      <c r="E83" s="56"/>
      <c r="F83" s="56"/>
      <c r="G83" s="56"/>
      <c r="H83" s="56"/>
      <c r="I83" s="56"/>
    </row>
  </sheetData>
  <mergeCells count="572">
    <mergeCell ref="B17:E17"/>
    <mergeCell ref="CE20:CF20"/>
    <mergeCell ref="BV18:BV21"/>
    <mergeCell ref="BB12:BF13"/>
    <mergeCell ref="BB14:BF14"/>
    <mergeCell ref="BB15:BF15"/>
    <mergeCell ref="BC11:BF11"/>
    <mergeCell ref="CE21:CF21"/>
    <mergeCell ref="AR52:AV52"/>
    <mergeCell ref="AS11:AV11"/>
    <mergeCell ref="AR12:AV13"/>
    <mergeCell ref="AR14:AV14"/>
    <mergeCell ref="AR15:AV15"/>
    <mergeCell ref="AU46:AV46"/>
    <mergeCell ref="AU47:AV47"/>
    <mergeCell ref="AU48:AV48"/>
    <mergeCell ref="AU49:AV49"/>
    <mergeCell ref="AU50:AV50"/>
    <mergeCell ref="AR20:AV20"/>
    <mergeCell ref="AU45:AV45"/>
    <mergeCell ref="AW51:BA51"/>
    <mergeCell ref="BB51:BF51"/>
    <mergeCell ref="G52:H52"/>
    <mergeCell ref="I52:M52"/>
    <mergeCell ref="J63:M63"/>
    <mergeCell ref="AU36:AV36"/>
    <mergeCell ref="AU37:AV37"/>
    <mergeCell ref="AU38:AV38"/>
    <mergeCell ref="AU39:AV39"/>
    <mergeCell ref="AU34:AV34"/>
    <mergeCell ref="AU35:AV35"/>
    <mergeCell ref="AR56:AV56"/>
    <mergeCell ref="AR57:AV57"/>
    <mergeCell ref="AR60:AV60"/>
    <mergeCell ref="X58:AB58"/>
    <mergeCell ref="AC58:AG58"/>
    <mergeCell ref="I57:AQ57"/>
    <mergeCell ref="AC53:AG53"/>
    <mergeCell ref="AH53:AL53"/>
    <mergeCell ref="AM53:AQ53"/>
    <mergeCell ref="AM58:AQ58"/>
    <mergeCell ref="AM59:AQ59"/>
    <mergeCell ref="AR51:AV51"/>
    <mergeCell ref="AU40:AV40"/>
    <mergeCell ref="AU41:AV41"/>
    <mergeCell ref="AU42:AV42"/>
    <mergeCell ref="AU43:AV43"/>
    <mergeCell ref="AU44:AV44"/>
    <mergeCell ref="L70:M70"/>
    <mergeCell ref="F78:H79"/>
    <mergeCell ref="AW59:BA59"/>
    <mergeCell ref="BB59:BF59"/>
    <mergeCell ref="J68:M68"/>
    <mergeCell ref="AW57:BF57"/>
    <mergeCell ref="BB55:BF55"/>
    <mergeCell ref="B56:H56"/>
    <mergeCell ref="I56:AQ56"/>
    <mergeCell ref="BB58:BF58"/>
    <mergeCell ref="D59:H59"/>
    <mergeCell ref="I59:M59"/>
    <mergeCell ref="N59:R59"/>
    <mergeCell ref="S59:W59"/>
    <mergeCell ref="AH59:AL59"/>
    <mergeCell ref="B57:H57"/>
    <mergeCell ref="AR58:AV58"/>
    <mergeCell ref="AR59:AV59"/>
    <mergeCell ref="J64:M64"/>
    <mergeCell ref="J65:M65"/>
    <mergeCell ref="J66:M66"/>
    <mergeCell ref="N66:P66"/>
    <mergeCell ref="J67:M67"/>
    <mergeCell ref="AW56:BF56"/>
    <mergeCell ref="AW54:BA54"/>
    <mergeCell ref="BB54:BF54"/>
    <mergeCell ref="B55:H55"/>
    <mergeCell ref="I55:M55"/>
    <mergeCell ref="N55:R55"/>
    <mergeCell ref="S55:W55"/>
    <mergeCell ref="X55:AB55"/>
    <mergeCell ref="AR55:AV55"/>
    <mergeCell ref="B58:H58"/>
    <mergeCell ref="I58:M58"/>
    <mergeCell ref="N58:R58"/>
    <mergeCell ref="S58:W58"/>
    <mergeCell ref="AH58:AL58"/>
    <mergeCell ref="AW58:BA58"/>
    <mergeCell ref="AC55:AG55"/>
    <mergeCell ref="AH55:AL55"/>
    <mergeCell ref="AM55:AQ55"/>
    <mergeCell ref="AW55:BA55"/>
    <mergeCell ref="AC54:AG54"/>
    <mergeCell ref="AH54:AL54"/>
    <mergeCell ref="AM54:AQ54"/>
    <mergeCell ref="AW53:BA53"/>
    <mergeCell ref="BB53:BF53"/>
    <mergeCell ref="B54:H54"/>
    <mergeCell ref="I54:M54"/>
    <mergeCell ref="N54:R54"/>
    <mergeCell ref="S54:W54"/>
    <mergeCell ref="X54:AB54"/>
    <mergeCell ref="BE50:BF50"/>
    <mergeCell ref="B51:F53"/>
    <mergeCell ref="G51:H51"/>
    <mergeCell ref="I51:M51"/>
    <mergeCell ref="N51:R51"/>
    <mergeCell ref="S51:W51"/>
    <mergeCell ref="X51:AB51"/>
    <mergeCell ref="AW52:BA52"/>
    <mergeCell ref="BB52:BF52"/>
    <mergeCell ref="G53:H53"/>
    <mergeCell ref="I53:M53"/>
    <mergeCell ref="N53:R53"/>
    <mergeCell ref="S53:W53"/>
    <mergeCell ref="X53:AB53"/>
    <mergeCell ref="AC51:AG51"/>
    <mergeCell ref="AH51:AL51"/>
    <mergeCell ref="AM51:AQ51"/>
    <mergeCell ref="N52:R52"/>
    <mergeCell ref="S52:W52"/>
    <mergeCell ref="X52:AB52"/>
    <mergeCell ref="C50:F50"/>
    <mergeCell ref="L50:M50"/>
    <mergeCell ref="Q50:R50"/>
    <mergeCell ref="V50:W50"/>
    <mergeCell ref="AA50:AB50"/>
    <mergeCell ref="AF50:AG50"/>
    <mergeCell ref="AK50:AL50"/>
    <mergeCell ref="AP50:AQ50"/>
    <mergeCell ref="AZ50:BA50"/>
    <mergeCell ref="AH52:AL52"/>
    <mergeCell ref="AM52:AQ52"/>
    <mergeCell ref="AC52:AG52"/>
    <mergeCell ref="BE48:BF48"/>
    <mergeCell ref="C49:F49"/>
    <mergeCell ref="L49:M49"/>
    <mergeCell ref="Q49:R49"/>
    <mergeCell ref="V49:W49"/>
    <mergeCell ref="AA49:AB49"/>
    <mergeCell ref="AF49:AG49"/>
    <mergeCell ref="AK49:AL49"/>
    <mergeCell ref="AP49:AQ49"/>
    <mergeCell ref="AZ49:BA49"/>
    <mergeCell ref="BE49:BF49"/>
    <mergeCell ref="C48:F48"/>
    <mergeCell ref="L48:M48"/>
    <mergeCell ref="Q48:R48"/>
    <mergeCell ref="V48:W48"/>
    <mergeCell ref="AA48:AB48"/>
    <mergeCell ref="AF48:AG48"/>
    <mergeCell ref="AK48:AL48"/>
    <mergeCell ref="AP48:AQ48"/>
    <mergeCell ref="AZ48:BA48"/>
    <mergeCell ref="BE46:BF46"/>
    <mergeCell ref="C47:F47"/>
    <mergeCell ref="L47:M47"/>
    <mergeCell ref="Q47:R47"/>
    <mergeCell ref="V47:W47"/>
    <mergeCell ref="AA47:AB47"/>
    <mergeCell ref="AF47:AG47"/>
    <mergeCell ref="AK47:AL47"/>
    <mergeCell ref="AP47:AQ47"/>
    <mergeCell ref="AZ47:BA47"/>
    <mergeCell ref="BE47:BF47"/>
    <mergeCell ref="C46:F46"/>
    <mergeCell ref="L46:M46"/>
    <mergeCell ref="Q46:R46"/>
    <mergeCell ref="V46:W46"/>
    <mergeCell ref="AA46:AB46"/>
    <mergeCell ref="AF46:AG46"/>
    <mergeCell ref="AK46:AL46"/>
    <mergeCell ref="AP46:AQ46"/>
    <mergeCell ref="AZ46:BA46"/>
    <mergeCell ref="BE44:BF44"/>
    <mergeCell ref="C45:F45"/>
    <mergeCell ref="L45:M45"/>
    <mergeCell ref="Q45:R45"/>
    <mergeCell ref="V45:W45"/>
    <mergeCell ref="AA45:AB45"/>
    <mergeCell ref="AF45:AG45"/>
    <mergeCell ref="AK45:AL45"/>
    <mergeCell ref="AP45:AQ45"/>
    <mergeCell ref="AZ45:BA45"/>
    <mergeCell ref="BE45:BF45"/>
    <mergeCell ref="C44:F44"/>
    <mergeCell ref="L44:M44"/>
    <mergeCell ref="Q44:R44"/>
    <mergeCell ref="V44:W44"/>
    <mergeCell ref="AA44:AB44"/>
    <mergeCell ref="AF44:AG44"/>
    <mergeCell ref="AK44:AL44"/>
    <mergeCell ref="AP44:AQ44"/>
    <mergeCell ref="AZ44:BA44"/>
    <mergeCell ref="BE42:BF42"/>
    <mergeCell ref="C43:F43"/>
    <mergeCell ref="L43:M43"/>
    <mergeCell ref="Q43:R43"/>
    <mergeCell ref="V43:W43"/>
    <mergeCell ref="AA43:AB43"/>
    <mergeCell ref="AF43:AG43"/>
    <mergeCell ref="AK43:AL43"/>
    <mergeCell ref="AP43:AQ43"/>
    <mergeCell ref="AZ43:BA43"/>
    <mergeCell ref="BE43:BF43"/>
    <mergeCell ref="C42:F42"/>
    <mergeCell ref="L42:M42"/>
    <mergeCell ref="Q42:R42"/>
    <mergeCell ref="V42:W42"/>
    <mergeCell ref="AA42:AB42"/>
    <mergeCell ref="AF42:AG42"/>
    <mergeCell ref="AK42:AL42"/>
    <mergeCell ref="AP42:AQ42"/>
    <mergeCell ref="AZ42:BA42"/>
    <mergeCell ref="BE40:BF40"/>
    <mergeCell ref="C41:F41"/>
    <mergeCell ref="L41:M41"/>
    <mergeCell ref="Q41:R41"/>
    <mergeCell ref="V41:W41"/>
    <mergeCell ref="AA41:AB41"/>
    <mergeCell ref="AF41:AG41"/>
    <mergeCell ref="AK41:AL41"/>
    <mergeCell ref="AP41:AQ41"/>
    <mergeCell ref="AZ41:BA41"/>
    <mergeCell ref="BE41:BF41"/>
    <mergeCell ref="C40:F40"/>
    <mergeCell ref="L40:M40"/>
    <mergeCell ref="Q40:R40"/>
    <mergeCell ref="V40:W40"/>
    <mergeCell ref="AA40:AB40"/>
    <mergeCell ref="AF40:AG40"/>
    <mergeCell ref="AK40:AL40"/>
    <mergeCell ref="AP40:AQ40"/>
    <mergeCell ref="AZ40:BA40"/>
    <mergeCell ref="BE38:BF38"/>
    <mergeCell ref="C39:F39"/>
    <mergeCell ref="L39:M39"/>
    <mergeCell ref="Q39:R39"/>
    <mergeCell ref="V39:W39"/>
    <mergeCell ref="AA39:AB39"/>
    <mergeCell ref="AF39:AG39"/>
    <mergeCell ref="AK39:AL39"/>
    <mergeCell ref="AP39:AQ39"/>
    <mergeCell ref="AZ39:BA39"/>
    <mergeCell ref="BE39:BF39"/>
    <mergeCell ref="C38:F38"/>
    <mergeCell ref="L38:M38"/>
    <mergeCell ref="Q38:R38"/>
    <mergeCell ref="V38:W38"/>
    <mergeCell ref="AA38:AB38"/>
    <mergeCell ref="AF38:AG38"/>
    <mergeCell ref="AK38:AL38"/>
    <mergeCell ref="AP38:AQ38"/>
    <mergeCell ref="AZ38:BA38"/>
    <mergeCell ref="BE36:BF36"/>
    <mergeCell ref="C37:F37"/>
    <mergeCell ref="L37:M37"/>
    <mergeCell ref="Q37:R37"/>
    <mergeCell ref="V37:W37"/>
    <mergeCell ref="AA37:AB37"/>
    <mergeCell ref="AF37:AG37"/>
    <mergeCell ref="AK37:AL37"/>
    <mergeCell ref="AP37:AQ37"/>
    <mergeCell ref="AZ37:BA37"/>
    <mergeCell ref="BE37:BF37"/>
    <mergeCell ref="C36:F36"/>
    <mergeCell ref="L36:M36"/>
    <mergeCell ref="Q36:R36"/>
    <mergeCell ref="V36:W36"/>
    <mergeCell ref="AA36:AB36"/>
    <mergeCell ref="AF36:AG36"/>
    <mergeCell ref="AK36:AL36"/>
    <mergeCell ref="AP36:AQ36"/>
    <mergeCell ref="AZ36:BA36"/>
    <mergeCell ref="BE34:BF34"/>
    <mergeCell ref="C35:F35"/>
    <mergeCell ref="L35:M35"/>
    <mergeCell ref="Q35:R35"/>
    <mergeCell ref="V35:W35"/>
    <mergeCell ref="AA35:AB35"/>
    <mergeCell ref="AF35:AG35"/>
    <mergeCell ref="AK35:AL35"/>
    <mergeCell ref="AP35:AQ35"/>
    <mergeCell ref="AZ35:BA35"/>
    <mergeCell ref="BE35:BF35"/>
    <mergeCell ref="C34:F34"/>
    <mergeCell ref="L34:M34"/>
    <mergeCell ref="Q34:R34"/>
    <mergeCell ref="V34:W34"/>
    <mergeCell ref="AA34:AB34"/>
    <mergeCell ref="AF34:AG34"/>
    <mergeCell ref="AK34:AL34"/>
    <mergeCell ref="AP34:AQ34"/>
    <mergeCell ref="AZ34:BA34"/>
    <mergeCell ref="BE32:BF32"/>
    <mergeCell ref="C33:F33"/>
    <mergeCell ref="L33:M33"/>
    <mergeCell ref="Q33:R33"/>
    <mergeCell ref="V33:W33"/>
    <mergeCell ref="AA33:AB33"/>
    <mergeCell ref="AF33:AG33"/>
    <mergeCell ref="AK33:AL33"/>
    <mergeCell ref="AP33:AQ33"/>
    <mergeCell ref="AZ33:BA33"/>
    <mergeCell ref="BE33:BF33"/>
    <mergeCell ref="AU32:AV32"/>
    <mergeCell ref="AU33:AV33"/>
    <mergeCell ref="C32:F32"/>
    <mergeCell ref="L32:M32"/>
    <mergeCell ref="Q32:R32"/>
    <mergeCell ref="V32:W32"/>
    <mergeCell ref="AA32:AB32"/>
    <mergeCell ref="AF32:AG32"/>
    <mergeCell ref="AK32:AL32"/>
    <mergeCell ref="AP32:AQ32"/>
    <mergeCell ref="AZ32:BA32"/>
    <mergeCell ref="BE30:BF30"/>
    <mergeCell ref="C31:F31"/>
    <mergeCell ref="L31:M31"/>
    <mergeCell ref="Q31:R31"/>
    <mergeCell ref="V31:W31"/>
    <mergeCell ref="AA31:AB31"/>
    <mergeCell ref="AF31:AG31"/>
    <mergeCell ref="AK31:AL31"/>
    <mergeCell ref="AP31:AQ31"/>
    <mergeCell ref="AZ31:BA31"/>
    <mergeCell ref="BE31:BF31"/>
    <mergeCell ref="AU30:AV30"/>
    <mergeCell ref="AU31:AV31"/>
    <mergeCell ref="C30:F30"/>
    <mergeCell ref="L30:M30"/>
    <mergeCell ref="Q30:R30"/>
    <mergeCell ref="V30:W30"/>
    <mergeCell ref="AA30:AB30"/>
    <mergeCell ref="AF30:AG30"/>
    <mergeCell ref="AK30:AL30"/>
    <mergeCell ref="AP30:AQ30"/>
    <mergeCell ref="AZ30:BA30"/>
    <mergeCell ref="BE28:BF28"/>
    <mergeCell ref="C29:F29"/>
    <mergeCell ref="L29:M29"/>
    <mergeCell ref="Q29:R29"/>
    <mergeCell ref="V29:W29"/>
    <mergeCell ref="AA29:AB29"/>
    <mergeCell ref="AF29:AG29"/>
    <mergeCell ref="AK29:AL29"/>
    <mergeCell ref="AP29:AQ29"/>
    <mergeCell ref="AZ29:BA29"/>
    <mergeCell ref="BE29:BF29"/>
    <mergeCell ref="AU29:AV29"/>
    <mergeCell ref="C28:F28"/>
    <mergeCell ref="L28:M28"/>
    <mergeCell ref="Q28:R28"/>
    <mergeCell ref="V28:W28"/>
    <mergeCell ref="AA28:AB28"/>
    <mergeCell ref="AF28:AG28"/>
    <mergeCell ref="AK28:AL28"/>
    <mergeCell ref="AP28:AQ28"/>
    <mergeCell ref="AZ28:BA28"/>
    <mergeCell ref="AU28:AV28"/>
    <mergeCell ref="BE26:BF26"/>
    <mergeCell ref="C27:F27"/>
    <mergeCell ref="L27:M27"/>
    <mergeCell ref="Q27:R27"/>
    <mergeCell ref="V27:W27"/>
    <mergeCell ref="AA27:AB27"/>
    <mergeCell ref="AF27:AG27"/>
    <mergeCell ref="AK27:AL27"/>
    <mergeCell ref="AP27:AQ27"/>
    <mergeCell ref="AZ27:BA27"/>
    <mergeCell ref="BE27:BF27"/>
    <mergeCell ref="AU26:AV26"/>
    <mergeCell ref="AU27:AV27"/>
    <mergeCell ref="C26:F26"/>
    <mergeCell ref="L26:M26"/>
    <mergeCell ref="Q26:R26"/>
    <mergeCell ref="V26:W26"/>
    <mergeCell ref="AA26:AB26"/>
    <mergeCell ref="AF26:AG26"/>
    <mergeCell ref="AK26:AL26"/>
    <mergeCell ref="AP26:AQ26"/>
    <mergeCell ref="AZ26:BA26"/>
    <mergeCell ref="BE24:BF24"/>
    <mergeCell ref="C25:F25"/>
    <mergeCell ref="L25:M25"/>
    <mergeCell ref="Q25:R25"/>
    <mergeCell ref="V25:W25"/>
    <mergeCell ref="AA25:AB25"/>
    <mergeCell ref="AF25:AG25"/>
    <mergeCell ref="AK25:AL25"/>
    <mergeCell ref="AP25:AQ25"/>
    <mergeCell ref="AZ25:BA25"/>
    <mergeCell ref="BE25:BF25"/>
    <mergeCell ref="AU24:AV24"/>
    <mergeCell ref="AU25:AV25"/>
    <mergeCell ref="C24:F24"/>
    <mergeCell ref="L24:M24"/>
    <mergeCell ref="Q24:R24"/>
    <mergeCell ref="V24:W24"/>
    <mergeCell ref="AA24:AB24"/>
    <mergeCell ref="AF24:AG24"/>
    <mergeCell ref="AK24:AL24"/>
    <mergeCell ref="AP24:AQ24"/>
    <mergeCell ref="AZ24:BA24"/>
    <mergeCell ref="AZ22:BA22"/>
    <mergeCell ref="BE22:BF22"/>
    <mergeCell ref="C23:F23"/>
    <mergeCell ref="L23:M23"/>
    <mergeCell ref="Q23:R23"/>
    <mergeCell ref="V23:W23"/>
    <mergeCell ref="AA23:AB23"/>
    <mergeCell ref="AF23:AG23"/>
    <mergeCell ref="C22:F22"/>
    <mergeCell ref="L22:M22"/>
    <mergeCell ref="Q22:R22"/>
    <mergeCell ref="V22:W22"/>
    <mergeCell ref="AA22:AB22"/>
    <mergeCell ref="AF22:AG22"/>
    <mergeCell ref="AK23:AL23"/>
    <mergeCell ref="AP23:AQ23"/>
    <mergeCell ref="AZ23:BA23"/>
    <mergeCell ref="BE23:BF23"/>
    <mergeCell ref="AU22:AV22"/>
    <mergeCell ref="AU23:AV23"/>
    <mergeCell ref="AK22:AL22"/>
    <mergeCell ref="AP22:AQ22"/>
    <mergeCell ref="CA21:CC21"/>
    <mergeCell ref="AU21:AV21"/>
    <mergeCell ref="AH20:AL20"/>
    <mergeCell ref="AM20:AQ20"/>
    <mergeCell ref="AW20:BA20"/>
    <mergeCell ref="BB20:BF20"/>
    <mergeCell ref="BT19:BT21"/>
    <mergeCell ref="BU18:BU21"/>
    <mergeCell ref="BB18:BF18"/>
    <mergeCell ref="BQ19:BQ21"/>
    <mergeCell ref="BR19:BR21"/>
    <mergeCell ref="BS19:BS21"/>
    <mergeCell ref="BN19:BN21"/>
    <mergeCell ref="BO19:BO21"/>
    <mergeCell ref="BP19:BP21"/>
    <mergeCell ref="BL19:BL21"/>
    <mergeCell ref="BM19:BM21"/>
    <mergeCell ref="AK21:AL21"/>
    <mergeCell ref="AP21:AQ21"/>
    <mergeCell ref="AZ21:BA21"/>
    <mergeCell ref="BE21:BF21"/>
    <mergeCell ref="AM19:AQ19"/>
    <mergeCell ref="AW19:BA19"/>
    <mergeCell ref="AH19:AL19"/>
    <mergeCell ref="BX21:BZ21"/>
    <mergeCell ref="C21:F21"/>
    <mergeCell ref="L21:M21"/>
    <mergeCell ref="Q21:R21"/>
    <mergeCell ref="V21:W21"/>
    <mergeCell ref="AA21:AB21"/>
    <mergeCell ref="AF21:AG21"/>
    <mergeCell ref="B18:F19"/>
    <mergeCell ref="G18:H18"/>
    <mergeCell ref="I18:M18"/>
    <mergeCell ref="N18:R18"/>
    <mergeCell ref="S18:W18"/>
    <mergeCell ref="G20:H20"/>
    <mergeCell ref="I20:M20"/>
    <mergeCell ref="N20:R20"/>
    <mergeCell ref="S20:W20"/>
    <mergeCell ref="X20:AB20"/>
    <mergeCell ref="AC20:AG20"/>
    <mergeCell ref="S19:W19"/>
    <mergeCell ref="X19:AB19"/>
    <mergeCell ref="AC19:AG19"/>
    <mergeCell ref="G19:H19"/>
    <mergeCell ref="I19:M19"/>
    <mergeCell ref="N19:R19"/>
    <mergeCell ref="BB16:BF16"/>
    <mergeCell ref="AW17:AX17"/>
    <mergeCell ref="AY17:BA17"/>
    <mergeCell ref="BB17:BC17"/>
    <mergeCell ref="BD17:BF17"/>
    <mergeCell ref="X18:AB18"/>
    <mergeCell ref="AC18:AG18"/>
    <mergeCell ref="AH18:AL18"/>
    <mergeCell ref="AM18:AQ18"/>
    <mergeCell ref="AW18:BA18"/>
    <mergeCell ref="AR16:AV16"/>
    <mergeCell ref="AR17:AS17"/>
    <mergeCell ref="AT17:AV17"/>
    <mergeCell ref="AR18:AV18"/>
    <mergeCell ref="BB19:BF19"/>
    <mergeCell ref="G17:H17"/>
    <mergeCell ref="I17:J17"/>
    <mergeCell ref="K17:M17"/>
    <mergeCell ref="N17:O17"/>
    <mergeCell ref="P17:R17"/>
    <mergeCell ref="S17:T17"/>
    <mergeCell ref="U17:W17"/>
    <mergeCell ref="X17:Y17"/>
    <mergeCell ref="AO17:AQ17"/>
    <mergeCell ref="AJ17:AL17"/>
    <mergeCell ref="AM17:AN17"/>
    <mergeCell ref="Z17:AB17"/>
    <mergeCell ref="AC17:AD17"/>
    <mergeCell ref="AE17:AG17"/>
    <mergeCell ref="AH17:AI17"/>
    <mergeCell ref="AR19:AV19"/>
    <mergeCell ref="G16:H16"/>
    <mergeCell ref="I16:M16"/>
    <mergeCell ref="N16:R16"/>
    <mergeCell ref="S16:W16"/>
    <mergeCell ref="X16:AB16"/>
    <mergeCell ref="AC16:AG16"/>
    <mergeCell ref="AH16:AL16"/>
    <mergeCell ref="AM16:AQ16"/>
    <mergeCell ref="AW16:BA16"/>
    <mergeCell ref="AM12:AQ13"/>
    <mergeCell ref="AW14:BA14"/>
    <mergeCell ref="G15:H15"/>
    <mergeCell ref="I15:M15"/>
    <mergeCell ref="N15:R15"/>
    <mergeCell ref="S15:W15"/>
    <mergeCell ref="X15:AB15"/>
    <mergeCell ref="AC15:AG15"/>
    <mergeCell ref="AH15:AL15"/>
    <mergeCell ref="AM15:AQ15"/>
    <mergeCell ref="AW15:BA15"/>
    <mergeCell ref="AW12:BA13"/>
    <mergeCell ref="AR10:AV10"/>
    <mergeCell ref="B8:D8"/>
    <mergeCell ref="BC8:BF8"/>
    <mergeCell ref="B9:D9"/>
    <mergeCell ref="B12:F12"/>
    <mergeCell ref="G12:H13"/>
    <mergeCell ref="I12:M13"/>
    <mergeCell ref="N12:R13"/>
    <mergeCell ref="S12:W13"/>
    <mergeCell ref="X12:AB13"/>
    <mergeCell ref="AD11:AG11"/>
    <mergeCell ref="AI11:AL11"/>
    <mergeCell ref="AN11:AQ11"/>
    <mergeCell ref="B13:F15"/>
    <mergeCell ref="G14:H14"/>
    <mergeCell ref="I14:M14"/>
    <mergeCell ref="N14:R14"/>
    <mergeCell ref="S14:W14"/>
    <mergeCell ref="X14:AB14"/>
    <mergeCell ref="AC14:AG14"/>
    <mergeCell ref="AH14:AL14"/>
    <mergeCell ref="AM14:AQ14"/>
    <mergeCell ref="AC12:AG13"/>
    <mergeCell ref="AH12:AL13"/>
    <mergeCell ref="B4:F6"/>
    <mergeCell ref="G4:BD6"/>
    <mergeCell ref="B7:D7"/>
    <mergeCell ref="BC7:BF7"/>
    <mergeCell ref="BB10:BF10"/>
    <mergeCell ref="B11:F11"/>
    <mergeCell ref="J11:M11"/>
    <mergeCell ref="O11:R11"/>
    <mergeCell ref="T11:W11"/>
    <mergeCell ref="Y11:AB11"/>
    <mergeCell ref="B10:F10"/>
    <mergeCell ref="G10:H11"/>
    <mergeCell ref="I10:M10"/>
    <mergeCell ref="N10:R10"/>
    <mergeCell ref="S10:W10"/>
    <mergeCell ref="X10:AB10"/>
    <mergeCell ref="AX11:BA11"/>
    <mergeCell ref="F7:Q7"/>
    <mergeCell ref="F8:Q8"/>
    <mergeCell ref="F9:Q9"/>
    <mergeCell ref="AC10:AG10"/>
    <mergeCell ref="AH10:AL10"/>
    <mergeCell ref="AM10:AQ10"/>
    <mergeCell ref="AW10:BA10"/>
  </mergeCells>
  <conditionalFormatting sqref="I22:M50">
    <cfRule type="expression" dxfId="123" priority="53" stopIfTrue="1">
      <formula>$L22="No Quote"</formula>
    </cfRule>
  </conditionalFormatting>
  <conditionalFormatting sqref="N22:R50">
    <cfRule type="expression" dxfId="122" priority="59" stopIfTrue="1">
      <formula>$Q22="No Quote"</formula>
    </cfRule>
  </conditionalFormatting>
  <conditionalFormatting sqref="S22:S50 U22:W50">
    <cfRule type="expression" dxfId="121" priority="57" stopIfTrue="1">
      <formula>$V22="No Quote"</formula>
    </cfRule>
  </conditionalFormatting>
  <conditionalFormatting sqref="T22:T50">
    <cfRule type="expression" dxfId="120" priority="9" stopIfTrue="1">
      <formula>$L22="No Quote"</formula>
    </cfRule>
  </conditionalFormatting>
  <conditionalFormatting sqref="X22:X50 Z22:AB50">
    <cfRule type="expression" dxfId="119" priority="51" stopIfTrue="1">
      <formula>$AA22="No Quote"</formula>
    </cfRule>
  </conditionalFormatting>
  <conditionalFormatting sqref="Y22:Y50">
    <cfRule type="expression" dxfId="118" priority="5" stopIfTrue="1">
      <formula>$Q22="No Quote"</formula>
    </cfRule>
  </conditionalFormatting>
  <conditionalFormatting sqref="AC22:AC50 AE22:AG50">
    <cfRule type="expression" dxfId="117" priority="28" stopIfTrue="1">
      <formula>$AF22="No Quote"</formula>
    </cfRule>
  </conditionalFormatting>
  <conditionalFormatting sqref="AD22:AD50">
    <cfRule type="expression" dxfId="116" priority="8" stopIfTrue="1">
      <formula>$L22="No Quote"</formula>
    </cfRule>
  </conditionalFormatting>
  <conditionalFormatting sqref="AH22:AH50 AJ22:AL50">
    <cfRule type="expression" dxfId="115" priority="29" stopIfTrue="1">
      <formula>$AK22="No Quote"</formula>
    </cfRule>
  </conditionalFormatting>
  <conditionalFormatting sqref="AI22:AI50">
    <cfRule type="expression" dxfId="114" priority="4" stopIfTrue="1">
      <formula>$Q22="No Quote"</formula>
    </cfRule>
  </conditionalFormatting>
  <conditionalFormatting sqref="AM22:AM50 AO22:AQ50">
    <cfRule type="expression" dxfId="113" priority="47" stopIfTrue="1">
      <formula>$AP22="No Quote"</formula>
    </cfRule>
  </conditionalFormatting>
  <conditionalFormatting sqref="AN22:AN50">
    <cfRule type="expression" dxfId="112" priority="7" stopIfTrue="1">
      <formula>$L22="No Quote"</formula>
    </cfRule>
  </conditionalFormatting>
  <conditionalFormatting sqref="AR22:AR50 AT22:AV50">
    <cfRule type="expression" dxfId="111" priority="58" stopIfTrue="1">
      <formula>$AU22="No Quote"</formula>
    </cfRule>
  </conditionalFormatting>
  <conditionalFormatting sqref="AS22:AS50">
    <cfRule type="expression" dxfId="110" priority="3" stopIfTrue="1">
      <formula>$Q22="No Quote"</formula>
    </cfRule>
  </conditionalFormatting>
  <conditionalFormatting sqref="AW22:AW50 AY22:BA50">
    <cfRule type="expression" dxfId="109" priority="55" stopIfTrue="1">
      <formula>$AZ22="No Quote"</formula>
    </cfRule>
  </conditionalFormatting>
  <conditionalFormatting sqref="AX22:AX50">
    <cfRule type="expression" dxfId="108" priority="6" stopIfTrue="1">
      <formula>$L22="No Quote"</formula>
    </cfRule>
  </conditionalFormatting>
  <conditionalFormatting sqref="BB22:BB50 BD22:BF50">
    <cfRule type="expression" dxfId="107" priority="54" stopIfTrue="1">
      <formula>$BE22="No Quote"</formula>
    </cfRule>
  </conditionalFormatting>
  <conditionalFormatting sqref="BC22:BC50">
    <cfRule type="expression" dxfId="106" priority="1" stopIfTrue="1">
      <formula>$Q22="No Quote"</formula>
    </cfRule>
  </conditionalFormatting>
  <conditionalFormatting sqref="BL22:BL50">
    <cfRule type="expression" dxfId="105" priority="50" stopIfTrue="1">
      <formula>$BL22=$BU22</formula>
    </cfRule>
  </conditionalFormatting>
  <conditionalFormatting sqref="BL23">
    <cfRule type="expression" dxfId="104" priority="38" stopIfTrue="1">
      <formula>$BR23=$BU23</formula>
    </cfRule>
  </conditionalFormatting>
  <conditionalFormatting sqref="BM22:BM50">
    <cfRule type="expression" dxfId="103" priority="13" stopIfTrue="1">
      <formula>$BM22=$BU22</formula>
    </cfRule>
  </conditionalFormatting>
  <conditionalFormatting sqref="BM23:BT50">
    <cfRule type="expression" dxfId="102" priority="18" stopIfTrue="1">
      <formula>$BL23=$BU23</formula>
    </cfRule>
  </conditionalFormatting>
  <conditionalFormatting sqref="BN22:BN50">
    <cfRule type="expression" dxfId="101" priority="12" stopIfTrue="1">
      <formula>$BN22=$BU22</formula>
    </cfRule>
  </conditionalFormatting>
  <conditionalFormatting sqref="BO22:BO50">
    <cfRule type="expression" dxfId="100" priority="11" stopIfTrue="1">
      <formula>$BO22=$BU22</formula>
    </cfRule>
  </conditionalFormatting>
  <conditionalFormatting sqref="BP22:BP50">
    <cfRule type="expression" dxfId="99" priority="14" stopIfTrue="1">
      <formula>$BP22=$BU22</formula>
    </cfRule>
  </conditionalFormatting>
  <conditionalFormatting sqref="BQ22:BQ50">
    <cfRule type="expression" dxfId="98" priority="15" stopIfTrue="1">
      <formula>$BQ22=$BU22</formula>
    </cfRule>
  </conditionalFormatting>
  <conditionalFormatting sqref="BR22:BR50">
    <cfRule type="expression" dxfId="97" priority="16" stopIfTrue="1">
      <formula>$BR22=$BU22</formula>
    </cfRule>
  </conditionalFormatting>
  <conditionalFormatting sqref="BS22:BS50">
    <cfRule type="expression" dxfId="96" priority="17" stopIfTrue="1">
      <formula>$BS22=$BU22</formula>
    </cfRule>
  </conditionalFormatting>
  <conditionalFormatting sqref="BT22:BT50">
    <cfRule type="expression" dxfId="95" priority="27" stopIfTrue="1">
      <formula>$BT22=$BU22</formula>
    </cfRule>
  </conditionalFormatting>
  <dataValidations disablePrompts="1" count="1">
    <dataValidation type="list" allowBlank="1" sqref="N58:R58" xr:uid="{3A92D46F-9C67-4F6B-A697-243C9B2B118F}">
      <formula1>"Zulkifli Bastiandi, Teuku Syamsul Rizal, Ifit Prabowo"</formula1>
    </dataValidation>
  </dataValidations>
  <printOptions horizontalCentered="1"/>
  <pageMargins left="0.3" right="0.3" top="0.5" bottom="0.5" header="0.19685039370078741" footer="0.15748031496062992"/>
  <pageSetup paperSize="8"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91A5-47E1-4A63-A06D-9847F5B5C03F}">
  <sheetPr codeName="Sheet7">
    <pageSetUpPr fitToPage="1"/>
  </sheetPr>
  <dimension ref="A1:BZ84"/>
  <sheetViews>
    <sheetView showGridLines="0" topLeftCell="AU1" zoomScale="55" zoomScaleNormal="55" zoomScaleSheetLayoutView="40" workbookViewId="0">
      <selection activeCell="BZ22" sqref="BZ22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43" width="15.7109375" style="4" customWidth="1"/>
    <col min="44" max="46" width="10.7109375" style="4" customWidth="1"/>
    <col min="47" max="48" width="15.7109375" style="4" customWidth="1"/>
    <col min="49" max="51" width="10.7109375" style="4" customWidth="1"/>
    <col min="52" max="67" width="15.7109375" style="4" customWidth="1"/>
    <col min="68" max="68" width="15.7109375" style="56" customWidth="1"/>
    <col min="69" max="69" width="22" style="55" bestFit="1" customWidth="1"/>
    <col min="70" max="70" width="12.7109375" style="4" customWidth="1" outlineLevel="1"/>
    <col min="71" max="71" width="4.7109375" style="66" customWidth="1" outlineLevel="1"/>
    <col min="72" max="72" width="22" style="55" customWidth="1" outlineLevel="1"/>
    <col min="73" max="73" width="12.7109375" style="4" customWidth="1" outlineLevel="1"/>
    <col min="74" max="74" width="4.7109375" style="4" customWidth="1" outlineLevel="1"/>
    <col min="75" max="75" width="22" style="55" bestFit="1" customWidth="1" outlineLevel="1"/>
    <col min="76" max="77" width="9.28515625" style="4" customWidth="1"/>
    <col min="78" max="78" width="20.7109375" style="5" customWidth="1"/>
    <col min="79" max="16384" width="9.28515625" style="4" hidden="1"/>
  </cols>
  <sheetData>
    <row r="1" spans="2:78" s="1" customFormat="1" ht="13.5" x14ac:dyDescent="0.25">
      <c r="D1" s="2"/>
      <c r="J1" s="83"/>
      <c r="U1" s="3"/>
      <c r="BP1" s="79"/>
      <c r="BQ1" s="70"/>
      <c r="BS1" s="65"/>
      <c r="BT1" s="70"/>
      <c r="BW1" s="70"/>
      <c r="BZ1" s="3"/>
    </row>
    <row r="2" spans="2:78" s="1" customFormat="1" ht="13.5" x14ac:dyDescent="0.25">
      <c r="D2" s="2"/>
      <c r="U2" s="3"/>
      <c r="BP2" s="79"/>
      <c r="BQ2" s="70"/>
      <c r="BS2" s="65"/>
      <c r="BT2" s="70"/>
      <c r="BW2" s="70"/>
      <c r="BZ2" s="3"/>
    </row>
    <row r="3" spans="2:78" ht="17.25" thickBot="1" x14ac:dyDescent="0.3"/>
    <row r="4" spans="2:78" ht="20.100000000000001" customHeight="1" thickTop="1" x14ac:dyDescent="0.25">
      <c r="B4" s="115" t="s">
        <v>2</v>
      </c>
      <c r="C4" s="116"/>
      <c r="D4" s="116"/>
      <c r="E4" s="116"/>
      <c r="F4" s="116"/>
      <c r="G4" s="119" t="s">
        <v>3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6"/>
      <c r="BA4" s="7"/>
    </row>
    <row r="5" spans="2:78" ht="20.100000000000001" customHeight="1" x14ac:dyDescent="0.25">
      <c r="B5" s="117"/>
      <c r="C5" s="118"/>
      <c r="D5" s="118"/>
      <c r="E5" s="118"/>
      <c r="F5" s="118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8"/>
      <c r="BA5" s="9"/>
    </row>
    <row r="6" spans="2:78" ht="20.100000000000001" customHeight="1" x14ac:dyDescent="0.25">
      <c r="B6" s="117"/>
      <c r="C6" s="118"/>
      <c r="D6" s="118"/>
      <c r="E6" s="118"/>
      <c r="F6" s="118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8"/>
      <c r="BA6" s="9"/>
    </row>
    <row r="7" spans="2:78" s="12" customFormat="1" ht="15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U7" s="13"/>
      <c r="AU7" s="14"/>
      <c r="AV7" s="15"/>
      <c r="AX7" s="123"/>
      <c r="AY7" s="123"/>
      <c r="AZ7" s="123"/>
      <c r="BA7" s="124"/>
      <c r="BP7" s="80"/>
      <c r="BQ7" s="73"/>
      <c r="BS7" s="67"/>
      <c r="BT7" s="73"/>
      <c r="BW7" s="73"/>
      <c r="BZ7" s="13"/>
    </row>
    <row r="8" spans="2:78" s="12" customFormat="1" ht="15" customHeight="1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U8" s="13"/>
      <c r="AU8" s="16"/>
      <c r="AV8" s="15"/>
      <c r="AX8" s="142">
        <f ca="1">TODAY()</f>
        <v>46314</v>
      </c>
      <c r="AY8" s="142"/>
      <c r="AZ8" s="142"/>
      <c r="BA8" s="143"/>
      <c r="BP8" s="80"/>
      <c r="BQ8" s="73"/>
      <c r="BS8" s="67"/>
      <c r="BT8" s="73"/>
      <c r="BW8" s="73"/>
      <c r="BZ8" s="13"/>
    </row>
    <row r="9" spans="2:78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U9" s="13"/>
      <c r="AW9" s="10"/>
      <c r="AX9" s="17"/>
      <c r="AY9" s="17"/>
      <c r="AZ9" s="17"/>
      <c r="BA9" s="18"/>
      <c r="BP9" s="80"/>
      <c r="BQ9" s="73"/>
      <c r="BS9" s="67"/>
      <c r="BT9" s="73"/>
      <c r="BW9" s="73"/>
      <c r="BZ9" s="13"/>
    </row>
    <row r="10" spans="2:78" s="1" customFormat="1" ht="15" customHeight="1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 t="shared" ref="S10" si="0">N10+1</f>
        <v>3</v>
      </c>
      <c r="T10" s="125"/>
      <c r="U10" s="125"/>
      <c r="V10" s="125"/>
      <c r="W10" s="140"/>
      <c r="X10" s="139">
        <f t="shared" ref="X10" si="1">S10+1</f>
        <v>4</v>
      </c>
      <c r="Y10" s="125"/>
      <c r="Z10" s="125"/>
      <c r="AA10" s="125"/>
      <c r="AB10" s="140"/>
      <c r="AC10" s="139">
        <f t="shared" ref="AC10" si="2">X10+1</f>
        <v>5</v>
      </c>
      <c r="AD10" s="125"/>
      <c r="AE10" s="125"/>
      <c r="AF10" s="125"/>
      <c r="AG10" s="140"/>
      <c r="AH10" s="139">
        <f>AC10+1</f>
        <v>6</v>
      </c>
      <c r="AI10" s="125"/>
      <c r="AJ10" s="125"/>
      <c r="AK10" s="125"/>
      <c r="AL10" s="140"/>
      <c r="AM10" s="139">
        <f t="shared" ref="AM10" si="3">AH10+1</f>
        <v>7</v>
      </c>
      <c r="AN10" s="125"/>
      <c r="AO10" s="125"/>
      <c r="AP10" s="125"/>
      <c r="AQ10" s="140"/>
      <c r="AR10" s="139">
        <f t="shared" ref="AR10" si="4">AM10+1</f>
        <v>8</v>
      </c>
      <c r="AS10" s="125"/>
      <c r="AT10" s="125"/>
      <c r="AU10" s="125"/>
      <c r="AV10" s="140"/>
      <c r="AW10" s="139">
        <f t="shared" ref="AW10" si="5">AR10+1</f>
        <v>9</v>
      </c>
      <c r="AX10" s="125"/>
      <c r="AY10" s="125"/>
      <c r="AZ10" s="125"/>
      <c r="BA10" s="126"/>
      <c r="BP10" s="79"/>
      <c r="BQ10" s="70"/>
      <c r="BS10" s="65"/>
      <c r="BT10" s="70"/>
      <c r="BW10" s="70"/>
      <c r="BZ10" s="3"/>
    </row>
    <row r="11" spans="2:78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/>
      <c r="J11" s="130"/>
      <c r="K11" s="130"/>
      <c r="L11" s="130"/>
      <c r="M11" s="131"/>
      <c r="N11" s="19"/>
      <c r="O11" s="130"/>
      <c r="P11" s="130"/>
      <c r="Q11" s="130"/>
      <c r="R11" s="131"/>
      <c r="S11" s="19"/>
      <c r="T11" s="130"/>
      <c r="U11" s="130"/>
      <c r="V11" s="130"/>
      <c r="W11" s="131"/>
      <c r="X11" s="19"/>
      <c r="Y11" s="130"/>
      <c r="Z11" s="130"/>
      <c r="AA11" s="130"/>
      <c r="AB11" s="131"/>
      <c r="AC11" s="19"/>
      <c r="AD11" s="130"/>
      <c r="AE11" s="130"/>
      <c r="AF11" s="130"/>
      <c r="AG11" s="131"/>
      <c r="AH11" s="19"/>
      <c r="AI11" s="130"/>
      <c r="AJ11" s="130"/>
      <c r="AK11" s="130"/>
      <c r="AL11" s="131"/>
      <c r="AM11" s="19"/>
      <c r="AN11" s="130"/>
      <c r="AO11" s="130"/>
      <c r="AP11" s="130"/>
      <c r="AQ11" s="131"/>
      <c r="AR11" s="19"/>
      <c r="AS11" s="130"/>
      <c r="AT11" s="130"/>
      <c r="AU11" s="130"/>
      <c r="AV11" s="131"/>
      <c r="AW11" s="19"/>
      <c r="AX11" s="130"/>
      <c r="AY11" s="130"/>
      <c r="AZ11" s="130"/>
      <c r="BA11" s="280"/>
      <c r="BG11" s="86"/>
      <c r="BH11" s="86"/>
      <c r="BP11" s="79"/>
      <c r="BQ11" s="70"/>
      <c r="BS11" s="65"/>
      <c r="BT11" s="70"/>
      <c r="BW11" s="70"/>
      <c r="BZ11" s="3"/>
    </row>
    <row r="12" spans="2:78" s="1" customFormat="1" ht="15" customHeight="1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153"/>
      <c r="X12" s="151">
        <v>0</v>
      </c>
      <c r="Y12" s="152"/>
      <c r="Z12" s="152"/>
      <c r="AA12" s="152"/>
      <c r="AB12" s="153"/>
      <c r="AC12" s="151">
        <v>0</v>
      </c>
      <c r="AD12" s="152"/>
      <c r="AE12" s="152"/>
      <c r="AF12" s="152"/>
      <c r="AG12" s="153"/>
      <c r="AH12" s="151">
        <v>0</v>
      </c>
      <c r="AI12" s="152"/>
      <c r="AJ12" s="152"/>
      <c r="AK12" s="152"/>
      <c r="AL12" s="153"/>
      <c r="AM12" s="151">
        <v>0</v>
      </c>
      <c r="AN12" s="152"/>
      <c r="AO12" s="152"/>
      <c r="AP12" s="152"/>
      <c r="AQ12" s="153"/>
      <c r="AR12" s="151">
        <v>0</v>
      </c>
      <c r="AS12" s="152"/>
      <c r="AT12" s="152"/>
      <c r="AU12" s="152"/>
      <c r="AV12" s="153"/>
      <c r="AW12" s="151">
        <v>0</v>
      </c>
      <c r="AX12" s="152"/>
      <c r="AY12" s="152"/>
      <c r="AZ12" s="152"/>
      <c r="BA12" s="276"/>
      <c r="BG12" s="86"/>
      <c r="BH12" s="86"/>
      <c r="BP12" s="79"/>
      <c r="BQ12" s="70"/>
      <c r="BS12" s="65"/>
      <c r="BT12" s="70"/>
      <c r="BW12" s="70"/>
      <c r="BZ12" s="3"/>
    </row>
    <row r="13" spans="2:78" s="1" customFormat="1" ht="36.75" customHeight="1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156"/>
      <c r="X13" s="154"/>
      <c r="Y13" s="155"/>
      <c r="Z13" s="155"/>
      <c r="AA13" s="155"/>
      <c r="AB13" s="156"/>
      <c r="AC13" s="154"/>
      <c r="AD13" s="155"/>
      <c r="AE13" s="155"/>
      <c r="AF13" s="155"/>
      <c r="AG13" s="156"/>
      <c r="AH13" s="154"/>
      <c r="AI13" s="155"/>
      <c r="AJ13" s="155"/>
      <c r="AK13" s="155"/>
      <c r="AL13" s="156"/>
      <c r="AM13" s="154"/>
      <c r="AN13" s="155"/>
      <c r="AO13" s="155"/>
      <c r="AP13" s="155"/>
      <c r="AQ13" s="156"/>
      <c r="AR13" s="154"/>
      <c r="AS13" s="155"/>
      <c r="AT13" s="155"/>
      <c r="AU13" s="155"/>
      <c r="AV13" s="156"/>
      <c r="AW13" s="154"/>
      <c r="AX13" s="155"/>
      <c r="AY13" s="155"/>
      <c r="AZ13" s="155"/>
      <c r="BA13" s="277"/>
      <c r="BG13" s="86"/>
      <c r="BH13" s="86"/>
      <c r="BP13" s="79"/>
      <c r="BQ13" s="70"/>
      <c r="BS13" s="65"/>
      <c r="BT13" s="70"/>
      <c r="BW13" s="70"/>
      <c r="BZ13" s="3"/>
    </row>
    <row r="14" spans="2:78" s="1" customFormat="1" ht="15" customHeight="1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165"/>
      <c r="X14" s="164"/>
      <c r="Y14" s="128"/>
      <c r="Z14" s="128"/>
      <c r="AA14" s="128"/>
      <c r="AB14" s="165"/>
      <c r="AC14" s="164"/>
      <c r="AD14" s="128"/>
      <c r="AE14" s="128"/>
      <c r="AF14" s="128"/>
      <c r="AG14" s="165"/>
      <c r="AH14" s="164"/>
      <c r="AI14" s="128"/>
      <c r="AJ14" s="128"/>
      <c r="AK14" s="128"/>
      <c r="AL14" s="165"/>
      <c r="AM14" s="164"/>
      <c r="AN14" s="128"/>
      <c r="AO14" s="128"/>
      <c r="AP14" s="128"/>
      <c r="AQ14" s="165"/>
      <c r="AR14" s="164"/>
      <c r="AS14" s="128"/>
      <c r="AT14" s="128"/>
      <c r="AU14" s="128"/>
      <c r="AV14" s="165"/>
      <c r="AW14" s="164"/>
      <c r="AX14" s="128"/>
      <c r="AY14" s="128"/>
      <c r="AZ14" s="128"/>
      <c r="BA14" s="278"/>
      <c r="BG14" s="86"/>
      <c r="BH14" s="86"/>
      <c r="BP14" s="79"/>
      <c r="BQ14" s="70"/>
      <c r="BS14" s="65"/>
      <c r="BT14" s="70"/>
      <c r="BW14" s="70"/>
      <c r="BZ14" s="3"/>
    </row>
    <row r="15" spans="2:78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170"/>
      <c r="X15" s="168" t="s">
        <v>47</v>
      </c>
      <c r="Y15" s="169"/>
      <c r="Z15" s="169"/>
      <c r="AA15" s="169"/>
      <c r="AB15" s="170"/>
      <c r="AC15" s="168" t="s">
        <v>47</v>
      </c>
      <c r="AD15" s="169"/>
      <c r="AE15" s="169"/>
      <c r="AF15" s="169"/>
      <c r="AG15" s="170"/>
      <c r="AH15" s="168" t="s">
        <v>47</v>
      </c>
      <c r="AI15" s="169"/>
      <c r="AJ15" s="169"/>
      <c r="AK15" s="169"/>
      <c r="AL15" s="170"/>
      <c r="AM15" s="168" t="s">
        <v>47</v>
      </c>
      <c r="AN15" s="169"/>
      <c r="AO15" s="169"/>
      <c r="AP15" s="169"/>
      <c r="AQ15" s="170"/>
      <c r="AR15" s="168" t="s">
        <v>47</v>
      </c>
      <c r="AS15" s="169"/>
      <c r="AT15" s="169"/>
      <c r="AU15" s="169"/>
      <c r="AV15" s="170"/>
      <c r="AW15" s="168" t="s">
        <v>47</v>
      </c>
      <c r="AX15" s="169"/>
      <c r="AY15" s="169"/>
      <c r="AZ15" s="169"/>
      <c r="BA15" s="279"/>
      <c r="BG15" s="86"/>
      <c r="BH15" s="86"/>
      <c r="BP15" s="79"/>
      <c r="BQ15" s="70"/>
      <c r="BS15" s="65"/>
      <c r="BT15" s="70"/>
      <c r="BW15" s="70"/>
      <c r="BZ15" s="3"/>
    </row>
    <row r="16" spans="2:78" s="1" customFormat="1" ht="20.100000000000001" customHeight="1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74"/>
      <c r="X16" s="172"/>
      <c r="Y16" s="173"/>
      <c r="Z16" s="173"/>
      <c r="AA16" s="173"/>
      <c r="AB16" s="174"/>
      <c r="AC16" s="172"/>
      <c r="AD16" s="173"/>
      <c r="AE16" s="173"/>
      <c r="AF16" s="173"/>
      <c r="AG16" s="174"/>
      <c r="AH16" s="172"/>
      <c r="AI16" s="173"/>
      <c r="AJ16" s="173"/>
      <c r="AK16" s="173"/>
      <c r="AL16" s="174"/>
      <c r="AM16" s="172"/>
      <c r="AN16" s="173"/>
      <c r="AO16" s="173"/>
      <c r="AP16" s="173"/>
      <c r="AQ16" s="174"/>
      <c r="AR16" s="172"/>
      <c r="AS16" s="173"/>
      <c r="AT16" s="173"/>
      <c r="AU16" s="173"/>
      <c r="AV16" s="174"/>
      <c r="AW16" s="172"/>
      <c r="AX16" s="173"/>
      <c r="AY16" s="173"/>
      <c r="AZ16" s="173"/>
      <c r="BA16" s="184"/>
      <c r="BG16" s="79"/>
      <c r="BP16" s="79"/>
      <c r="BQ16" s="70"/>
      <c r="BS16" s="65"/>
      <c r="BT16" s="70"/>
      <c r="BW16" s="70"/>
      <c r="BZ16" s="3"/>
    </row>
    <row r="17" spans="2:78" s="1" customFormat="1" ht="20.100000000000001" customHeight="1" x14ac:dyDescent="0.25">
      <c r="B17" s="270"/>
      <c r="C17" s="271"/>
      <c r="D17" s="271"/>
      <c r="E17" s="271"/>
      <c r="F17" s="114"/>
      <c r="G17" s="178" t="s">
        <v>15</v>
      </c>
      <c r="H17" s="178"/>
      <c r="I17" s="179"/>
      <c r="J17" s="180"/>
      <c r="K17" s="181"/>
      <c r="L17" s="181"/>
      <c r="M17" s="182"/>
      <c r="N17" s="179"/>
      <c r="O17" s="180"/>
      <c r="P17" s="181"/>
      <c r="Q17" s="181"/>
      <c r="R17" s="182"/>
      <c r="S17" s="179"/>
      <c r="T17" s="180"/>
      <c r="U17" s="181"/>
      <c r="V17" s="181"/>
      <c r="W17" s="182"/>
      <c r="X17" s="179"/>
      <c r="Y17" s="180"/>
      <c r="Z17" s="181"/>
      <c r="AA17" s="181"/>
      <c r="AB17" s="182"/>
      <c r="AC17" s="179"/>
      <c r="AD17" s="180"/>
      <c r="AE17" s="181"/>
      <c r="AF17" s="181"/>
      <c r="AG17" s="182"/>
      <c r="AH17" s="179"/>
      <c r="AI17" s="180"/>
      <c r="AJ17" s="181"/>
      <c r="AK17" s="181"/>
      <c r="AL17" s="182"/>
      <c r="AM17" s="179"/>
      <c r="AN17" s="180"/>
      <c r="AO17" s="181"/>
      <c r="AP17" s="181"/>
      <c r="AQ17" s="182"/>
      <c r="AR17" s="179"/>
      <c r="AS17" s="180"/>
      <c r="AT17" s="181"/>
      <c r="AU17" s="181"/>
      <c r="AV17" s="182"/>
      <c r="AW17" s="179"/>
      <c r="AX17" s="180"/>
      <c r="AY17" s="181"/>
      <c r="AZ17" s="181"/>
      <c r="BA17" s="185"/>
      <c r="BG17" s="37"/>
      <c r="BH17" s="37"/>
      <c r="BI17" s="37"/>
      <c r="BJ17" s="37"/>
      <c r="BK17" s="37"/>
      <c r="BL17" s="37"/>
      <c r="BM17" s="37"/>
      <c r="BN17" s="37"/>
      <c r="BO17" s="37"/>
      <c r="BP17" s="79"/>
      <c r="BQ17" s="70"/>
      <c r="BS17" s="65"/>
      <c r="BT17" s="70"/>
      <c r="BW17" s="70"/>
      <c r="BZ17" s="3"/>
    </row>
    <row r="18" spans="2:78" s="1" customFormat="1" ht="20.100000000000001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83"/>
      <c r="X18" s="175"/>
      <c r="Y18" s="176"/>
      <c r="Z18" s="176"/>
      <c r="AA18" s="176"/>
      <c r="AB18" s="183"/>
      <c r="AC18" s="175"/>
      <c r="AD18" s="176"/>
      <c r="AE18" s="176"/>
      <c r="AF18" s="176"/>
      <c r="AG18" s="183"/>
      <c r="AH18" s="175"/>
      <c r="AI18" s="176"/>
      <c r="AJ18" s="176"/>
      <c r="AK18" s="176"/>
      <c r="AL18" s="183"/>
      <c r="AM18" s="175"/>
      <c r="AN18" s="176"/>
      <c r="AO18" s="176"/>
      <c r="AP18" s="176"/>
      <c r="AQ18" s="183"/>
      <c r="AR18" s="175"/>
      <c r="AS18" s="176"/>
      <c r="AT18" s="176"/>
      <c r="AU18" s="176"/>
      <c r="AV18" s="183"/>
      <c r="AW18" s="175"/>
      <c r="AX18" s="176"/>
      <c r="AY18" s="176"/>
      <c r="AZ18" s="176"/>
      <c r="BA18" s="177"/>
      <c r="BG18" s="22">
        <v>1</v>
      </c>
      <c r="BH18" s="22">
        <f>BG18+1</f>
        <v>2</v>
      </c>
      <c r="BI18" s="22">
        <f t="shared" ref="BI18:BO18" si="6">BH18+1</f>
        <v>3</v>
      </c>
      <c r="BJ18" s="22">
        <f t="shared" ref="BJ18" si="7">BI18+1</f>
        <v>4</v>
      </c>
      <c r="BK18" s="22">
        <f t="shared" ref="BK18" si="8">BJ18+1</f>
        <v>5</v>
      </c>
      <c r="BL18" s="22">
        <f t="shared" ref="BL18" si="9">BK18+1</f>
        <v>6</v>
      </c>
      <c r="BM18" s="22">
        <f t="shared" si="6"/>
        <v>7</v>
      </c>
      <c r="BN18" s="22">
        <f t="shared" si="6"/>
        <v>8</v>
      </c>
      <c r="BO18" s="22">
        <f t="shared" si="6"/>
        <v>9</v>
      </c>
      <c r="BP18" s="273" t="s">
        <v>17</v>
      </c>
      <c r="BQ18" s="70"/>
      <c r="BS18" s="65"/>
      <c r="BT18" s="70"/>
      <c r="BW18" s="70"/>
      <c r="BZ18" s="3"/>
    </row>
    <row r="19" spans="2:78" s="1" customFormat="1" ht="20.100000000000001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83"/>
      <c r="X19" s="175"/>
      <c r="Y19" s="176"/>
      <c r="Z19" s="176"/>
      <c r="AA19" s="176"/>
      <c r="AB19" s="183"/>
      <c r="AC19" s="175"/>
      <c r="AD19" s="176"/>
      <c r="AE19" s="176"/>
      <c r="AF19" s="176"/>
      <c r="AG19" s="183"/>
      <c r="AH19" s="175"/>
      <c r="AI19" s="176"/>
      <c r="AJ19" s="176"/>
      <c r="AK19" s="176"/>
      <c r="AL19" s="183"/>
      <c r="AM19" s="175"/>
      <c r="AN19" s="176"/>
      <c r="AO19" s="176"/>
      <c r="AP19" s="176"/>
      <c r="AQ19" s="183"/>
      <c r="AR19" s="175"/>
      <c r="AS19" s="176"/>
      <c r="AT19" s="176"/>
      <c r="AU19" s="176"/>
      <c r="AV19" s="183"/>
      <c r="AW19" s="175"/>
      <c r="AX19" s="176"/>
      <c r="AY19" s="176"/>
      <c r="AZ19" s="176"/>
      <c r="BA19" s="177"/>
      <c r="BG19" s="200">
        <f>J11</f>
        <v>0</v>
      </c>
      <c r="BH19" s="200">
        <f>O11</f>
        <v>0</v>
      </c>
      <c r="BI19" s="200">
        <f>T11</f>
        <v>0</v>
      </c>
      <c r="BJ19" s="200">
        <f>Y11</f>
        <v>0</v>
      </c>
      <c r="BK19" s="200">
        <f>AD11</f>
        <v>0</v>
      </c>
      <c r="BL19" s="200">
        <f>AI11</f>
        <v>0</v>
      </c>
      <c r="BM19" s="200">
        <f>AN11</f>
        <v>0</v>
      </c>
      <c r="BN19" s="200">
        <f>AS11</f>
        <v>0</v>
      </c>
      <c r="BO19" s="200">
        <f>AX11</f>
        <v>0</v>
      </c>
      <c r="BP19" s="274"/>
      <c r="BZ19" s="3"/>
    </row>
    <row r="20" spans="2:78" s="1" customFormat="1" ht="20.100000000000001" customHeight="1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8"/>
      <c r="X20" s="196"/>
      <c r="Y20" s="197"/>
      <c r="Z20" s="197"/>
      <c r="AA20" s="197"/>
      <c r="AB20" s="198"/>
      <c r="AC20" s="196"/>
      <c r="AD20" s="197"/>
      <c r="AE20" s="197"/>
      <c r="AF20" s="197"/>
      <c r="AG20" s="198"/>
      <c r="AH20" s="196"/>
      <c r="AI20" s="197"/>
      <c r="AJ20" s="197"/>
      <c r="AK20" s="197"/>
      <c r="AL20" s="198"/>
      <c r="AM20" s="196"/>
      <c r="AN20" s="197"/>
      <c r="AO20" s="197"/>
      <c r="AP20" s="197"/>
      <c r="AQ20" s="198"/>
      <c r="AR20" s="196"/>
      <c r="AS20" s="197"/>
      <c r="AT20" s="197"/>
      <c r="AU20" s="197"/>
      <c r="AV20" s="198"/>
      <c r="AW20" s="196"/>
      <c r="AX20" s="197"/>
      <c r="AY20" s="197"/>
      <c r="AZ20" s="197"/>
      <c r="BA20" s="199"/>
      <c r="BB20" s="47"/>
      <c r="BC20" s="47"/>
      <c r="BG20" s="200"/>
      <c r="BH20" s="200"/>
      <c r="BI20" s="200"/>
      <c r="BJ20" s="200"/>
      <c r="BK20" s="200"/>
      <c r="BL20" s="200"/>
      <c r="BM20" s="200"/>
      <c r="BN20" s="200"/>
      <c r="BO20" s="200"/>
      <c r="BP20" s="274"/>
      <c r="BQ20" s="70"/>
      <c r="BS20" s="65"/>
      <c r="BT20" s="70"/>
      <c r="BW20" s="70"/>
      <c r="BY20" s="290">
        <f>SUM(BY22:BY36)</f>
        <v>0</v>
      </c>
      <c r="BZ20" s="291"/>
    </row>
    <row r="21" spans="2:78" s="37" customFormat="1" ht="15" customHeight="1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29" t="s">
        <v>25</v>
      </c>
      <c r="O21" s="27" t="s">
        <v>17</v>
      </c>
      <c r="P21" s="30" t="s">
        <v>26</v>
      </c>
      <c r="Q21" s="187" t="s">
        <v>27</v>
      </c>
      <c r="R21" s="190"/>
      <c r="S21" s="31" t="s">
        <v>25</v>
      </c>
      <c r="T21" s="27" t="s">
        <v>17</v>
      </c>
      <c r="U21" s="32" t="s">
        <v>26</v>
      </c>
      <c r="V21" s="187" t="s">
        <v>27</v>
      </c>
      <c r="W21" s="191"/>
      <c r="X21" s="29" t="s">
        <v>25</v>
      </c>
      <c r="Y21" s="27" t="s">
        <v>17</v>
      </c>
      <c r="Z21" s="30" t="s">
        <v>26</v>
      </c>
      <c r="AA21" s="187" t="s">
        <v>27</v>
      </c>
      <c r="AB21" s="190"/>
      <c r="AC21" s="31" t="s">
        <v>25</v>
      </c>
      <c r="AD21" s="27" t="s">
        <v>17</v>
      </c>
      <c r="AE21" s="32" t="s">
        <v>26</v>
      </c>
      <c r="AF21" s="187" t="s">
        <v>27</v>
      </c>
      <c r="AG21" s="191"/>
      <c r="AH21" s="33" t="s">
        <v>25</v>
      </c>
      <c r="AI21" s="27" t="s">
        <v>17</v>
      </c>
      <c r="AJ21" s="32" t="s">
        <v>26</v>
      </c>
      <c r="AK21" s="187" t="s">
        <v>27</v>
      </c>
      <c r="AL21" s="191"/>
      <c r="AM21" s="33" t="s">
        <v>25</v>
      </c>
      <c r="AN21" s="27" t="s">
        <v>17</v>
      </c>
      <c r="AO21" s="32" t="s">
        <v>26</v>
      </c>
      <c r="AP21" s="187" t="s">
        <v>27</v>
      </c>
      <c r="AQ21" s="191"/>
      <c r="AR21" s="33" t="s">
        <v>25</v>
      </c>
      <c r="AS21" s="27" t="s">
        <v>17</v>
      </c>
      <c r="AT21" s="32" t="s">
        <v>26</v>
      </c>
      <c r="AU21" s="187" t="s">
        <v>27</v>
      </c>
      <c r="AV21" s="191"/>
      <c r="AW21" s="34" t="s">
        <v>25</v>
      </c>
      <c r="AX21" s="35" t="s">
        <v>17</v>
      </c>
      <c r="AY21" s="36" t="s">
        <v>26</v>
      </c>
      <c r="AZ21" s="204" t="s">
        <v>27</v>
      </c>
      <c r="BA21" s="205"/>
      <c r="BB21" s="37" t="s">
        <v>28</v>
      </c>
      <c r="BC21" s="37" t="s">
        <v>0</v>
      </c>
      <c r="BD21" s="37" t="s">
        <v>29</v>
      </c>
      <c r="BE21" s="37" t="s">
        <v>30</v>
      </c>
      <c r="BF21" s="111" t="s">
        <v>1</v>
      </c>
      <c r="BG21" s="200"/>
      <c r="BH21" s="200"/>
      <c r="BI21" s="200"/>
      <c r="BJ21" s="200"/>
      <c r="BK21" s="200"/>
      <c r="BL21" s="200"/>
      <c r="BM21" s="200"/>
      <c r="BN21" s="200"/>
      <c r="BO21" s="200"/>
      <c r="BP21" s="275"/>
      <c r="BQ21" s="76" t="s">
        <v>31</v>
      </c>
      <c r="BR21" s="186" t="s">
        <v>32</v>
      </c>
      <c r="BS21" s="186"/>
      <c r="BT21" s="186"/>
      <c r="BU21" s="186" t="s">
        <v>33</v>
      </c>
      <c r="BV21" s="186"/>
      <c r="BW21" s="186"/>
      <c r="BY21" s="281" t="s">
        <v>34</v>
      </c>
      <c r="BZ21" s="282"/>
    </row>
    <row r="22" spans="2:78" s="1" customFormat="1" ht="61.5" customHeight="1" x14ac:dyDescent="0.25">
      <c r="B22" s="38">
        <v>1</v>
      </c>
      <c r="C22" s="210"/>
      <c r="D22" s="210"/>
      <c r="E22" s="210"/>
      <c r="F22" s="210"/>
      <c r="G22" s="39"/>
      <c r="H22" s="40"/>
      <c r="I22" s="41"/>
      <c r="J22" s="42" t="str">
        <f>IF($G22="","",$G22*I22)</f>
        <v/>
      </c>
      <c r="K22" s="90"/>
      <c r="L22" s="206" t="str">
        <f>IF($I22="","No Quote",IF($K22="","","No Comply"))</f>
        <v>No Quote</v>
      </c>
      <c r="M22" s="207"/>
      <c r="N22" s="41"/>
      <c r="O22" s="42" t="str">
        <f>IF($G22="","",$G22*N22)</f>
        <v/>
      </c>
      <c r="P22" s="90"/>
      <c r="Q22" s="206" t="str">
        <f>IF($N22="","No Quote",IF($P22="","","NoComply"))</f>
        <v>No Quote</v>
      </c>
      <c r="R22" s="207"/>
      <c r="S22" s="41"/>
      <c r="T22" s="42" t="str">
        <f>IF($G22="","",$G22*S22)</f>
        <v/>
      </c>
      <c r="U22" s="89"/>
      <c r="V22" s="206" t="str">
        <f>IF($S22="","No Quote",IF($U22="","","No Comply"))</f>
        <v>No Quote</v>
      </c>
      <c r="W22" s="207"/>
      <c r="X22" s="41"/>
      <c r="Y22" s="42" t="str">
        <f>IF($G22="","",$G22*X22)</f>
        <v/>
      </c>
      <c r="Z22" s="90"/>
      <c r="AA22" s="206" t="str">
        <f>IF($X22="","No Quote",IF($Z22="","","No Comply"))</f>
        <v>No Quote</v>
      </c>
      <c r="AB22" s="207"/>
      <c r="AC22" s="41"/>
      <c r="AD22" s="42" t="str">
        <f>IF($G22="","",$G22*AC22)</f>
        <v/>
      </c>
      <c r="AE22" s="89"/>
      <c r="AF22" s="206" t="str">
        <f>IF($AC22="","No Quote",IF($AE22="","","No Comply"))</f>
        <v>No Quote</v>
      </c>
      <c r="AG22" s="207"/>
      <c r="AH22" s="41"/>
      <c r="AI22" s="42" t="str">
        <f>IF($G22="","",$G22*AH22)</f>
        <v/>
      </c>
      <c r="AJ22" s="89"/>
      <c r="AK22" s="206" t="str">
        <f>IF($AH22="","No Quote",IF(AJ22="","","No Comply"))</f>
        <v>No Quote</v>
      </c>
      <c r="AL22" s="207"/>
      <c r="AM22" s="41"/>
      <c r="AN22" s="42" t="str">
        <f>IF($G22="","",$G22*AM22)</f>
        <v/>
      </c>
      <c r="AO22" s="43"/>
      <c r="AP22" s="206" t="str">
        <f>IF($AM22="","No Quote",IF($AO22="","","No Comply"))</f>
        <v>No Quote</v>
      </c>
      <c r="AQ22" s="207"/>
      <c r="AR22" s="41"/>
      <c r="AS22" s="42" t="str">
        <f>IF($G22="","",$G22*AR22)</f>
        <v/>
      </c>
      <c r="AT22" s="89"/>
      <c r="AU22" s="206" t="str">
        <f>IF($AR22="","No Quote",IF($AT22="","","No Comply"))</f>
        <v>No Quote</v>
      </c>
      <c r="AV22" s="207"/>
      <c r="AW22" s="41"/>
      <c r="AX22" s="42" t="str">
        <f>IF($G22="","",$G22*AW22)</f>
        <v/>
      </c>
      <c r="AY22" s="89"/>
      <c r="AZ22" s="208" t="str">
        <f>IF($AW22="","No Quote",IF($AY22="","","No Comply"))</f>
        <v>No Quote</v>
      </c>
      <c r="BA22" s="209"/>
      <c r="BB22" s="87"/>
      <c r="BC22" s="93"/>
      <c r="BD22" s="63" t="str">
        <f>IF(BB22="","",$BB22*$G22)</f>
        <v/>
      </c>
      <c r="BE22" s="92"/>
      <c r="BF22" s="92"/>
      <c r="BG22" s="77" t="str">
        <f t="shared" ref="BG22:BG49" si="10">IF(OR(K22="X",J22=""),"-",J22)</f>
        <v>-</v>
      </c>
      <c r="BH22" s="77" t="str">
        <f t="shared" ref="BH22:BH49" si="11">IF(OR(P22="X",O22=""),"-",O22)</f>
        <v>-</v>
      </c>
      <c r="BI22" s="77" t="str">
        <f t="shared" ref="BI22:BI49" si="12">IF(OR(U22="X",T22=""),"-",T22)</f>
        <v>-</v>
      </c>
      <c r="BJ22" s="77" t="str">
        <f t="shared" ref="BJ22:BJ49" si="13">IF(OR(Z22="X",Y22=""),"-",Y22)</f>
        <v>-</v>
      </c>
      <c r="BK22" s="77" t="str">
        <f t="shared" ref="BK22:BK49" si="14">IF(OR(AE22="X",AD22=""),"-",AD22)</f>
        <v>-</v>
      </c>
      <c r="BL22" s="77" t="str">
        <f t="shared" ref="BL22:BL49" si="15">IF(OR(AJ22="X",AI22=""),"-",AI22)</f>
        <v>-</v>
      </c>
      <c r="BM22" s="77" t="str">
        <f t="shared" ref="BM22:BM49" si="16">IF(OR(AO22="X",AN22=""),"-",AN22)</f>
        <v>-</v>
      </c>
      <c r="BN22" s="77" t="str">
        <f t="shared" ref="BN22:BN49" si="17">IF(OR(AT22="X",AS22=""),"-",AS22)</f>
        <v>-</v>
      </c>
      <c r="BO22" s="77" t="str">
        <f t="shared" ref="BO22:BO49" si="18">IF(OR(AY22="X",AX22=""),"-",AX22)</f>
        <v>-</v>
      </c>
      <c r="BP22" s="78" t="str">
        <f>IFERROR(SMALL($BG22:$BO22,COUNTIF($BG22:$BO22,0)+1),"")</f>
        <v/>
      </c>
      <c r="BQ22" s="74" t="str">
        <f t="shared" ref="BQ22:BQ49" si="19">IF(BP22=BG22,$BG$19,IF(BP22=BH22,$BH$19,IF(BP22=BI22,$BI$19,IF(BP22=BJ22,$BJ$19,IF(BP22=BK22,$BK$19,IF(BP22=BL22,$BL$19,IF(BP22=BM22,$BM$19,IF(BP22=BN22,$BN$19,IF(BP22=BO22,$BO$19,"")))))))))</f>
        <v/>
      </c>
      <c r="BR22" s="72" t="str">
        <f>IFERROR(SMALL($BG22:$BO22,2),"")</f>
        <v/>
      </c>
      <c r="BS22" s="71" t="str">
        <f>IFERROR(IF(($BR22-$BP22)/$BP22&lt;0%,"",($BR22-$BP22)/$BP22),"")</f>
        <v/>
      </c>
      <c r="BT22" s="74" t="str">
        <f t="shared" ref="BT22:BT49" si="20">IFERROR(IF(BR22="","",IF(BR22=BG22,$BG$19,IF(BR22=BH22,$BH$19,IF(BR22=BI22,$BI$19,IF(BR22=BJ22,$BJ$19,IF(BR22=BK22,$BK$19,IF(BR22=BL22,$BL$19,IF(BR22=BM22,$BM$19,IF(BR22=BN22,$BN$19,IF(BR22=BO22,$BO$19,"")))))))))),"")</f>
        <v/>
      </c>
      <c r="BU22" s="72" t="str">
        <f>IFERROR(SMALL($BG22:$BO22,3),"")</f>
        <v/>
      </c>
      <c r="BV22" s="71" t="str">
        <f>IFERROR(IF((BU22-$BP22)/$BP22&lt;0%,"",(BU22-$BP22)/$BP22),"")</f>
        <v/>
      </c>
      <c r="BW22" s="74" t="str">
        <f t="shared" ref="BW22:BW49" si="21">IFERROR(IF(BU22="","",IF(BG22=BU22,$BG$19,IF(BH22=BU22,$BH$19,IF(BI22=BU22,$BI$19,IF(BJ22=BU22,$BJ$19,IF(BK22=BU22,$BK$19,IF(BL22=BU22,$BL$19,IF(BM22=BU22,$BM$19,IF(BN22=BU22,$BN$19,IF(BO22=BU22,$BO$19)))))))))),"")</f>
        <v/>
      </c>
      <c r="BY22" s="99">
        <f t="shared" ref="BY22:BY49" si="22">SUMIFS($BP$22:$BP$49,$BQ$22:$BQ$49,BZ22)</f>
        <v>0</v>
      </c>
      <c r="BZ22" s="100" t="str" cm="1">
        <f t="array" ref="BZ22">IFERROR(INDEX(_xlfn.UNIQUE(_xlfn._xlws.FILTER($BQ$22:$BQ$49,($BQ$22:$BQ$49&lt;&gt;"")*($BQ$22:$BQ$49&lt;&gt;"-"))),ROWS($BZ22:BZ$22)),"")</f>
        <v/>
      </c>
    </row>
    <row r="23" spans="2:78" s="1" customFormat="1" ht="61.5" customHeight="1" x14ac:dyDescent="0.25">
      <c r="B23" s="38">
        <f>B22+1</f>
        <v>2</v>
      </c>
      <c r="C23" s="210"/>
      <c r="D23" s="210"/>
      <c r="E23" s="210"/>
      <c r="F23" s="210"/>
      <c r="G23" s="39"/>
      <c r="H23" s="40"/>
      <c r="I23" s="41"/>
      <c r="J23" s="42" t="str">
        <f t="shared" ref="J23:J49" si="23">IF($G23="","",$G23*I23)</f>
        <v/>
      </c>
      <c r="K23" s="90"/>
      <c r="L23" s="206" t="str">
        <f t="shared" ref="L23:L49" si="24">IF($I23="","No Quote",IF($K23="","","No Comply"))</f>
        <v>No Quote</v>
      </c>
      <c r="M23" s="207"/>
      <c r="N23" s="41"/>
      <c r="O23" s="42" t="str">
        <f t="shared" ref="O23:O49" si="25">IF($G23="","",$G23*N23)</f>
        <v/>
      </c>
      <c r="P23" s="90"/>
      <c r="Q23" s="206" t="str">
        <f t="shared" ref="Q23:Q49" si="26">IF($N23="","No Quote",IF($P23="","","NoComply"))</f>
        <v>No Quote</v>
      </c>
      <c r="R23" s="207"/>
      <c r="S23" s="41"/>
      <c r="T23" s="42" t="str">
        <f t="shared" ref="T23:T49" si="27">IF($G23="","",$G23*S23)</f>
        <v/>
      </c>
      <c r="U23" s="89"/>
      <c r="V23" s="206" t="str">
        <f t="shared" ref="V23:V49" si="28">IF($S23="","No Quote",IF($U23="","","No Comply"))</f>
        <v>No Quote</v>
      </c>
      <c r="W23" s="207"/>
      <c r="X23" s="41"/>
      <c r="Y23" s="42" t="str">
        <f t="shared" ref="Y23:Y49" si="29">IF($G23="","",$G23*X23)</f>
        <v/>
      </c>
      <c r="Z23" s="90"/>
      <c r="AA23" s="206" t="str">
        <f t="shared" ref="AA23:AA49" si="30">IF($X23="","No Quote",IF($Z23="","","No Comply"))</f>
        <v>No Quote</v>
      </c>
      <c r="AB23" s="207"/>
      <c r="AC23" s="41"/>
      <c r="AD23" s="42" t="str">
        <f t="shared" ref="AD23:AD49" si="31">IF($G23="","",$G23*AC23)</f>
        <v/>
      </c>
      <c r="AE23" s="89"/>
      <c r="AF23" s="206" t="str">
        <f t="shared" ref="AF23:AF49" si="32">IF($AC23="","No Quote",IF($AE23="","","No Comply"))</f>
        <v>No Quote</v>
      </c>
      <c r="AG23" s="207"/>
      <c r="AH23" s="41"/>
      <c r="AI23" s="42" t="str">
        <f t="shared" ref="AI23:AI49" si="33">IF($G23="","",$G23*AH23)</f>
        <v/>
      </c>
      <c r="AJ23" s="89"/>
      <c r="AK23" s="206" t="str">
        <f t="shared" ref="AK23:AK49" si="34">IF($AH23="","No Quote",IF(AJ23="","","No Comply"))</f>
        <v>No Quote</v>
      </c>
      <c r="AL23" s="207"/>
      <c r="AM23" s="41"/>
      <c r="AN23" s="42" t="str">
        <f t="shared" ref="AN23:AN49" si="35">IF($G23="","",$G23*AM23)</f>
        <v/>
      </c>
      <c r="AO23" s="43"/>
      <c r="AP23" s="206" t="str">
        <f t="shared" ref="AP23:AP49" si="36">IF($AM23="","No Quote",IF($AO23="","","No Comply"))</f>
        <v>No Quote</v>
      </c>
      <c r="AQ23" s="207"/>
      <c r="AR23" s="41"/>
      <c r="AS23" s="42" t="str">
        <f t="shared" ref="AS23:AS49" si="37">IF($G23="","",$G23*AR23)</f>
        <v/>
      </c>
      <c r="AT23" s="89"/>
      <c r="AU23" s="206" t="str">
        <f t="shared" ref="AU23:AU49" si="38">IF($AR23="","No Quote",IF($AT23="","","No Comply"))</f>
        <v>No Quote</v>
      </c>
      <c r="AV23" s="207"/>
      <c r="AW23" s="41"/>
      <c r="AX23" s="42" t="str">
        <f t="shared" ref="AX23:AX49" si="39">IF($G23="","",$G23*AW23)</f>
        <v/>
      </c>
      <c r="AY23" s="89"/>
      <c r="AZ23" s="208" t="str">
        <f t="shared" ref="AZ23:AZ49" si="40">IF($AW23="","No Quote",IF($AY23="","","No Comply"))</f>
        <v>No Quote</v>
      </c>
      <c r="BA23" s="209"/>
      <c r="BB23" s="87"/>
      <c r="BC23" s="93"/>
      <c r="BD23" s="63" t="str">
        <f t="shared" ref="BD23:BD49" si="41">IF(BB23="","",$BB23*$G23)</f>
        <v/>
      </c>
      <c r="BE23" s="92"/>
      <c r="BF23" s="92"/>
      <c r="BG23" s="77" t="str">
        <f t="shared" si="10"/>
        <v>-</v>
      </c>
      <c r="BH23" s="77" t="str">
        <f t="shared" si="11"/>
        <v>-</v>
      </c>
      <c r="BI23" s="77" t="str">
        <f t="shared" si="12"/>
        <v>-</v>
      </c>
      <c r="BJ23" s="77" t="str">
        <f t="shared" si="13"/>
        <v>-</v>
      </c>
      <c r="BK23" s="77" t="str">
        <f t="shared" si="14"/>
        <v>-</v>
      </c>
      <c r="BL23" s="77" t="str">
        <f t="shared" si="15"/>
        <v>-</v>
      </c>
      <c r="BM23" s="77" t="str">
        <f t="shared" si="16"/>
        <v>-</v>
      </c>
      <c r="BN23" s="77" t="str">
        <f t="shared" si="17"/>
        <v>-</v>
      </c>
      <c r="BO23" s="77" t="str">
        <f t="shared" si="18"/>
        <v>-</v>
      </c>
      <c r="BP23" s="78" t="str">
        <f t="shared" ref="BP23:BP50" si="42">IFERROR(SMALL($BG23:$BO23,COUNTIF($BG23:$BO23,0)+1),"")</f>
        <v/>
      </c>
      <c r="BQ23" s="74" t="str">
        <f t="shared" si="19"/>
        <v/>
      </c>
      <c r="BR23" s="72" t="str">
        <f t="shared" ref="BR23:BR50" si="43">IFERROR(SMALL($BG23:$BO23,2),"")</f>
        <v/>
      </c>
      <c r="BS23" s="71" t="str">
        <f t="shared" ref="BS23:BS50" si="44">IFERROR(IF(($BR23-$BP23)/$BP23&lt;0%,"",($BR23-$BP23)/$BP23),"")</f>
        <v/>
      </c>
      <c r="BT23" s="74" t="str">
        <f t="shared" si="20"/>
        <v/>
      </c>
      <c r="BU23" s="72" t="str">
        <f t="shared" ref="BU23:BU50" si="45">IFERROR(SMALL($BG23:$BO23,3),"")</f>
        <v/>
      </c>
      <c r="BV23" s="71" t="str">
        <f t="shared" ref="BV23:BV49" si="46">IFERROR(IF((BU23-$BP23)/$BP23&lt;0%,"",(BU23-$BP23)/$BP23),"")</f>
        <v/>
      </c>
      <c r="BW23" s="74" t="str">
        <f t="shared" si="21"/>
        <v/>
      </c>
      <c r="BY23" s="99">
        <f t="shared" si="22"/>
        <v>0</v>
      </c>
      <c r="BZ23" s="100" t="str" cm="1">
        <f t="array" ref="BZ23">IFERROR(INDEX(_xlfn.UNIQUE(_xlfn._xlws.FILTER($BQ$22:$BQ$49,($BQ$22:$BQ$49&lt;&gt;"")*($BQ$22:$BQ$49&lt;&gt;"-"))),ROWS($BZ$22:BZ23)),"")</f>
        <v/>
      </c>
    </row>
    <row r="24" spans="2:78" s="1" customFormat="1" ht="61.5" customHeight="1" x14ac:dyDescent="0.25">
      <c r="B24" s="38">
        <f t="shared" ref="B24:B49" si="47">B23+1</f>
        <v>3</v>
      </c>
      <c r="C24" s="210"/>
      <c r="D24" s="210"/>
      <c r="E24" s="210"/>
      <c r="F24" s="210"/>
      <c r="G24" s="39"/>
      <c r="H24" s="40"/>
      <c r="I24" s="41"/>
      <c r="J24" s="42" t="str">
        <f t="shared" si="23"/>
        <v/>
      </c>
      <c r="K24" s="90"/>
      <c r="L24" s="206" t="str">
        <f t="shared" si="24"/>
        <v>No Quote</v>
      </c>
      <c r="M24" s="207"/>
      <c r="N24" s="41"/>
      <c r="O24" s="42" t="str">
        <f t="shared" si="25"/>
        <v/>
      </c>
      <c r="P24" s="90"/>
      <c r="Q24" s="206" t="str">
        <f t="shared" si="26"/>
        <v>No Quote</v>
      </c>
      <c r="R24" s="207"/>
      <c r="S24" s="41"/>
      <c r="T24" s="42" t="str">
        <f t="shared" si="27"/>
        <v/>
      </c>
      <c r="U24" s="89"/>
      <c r="V24" s="206" t="str">
        <f t="shared" si="28"/>
        <v>No Quote</v>
      </c>
      <c r="W24" s="207"/>
      <c r="X24" s="41"/>
      <c r="Y24" s="42" t="str">
        <f t="shared" si="29"/>
        <v/>
      </c>
      <c r="Z24" s="90"/>
      <c r="AA24" s="206" t="str">
        <f t="shared" si="30"/>
        <v>No Quote</v>
      </c>
      <c r="AB24" s="207"/>
      <c r="AC24" s="41"/>
      <c r="AD24" s="42" t="str">
        <f t="shared" si="31"/>
        <v/>
      </c>
      <c r="AE24" s="89"/>
      <c r="AF24" s="206" t="str">
        <f t="shared" si="32"/>
        <v>No Quote</v>
      </c>
      <c r="AG24" s="207"/>
      <c r="AH24" s="41"/>
      <c r="AI24" s="42" t="str">
        <f t="shared" si="33"/>
        <v/>
      </c>
      <c r="AJ24" s="89"/>
      <c r="AK24" s="206" t="str">
        <f t="shared" si="34"/>
        <v>No Quote</v>
      </c>
      <c r="AL24" s="207"/>
      <c r="AM24" s="41"/>
      <c r="AN24" s="42" t="str">
        <f t="shared" si="35"/>
        <v/>
      </c>
      <c r="AO24" s="43"/>
      <c r="AP24" s="206" t="str">
        <f t="shared" si="36"/>
        <v>No Quote</v>
      </c>
      <c r="AQ24" s="207"/>
      <c r="AR24" s="41"/>
      <c r="AS24" s="42" t="str">
        <f t="shared" si="37"/>
        <v/>
      </c>
      <c r="AT24" s="89"/>
      <c r="AU24" s="206" t="str">
        <f t="shared" si="38"/>
        <v>No Quote</v>
      </c>
      <c r="AV24" s="207"/>
      <c r="AW24" s="41"/>
      <c r="AX24" s="42" t="str">
        <f t="shared" si="39"/>
        <v/>
      </c>
      <c r="AY24" s="89"/>
      <c r="AZ24" s="208" t="str">
        <f t="shared" si="40"/>
        <v>No Quote</v>
      </c>
      <c r="BA24" s="209"/>
      <c r="BB24" s="87"/>
      <c r="BC24" s="93"/>
      <c r="BD24" s="63" t="str">
        <f t="shared" si="41"/>
        <v/>
      </c>
      <c r="BE24" s="92"/>
      <c r="BF24" s="92"/>
      <c r="BG24" s="77" t="str">
        <f t="shared" si="10"/>
        <v>-</v>
      </c>
      <c r="BH24" s="77" t="str">
        <f t="shared" si="11"/>
        <v>-</v>
      </c>
      <c r="BI24" s="77" t="str">
        <f t="shared" si="12"/>
        <v>-</v>
      </c>
      <c r="BJ24" s="77" t="str">
        <f t="shared" si="13"/>
        <v>-</v>
      </c>
      <c r="BK24" s="77" t="str">
        <f t="shared" si="14"/>
        <v>-</v>
      </c>
      <c r="BL24" s="77" t="str">
        <f t="shared" si="15"/>
        <v>-</v>
      </c>
      <c r="BM24" s="77" t="str">
        <f t="shared" si="16"/>
        <v>-</v>
      </c>
      <c r="BN24" s="77" t="str">
        <f t="shared" si="17"/>
        <v>-</v>
      </c>
      <c r="BO24" s="77" t="str">
        <f t="shared" si="18"/>
        <v>-</v>
      </c>
      <c r="BP24" s="78" t="str">
        <f t="shared" si="42"/>
        <v/>
      </c>
      <c r="BQ24" s="74" t="str">
        <f t="shared" si="19"/>
        <v/>
      </c>
      <c r="BR24" s="72" t="str">
        <f t="shared" si="43"/>
        <v/>
      </c>
      <c r="BS24" s="71" t="str">
        <f t="shared" si="44"/>
        <v/>
      </c>
      <c r="BT24" s="74" t="str">
        <f t="shared" si="20"/>
        <v/>
      </c>
      <c r="BU24" s="72" t="str">
        <f t="shared" si="45"/>
        <v/>
      </c>
      <c r="BV24" s="71" t="str">
        <f t="shared" si="46"/>
        <v/>
      </c>
      <c r="BW24" s="74" t="str">
        <f t="shared" si="21"/>
        <v/>
      </c>
      <c r="BY24" s="99">
        <f t="shared" si="22"/>
        <v>0</v>
      </c>
      <c r="BZ24" s="100" t="str" cm="1">
        <f t="array" ref="BZ24">IFERROR(INDEX(_xlfn.UNIQUE(_xlfn._xlws.FILTER($BQ$22:$BQ$49,($BQ$22:$BQ$49&lt;&gt;"")*($BQ$22:$BQ$49&lt;&gt;"-"))),ROWS($BZ$22:BZ24)),"")</f>
        <v/>
      </c>
    </row>
    <row r="25" spans="2:78" s="1" customFormat="1" ht="61.5" customHeight="1" x14ac:dyDescent="0.25">
      <c r="B25" s="38">
        <f t="shared" si="47"/>
        <v>4</v>
      </c>
      <c r="C25" s="210"/>
      <c r="D25" s="210"/>
      <c r="E25" s="210"/>
      <c r="F25" s="210"/>
      <c r="G25" s="39"/>
      <c r="H25" s="40"/>
      <c r="I25" s="41"/>
      <c r="J25" s="42" t="str">
        <f t="shared" si="23"/>
        <v/>
      </c>
      <c r="K25" s="90"/>
      <c r="L25" s="206" t="str">
        <f t="shared" si="24"/>
        <v>No Quote</v>
      </c>
      <c r="M25" s="207"/>
      <c r="N25" s="41"/>
      <c r="O25" s="42" t="str">
        <f t="shared" si="25"/>
        <v/>
      </c>
      <c r="P25" s="90"/>
      <c r="Q25" s="206" t="str">
        <f t="shared" si="26"/>
        <v>No Quote</v>
      </c>
      <c r="R25" s="207"/>
      <c r="S25" s="41"/>
      <c r="T25" s="42" t="str">
        <f t="shared" si="27"/>
        <v/>
      </c>
      <c r="U25" s="89"/>
      <c r="V25" s="206" t="str">
        <f t="shared" si="28"/>
        <v>No Quote</v>
      </c>
      <c r="W25" s="207"/>
      <c r="X25" s="41"/>
      <c r="Y25" s="42" t="str">
        <f t="shared" si="29"/>
        <v/>
      </c>
      <c r="Z25" s="90"/>
      <c r="AA25" s="206" t="str">
        <f t="shared" si="30"/>
        <v>No Quote</v>
      </c>
      <c r="AB25" s="207"/>
      <c r="AC25" s="41"/>
      <c r="AD25" s="42" t="str">
        <f t="shared" si="31"/>
        <v/>
      </c>
      <c r="AE25" s="89"/>
      <c r="AF25" s="206" t="str">
        <f t="shared" si="32"/>
        <v>No Quote</v>
      </c>
      <c r="AG25" s="207"/>
      <c r="AH25" s="41"/>
      <c r="AI25" s="42" t="str">
        <f t="shared" si="33"/>
        <v/>
      </c>
      <c r="AJ25" s="89"/>
      <c r="AK25" s="206" t="str">
        <f t="shared" si="34"/>
        <v>No Quote</v>
      </c>
      <c r="AL25" s="207"/>
      <c r="AM25" s="41"/>
      <c r="AN25" s="42" t="str">
        <f t="shared" si="35"/>
        <v/>
      </c>
      <c r="AO25" s="43"/>
      <c r="AP25" s="206" t="str">
        <f t="shared" si="36"/>
        <v>No Quote</v>
      </c>
      <c r="AQ25" s="207"/>
      <c r="AR25" s="41"/>
      <c r="AS25" s="42" t="str">
        <f t="shared" si="37"/>
        <v/>
      </c>
      <c r="AT25" s="89"/>
      <c r="AU25" s="206" t="str">
        <f t="shared" si="38"/>
        <v>No Quote</v>
      </c>
      <c r="AV25" s="207"/>
      <c r="AW25" s="41"/>
      <c r="AX25" s="42" t="str">
        <f t="shared" si="39"/>
        <v/>
      </c>
      <c r="AY25" s="89"/>
      <c r="AZ25" s="208" t="str">
        <f t="shared" si="40"/>
        <v>No Quote</v>
      </c>
      <c r="BA25" s="209"/>
      <c r="BB25" s="87"/>
      <c r="BC25" s="93"/>
      <c r="BD25" s="63" t="str">
        <f t="shared" si="41"/>
        <v/>
      </c>
      <c r="BE25" s="92"/>
      <c r="BF25" s="92"/>
      <c r="BG25" s="77" t="str">
        <f t="shared" si="10"/>
        <v>-</v>
      </c>
      <c r="BH25" s="77" t="str">
        <f t="shared" si="11"/>
        <v>-</v>
      </c>
      <c r="BI25" s="77" t="str">
        <f t="shared" si="12"/>
        <v>-</v>
      </c>
      <c r="BJ25" s="77" t="str">
        <f t="shared" si="13"/>
        <v>-</v>
      </c>
      <c r="BK25" s="77" t="str">
        <f t="shared" si="14"/>
        <v>-</v>
      </c>
      <c r="BL25" s="77" t="str">
        <f t="shared" si="15"/>
        <v>-</v>
      </c>
      <c r="BM25" s="77" t="str">
        <f t="shared" si="16"/>
        <v>-</v>
      </c>
      <c r="BN25" s="77" t="str">
        <f t="shared" si="17"/>
        <v>-</v>
      </c>
      <c r="BO25" s="77" t="str">
        <f t="shared" si="18"/>
        <v>-</v>
      </c>
      <c r="BP25" s="78" t="str">
        <f t="shared" si="42"/>
        <v/>
      </c>
      <c r="BQ25" s="74" t="str">
        <f t="shared" si="19"/>
        <v/>
      </c>
      <c r="BR25" s="72" t="str">
        <f t="shared" si="43"/>
        <v/>
      </c>
      <c r="BS25" s="71" t="str">
        <f t="shared" si="44"/>
        <v/>
      </c>
      <c r="BT25" s="74" t="str">
        <f t="shared" si="20"/>
        <v/>
      </c>
      <c r="BU25" s="72" t="str">
        <f t="shared" si="45"/>
        <v/>
      </c>
      <c r="BV25" s="71" t="str">
        <f t="shared" si="46"/>
        <v/>
      </c>
      <c r="BW25" s="74" t="str">
        <f t="shared" si="21"/>
        <v/>
      </c>
      <c r="BY25" s="99">
        <f t="shared" si="22"/>
        <v>0</v>
      </c>
      <c r="BZ25" s="100" t="str" cm="1">
        <f t="array" ref="BZ25">IFERROR(INDEX(_xlfn.UNIQUE(_xlfn._xlws.FILTER($BQ$22:$BQ$49,($BQ$22:$BQ$49&lt;&gt;"")*($BQ$22:$BQ$49&lt;&gt;"-"))),ROWS($BZ$22:BZ25)),"")</f>
        <v/>
      </c>
    </row>
    <row r="26" spans="2:78" s="1" customFormat="1" ht="61.5" customHeight="1" x14ac:dyDescent="0.25">
      <c r="B26" s="38">
        <f t="shared" si="47"/>
        <v>5</v>
      </c>
      <c r="C26" s="210"/>
      <c r="D26" s="210"/>
      <c r="E26" s="210"/>
      <c r="F26" s="210"/>
      <c r="G26" s="39"/>
      <c r="H26" s="40"/>
      <c r="I26" s="41"/>
      <c r="J26" s="42" t="str">
        <f t="shared" si="23"/>
        <v/>
      </c>
      <c r="K26" s="90"/>
      <c r="L26" s="206" t="str">
        <f t="shared" si="24"/>
        <v>No Quote</v>
      </c>
      <c r="M26" s="207"/>
      <c r="N26" s="41"/>
      <c r="O26" s="42" t="str">
        <f t="shared" si="25"/>
        <v/>
      </c>
      <c r="P26" s="90"/>
      <c r="Q26" s="206" t="str">
        <f t="shared" si="26"/>
        <v>No Quote</v>
      </c>
      <c r="R26" s="207"/>
      <c r="S26" s="41"/>
      <c r="T26" s="42" t="str">
        <f t="shared" si="27"/>
        <v/>
      </c>
      <c r="U26" s="89"/>
      <c r="V26" s="206" t="str">
        <f t="shared" si="28"/>
        <v>No Quote</v>
      </c>
      <c r="W26" s="207"/>
      <c r="X26" s="41"/>
      <c r="Y26" s="42" t="str">
        <f t="shared" si="29"/>
        <v/>
      </c>
      <c r="Z26" s="90"/>
      <c r="AA26" s="206" t="str">
        <f t="shared" si="30"/>
        <v>No Quote</v>
      </c>
      <c r="AB26" s="207"/>
      <c r="AC26" s="41"/>
      <c r="AD26" s="42" t="str">
        <f t="shared" si="31"/>
        <v/>
      </c>
      <c r="AE26" s="89"/>
      <c r="AF26" s="206" t="str">
        <f t="shared" si="32"/>
        <v>No Quote</v>
      </c>
      <c r="AG26" s="207"/>
      <c r="AH26" s="41"/>
      <c r="AI26" s="42" t="str">
        <f t="shared" si="33"/>
        <v/>
      </c>
      <c r="AJ26" s="89"/>
      <c r="AK26" s="206" t="str">
        <f t="shared" si="34"/>
        <v>No Quote</v>
      </c>
      <c r="AL26" s="207"/>
      <c r="AM26" s="41"/>
      <c r="AN26" s="42" t="str">
        <f t="shared" si="35"/>
        <v/>
      </c>
      <c r="AO26" s="43"/>
      <c r="AP26" s="206" t="str">
        <f t="shared" si="36"/>
        <v>No Quote</v>
      </c>
      <c r="AQ26" s="207"/>
      <c r="AR26" s="41"/>
      <c r="AS26" s="42" t="str">
        <f t="shared" si="37"/>
        <v/>
      </c>
      <c r="AT26" s="89"/>
      <c r="AU26" s="206" t="str">
        <f t="shared" si="38"/>
        <v>No Quote</v>
      </c>
      <c r="AV26" s="207"/>
      <c r="AW26" s="41"/>
      <c r="AX26" s="42" t="str">
        <f t="shared" si="39"/>
        <v/>
      </c>
      <c r="AY26" s="89"/>
      <c r="AZ26" s="208" t="str">
        <f t="shared" si="40"/>
        <v>No Quote</v>
      </c>
      <c r="BA26" s="209"/>
      <c r="BB26" s="87"/>
      <c r="BC26" s="93"/>
      <c r="BD26" s="63" t="str">
        <f t="shared" si="41"/>
        <v/>
      </c>
      <c r="BE26" s="92"/>
      <c r="BF26" s="92"/>
      <c r="BG26" s="77" t="str">
        <f t="shared" si="10"/>
        <v>-</v>
      </c>
      <c r="BH26" s="77" t="str">
        <f t="shared" si="11"/>
        <v>-</v>
      </c>
      <c r="BI26" s="77" t="str">
        <f t="shared" si="12"/>
        <v>-</v>
      </c>
      <c r="BJ26" s="77" t="str">
        <f t="shared" si="13"/>
        <v>-</v>
      </c>
      <c r="BK26" s="77" t="str">
        <f t="shared" si="14"/>
        <v>-</v>
      </c>
      <c r="BL26" s="77" t="str">
        <f t="shared" si="15"/>
        <v>-</v>
      </c>
      <c r="BM26" s="77" t="str">
        <f t="shared" si="16"/>
        <v>-</v>
      </c>
      <c r="BN26" s="77" t="str">
        <f t="shared" si="17"/>
        <v>-</v>
      </c>
      <c r="BO26" s="77" t="str">
        <f t="shared" si="18"/>
        <v>-</v>
      </c>
      <c r="BP26" s="78" t="str">
        <f t="shared" si="42"/>
        <v/>
      </c>
      <c r="BQ26" s="74" t="str">
        <f t="shared" si="19"/>
        <v/>
      </c>
      <c r="BR26" s="72" t="str">
        <f t="shared" si="43"/>
        <v/>
      </c>
      <c r="BS26" s="71" t="str">
        <f t="shared" si="44"/>
        <v/>
      </c>
      <c r="BT26" s="74" t="str">
        <f t="shared" si="20"/>
        <v/>
      </c>
      <c r="BU26" s="72" t="str">
        <f t="shared" si="45"/>
        <v/>
      </c>
      <c r="BV26" s="71" t="str">
        <f t="shared" si="46"/>
        <v/>
      </c>
      <c r="BW26" s="74" t="str">
        <f t="shared" si="21"/>
        <v/>
      </c>
      <c r="BY26" s="99">
        <f t="shared" si="22"/>
        <v>0</v>
      </c>
      <c r="BZ26" s="100" t="str" cm="1">
        <f t="array" ref="BZ26">IFERROR(INDEX(_xlfn.UNIQUE(_xlfn._xlws.FILTER($BQ$22:$BQ$49,($BQ$22:$BQ$49&lt;&gt;"")*($BQ$22:$BQ$49&lt;&gt;"-"))),ROWS($BZ$22:BZ26)),"")</f>
        <v/>
      </c>
    </row>
    <row r="27" spans="2:78" s="1" customFormat="1" ht="61.5" customHeight="1" outlineLevel="1" x14ac:dyDescent="0.25">
      <c r="B27" s="38">
        <f t="shared" si="47"/>
        <v>6</v>
      </c>
      <c r="C27" s="210"/>
      <c r="D27" s="210"/>
      <c r="E27" s="210"/>
      <c r="F27" s="210"/>
      <c r="G27" s="39"/>
      <c r="H27" s="40"/>
      <c r="I27" s="41"/>
      <c r="J27" s="42" t="str">
        <f t="shared" si="23"/>
        <v/>
      </c>
      <c r="K27" s="90"/>
      <c r="L27" s="206" t="str">
        <f t="shared" si="24"/>
        <v>No Quote</v>
      </c>
      <c r="M27" s="207"/>
      <c r="N27" s="41"/>
      <c r="O27" s="42" t="str">
        <f t="shared" si="25"/>
        <v/>
      </c>
      <c r="P27" s="90"/>
      <c r="Q27" s="206" t="str">
        <f t="shared" si="26"/>
        <v>No Quote</v>
      </c>
      <c r="R27" s="207"/>
      <c r="S27" s="41"/>
      <c r="T27" s="42" t="str">
        <f t="shared" si="27"/>
        <v/>
      </c>
      <c r="U27" s="89"/>
      <c r="V27" s="206" t="str">
        <f t="shared" si="28"/>
        <v>No Quote</v>
      </c>
      <c r="W27" s="207"/>
      <c r="X27" s="41"/>
      <c r="Y27" s="42" t="str">
        <f t="shared" si="29"/>
        <v/>
      </c>
      <c r="Z27" s="90"/>
      <c r="AA27" s="206" t="str">
        <f t="shared" si="30"/>
        <v>No Quote</v>
      </c>
      <c r="AB27" s="207"/>
      <c r="AC27" s="41"/>
      <c r="AD27" s="42" t="str">
        <f t="shared" si="31"/>
        <v/>
      </c>
      <c r="AE27" s="89"/>
      <c r="AF27" s="206" t="str">
        <f t="shared" si="32"/>
        <v>No Quote</v>
      </c>
      <c r="AG27" s="207"/>
      <c r="AH27" s="41"/>
      <c r="AI27" s="42" t="str">
        <f t="shared" si="33"/>
        <v/>
      </c>
      <c r="AJ27" s="89"/>
      <c r="AK27" s="206" t="str">
        <f t="shared" si="34"/>
        <v>No Quote</v>
      </c>
      <c r="AL27" s="207"/>
      <c r="AM27" s="41"/>
      <c r="AN27" s="42" t="str">
        <f t="shared" si="35"/>
        <v/>
      </c>
      <c r="AO27" s="43"/>
      <c r="AP27" s="206" t="str">
        <f t="shared" si="36"/>
        <v>No Quote</v>
      </c>
      <c r="AQ27" s="207"/>
      <c r="AR27" s="41"/>
      <c r="AS27" s="42" t="str">
        <f t="shared" si="37"/>
        <v/>
      </c>
      <c r="AT27" s="89"/>
      <c r="AU27" s="206" t="str">
        <f t="shared" si="38"/>
        <v>No Quote</v>
      </c>
      <c r="AV27" s="207"/>
      <c r="AW27" s="41"/>
      <c r="AX27" s="42" t="str">
        <f t="shared" si="39"/>
        <v/>
      </c>
      <c r="AY27" s="89"/>
      <c r="AZ27" s="208" t="str">
        <f t="shared" si="40"/>
        <v>No Quote</v>
      </c>
      <c r="BA27" s="209"/>
      <c r="BB27" s="87"/>
      <c r="BC27" s="93"/>
      <c r="BD27" s="63" t="str">
        <f t="shared" si="41"/>
        <v/>
      </c>
      <c r="BE27" s="92"/>
      <c r="BF27" s="92"/>
      <c r="BG27" s="77" t="str">
        <f t="shared" si="10"/>
        <v>-</v>
      </c>
      <c r="BH27" s="77" t="str">
        <f t="shared" si="11"/>
        <v>-</v>
      </c>
      <c r="BI27" s="77" t="str">
        <f t="shared" si="12"/>
        <v>-</v>
      </c>
      <c r="BJ27" s="77" t="str">
        <f t="shared" si="13"/>
        <v>-</v>
      </c>
      <c r="BK27" s="77" t="str">
        <f t="shared" si="14"/>
        <v>-</v>
      </c>
      <c r="BL27" s="77" t="str">
        <f t="shared" si="15"/>
        <v>-</v>
      </c>
      <c r="BM27" s="77" t="str">
        <f t="shared" si="16"/>
        <v>-</v>
      </c>
      <c r="BN27" s="77" t="str">
        <f t="shared" si="17"/>
        <v>-</v>
      </c>
      <c r="BO27" s="77" t="str">
        <f t="shared" si="18"/>
        <v>-</v>
      </c>
      <c r="BP27" s="78" t="str">
        <f t="shared" si="42"/>
        <v/>
      </c>
      <c r="BQ27" s="74" t="str">
        <f t="shared" si="19"/>
        <v/>
      </c>
      <c r="BR27" s="72" t="str">
        <f t="shared" si="43"/>
        <v/>
      </c>
      <c r="BS27" s="71" t="str">
        <f t="shared" si="44"/>
        <v/>
      </c>
      <c r="BT27" s="74" t="str">
        <f t="shared" si="20"/>
        <v/>
      </c>
      <c r="BU27" s="72" t="str">
        <f t="shared" si="45"/>
        <v/>
      </c>
      <c r="BV27" s="71" t="str">
        <f t="shared" si="46"/>
        <v/>
      </c>
      <c r="BW27" s="74" t="str">
        <f t="shared" si="21"/>
        <v/>
      </c>
      <c r="BY27" s="99">
        <f t="shared" si="22"/>
        <v>0</v>
      </c>
      <c r="BZ27" s="100" t="str" cm="1">
        <f t="array" ref="BZ27">IFERROR(INDEX(_xlfn.UNIQUE(_xlfn._xlws.FILTER($BQ$22:$BQ$49,($BQ$22:$BQ$49&lt;&gt;"")*($BQ$22:$BQ$49&lt;&gt;"-"))),ROWS($BZ$22:BZ27)),"")</f>
        <v/>
      </c>
    </row>
    <row r="28" spans="2:78" s="1" customFormat="1" ht="61.5" customHeight="1" outlineLevel="1" x14ac:dyDescent="0.25">
      <c r="B28" s="38">
        <f t="shared" si="47"/>
        <v>7</v>
      </c>
      <c r="C28" s="210"/>
      <c r="D28" s="210"/>
      <c r="E28" s="210"/>
      <c r="F28" s="210"/>
      <c r="G28" s="39"/>
      <c r="H28" s="40"/>
      <c r="I28" s="41"/>
      <c r="J28" s="42" t="str">
        <f t="shared" si="23"/>
        <v/>
      </c>
      <c r="K28" s="90"/>
      <c r="L28" s="206" t="str">
        <f t="shared" si="24"/>
        <v>No Quote</v>
      </c>
      <c r="M28" s="207"/>
      <c r="N28" s="41"/>
      <c r="O28" s="42" t="str">
        <f t="shared" si="25"/>
        <v/>
      </c>
      <c r="P28" s="90"/>
      <c r="Q28" s="206" t="str">
        <f t="shared" si="26"/>
        <v>No Quote</v>
      </c>
      <c r="R28" s="207"/>
      <c r="S28" s="41"/>
      <c r="T28" s="42" t="str">
        <f t="shared" si="27"/>
        <v/>
      </c>
      <c r="U28" s="89"/>
      <c r="V28" s="206" t="str">
        <f t="shared" si="28"/>
        <v>No Quote</v>
      </c>
      <c r="W28" s="207"/>
      <c r="X28" s="41"/>
      <c r="Y28" s="42" t="str">
        <f t="shared" si="29"/>
        <v/>
      </c>
      <c r="Z28" s="90"/>
      <c r="AA28" s="206" t="str">
        <f t="shared" si="30"/>
        <v>No Quote</v>
      </c>
      <c r="AB28" s="207"/>
      <c r="AC28" s="41"/>
      <c r="AD28" s="42" t="str">
        <f t="shared" si="31"/>
        <v/>
      </c>
      <c r="AE28" s="89"/>
      <c r="AF28" s="206" t="str">
        <f t="shared" si="32"/>
        <v>No Quote</v>
      </c>
      <c r="AG28" s="207"/>
      <c r="AH28" s="41"/>
      <c r="AI28" s="42" t="str">
        <f t="shared" si="33"/>
        <v/>
      </c>
      <c r="AJ28" s="89"/>
      <c r="AK28" s="206" t="str">
        <f t="shared" si="34"/>
        <v>No Quote</v>
      </c>
      <c r="AL28" s="207"/>
      <c r="AM28" s="41"/>
      <c r="AN28" s="42" t="str">
        <f t="shared" si="35"/>
        <v/>
      </c>
      <c r="AO28" s="43"/>
      <c r="AP28" s="206" t="str">
        <f t="shared" si="36"/>
        <v>No Quote</v>
      </c>
      <c r="AQ28" s="207"/>
      <c r="AR28" s="41"/>
      <c r="AS28" s="42" t="str">
        <f t="shared" si="37"/>
        <v/>
      </c>
      <c r="AT28" s="89"/>
      <c r="AU28" s="206" t="str">
        <f t="shared" si="38"/>
        <v>No Quote</v>
      </c>
      <c r="AV28" s="207"/>
      <c r="AW28" s="41"/>
      <c r="AX28" s="42" t="str">
        <f t="shared" si="39"/>
        <v/>
      </c>
      <c r="AY28" s="89"/>
      <c r="AZ28" s="208" t="str">
        <f t="shared" si="40"/>
        <v>No Quote</v>
      </c>
      <c r="BA28" s="209"/>
      <c r="BB28" s="87"/>
      <c r="BC28" s="93"/>
      <c r="BD28" s="63" t="str">
        <f t="shared" si="41"/>
        <v/>
      </c>
      <c r="BE28" s="92"/>
      <c r="BF28" s="92"/>
      <c r="BG28" s="77" t="str">
        <f t="shared" si="10"/>
        <v>-</v>
      </c>
      <c r="BH28" s="77" t="str">
        <f t="shared" si="11"/>
        <v>-</v>
      </c>
      <c r="BI28" s="77" t="str">
        <f t="shared" si="12"/>
        <v>-</v>
      </c>
      <c r="BJ28" s="77" t="str">
        <f t="shared" si="13"/>
        <v>-</v>
      </c>
      <c r="BK28" s="77" t="str">
        <f t="shared" si="14"/>
        <v>-</v>
      </c>
      <c r="BL28" s="77" t="str">
        <f t="shared" si="15"/>
        <v>-</v>
      </c>
      <c r="BM28" s="77" t="str">
        <f t="shared" si="16"/>
        <v>-</v>
      </c>
      <c r="BN28" s="77" t="str">
        <f t="shared" si="17"/>
        <v>-</v>
      </c>
      <c r="BO28" s="77" t="str">
        <f t="shared" si="18"/>
        <v>-</v>
      </c>
      <c r="BP28" s="78" t="str">
        <f t="shared" si="42"/>
        <v/>
      </c>
      <c r="BQ28" s="74" t="str">
        <f t="shared" si="19"/>
        <v/>
      </c>
      <c r="BR28" s="72" t="str">
        <f t="shared" si="43"/>
        <v/>
      </c>
      <c r="BS28" s="71" t="str">
        <f t="shared" si="44"/>
        <v/>
      </c>
      <c r="BT28" s="74" t="str">
        <f t="shared" si="20"/>
        <v/>
      </c>
      <c r="BU28" s="72" t="str">
        <f t="shared" si="45"/>
        <v/>
      </c>
      <c r="BV28" s="71" t="str">
        <f t="shared" si="46"/>
        <v/>
      </c>
      <c r="BW28" s="74" t="str">
        <f t="shared" si="21"/>
        <v/>
      </c>
      <c r="BY28" s="99">
        <f t="shared" si="22"/>
        <v>0</v>
      </c>
      <c r="BZ28" s="100" t="str" cm="1">
        <f t="array" ref="BZ28">IFERROR(INDEX(_xlfn.UNIQUE(_xlfn._xlws.FILTER($BQ$22:$BQ$49,($BQ$22:$BQ$49&lt;&gt;"")*($BQ$22:$BQ$49&lt;&gt;"-"))),ROWS($BZ$22:BZ28)),"")</f>
        <v/>
      </c>
    </row>
    <row r="29" spans="2:78" s="1" customFormat="1" ht="61.5" customHeight="1" outlineLevel="1" x14ac:dyDescent="0.25">
      <c r="B29" s="38">
        <f t="shared" si="47"/>
        <v>8</v>
      </c>
      <c r="C29" s="210"/>
      <c r="D29" s="210"/>
      <c r="E29" s="210"/>
      <c r="F29" s="210"/>
      <c r="G29" s="39"/>
      <c r="H29" s="40"/>
      <c r="I29" s="41"/>
      <c r="J29" s="42" t="str">
        <f t="shared" si="23"/>
        <v/>
      </c>
      <c r="K29" s="90"/>
      <c r="L29" s="206" t="str">
        <f t="shared" si="24"/>
        <v>No Quote</v>
      </c>
      <c r="M29" s="207"/>
      <c r="N29" s="41"/>
      <c r="O29" s="42" t="str">
        <f t="shared" si="25"/>
        <v/>
      </c>
      <c r="P29" s="90"/>
      <c r="Q29" s="206" t="str">
        <f t="shared" si="26"/>
        <v>No Quote</v>
      </c>
      <c r="R29" s="207"/>
      <c r="S29" s="41"/>
      <c r="T29" s="42" t="str">
        <f t="shared" si="27"/>
        <v/>
      </c>
      <c r="U29" s="89"/>
      <c r="V29" s="206" t="str">
        <f t="shared" si="28"/>
        <v>No Quote</v>
      </c>
      <c r="W29" s="207"/>
      <c r="X29" s="41"/>
      <c r="Y29" s="42" t="str">
        <f t="shared" si="29"/>
        <v/>
      </c>
      <c r="Z29" s="90"/>
      <c r="AA29" s="206" t="str">
        <f t="shared" si="30"/>
        <v>No Quote</v>
      </c>
      <c r="AB29" s="207"/>
      <c r="AC29" s="41"/>
      <c r="AD29" s="42" t="str">
        <f t="shared" si="31"/>
        <v/>
      </c>
      <c r="AE29" s="89"/>
      <c r="AF29" s="206" t="str">
        <f t="shared" si="32"/>
        <v>No Quote</v>
      </c>
      <c r="AG29" s="207"/>
      <c r="AH29" s="41"/>
      <c r="AI29" s="42" t="str">
        <f t="shared" si="33"/>
        <v/>
      </c>
      <c r="AJ29" s="89"/>
      <c r="AK29" s="206" t="str">
        <f t="shared" si="34"/>
        <v>No Quote</v>
      </c>
      <c r="AL29" s="207"/>
      <c r="AM29" s="41"/>
      <c r="AN29" s="42" t="str">
        <f t="shared" si="35"/>
        <v/>
      </c>
      <c r="AO29" s="43"/>
      <c r="AP29" s="206" t="str">
        <f t="shared" si="36"/>
        <v>No Quote</v>
      </c>
      <c r="AQ29" s="207"/>
      <c r="AR29" s="41"/>
      <c r="AS29" s="42" t="str">
        <f t="shared" si="37"/>
        <v/>
      </c>
      <c r="AT29" s="89"/>
      <c r="AU29" s="206" t="str">
        <f t="shared" si="38"/>
        <v>No Quote</v>
      </c>
      <c r="AV29" s="207"/>
      <c r="AW29" s="41"/>
      <c r="AX29" s="42" t="str">
        <f t="shared" si="39"/>
        <v/>
      </c>
      <c r="AY29" s="89"/>
      <c r="AZ29" s="208" t="str">
        <f t="shared" si="40"/>
        <v>No Quote</v>
      </c>
      <c r="BA29" s="209"/>
      <c r="BB29" s="87"/>
      <c r="BC29" s="93"/>
      <c r="BD29" s="63" t="str">
        <f t="shared" si="41"/>
        <v/>
      </c>
      <c r="BE29" s="92"/>
      <c r="BF29" s="92"/>
      <c r="BG29" s="77" t="str">
        <f t="shared" si="10"/>
        <v>-</v>
      </c>
      <c r="BH29" s="77" t="str">
        <f t="shared" si="11"/>
        <v>-</v>
      </c>
      <c r="BI29" s="77" t="str">
        <f t="shared" si="12"/>
        <v>-</v>
      </c>
      <c r="BJ29" s="77" t="str">
        <f t="shared" si="13"/>
        <v>-</v>
      </c>
      <c r="BK29" s="77" t="str">
        <f t="shared" si="14"/>
        <v>-</v>
      </c>
      <c r="BL29" s="77" t="str">
        <f t="shared" si="15"/>
        <v>-</v>
      </c>
      <c r="BM29" s="77" t="str">
        <f t="shared" si="16"/>
        <v>-</v>
      </c>
      <c r="BN29" s="77" t="str">
        <f t="shared" si="17"/>
        <v>-</v>
      </c>
      <c r="BO29" s="77" t="str">
        <f t="shared" si="18"/>
        <v>-</v>
      </c>
      <c r="BP29" s="78" t="str">
        <f t="shared" si="42"/>
        <v/>
      </c>
      <c r="BQ29" s="74" t="str">
        <f t="shared" si="19"/>
        <v/>
      </c>
      <c r="BR29" s="72" t="str">
        <f t="shared" si="43"/>
        <v/>
      </c>
      <c r="BS29" s="71" t="str">
        <f t="shared" si="44"/>
        <v/>
      </c>
      <c r="BT29" s="74" t="str">
        <f t="shared" si="20"/>
        <v/>
      </c>
      <c r="BU29" s="72" t="str">
        <f t="shared" si="45"/>
        <v/>
      </c>
      <c r="BV29" s="71" t="str">
        <f t="shared" si="46"/>
        <v/>
      </c>
      <c r="BW29" s="74" t="str">
        <f t="shared" si="21"/>
        <v/>
      </c>
      <c r="BY29" s="99">
        <f t="shared" si="22"/>
        <v>0</v>
      </c>
      <c r="BZ29" s="100" t="str" cm="1">
        <f t="array" ref="BZ29">IFERROR(INDEX(_xlfn.UNIQUE(_xlfn._xlws.FILTER($BQ$22:$BQ$49,($BQ$22:$BQ$49&lt;&gt;"")*($BQ$22:$BQ$49&lt;&gt;"-"))),ROWS($BZ$22:BZ29)),"")</f>
        <v/>
      </c>
    </row>
    <row r="30" spans="2:78" s="1" customFormat="1" ht="61.5" customHeight="1" outlineLevel="1" x14ac:dyDescent="0.25">
      <c r="B30" s="38">
        <f t="shared" si="47"/>
        <v>9</v>
      </c>
      <c r="C30" s="210"/>
      <c r="D30" s="210"/>
      <c r="E30" s="210"/>
      <c r="F30" s="210"/>
      <c r="G30" s="39"/>
      <c r="H30" s="40"/>
      <c r="I30" s="41"/>
      <c r="J30" s="42" t="str">
        <f t="shared" si="23"/>
        <v/>
      </c>
      <c r="K30" s="90"/>
      <c r="L30" s="206" t="str">
        <f t="shared" si="24"/>
        <v>No Quote</v>
      </c>
      <c r="M30" s="207"/>
      <c r="N30" s="41"/>
      <c r="O30" s="42" t="str">
        <f t="shared" si="25"/>
        <v/>
      </c>
      <c r="P30" s="90"/>
      <c r="Q30" s="206" t="str">
        <f t="shared" si="26"/>
        <v>No Quote</v>
      </c>
      <c r="R30" s="207"/>
      <c r="S30" s="41"/>
      <c r="T30" s="42" t="str">
        <f t="shared" si="27"/>
        <v/>
      </c>
      <c r="U30" s="89"/>
      <c r="V30" s="206" t="str">
        <f t="shared" si="28"/>
        <v>No Quote</v>
      </c>
      <c r="W30" s="207"/>
      <c r="X30" s="41"/>
      <c r="Y30" s="42" t="str">
        <f t="shared" si="29"/>
        <v/>
      </c>
      <c r="Z30" s="90"/>
      <c r="AA30" s="206" t="str">
        <f t="shared" si="30"/>
        <v>No Quote</v>
      </c>
      <c r="AB30" s="207"/>
      <c r="AC30" s="41"/>
      <c r="AD30" s="42" t="str">
        <f t="shared" si="31"/>
        <v/>
      </c>
      <c r="AE30" s="89"/>
      <c r="AF30" s="206" t="str">
        <f t="shared" si="32"/>
        <v>No Quote</v>
      </c>
      <c r="AG30" s="207"/>
      <c r="AH30" s="41"/>
      <c r="AI30" s="42" t="str">
        <f t="shared" si="33"/>
        <v/>
      </c>
      <c r="AJ30" s="89"/>
      <c r="AK30" s="206" t="str">
        <f t="shared" si="34"/>
        <v>No Quote</v>
      </c>
      <c r="AL30" s="207"/>
      <c r="AM30" s="41"/>
      <c r="AN30" s="42" t="str">
        <f t="shared" si="35"/>
        <v/>
      </c>
      <c r="AO30" s="43"/>
      <c r="AP30" s="206" t="str">
        <f t="shared" si="36"/>
        <v>No Quote</v>
      </c>
      <c r="AQ30" s="207"/>
      <c r="AR30" s="41"/>
      <c r="AS30" s="42" t="str">
        <f t="shared" si="37"/>
        <v/>
      </c>
      <c r="AT30" s="89"/>
      <c r="AU30" s="206" t="str">
        <f t="shared" si="38"/>
        <v>No Quote</v>
      </c>
      <c r="AV30" s="207"/>
      <c r="AW30" s="41"/>
      <c r="AX30" s="42" t="str">
        <f t="shared" si="39"/>
        <v/>
      </c>
      <c r="AY30" s="89"/>
      <c r="AZ30" s="208" t="str">
        <f t="shared" si="40"/>
        <v>No Quote</v>
      </c>
      <c r="BA30" s="209"/>
      <c r="BB30" s="87"/>
      <c r="BC30" s="93"/>
      <c r="BD30" s="63" t="str">
        <f t="shared" si="41"/>
        <v/>
      </c>
      <c r="BE30" s="92"/>
      <c r="BF30" s="92"/>
      <c r="BG30" s="77" t="str">
        <f t="shared" si="10"/>
        <v>-</v>
      </c>
      <c r="BH30" s="77" t="str">
        <f t="shared" si="11"/>
        <v>-</v>
      </c>
      <c r="BI30" s="77" t="str">
        <f t="shared" si="12"/>
        <v>-</v>
      </c>
      <c r="BJ30" s="77" t="str">
        <f t="shared" si="13"/>
        <v>-</v>
      </c>
      <c r="BK30" s="77" t="str">
        <f t="shared" si="14"/>
        <v>-</v>
      </c>
      <c r="BL30" s="77" t="str">
        <f t="shared" si="15"/>
        <v>-</v>
      </c>
      <c r="BM30" s="77" t="str">
        <f t="shared" si="16"/>
        <v>-</v>
      </c>
      <c r="BN30" s="77" t="str">
        <f t="shared" si="17"/>
        <v>-</v>
      </c>
      <c r="BO30" s="77" t="str">
        <f t="shared" si="18"/>
        <v>-</v>
      </c>
      <c r="BP30" s="78" t="str">
        <f t="shared" si="42"/>
        <v/>
      </c>
      <c r="BQ30" s="74" t="str">
        <f t="shared" si="19"/>
        <v/>
      </c>
      <c r="BR30" s="72" t="str">
        <f t="shared" si="43"/>
        <v/>
      </c>
      <c r="BS30" s="71" t="str">
        <f t="shared" si="44"/>
        <v/>
      </c>
      <c r="BT30" s="74" t="str">
        <f t="shared" si="20"/>
        <v/>
      </c>
      <c r="BU30" s="72" t="str">
        <f t="shared" si="45"/>
        <v/>
      </c>
      <c r="BV30" s="71" t="str">
        <f t="shared" si="46"/>
        <v/>
      </c>
      <c r="BW30" s="74" t="str">
        <f t="shared" si="21"/>
        <v/>
      </c>
      <c r="BY30" s="99">
        <f t="shared" si="22"/>
        <v>0</v>
      </c>
      <c r="BZ30" s="100" t="str" cm="1">
        <f t="array" ref="BZ30">IFERROR(INDEX(_xlfn.UNIQUE(_xlfn._xlws.FILTER($BQ$22:$BQ$49,($BQ$22:$BQ$49&lt;&gt;"")*($BQ$22:$BQ$49&lt;&gt;"-"))),ROWS($BZ$22:BZ30)),"")</f>
        <v/>
      </c>
    </row>
    <row r="31" spans="2:78" s="1" customFormat="1" ht="61.5" customHeight="1" outlineLevel="1" x14ac:dyDescent="0.25">
      <c r="B31" s="38">
        <f t="shared" si="47"/>
        <v>10</v>
      </c>
      <c r="C31" s="210"/>
      <c r="D31" s="210"/>
      <c r="E31" s="210"/>
      <c r="F31" s="210"/>
      <c r="G31" s="39"/>
      <c r="H31" s="40"/>
      <c r="I31" s="41"/>
      <c r="J31" s="42" t="str">
        <f t="shared" si="23"/>
        <v/>
      </c>
      <c r="K31" s="90"/>
      <c r="L31" s="206" t="str">
        <f t="shared" si="24"/>
        <v>No Quote</v>
      </c>
      <c r="M31" s="207"/>
      <c r="N31" s="41"/>
      <c r="O31" s="42" t="str">
        <f t="shared" si="25"/>
        <v/>
      </c>
      <c r="P31" s="90"/>
      <c r="Q31" s="206" t="str">
        <f t="shared" si="26"/>
        <v>No Quote</v>
      </c>
      <c r="R31" s="207"/>
      <c r="S31" s="41"/>
      <c r="T31" s="42" t="str">
        <f t="shared" si="27"/>
        <v/>
      </c>
      <c r="U31" s="89"/>
      <c r="V31" s="206" t="str">
        <f t="shared" si="28"/>
        <v>No Quote</v>
      </c>
      <c r="W31" s="207"/>
      <c r="X31" s="41"/>
      <c r="Y31" s="42" t="str">
        <f t="shared" si="29"/>
        <v/>
      </c>
      <c r="Z31" s="90"/>
      <c r="AA31" s="206" t="str">
        <f t="shared" si="30"/>
        <v>No Quote</v>
      </c>
      <c r="AB31" s="207"/>
      <c r="AC31" s="41"/>
      <c r="AD31" s="42" t="str">
        <f t="shared" si="31"/>
        <v/>
      </c>
      <c r="AE31" s="89"/>
      <c r="AF31" s="206" t="str">
        <f t="shared" si="32"/>
        <v>No Quote</v>
      </c>
      <c r="AG31" s="207"/>
      <c r="AH31" s="41"/>
      <c r="AI31" s="42" t="str">
        <f t="shared" si="33"/>
        <v/>
      </c>
      <c r="AJ31" s="89"/>
      <c r="AK31" s="206" t="str">
        <f t="shared" si="34"/>
        <v>No Quote</v>
      </c>
      <c r="AL31" s="207"/>
      <c r="AM31" s="41"/>
      <c r="AN31" s="42" t="str">
        <f t="shared" si="35"/>
        <v/>
      </c>
      <c r="AO31" s="43"/>
      <c r="AP31" s="206" t="str">
        <f t="shared" si="36"/>
        <v>No Quote</v>
      </c>
      <c r="AQ31" s="207"/>
      <c r="AR31" s="41"/>
      <c r="AS31" s="42" t="str">
        <f t="shared" si="37"/>
        <v/>
      </c>
      <c r="AT31" s="89"/>
      <c r="AU31" s="206" t="str">
        <f t="shared" si="38"/>
        <v>No Quote</v>
      </c>
      <c r="AV31" s="207"/>
      <c r="AW31" s="41"/>
      <c r="AX31" s="42" t="str">
        <f t="shared" si="39"/>
        <v/>
      </c>
      <c r="AY31" s="89"/>
      <c r="AZ31" s="208" t="str">
        <f t="shared" si="40"/>
        <v>No Quote</v>
      </c>
      <c r="BA31" s="209"/>
      <c r="BB31" s="87"/>
      <c r="BC31" s="93"/>
      <c r="BD31" s="63" t="str">
        <f t="shared" si="41"/>
        <v/>
      </c>
      <c r="BE31" s="92"/>
      <c r="BF31" s="92"/>
      <c r="BG31" s="77" t="str">
        <f t="shared" si="10"/>
        <v>-</v>
      </c>
      <c r="BH31" s="77" t="str">
        <f t="shared" si="11"/>
        <v>-</v>
      </c>
      <c r="BI31" s="77" t="str">
        <f t="shared" si="12"/>
        <v>-</v>
      </c>
      <c r="BJ31" s="77" t="str">
        <f t="shared" si="13"/>
        <v>-</v>
      </c>
      <c r="BK31" s="77" t="str">
        <f t="shared" si="14"/>
        <v>-</v>
      </c>
      <c r="BL31" s="77" t="str">
        <f t="shared" si="15"/>
        <v>-</v>
      </c>
      <c r="BM31" s="77" t="str">
        <f t="shared" si="16"/>
        <v>-</v>
      </c>
      <c r="BN31" s="77" t="str">
        <f t="shared" si="17"/>
        <v>-</v>
      </c>
      <c r="BO31" s="77" t="str">
        <f t="shared" si="18"/>
        <v>-</v>
      </c>
      <c r="BP31" s="78" t="str">
        <f t="shared" si="42"/>
        <v/>
      </c>
      <c r="BQ31" s="74" t="str">
        <f t="shared" si="19"/>
        <v/>
      </c>
      <c r="BR31" s="72" t="str">
        <f t="shared" si="43"/>
        <v/>
      </c>
      <c r="BS31" s="71" t="str">
        <f t="shared" si="44"/>
        <v/>
      </c>
      <c r="BT31" s="74" t="str">
        <f t="shared" si="20"/>
        <v/>
      </c>
      <c r="BU31" s="72" t="str">
        <f t="shared" si="45"/>
        <v/>
      </c>
      <c r="BV31" s="71" t="str">
        <f t="shared" si="46"/>
        <v/>
      </c>
      <c r="BW31" s="74" t="str">
        <f t="shared" si="21"/>
        <v/>
      </c>
      <c r="BY31" s="99">
        <f t="shared" si="22"/>
        <v>0</v>
      </c>
      <c r="BZ31" s="100" t="str" cm="1">
        <f t="array" ref="BZ31">IFERROR(INDEX(_xlfn.UNIQUE(_xlfn._xlws.FILTER($BQ$22:$BQ$49,($BQ$22:$BQ$49&lt;&gt;"")*($BQ$22:$BQ$49&lt;&gt;"-"))),ROWS($BZ$22:BZ31)),"")</f>
        <v/>
      </c>
    </row>
    <row r="32" spans="2:78" s="1" customFormat="1" ht="61.5" customHeight="1" outlineLevel="1" x14ac:dyDescent="0.25">
      <c r="B32" s="38">
        <f t="shared" si="47"/>
        <v>11</v>
      </c>
      <c r="C32" s="210"/>
      <c r="D32" s="210"/>
      <c r="E32" s="210"/>
      <c r="F32" s="210"/>
      <c r="G32" s="39"/>
      <c r="H32" s="40"/>
      <c r="I32" s="41"/>
      <c r="J32" s="42" t="str">
        <f t="shared" si="23"/>
        <v/>
      </c>
      <c r="K32" s="90"/>
      <c r="L32" s="206" t="str">
        <f t="shared" si="24"/>
        <v>No Quote</v>
      </c>
      <c r="M32" s="207"/>
      <c r="N32" s="41"/>
      <c r="O32" s="42" t="str">
        <f t="shared" si="25"/>
        <v/>
      </c>
      <c r="P32" s="90"/>
      <c r="Q32" s="206" t="str">
        <f t="shared" si="26"/>
        <v>No Quote</v>
      </c>
      <c r="R32" s="207"/>
      <c r="S32" s="41"/>
      <c r="T32" s="42" t="str">
        <f t="shared" si="27"/>
        <v/>
      </c>
      <c r="U32" s="89"/>
      <c r="V32" s="206" t="str">
        <f t="shared" si="28"/>
        <v>No Quote</v>
      </c>
      <c r="W32" s="207"/>
      <c r="X32" s="41"/>
      <c r="Y32" s="42" t="str">
        <f t="shared" si="29"/>
        <v/>
      </c>
      <c r="Z32" s="90"/>
      <c r="AA32" s="206" t="str">
        <f t="shared" si="30"/>
        <v>No Quote</v>
      </c>
      <c r="AB32" s="207"/>
      <c r="AC32" s="41"/>
      <c r="AD32" s="42" t="str">
        <f t="shared" si="31"/>
        <v/>
      </c>
      <c r="AE32" s="89"/>
      <c r="AF32" s="206" t="str">
        <f t="shared" si="32"/>
        <v>No Quote</v>
      </c>
      <c r="AG32" s="207"/>
      <c r="AH32" s="41"/>
      <c r="AI32" s="42" t="str">
        <f t="shared" si="33"/>
        <v/>
      </c>
      <c r="AJ32" s="89"/>
      <c r="AK32" s="206" t="str">
        <f t="shared" si="34"/>
        <v>No Quote</v>
      </c>
      <c r="AL32" s="207"/>
      <c r="AM32" s="41"/>
      <c r="AN32" s="42" t="str">
        <f t="shared" si="35"/>
        <v/>
      </c>
      <c r="AO32" s="43"/>
      <c r="AP32" s="206" t="str">
        <f t="shared" si="36"/>
        <v>No Quote</v>
      </c>
      <c r="AQ32" s="207"/>
      <c r="AR32" s="41"/>
      <c r="AS32" s="42" t="str">
        <f t="shared" si="37"/>
        <v/>
      </c>
      <c r="AT32" s="89"/>
      <c r="AU32" s="206" t="str">
        <f t="shared" si="38"/>
        <v>No Quote</v>
      </c>
      <c r="AV32" s="207"/>
      <c r="AW32" s="41"/>
      <c r="AX32" s="42" t="str">
        <f t="shared" si="39"/>
        <v/>
      </c>
      <c r="AY32" s="89"/>
      <c r="AZ32" s="208" t="str">
        <f t="shared" si="40"/>
        <v>No Quote</v>
      </c>
      <c r="BA32" s="209"/>
      <c r="BB32" s="87"/>
      <c r="BC32" s="93"/>
      <c r="BD32" s="63" t="str">
        <f t="shared" si="41"/>
        <v/>
      </c>
      <c r="BE32" s="92"/>
      <c r="BF32" s="92"/>
      <c r="BG32" s="77" t="str">
        <f t="shared" si="10"/>
        <v>-</v>
      </c>
      <c r="BH32" s="77" t="str">
        <f t="shared" si="11"/>
        <v>-</v>
      </c>
      <c r="BI32" s="77" t="str">
        <f t="shared" si="12"/>
        <v>-</v>
      </c>
      <c r="BJ32" s="77" t="str">
        <f t="shared" si="13"/>
        <v>-</v>
      </c>
      <c r="BK32" s="77" t="str">
        <f t="shared" si="14"/>
        <v>-</v>
      </c>
      <c r="BL32" s="77" t="str">
        <f t="shared" si="15"/>
        <v>-</v>
      </c>
      <c r="BM32" s="77" t="str">
        <f t="shared" si="16"/>
        <v>-</v>
      </c>
      <c r="BN32" s="77" t="str">
        <f t="shared" si="17"/>
        <v>-</v>
      </c>
      <c r="BO32" s="77" t="str">
        <f t="shared" si="18"/>
        <v>-</v>
      </c>
      <c r="BP32" s="78" t="str">
        <f t="shared" si="42"/>
        <v/>
      </c>
      <c r="BQ32" s="74" t="str">
        <f t="shared" si="19"/>
        <v/>
      </c>
      <c r="BR32" s="72" t="str">
        <f t="shared" si="43"/>
        <v/>
      </c>
      <c r="BS32" s="71" t="str">
        <f t="shared" si="44"/>
        <v/>
      </c>
      <c r="BT32" s="74" t="str">
        <f t="shared" si="20"/>
        <v/>
      </c>
      <c r="BU32" s="72" t="str">
        <f t="shared" si="45"/>
        <v/>
      </c>
      <c r="BV32" s="71" t="str">
        <f t="shared" si="46"/>
        <v/>
      </c>
      <c r="BW32" s="74" t="str">
        <f t="shared" si="21"/>
        <v/>
      </c>
      <c r="BY32" s="99">
        <f t="shared" si="22"/>
        <v>0</v>
      </c>
      <c r="BZ32" s="100" t="str" cm="1">
        <f t="array" ref="BZ32">IFERROR(INDEX(_xlfn.UNIQUE(_xlfn._xlws.FILTER($BQ$22:$BQ$49,($BQ$22:$BQ$49&lt;&gt;"")*($BQ$22:$BQ$49&lt;&gt;"-"))),ROWS($BZ$22:BZ32)),"")</f>
        <v/>
      </c>
    </row>
    <row r="33" spans="2:78" s="1" customFormat="1" ht="61.5" customHeight="1" outlineLevel="1" x14ac:dyDescent="0.25">
      <c r="B33" s="38">
        <f t="shared" si="47"/>
        <v>12</v>
      </c>
      <c r="C33" s="210"/>
      <c r="D33" s="210"/>
      <c r="E33" s="210"/>
      <c r="F33" s="210"/>
      <c r="G33" s="39"/>
      <c r="H33" s="40"/>
      <c r="I33" s="41"/>
      <c r="J33" s="42" t="str">
        <f t="shared" si="23"/>
        <v/>
      </c>
      <c r="K33" s="90"/>
      <c r="L33" s="206" t="str">
        <f t="shared" si="24"/>
        <v>No Quote</v>
      </c>
      <c r="M33" s="207"/>
      <c r="N33" s="41"/>
      <c r="O33" s="42" t="str">
        <f t="shared" si="25"/>
        <v/>
      </c>
      <c r="P33" s="90"/>
      <c r="Q33" s="206" t="str">
        <f t="shared" si="26"/>
        <v>No Quote</v>
      </c>
      <c r="R33" s="207"/>
      <c r="S33" s="41"/>
      <c r="T33" s="42" t="str">
        <f t="shared" si="27"/>
        <v/>
      </c>
      <c r="U33" s="89"/>
      <c r="V33" s="206" t="str">
        <f t="shared" si="28"/>
        <v>No Quote</v>
      </c>
      <c r="W33" s="207"/>
      <c r="X33" s="41"/>
      <c r="Y33" s="42" t="str">
        <f t="shared" si="29"/>
        <v/>
      </c>
      <c r="Z33" s="90"/>
      <c r="AA33" s="206" t="str">
        <f t="shared" si="30"/>
        <v>No Quote</v>
      </c>
      <c r="AB33" s="207"/>
      <c r="AC33" s="41"/>
      <c r="AD33" s="42" t="str">
        <f t="shared" si="31"/>
        <v/>
      </c>
      <c r="AE33" s="89"/>
      <c r="AF33" s="206" t="str">
        <f t="shared" si="32"/>
        <v>No Quote</v>
      </c>
      <c r="AG33" s="207"/>
      <c r="AH33" s="41"/>
      <c r="AI33" s="42" t="str">
        <f t="shared" si="33"/>
        <v/>
      </c>
      <c r="AJ33" s="89"/>
      <c r="AK33" s="206" t="str">
        <f t="shared" si="34"/>
        <v>No Quote</v>
      </c>
      <c r="AL33" s="207"/>
      <c r="AM33" s="41"/>
      <c r="AN33" s="42" t="str">
        <f t="shared" si="35"/>
        <v/>
      </c>
      <c r="AO33" s="43"/>
      <c r="AP33" s="206" t="str">
        <f t="shared" si="36"/>
        <v>No Quote</v>
      </c>
      <c r="AQ33" s="207"/>
      <c r="AR33" s="41"/>
      <c r="AS33" s="42" t="str">
        <f t="shared" si="37"/>
        <v/>
      </c>
      <c r="AT33" s="89"/>
      <c r="AU33" s="206" t="str">
        <f t="shared" si="38"/>
        <v>No Quote</v>
      </c>
      <c r="AV33" s="207"/>
      <c r="AW33" s="41"/>
      <c r="AX33" s="42" t="str">
        <f t="shared" si="39"/>
        <v/>
      </c>
      <c r="AY33" s="89"/>
      <c r="AZ33" s="208" t="str">
        <f t="shared" si="40"/>
        <v>No Quote</v>
      </c>
      <c r="BA33" s="209"/>
      <c r="BB33" s="87"/>
      <c r="BC33" s="93"/>
      <c r="BD33" s="63" t="str">
        <f t="shared" si="41"/>
        <v/>
      </c>
      <c r="BE33" s="92"/>
      <c r="BF33" s="92"/>
      <c r="BG33" s="77" t="str">
        <f t="shared" si="10"/>
        <v>-</v>
      </c>
      <c r="BH33" s="77" t="str">
        <f t="shared" si="11"/>
        <v>-</v>
      </c>
      <c r="BI33" s="77" t="str">
        <f t="shared" si="12"/>
        <v>-</v>
      </c>
      <c r="BJ33" s="77" t="str">
        <f t="shared" si="13"/>
        <v>-</v>
      </c>
      <c r="BK33" s="77" t="str">
        <f t="shared" si="14"/>
        <v>-</v>
      </c>
      <c r="BL33" s="77" t="str">
        <f t="shared" si="15"/>
        <v>-</v>
      </c>
      <c r="BM33" s="77" t="str">
        <f t="shared" si="16"/>
        <v>-</v>
      </c>
      <c r="BN33" s="77" t="str">
        <f t="shared" si="17"/>
        <v>-</v>
      </c>
      <c r="BO33" s="77" t="str">
        <f t="shared" si="18"/>
        <v>-</v>
      </c>
      <c r="BP33" s="78" t="str">
        <f t="shared" si="42"/>
        <v/>
      </c>
      <c r="BQ33" s="74" t="str">
        <f t="shared" si="19"/>
        <v/>
      </c>
      <c r="BR33" s="72" t="str">
        <f t="shared" si="43"/>
        <v/>
      </c>
      <c r="BS33" s="71" t="str">
        <f t="shared" si="44"/>
        <v/>
      </c>
      <c r="BT33" s="74" t="str">
        <f t="shared" si="20"/>
        <v/>
      </c>
      <c r="BU33" s="72" t="str">
        <f t="shared" si="45"/>
        <v/>
      </c>
      <c r="BV33" s="71" t="str">
        <f t="shared" si="46"/>
        <v/>
      </c>
      <c r="BW33" s="74" t="str">
        <f t="shared" si="21"/>
        <v/>
      </c>
      <c r="BY33" s="99">
        <f t="shared" si="22"/>
        <v>0</v>
      </c>
      <c r="BZ33" s="100" t="str" cm="1">
        <f t="array" ref="BZ33">IFERROR(INDEX(_xlfn.UNIQUE(_xlfn._xlws.FILTER($BQ$22:$BQ$49,($BQ$22:$BQ$49&lt;&gt;"")*($BQ$22:$BQ$49&lt;&gt;"-"))),ROWS($BZ$22:BZ33)),"")</f>
        <v/>
      </c>
    </row>
    <row r="34" spans="2:78" s="1" customFormat="1" ht="61.5" customHeight="1" outlineLevel="1" x14ac:dyDescent="0.25">
      <c r="B34" s="38">
        <f t="shared" si="47"/>
        <v>13</v>
      </c>
      <c r="C34" s="210"/>
      <c r="D34" s="210"/>
      <c r="E34" s="210"/>
      <c r="F34" s="210"/>
      <c r="G34" s="39"/>
      <c r="H34" s="40"/>
      <c r="I34" s="41"/>
      <c r="J34" s="42" t="str">
        <f t="shared" si="23"/>
        <v/>
      </c>
      <c r="K34" s="90"/>
      <c r="L34" s="206" t="str">
        <f t="shared" si="24"/>
        <v>No Quote</v>
      </c>
      <c r="M34" s="207"/>
      <c r="N34" s="41"/>
      <c r="O34" s="42" t="str">
        <f t="shared" si="25"/>
        <v/>
      </c>
      <c r="P34" s="90"/>
      <c r="Q34" s="206" t="str">
        <f t="shared" si="26"/>
        <v>No Quote</v>
      </c>
      <c r="R34" s="207"/>
      <c r="S34" s="41"/>
      <c r="T34" s="42" t="str">
        <f t="shared" si="27"/>
        <v/>
      </c>
      <c r="U34" s="89"/>
      <c r="V34" s="206" t="str">
        <f t="shared" si="28"/>
        <v>No Quote</v>
      </c>
      <c r="W34" s="207"/>
      <c r="X34" s="41"/>
      <c r="Y34" s="42" t="str">
        <f t="shared" si="29"/>
        <v/>
      </c>
      <c r="Z34" s="90"/>
      <c r="AA34" s="206" t="str">
        <f t="shared" si="30"/>
        <v>No Quote</v>
      </c>
      <c r="AB34" s="207"/>
      <c r="AC34" s="41"/>
      <c r="AD34" s="42" t="str">
        <f t="shared" si="31"/>
        <v/>
      </c>
      <c r="AE34" s="89"/>
      <c r="AF34" s="206" t="str">
        <f t="shared" si="32"/>
        <v>No Quote</v>
      </c>
      <c r="AG34" s="207"/>
      <c r="AH34" s="41"/>
      <c r="AI34" s="42" t="str">
        <f t="shared" si="33"/>
        <v/>
      </c>
      <c r="AJ34" s="89"/>
      <c r="AK34" s="206" t="str">
        <f t="shared" si="34"/>
        <v>No Quote</v>
      </c>
      <c r="AL34" s="207"/>
      <c r="AM34" s="41"/>
      <c r="AN34" s="42" t="str">
        <f t="shared" si="35"/>
        <v/>
      </c>
      <c r="AO34" s="43"/>
      <c r="AP34" s="206" t="str">
        <f t="shared" si="36"/>
        <v>No Quote</v>
      </c>
      <c r="AQ34" s="207"/>
      <c r="AR34" s="41"/>
      <c r="AS34" s="42" t="str">
        <f t="shared" si="37"/>
        <v/>
      </c>
      <c r="AT34" s="89"/>
      <c r="AU34" s="206" t="str">
        <f t="shared" si="38"/>
        <v>No Quote</v>
      </c>
      <c r="AV34" s="207"/>
      <c r="AW34" s="41"/>
      <c r="AX34" s="42" t="str">
        <f t="shared" si="39"/>
        <v/>
      </c>
      <c r="AY34" s="89"/>
      <c r="AZ34" s="208" t="str">
        <f t="shared" si="40"/>
        <v>No Quote</v>
      </c>
      <c r="BA34" s="209"/>
      <c r="BB34" s="87"/>
      <c r="BC34" s="93"/>
      <c r="BD34" s="63" t="str">
        <f t="shared" si="41"/>
        <v/>
      </c>
      <c r="BE34" s="92"/>
      <c r="BF34" s="92"/>
      <c r="BG34" s="77" t="str">
        <f t="shared" si="10"/>
        <v>-</v>
      </c>
      <c r="BH34" s="77" t="str">
        <f t="shared" si="11"/>
        <v>-</v>
      </c>
      <c r="BI34" s="77" t="str">
        <f t="shared" si="12"/>
        <v>-</v>
      </c>
      <c r="BJ34" s="77" t="str">
        <f t="shared" si="13"/>
        <v>-</v>
      </c>
      <c r="BK34" s="77" t="str">
        <f t="shared" si="14"/>
        <v>-</v>
      </c>
      <c r="BL34" s="77" t="str">
        <f t="shared" si="15"/>
        <v>-</v>
      </c>
      <c r="BM34" s="77" t="str">
        <f t="shared" si="16"/>
        <v>-</v>
      </c>
      <c r="BN34" s="77" t="str">
        <f t="shared" si="17"/>
        <v>-</v>
      </c>
      <c r="BO34" s="77" t="str">
        <f t="shared" si="18"/>
        <v>-</v>
      </c>
      <c r="BP34" s="78" t="str">
        <f t="shared" si="42"/>
        <v/>
      </c>
      <c r="BQ34" s="74" t="str">
        <f t="shared" si="19"/>
        <v/>
      </c>
      <c r="BR34" s="72" t="str">
        <f t="shared" si="43"/>
        <v/>
      </c>
      <c r="BS34" s="71" t="str">
        <f t="shared" si="44"/>
        <v/>
      </c>
      <c r="BT34" s="74" t="str">
        <f t="shared" si="20"/>
        <v/>
      </c>
      <c r="BU34" s="72" t="str">
        <f t="shared" si="45"/>
        <v/>
      </c>
      <c r="BV34" s="71" t="str">
        <f t="shared" si="46"/>
        <v/>
      </c>
      <c r="BW34" s="74" t="str">
        <f t="shared" si="21"/>
        <v/>
      </c>
      <c r="BY34" s="99">
        <f t="shared" si="22"/>
        <v>0</v>
      </c>
      <c r="BZ34" s="100" t="str" cm="1">
        <f t="array" ref="BZ34">IFERROR(INDEX(_xlfn.UNIQUE(_xlfn._xlws.FILTER($BQ$22:$BQ$49,($BQ$22:$BQ$49&lt;&gt;"")*($BQ$22:$BQ$49&lt;&gt;"-"))),ROWS($BZ$22:BZ34)),"")</f>
        <v/>
      </c>
    </row>
    <row r="35" spans="2:78" s="1" customFormat="1" ht="61.5" customHeight="1" outlineLevel="1" x14ac:dyDescent="0.25">
      <c r="B35" s="38">
        <f t="shared" si="47"/>
        <v>14</v>
      </c>
      <c r="C35" s="210"/>
      <c r="D35" s="210"/>
      <c r="E35" s="210"/>
      <c r="F35" s="210"/>
      <c r="G35" s="39"/>
      <c r="H35" s="40"/>
      <c r="I35" s="41"/>
      <c r="J35" s="42" t="str">
        <f t="shared" si="23"/>
        <v/>
      </c>
      <c r="K35" s="90"/>
      <c r="L35" s="206" t="str">
        <f t="shared" si="24"/>
        <v>No Quote</v>
      </c>
      <c r="M35" s="207"/>
      <c r="N35" s="41"/>
      <c r="O35" s="42" t="str">
        <f t="shared" si="25"/>
        <v/>
      </c>
      <c r="P35" s="90"/>
      <c r="Q35" s="206" t="str">
        <f t="shared" si="26"/>
        <v>No Quote</v>
      </c>
      <c r="R35" s="207"/>
      <c r="S35" s="41"/>
      <c r="T35" s="42" t="str">
        <f t="shared" si="27"/>
        <v/>
      </c>
      <c r="U35" s="89"/>
      <c r="V35" s="206" t="str">
        <f t="shared" si="28"/>
        <v>No Quote</v>
      </c>
      <c r="W35" s="207"/>
      <c r="X35" s="41"/>
      <c r="Y35" s="42" t="str">
        <f t="shared" si="29"/>
        <v/>
      </c>
      <c r="Z35" s="90"/>
      <c r="AA35" s="206" t="str">
        <f t="shared" si="30"/>
        <v>No Quote</v>
      </c>
      <c r="AB35" s="207"/>
      <c r="AC35" s="41"/>
      <c r="AD35" s="42" t="str">
        <f t="shared" si="31"/>
        <v/>
      </c>
      <c r="AE35" s="89"/>
      <c r="AF35" s="206" t="str">
        <f t="shared" si="32"/>
        <v>No Quote</v>
      </c>
      <c r="AG35" s="207"/>
      <c r="AH35" s="41"/>
      <c r="AI35" s="42" t="str">
        <f t="shared" si="33"/>
        <v/>
      </c>
      <c r="AJ35" s="89"/>
      <c r="AK35" s="206" t="str">
        <f t="shared" si="34"/>
        <v>No Quote</v>
      </c>
      <c r="AL35" s="207"/>
      <c r="AM35" s="41"/>
      <c r="AN35" s="42" t="str">
        <f t="shared" si="35"/>
        <v/>
      </c>
      <c r="AO35" s="43"/>
      <c r="AP35" s="206" t="str">
        <f t="shared" si="36"/>
        <v>No Quote</v>
      </c>
      <c r="AQ35" s="207"/>
      <c r="AR35" s="41"/>
      <c r="AS35" s="42" t="str">
        <f t="shared" si="37"/>
        <v/>
      </c>
      <c r="AT35" s="89"/>
      <c r="AU35" s="206" t="str">
        <f t="shared" si="38"/>
        <v>No Quote</v>
      </c>
      <c r="AV35" s="207"/>
      <c r="AW35" s="41"/>
      <c r="AX35" s="42" t="str">
        <f t="shared" si="39"/>
        <v/>
      </c>
      <c r="AY35" s="89"/>
      <c r="AZ35" s="208" t="str">
        <f t="shared" si="40"/>
        <v>No Quote</v>
      </c>
      <c r="BA35" s="209"/>
      <c r="BB35" s="87"/>
      <c r="BC35" s="93"/>
      <c r="BD35" s="63" t="str">
        <f t="shared" si="41"/>
        <v/>
      </c>
      <c r="BE35" s="92"/>
      <c r="BF35" s="92"/>
      <c r="BG35" s="77" t="str">
        <f t="shared" si="10"/>
        <v>-</v>
      </c>
      <c r="BH35" s="77" t="str">
        <f t="shared" si="11"/>
        <v>-</v>
      </c>
      <c r="BI35" s="77" t="str">
        <f t="shared" si="12"/>
        <v>-</v>
      </c>
      <c r="BJ35" s="77" t="str">
        <f t="shared" si="13"/>
        <v>-</v>
      </c>
      <c r="BK35" s="77" t="str">
        <f t="shared" si="14"/>
        <v>-</v>
      </c>
      <c r="BL35" s="77" t="str">
        <f t="shared" si="15"/>
        <v>-</v>
      </c>
      <c r="BM35" s="77" t="str">
        <f t="shared" si="16"/>
        <v>-</v>
      </c>
      <c r="BN35" s="77" t="str">
        <f t="shared" si="17"/>
        <v>-</v>
      </c>
      <c r="BO35" s="77" t="str">
        <f t="shared" si="18"/>
        <v>-</v>
      </c>
      <c r="BP35" s="78" t="str">
        <f t="shared" si="42"/>
        <v/>
      </c>
      <c r="BQ35" s="74" t="str">
        <f t="shared" si="19"/>
        <v/>
      </c>
      <c r="BR35" s="72" t="str">
        <f t="shared" si="43"/>
        <v/>
      </c>
      <c r="BS35" s="71" t="str">
        <f t="shared" si="44"/>
        <v/>
      </c>
      <c r="BT35" s="74" t="str">
        <f t="shared" si="20"/>
        <v/>
      </c>
      <c r="BU35" s="72" t="str">
        <f t="shared" si="45"/>
        <v/>
      </c>
      <c r="BV35" s="71" t="str">
        <f t="shared" si="46"/>
        <v/>
      </c>
      <c r="BW35" s="74" t="str">
        <f t="shared" si="21"/>
        <v/>
      </c>
      <c r="BY35" s="99">
        <f t="shared" si="22"/>
        <v>0</v>
      </c>
      <c r="BZ35" s="100" t="str" cm="1">
        <f t="array" ref="BZ35">IFERROR(INDEX(_xlfn.UNIQUE(_xlfn._xlws.FILTER($BQ$22:$BQ$49,($BQ$22:$BQ$49&lt;&gt;"")*($BQ$22:$BQ$49&lt;&gt;"-"))),ROWS($BZ$22:BZ35)),"")</f>
        <v/>
      </c>
    </row>
    <row r="36" spans="2:78" s="1" customFormat="1" ht="61.5" customHeight="1" outlineLevel="1" x14ac:dyDescent="0.25">
      <c r="B36" s="38">
        <f t="shared" si="47"/>
        <v>15</v>
      </c>
      <c r="C36" s="210"/>
      <c r="D36" s="210"/>
      <c r="E36" s="210"/>
      <c r="F36" s="210"/>
      <c r="G36" s="39"/>
      <c r="H36" s="40"/>
      <c r="I36" s="41"/>
      <c r="J36" s="42" t="str">
        <f t="shared" si="23"/>
        <v/>
      </c>
      <c r="K36" s="90"/>
      <c r="L36" s="206" t="str">
        <f t="shared" si="24"/>
        <v>No Quote</v>
      </c>
      <c r="M36" s="207"/>
      <c r="N36" s="41"/>
      <c r="O36" s="42" t="str">
        <f t="shared" si="25"/>
        <v/>
      </c>
      <c r="P36" s="90"/>
      <c r="Q36" s="206" t="str">
        <f t="shared" si="26"/>
        <v>No Quote</v>
      </c>
      <c r="R36" s="207"/>
      <c r="S36" s="41"/>
      <c r="T36" s="42" t="str">
        <f t="shared" si="27"/>
        <v/>
      </c>
      <c r="U36" s="89"/>
      <c r="V36" s="206" t="str">
        <f t="shared" si="28"/>
        <v>No Quote</v>
      </c>
      <c r="W36" s="207"/>
      <c r="X36" s="41"/>
      <c r="Y36" s="42" t="str">
        <f t="shared" si="29"/>
        <v/>
      </c>
      <c r="Z36" s="90"/>
      <c r="AA36" s="206" t="str">
        <f t="shared" si="30"/>
        <v>No Quote</v>
      </c>
      <c r="AB36" s="207"/>
      <c r="AC36" s="41"/>
      <c r="AD36" s="42" t="str">
        <f t="shared" si="31"/>
        <v/>
      </c>
      <c r="AE36" s="89"/>
      <c r="AF36" s="206" t="str">
        <f t="shared" si="32"/>
        <v>No Quote</v>
      </c>
      <c r="AG36" s="207"/>
      <c r="AH36" s="41"/>
      <c r="AI36" s="42" t="str">
        <f t="shared" si="33"/>
        <v/>
      </c>
      <c r="AJ36" s="89"/>
      <c r="AK36" s="206" t="str">
        <f t="shared" si="34"/>
        <v>No Quote</v>
      </c>
      <c r="AL36" s="207"/>
      <c r="AM36" s="41"/>
      <c r="AN36" s="42" t="str">
        <f t="shared" si="35"/>
        <v/>
      </c>
      <c r="AO36" s="43"/>
      <c r="AP36" s="206" t="str">
        <f t="shared" si="36"/>
        <v>No Quote</v>
      </c>
      <c r="AQ36" s="207"/>
      <c r="AR36" s="41"/>
      <c r="AS36" s="42" t="str">
        <f t="shared" si="37"/>
        <v/>
      </c>
      <c r="AT36" s="89"/>
      <c r="AU36" s="206" t="str">
        <f t="shared" si="38"/>
        <v>No Quote</v>
      </c>
      <c r="AV36" s="207"/>
      <c r="AW36" s="41"/>
      <c r="AX36" s="42" t="str">
        <f t="shared" si="39"/>
        <v/>
      </c>
      <c r="AY36" s="89"/>
      <c r="AZ36" s="208" t="str">
        <f t="shared" si="40"/>
        <v>No Quote</v>
      </c>
      <c r="BA36" s="209"/>
      <c r="BB36" s="87"/>
      <c r="BC36" s="93"/>
      <c r="BD36" s="63" t="str">
        <f t="shared" si="41"/>
        <v/>
      </c>
      <c r="BE36" s="92"/>
      <c r="BF36" s="92"/>
      <c r="BG36" s="77" t="str">
        <f t="shared" si="10"/>
        <v>-</v>
      </c>
      <c r="BH36" s="77" t="str">
        <f t="shared" si="11"/>
        <v>-</v>
      </c>
      <c r="BI36" s="77" t="str">
        <f t="shared" si="12"/>
        <v>-</v>
      </c>
      <c r="BJ36" s="77" t="str">
        <f t="shared" si="13"/>
        <v>-</v>
      </c>
      <c r="BK36" s="77" t="str">
        <f t="shared" si="14"/>
        <v>-</v>
      </c>
      <c r="BL36" s="77" t="str">
        <f t="shared" si="15"/>
        <v>-</v>
      </c>
      <c r="BM36" s="77" t="str">
        <f t="shared" si="16"/>
        <v>-</v>
      </c>
      <c r="BN36" s="77" t="str">
        <f t="shared" si="17"/>
        <v>-</v>
      </c>
      <c r="BO36" s="77" t="str">
        <f t="shared" si="18"/>
        <v>-</v>
      </c>
      <c r="BP36" s="78" t="str">
        <f t="shared" si="42"/>
        <v/>
      </c>
      <c r="BQ36" s="74" t="str">
        <f t="shared" si="19"/>
        <v/>
      </c>
      <c r="BR36" s="72" t="str">
        <f t="shared" si="43"/>
        <v/>
      </c>
      <c r="BS36" s="71" t="str">
        <f t="shared" si="44"/>
        <v/>
      </c>
      <c r="BT36" s="74" t="str">
        <f t="shared" si="20"/>
        <v/>
      </c>
      <c r="BU36" s="72" t="str">
        <f t="shared" si="45"/>
        <v/>
      </c>
      <c r="BV36" s="71" t="str">
        <f t="shared" si="46"/>
        <v/>
      </c>
      <c r="BW36" s="74" t="str">
        <f t="shared" si="21"/>
        <v/>
      </c>
      <c r="BY36" s="99">
        <f t="shared" si="22"/>
        <v>0</v>
      </c>
      <c r="BZ36" s="100" t="str" cm="1">
        <f t="array" ref="BZ36">IFERROR(INDEX(_xlfn.UNIQUE(_xlfn._xlws.FILTER($BQ$22:$BQ$49,($BQ$22:$BQ$49&lt;&gt;"")*($BQ$22:$BQ$49&lt;&gt;"-"))),ROWS($BZ$22:BZ36)),"")</f>
        <v/>
      </c>
    </row>
    <row r="37" spans="2:78" s="1" customFormat="1" ht="61.5" customHeight="1" outlineLevel="1" x14ac:dyDescent="0.25">
      <c r="B37" s="38">
        <f t="shared" si="47"/>
        <v>16</v>
      </c>
      <c r="C37" s="210"/>
      <c r="D37" s="210"/>
      <c r="E37" s="210"/>
      <c r="F37" s="210"/>
      <c r="G37" s="39"/>
      <c r="H37" s="40"/>
      <c r="I37" s="41"/>
      <c r="J37" s="42" t="str">
        <f t="shared" si="23"/>
        <v/>
      </c>
      <c r="K37" s="90"/>
      <c r="L37" s="206" t="str">
        <f t="shared" si="24"/>
        <v>No Quote</v>
      </c>
      <c r="M37" s="207"/>
      <c r="N37" s="41"/>
      <c r="O37" s="42" t="str">
        <f t="shared" si="25"/>
        <v/>
      </c>
      <c r="P37" s="90"/>
      <c r="Q37" s="206" t="str">
        <f t="shared" si="26"/>
        <v>No Quote</v>
      </c>
      <c r="R37" s="207"/>
      <c r="S37" s="41"/>
      <c r="T37" s="42" t="str">
        <f t="shared" si="27"/>
        <v/>
      </c>
      <c r="U37" s="89"/>
      <c r="V37" s="206" t="str">
        <f t="shared" si="28"/>
        <v>No Quote</v>
      </c>
      <c r="W37" s="207"/>
      <c r="X37" s="41"/>
      <c r="Y37" s="42" t="str">
        <f t="shared" si="29"/>
        <v/>
      </c>
      <c r="Z37" s="90"/>
      <c r="AA37" s="206" t="str">
        <f t="shared" si="30"/>
        <v>No Quote</v>
      </c>
      <c r="AB37" s="207"/>
      <c r="AC37" s="41"/>
      <c r="AD37" s="42" t="str">
        <f t="shared" si="31"/>
        <v/>
      </c>
      <c r="AE37" s="89"/>
      <c r="AF37" s="206" t="str">
        <f t="shared" si="32"/>
        <v>No Quote</v>
      </c>
      <c r="AG37" s="207"/>
      <c r="AH37" s="41"/>
      <c r="AI37" s="42" t="str">
        <f t="shared" si="33"/>
        <v/>
      </c>
      <c r="AJ37" s="89"/>
      <c r="AK37" s="206" t="str">
        <f t="shared" si="34"/>
        <v>No Quote</v>
      </c>
      <c r="AL37" s="207"/>
      <c r="AM37" s="41"/>
      <c r="AN37" s="42" t="str">
        <f t="shared" si="35"/>
        <v/>
      </c>
      <c r="AO37" s="43"/>
      <c r="AP37" s="206" t="str">
        <f t="shared" si="36"/>
        <v>No Quote</v>
      </c>
      <c r="AQ37" s="207"/>
      <c r="AR37" s="41"/>
      <c r="AS37" s="42" t="str">
        <f t="shared" si="37"/>
        <v/>
      </c>
      <c r="AT37" s="89"/>
      <c r="AU37" s="206" t="str">
        <f t="shared" si="38"/>
        <v>No Quote</v>
      </c>
      <c r="AV37" s="207"/>
      <c r="AW37" s="41"/>
      <c r="AX37" s="42" t="str">
        <f t="shared" si="39"/>
        <v/>
      </c>
      <c r="AY37" s="89"/>
      <c r="AZ37" s="208" t="str">
        <f t="shared" si="40"/>
        <v>No Quote</v>
      </c>
      <c r="BA37" s="209"/>
      <c r="BB37" s="87"/>
      <c r="BC37" s="93"/>
      <c r="BD37" s="63" t="str">
        <f t="shared" si="41"/>
        <v/>
      </c>
      <c r="BE37" s="92"/>
      <c r="BF37" s="92"/>
      <c r="BG37" s="77" t="str">
        <f t="shared" si="10"/>
        <v>-</v>
      </c>
      <c r="BH37" s="77" t="str">
        <f t="shared" si="11"/>
        <v>-</v>
      </c>
      <c r="BI37" s="77" t="str">
        <f t="shared" si="12"/>
        <v>-</v>
      </c>
      <c r="BJ37" s="77" t="str">
        <f t="shared" si="13"/>
        <v>-</v>
      </c>
      <c r="BK37" s="77" t="str">
        <f t="shared" si="14"/>
        <v>-</v>
      </c>
      <c r="BL37" s="77" t="str">
        <f t="shared" si="15"/>
        <v>-</v>
      </c>
      <c r="BM37" s="77" t="str">
        <f t="shared" si="16"/>
        <v>-</v>
      </c>
      <c r="BN37" s="77" t="str">
        <f t="shared" si="17"/>
        <v>-</v>
      </c>
      <c r="BO37" s="77" t="str">
        <f t="shared" si="18"/>
        <v>-</v>
      </c>
      <c r="BP37" s="78" t="str">
        <f t="shared" si="42"/>
        <v/>
      </c>
      <c r="BQ37" s="74" t="str">
        <f t="shared" si="19"/>
        <v/>
      </c>
      <c r="BR37" s="72" t="str">
        <f t="shared" si="43"/>
        <v/>
      </c>
      <c r="BS37" s="71" t="str">
        <f t="shared" si="44"/>
        <v/>
      </c>
      <c r="BT37" s="74" t="str">
        <f t="shared" si="20"/>
        <v/>
      </c>
      <c r="BU37" s="72" t="str">
        <f t="shared" si="45"/>
        <v/>
      </c>
      <c r="BV37" s="71" t="str">
        <f t="shared" si="46"/>
        <v/>
      </c>
      <c r="BW37" s="74" t="str">
        <f t="shared" si="21"/>
        <v/>
      </c>
      <c r="BY37" s="99">
        <f t="shared" si="22"/>
        <v>0</v>
      </c>
      <c r="BZ37" s="100" t="str" cm="1">
        <f t="array" ref="BZ37">IFERROR(INDEX(_xlfn.UNIQUE(_xlfn._xlws.FILTER($BQ$22:$BQ$49,($BQ$22:$BQ$49&lt;&gt;"")*($BQ$22:$BQ$49&lt;&gt;"-"))),ROWS($BZ$22:BZ37)),"")</f>
        <v/>
      </c>
    </row>
    <row r="38" spans="2:78" s="1" customFormat="1" ht="61.5" customHeight="1" outlineLevel="1" x14ac:dyDescent="0.25">
      <c r="B38" s="38">
        <f t="shared" si="47"/>
        <v>17</v>
      </c>
      <c r="C38" s="210"/>
      <c r="D38" s="210"/>
      <c r="E38" s="210"/>
      <c r="F38" s="210"/>
      <c r="G38" s="39"/>
      <c r="H38" s="40"/>
      <c r="I38" s="41"/>
      <c r="J38" s="42" t="str">
        <f t="shared" si="23"/>
        <v/>
      </c>
      <c r="K38" s="90"/>
      <c r="L38" s="206" t="str">
        <f t="shared" si="24"/>
        <v>No Quote</v>
      </c>
      <c r="M38" s="207"/>
      <c r="N38" s="41"/>
      <c r="O38" s="42" t="str">
        <f t="shared" si="25"/>
        <v/>
      </c>
      <c r="P38" s="90"/>
      <c r="Q38" s="206" t="str">
        <f t="shared" si="26"/>
        <v>No Quote</v>
      </c>
      <c r="R38" s="207"/>
      <c r="S38" s="41"/>
      <c r="T38" s="42" t="str">
        <f t="shared" si="27"/>
        <v/>
      </c>
      <c r="U38" s="89"/>
      <c r="V38" s="206" t="str">
        <f t="shared" si="28"/>
        <v>No Quote</v>
      </c>
      <c r="W38" s="207"/>
      <c r="X38" s="41"/>
      <c r="Y38" s="42" t="str">
        <f t="shared" si="29"/>
        <v/>
      </c>
      <c r="Z38" s="90"/>
      <c r="AA38" s="206" t="str">
        <f t="shared" si="30"/>
        <v>No Quote</v>
      </c>
      <c r="AB38" s="207"/>
      <c r="AC38" s="41"/>
      <c r="AD38" s="42" t="str">
        <f t="shared" si="31"/>
        <v/>
      </c>
      <c r="AE38" s="89"/>
      <c r="AF38" s="206" t="str">
        <f t="shared" si="32"/>
        <v>No Quote</v>
      </c>
      <c r="AG38" s="207"/>
      <c r="AH38" s="41"/>
      <c r="AI38" s="42" t="str">
        <f t="shared" si="33"/>
        <v/>
      </c>
      <c r="AJ38" s="89"/>
      <c r="AK38" s="206" t="str">
        <f t="shared" si="34"/>
        <v>No Quote</v>
      </c>
      <c r="AL38" s="207"/>
      <c r="AM38" s="41"/>
      <c r="AN38" s="42" t="str">
        <f t="shared" si="35"/>
        <v/>
      </c>
      <c r="AO38" s="43"/>
      <c r="AP38" s="206" t="str">
        <f t="shared" si="36"/>
        <v>No Quote</v>
      </c>
      <c r="AQ38" s="207"/>
      <c r="AR38" s="41"/>
      <c r="AS38" s="42" t="str">
        <f t="shared" si="37"/>
        <v/>
      </c>
      <c r="AT38" s="89"/>
      <c r="AU38" s="206" t="str">
        <f t="shared" si="38"/>
        <v>No Quote</v>
      </c>
      <c r="AV38" s="207"/>
      <c r="AW38" s="41"/>
      <c r="AX38" s="42" t="str">
        <f t="shared" si="39"/>
        <v/>
      </c>
      <c r="AY38" s="89"/>
      <c r="AZ38" s="208" t="str">
        <f t="shared" si="40"/>
        <v>No Quote</v>
      </c>
      <c r="BA38" s="209"/>
      <c r="BB38" s="87"/>
      <c r="BC38" s="93"/>
      <c r="BD38" s="63" t="str">
        <f t="shared" si="41"/>
        <v/>
      </c>
      <c r="BE38" s="92"/>
      <c r="BF38" s="92"/>
      <c r="BG38" s="77" t="str">
        <f t="shared" si="10"/>
        <v>-</v>
      </c>
      <c r="BH38" s="77" t="str">
        <f t="shared" si="11"/>
        <v>-</v>
      </c>
      <c r="BI38" s="77" t="str">
        <f t="shared" si="12"/>
        <v>-</v>
      </c>
      <c r="BJ38" s="77" t="str">
        <f t="shared" si="13"/>
        <v>-</v>
      </c>
      <c r="BK38" s="77" t="str">
        <f t="shared" si="14"/>
        <v>-</v>
      </c>
      <c r="BL38" s="77" t="str">
        <f t="shared" si="15"/>
        <v>-</v>
      </c>
      <c r="BM38" s="77" t="str">
        <f t="shared" si="16"/>
        <v>-</v>
      </c>
      <c r="BN38" s="77" t="str">
        <f t="shared" si="17"/>
        <v>-</v>
      </c>
      <c r="BO38" s="77" t="str">
        <f t="shared" si="18"/>
        <v>-</v>
      </c>
      <c r="BP38" s="78" t="str">
        <f t="shared" si="42"/>
        <v/>
      </c>
      <c r="BQ38" s="74" t="str">
        <f t="shared" si="19"/>
        <v/>
      </c>
      <c r="BR38" s="72" t="str">
        <f t="shared" si="43"/>
        <v/>
      </c>
      <c r="BS38" s="71" t="str">
        <f t="shared" si="44"/>
        <v/>
      </c>
      <c r="BT38" s="74" t="str">
        <f t="shared" si="20"/>
        <v/>
      </c>
      <c r="BU38" s="72" t="str">
        <f t="shared" si="45"/>
        <v/>
      </c>
      <c r="BV38" s="71" t="str">
        <f t="shared" si="46"/>
        <v/>
      </c>
      <c r="BW38" s="74" t="str">
        <f t="shared" si="21"/>
        <v/>
      </c>
      <c r="BY38" s="99">
        <f t="shared" si="22"/>
        <v>0</v>
      </c>
      <c r="BZ38" s="100" t="str" cm="1">
        <f t="array" ref="BZ38">IFERROR(INDEX(_xlfn.UNIQUE(_xlfn._xlws.FILTER($BQ$22:$BQ$49,($BQ$22:$BQ$49&lt;&gt;"")*($BQ$22:$BQ$49&lt;&gt;"-"))),ROWS($BZ$22:BZ38)),"")</f>
        <v/>
      </c>
    </row>
    <row r="39" spans="2:78" s="1" customFormat="1" ht="61.5" customHeight="1" outlineLevel="1" x14ac:dyDescent="0.25">
      <c r="B39" s="38">
        <f t="shared" si="47"/>
        <v>18</v>
      </c>
      <c r="C39" s="210"/>
      <c r="D39" s="210"/>
      <c r="E39" s="210"/>
      <c r="F39" s="210"/>
      <c r="G39" s="39"/>
      <c r="H39" s="40"/>
      <c r="I39" s="41"/>
      <c r="J39" s="42" t="str">
        <f t="shared" si="23"/>
        <v/>
      </c>
      <c r="K39" s="90"/>
      <c r="L39" s="206" t="str">
        <f t="shared" si="24"/>
        <v>No Quote</v>
      </c>
      <c r="M39" s="207"/>
      <c r="N39" s="41"/>
      <c r="O39" s="42" t="str">
        <f t="shared" si="25"/>
        <v/>
      </c>
      <c r="P39" s="90"/>
      <c r="Q39" s="206" t="str">
        <f t="shared" si="26"/>
        <v>No Quote</v>
      </c>
      <c r="R39" s="207"/>
      <c r="S39" s="41"/>
      <c r="T39" s="42" t="str">
        <f t="shared" si="27"/>
        <v/>
      </c>
      <c r="U39" s="89"/>
      <c r="V39" s="206" t="str">
        <f t="shared" si="28"/>
        <v>No Quote</v>
      </c>
      <c r="W39" s="207"/>
      <c r="X39" s="41"/>
      <c r="Y39" s="42" t="str">
        <f t="shared" si="29"/>
        <v/>
      </c>
      <c r="Z39" s="90"/>
      <c r="AA39" s="206" t="str">
        <f t="shared" si="30"/>
        <v>No Quote</v>
      </c>
      <c r="AB39" s="207"/>
      <c r="AC39" s="41"/>
      <c r="AD39" s="42" t="str">
        <f t="shared" si="31"/>
        <v/>
      </c>
      <c r="AE39" s="89"/>
      <c r="AF39" s="206" t="str">
        <f t="shared" si="32"/>
        <v>No Quote</v>
      </c>
      <c r="AG39" s="207"/>
      <c r="AH39" s="41"/>
      <c r="AI39" s="42" t="str">
        <f t="shared" si="33"/>
        <v/>
      </c>
      <c r="AJ39" s="89"/>
      <c r="AK39" s="206" t="str">
        <f t="shared" si="34"/>
        <v>No Quote</v>
      </c>
      <c r="AL39" s="207"/>
      <c r="AM39" s="41"/>
      <c r="AN39" s="42" t="str">
        <f t="shared" si="35"/>
        <v/>
      </c>
      <c r="AO39" s="43"/>
      <c r="AP39" s="206" t="str">
        <f t="shared" si="36"/>
        <v>No Quote</v>
      </c>
      <c r="AQ39" s="207"/>
      <c r="AR39" s="41"/>
      <c r="AS39" s="42" t="str">
        <f t="shared" si="37"/>
        <v/>
      </c>
      <c r="AT39" s="89"/>
      <c r="AU39" s="206" t="str">
        <f t="shared" si="38"/>
        <v>No Quote</v>
      </c>
      <c r="AV39" s="207"/>
      <c r="AW39" s="41"/>
      <c r="AX39" s="42" t="str">
        <f t="shared" si="39"/>
        <v/>
      </c>
      <c r="AY39" s="89"/>
      <c r="AZ39" s="208" t="str">
        <f t="shared" si="40"/>
        <v>No Quote</v>
      </c>
      <c r="BA39" s="209"/>
      <c r="BB39" s="87"/>
      <c r="BC39" s="93"/>
      <c r="BD39" s="63" t="str">
        <f t="shared" si="41"/>
        <v/>
      </c>
      <c r="BE39" s="92"/>
      <c r="BF39" s="92"/>
      <c r="BG39" s="77" t="str">
        <f t="shared" si="10"/>
        <v>-</v>
      </c>
      <c r="BH39" s="77" t="str">
        <f t="shared" si="11"/>
        <v>-</v>
      </c>
      <c r="BI39" s="77" t="str">
        <f t="shared" si="12"/>
        <v>-</v>
      </c>
      <c r="BJ39" s="77" t="str">
        <f t="shared" si="13"/>
        <v>-</v>
      </c>
      <c r="BK39" s="77" t="str">
        <f t="shared" si="14"/>
        <v>-</v>
      </c>
      <c r="BL39" s="77" t="str">
        <f t="shared" si="15"/>
        <v>-</v>
      </c>
      <c r="BM39" s="77" t="str">
        <f t="shared" si="16"/>
        <v>-</v>
      </c>
      <c r="BN39" s="77" t="str">
        <f t="shared" si="17"/>
        <v>-</v>
      </c>
      <c r="BO39" s="77" t="str">
        <f t="shared" si="18"/>
        <v>-</v>
      </c>
      <c r="BP39" s="78" t="str">
        <f t="shared" si="42"/>
        <v/>
      </c>
      <c r="BQ39" s="74" t="str">
        <f t="shared" si="19"/>
        <v/>
      </c>
      <c r="BR39" s="72" t="str">
        <f t="shared" si="43"/>
        <v/>
      </c>
      <c r="BS39" s="71" t="str">
        <f t="shared" si="44"/>
        <v/>
      </c>
      <c r="BT39" s="74" t="str">
        <f t="shared" si="20"/>
        <v/>
      </c>
      <c r="BU39" s="72" t="str">
        <f t="shared" si="45"/>
        <v/>
      </c>
      <c r="BV39" s="71" t="str">
        <f t="shared" si="46"/>
        <v/>
      </c>
      <c r="BW39" s="74" t="str">
        <f t="shared" si="21"/>
        <v/>
      </c>
      <c r="BY39" s="99">
        <f t="shared" si="22"/>
        <v>0</v>
      </c>
      <c r="BZ39" s="100" t="str" cm="1">
        <f t="array" ref="BZ39">IFERROR(INDEX(_xlfn.UNIQUE(_xlfn._xlws.FILTER($BQ$22:$BQ$49,($BQ$22:$BQ$49&lt;&gt;"")*($BQ$22:$BQ$49&lt;&gt;"-"))),ROWS($BZ$22:BZ39)),"")</f>
        <v/>
      </c>
    </row>
    <row r="40" spans="2:78" s="1" customFormat="1" ht="61.5" customHeight="1" outlineLevel="1" x14ac:dyDescent="0.25">
      <c r="B40" s="38">
        <f t="shared" si="47"/>
        <v>19</v>
      </c>
      <c r="C40" s="210"/>
      <c r="D40" s="210"/>
      <c r="E40" s="210"/>
      <c r="F40" s="210"/>
      <c r="G40" s="39"/>
      <c r="H40" s="40"/>
      <c r="I40" s="41"/>
      <c r="J40" s="42" t="str">
        <f t="shared" si="23"/>
        <v/>
      </c>
      <c r="K40" s="90"/>
      <c r="L40" s="206" t="str">
        <f t="shared" si="24"/>
        <v>No Quote</v>
      </c>
      <c r="M40" s="207"/>
      <c r="N40" s="41"/>
      <c r="O40" s="42" t="str">
        <f t="shared" si="25"/>
        <v/>
      </c>
      <c r="P40" s="90"/>
      <c r="Q40" s="206" t="str">
        <f t="shared" si="26"/>
        <v>No Quote</v>
      </c>
      <c r="R40" s="207"/>
      <c r="S40" s="41"/>
      <c r="T40" s="42" t="str">
        <f t="shared" si="27"/>
        <v/>
      </c>
      <c r="U40" s="89"/>
      <c r="V40" s="206" t="str">
        <f t="shared" si="28"/>
        <v>No Quote</v>
      </c>
      <c r="W40" s="207"/>
      <c r="X40" s="41"/>
      <c r="Y40" s="42" t="str">
        <f t="shared" si="29"/>
        <v/>
      </c>
      <c r="Z40" s="90"/>
      <c r="AA40" s="206" t="str">
        <f t="shared" si="30"/>
        <v>No Quote</v>
      </c>
      <c r="AB40" s="207"/>
      <c r="AC40" s="41"/>
      <c r="AD40" s="42" t="str">
        <f t="shared" si="31"/>
        <v/>
      </c>
      <c r="AE40" s="89"/>
      <c r="AF40" s="206" t="str">
        <f t="shared" si="32"/>
        <v>No Quote</v>
      </c>
      <c r="AG40" s="207"/>
      <c r="AH40" s="41"/>
      <c r="AI40" s="42" t="str">
        <f t="shared" si="33"/>
        <v/>
      </c>
      <c r="AJ40" s="89"/>
      <c r="AK40" s="206" t="str">
        <f t="shared" si="34"/>
        <v>No Quote</v>
      </c>
      <c r="AL40" s="207"/>
      <c r="AM40" s="41"/>
      <c r="AN40" s="42" t="str">
        <f t="shared" si="35"/>
        <v/>
      </c>
      <c r="AO40" s="43"/>
      <c r="AP40" s="206" t="str">
        <f t="shared" si="36"/>
        <v>No Quote</v>
      </c>
      <c r="AQ40" s="207"/>
      <c r="AR40" s="41"/>
      <c r="AS40" s="42" t="str">
        <f t="shared" si="37"/>
        <v/>
      </c>
      <c r="AT40" s="89"/>
      <c r="AU40" s="206" t="str">
        <f t="shared" si="38"/>
        <v>No Quote</v>
      </c>
      <c r="AV40" s="207"/>
      <c r="AW40" s="41"/>
      <c r="AX40" s="42" t="str">
        <f t="shared" si="39"/>
        <v/>
      </c>
      <c r="AY40" s="89"/>
      <c r="AZ40" s="208" t="str">
        <f t="shared" si="40"/>
        <v>No Quote</v>
      </c>
      <c r="BA40" s="209"/>
      <c r="BB40" s="87"/>
      <c r="BC40" s="93"/>
      <c r="BD40" s="63" t="str">
        <f t="shared" si="41"/>
        <v/>
      </c>
      <c r="BE40" s="92"/>
      <c r="BF40" s="92"/>
      <c r="BG40" s="77" t="str">
        <f t="shared" si="10"/>
        <v>-</v>
      </c>
      <c r="BH40" s="77" t="str">
        <f t="shared" si="11"/>
        <v>-</v>
      </c>
      <c r="BI40" s="77" t="str">
        <f t="shared" si="12"/>
        <v>-</v>
      </c>
      <c r="BJ40" s="77" t="str">
        <f t="shared" si="13"/>
        <v>-</v>
      </c>
      <c r="BK40" s="77" t="str">
        <f t="shared" si="14"/>
        <v>-</v>
      </c>
      <c r="BL40" s="77" t="str">
        <f t="shared" si="15"/>
        <v>-</v>
      </c>
      <c r="BM40" s="77" t="str">
        <f t="shared" si="16"/>
        <v>-</v>
      </c>
      <c r="BN40" s="77" t="str">
        <f t="shared" si="17"/>
        <v>-</v>
      </c>
      <c r="BO40" s="77" t="str">
        <f t="shared" si="18"/>
        <v>-</v>
      </c>
      <c r="BP40" s="78" t="str">
        <f t="shared" si="42"/>
        <v/>
      </c>
      <c r="BQ40" s="74" t="str">
        <f t="shared" si="19"/>
        <v/>
      </c>
      <c r="BR40" s="72" t="str">
        <f t="shared" si="43"/>
        <v/>
      </c>
      <c r="BS40" s="71" t="str">
        <f t="shared" si="44"/>
        <v/>
      </c>
      <c r="BT40" s="74" t="str">
        <f t="shared" si="20"/>
        <v/>
      </c>
      <c r="BU40" s="72" t="str">
        <f t="shared" si="45"/>
        <v/>
      </c>
      <c r="BV40" s="71" t="str">
        <f t="shared" si="46"/>
        <v/>
      </c>
      <c r="BW40" s="74" t="str">
        <f t="shared" si="21"/>
        <v/>
      </c>
      <c r="BY40" s="99">
        <f t="shared" si="22"/>
        <v>0</v>
      </c>
      <c r="BZ40" s="100" t="str" cm="1">
        <f t="array" ref="BZ40">IFERROR(INDEX(_xlfn.UNIQUE(_xlfn._xlws.FILTER($BQ$22:$BQ$49,($BQ$22:$BQ$49&lt;&gt;"")*($BQ$22:$BQ$49&lt;&gt;"-"))),ROWS($BZ$22:BZ40)),"")</f>
        <v/>
      </c>
    </row>
    <row r="41" spans="2:78" s="1" customFormat="1" ht="61.5" customHeight="1" outlineLevel="1" x14ac:dyDescent="0.25">
      <c r="B41" s="38">
        <f t="shared" si="47"/>
        <v>20</v>
      </c>
      <c r="C41" s="210"/>
      <c r="D41" s="210"/>
      <c r="E41" s="210"/>
      <c r="F41" s="210"/>
      <c r="G41" s="39"/>
      <c r="H41" s="40"/>
      <c r="I41" s="41"/>
      <c r="J41" s="42" t="str">
        <f t="shared" si="23"/>
        <v/>
      </c>
      <c r="K41" s="90"/>
      <c r="L41" s="206" t="str">
        <f t="shared" si="24"/>
        <v>No Quote</v>
      </c>
      <c r="M41" s="207"/>
      <c r="N41" s="41"/>
      <c r="O41" s="42" t="str">
        <f t="shared" si="25"/>
        <v/>
      </c>
      <c r="P41" s="90"/>
      <c r="Q41" s="206" t="str">
        <f t="shared" si="26"/>
        <v>No Quote</v>
      </c>
      <c r="R41" s="207"/>
      <c r="S41" s="41"/>
      <c r="T41" s="42" t="str">
        <f t="shared" si="27"/>
        <v/>
      </c>
      <c r="U41" s="89"/>
      <c r="V41" s="206" t="str">
        <f t="shared" si="28"/>
        <v>No Quote</v>
      </c>
      <c r="W41" s="207"/>
      <c r="X41" s="41"/>
      <c r="Y41" s="42" t="str">
        <f t="shared" si="29"/>
        <v/>
      </c>
      <c r="Z41" s="90"/>
      <c r="AA41" s="206" t="str">
        <f t="shared" si="30"/>
        <v>No Quote</v>
      </c>
      <c r="AB41" s="207"/>
      <c r="AC41" s="41"/>
      <c r="AD41" s="42" t="str">
        <f t="shared" si="31"/>
        <v/>
      </c>
      <c r="AE41" s="89"/>
      <c r="AF41" s="206" t="str">
        <f t="shared" si="32"/>
        <v>No Quote</v>
      </c>
      <c r="AG41" s="207"/>
      <c r="AH41" s="41"/>
      <c r="AI41" s="42" t="str">
        <f t="shared" si="33"/>
        <v/>
      </c>
      <c r="AJ41" s="89"/>
      <c r="AK41" s="206" t="str">
        <f t="shared" si="34"/>
        <v>No Quote</v>
      </c>
      <c r="AL41" s="207"/>
      <c r="AM41" s="41"/>
      <c r="AN41" s="42" t="str">
        <f t="shared" si="35"/>
        <v/>
      </c>
      <c r="AO41" s="43"/>
      <c r="AP41" s="206" t="str">
        <f t="shared" si="36"/>
        <v>No Quote</v>
      </c>
      <c r="AQ41" s="207"/>
      <c r="AR41" s="41"/>
      <c r="AS41" s="42" t="str">
        <f t="shared" si="37"/>
        <v/>
      </c>
      <c r="AT41" s="89"/>
      <c r="AU41" s="206" t="str">
        <f t="shared" si="38"/>
        <v>No Quote</v>
      </c>
      <c r="AV41" s="207"/>
      <c r="AW41" s="41"/>
      <c r="AX41" s="42" t="str">
        <f t="shared" si="39"/>
        <v/>
      </c>
      <c r="AY41" s="89"/>
      <c r="AZ41" s="208" t="str">
        <f t="shared" si="40"/>
        <v>No Quote</v>
      </c>
      <c r="BA41" s="209"/>
      <c r="BB41" s="87"/>
      <c r="BC41" s="93"/>
      <c r="BD41" s="63" t="str">
        <f t="shared" si="41"/>
        <v/>
      </c>
      <c r="BE41" s="92"/>
      <c r="BF41" s="92"/>
      <c r="BG41" s="77" t="str">
        <f t="shared" si="10"/>
        <v>-</v>
      </c>
      <c r="BH41" s="77" t="str">
        <f t="shared" si="11"/>
        <v>-</v>
      </c>
      <c r="BI41" s="77" t="str">
        <f t="shared" si="12"/>
        <v>-</v>
      </c>
      <c r="BJ41" s="77" t="str">
        <f t="shared" si="13"/>
        <v>-</v>
      </c>
      <c r="BK41" s="77" t="str">
        <f t="shared" si="14"/>
        <v>-</v>
      </c>
      <c r="BL41" s="77" t="str">
        <f t="shared" si="15"/>
        <v>-</v>
      </c>
      <c r="BM41" s="77" t="str">
        <f t="shared" si="16"/>
        <v>-</v>
      </c>
      <c r="BN41" s="77" t="str">
        <f t="shared" si="17"/>
        <v>-</v>
      </c>
      <c r="BO41" s="77" t="str">
        <f t="shared" si="18"/>
        <v>-</v>
      </c>
      <c r="BP41" s="78" t="str">
        <f t="shared" si="42"/>
        <v/>
      </c>
      <c r="BQ41" s="74" t="str">
        <f t="shared" si="19"/>
        <v/>
      </c>
      <c r="BR41" s="72" t="str">
        <f t="shared" si="43"/>
        <v/>
      </c>
      <c r="BS41" s="71" t="str">
        <f t="shared" si="44"/>
        <v/>
      </c>
      <c r="BT41" s="74" t="str">
        <f t="shared" si="20"/>
        <v/>
      </c>
      <c r="BU41" s="72" t="str">
        <f t="shared" si="45"/>
        <v/>
      </c>
      <c r="BV41" s="71" t="str">
        <f t="shared" si="46"/>
        <v/>
      </c>
      <c r="BW41" s="74" t="str">
        <f t="shared" si="21"/>
        <v/>
      </c>
      <c r="BY41" s="99">
        <f t="shared" si="22"/>
        <v>0</v>
      </c>
      <c r="BZ41" s="100" t="str" cm="1">
        <f t="array" ref="BZ41">IFERROR(INDEX(_xlfn.UNIQUE(_xlfn._xlws.FILTER($BQ$22:$BQ$49,($BQ$22:$BQ$49&lt;&gt;"")*($BQ$22:$BQ$49&lt;&gt;"-"))),ROWS($BZ$22:BZ41)),"")</f>
        <v/>
      </c>
    </row>
    <row r="42" spans="2:78" s="1" customFormat="1" ht="61.5" customHeight="1" outlineLevel="1" x14ac:dyDescent="0.25">
      <c r="B42" s="38">
        <f t="shared" si="47"/>
        <v>21</v>
      </c>
      <c r="C42" s="210"/>
      <c r="D42" s="210"/>
      <c r="E42" s="210"/>
      <c r="F42" s="210"/>
      <c r="G42" s="39"/>
      <c r="H42" s="40"/>
      <c r="I42" s="41"/>
      <c r="J42" s="42" t="str">
        <f t="shared" si="23"/>
        <v/>
      </c>
      <c r="K42" s="90"/>
      <c r="L42" s="206" t="str">
        <f t="shared" si="24"/>
        <v>No Quote</v>
      </c>
      <c r="M42" s="207"/>
      <c r="N42" s="41"/>
      <c r="O42" s="42" t="str">
        <f t="shared" si="25"/>
        <v/>
      </c>
      <c r="P42" s="90"/>
      <c r="Q42" s="206" t="str">
        <f t="shared" si="26"/>
        <v>No Quote</v>
      </c>
      <c r="R42" s="207"/>
      <c r="S42" s="41"/>
      <c r="T42" s="42" t="str">
        <f t="shared" si="27"/>
        <v/>
      </c>
      <c r="U42" s="89"/>
      <c r="V42" s="206" t="str">
        <f t="shared" si="28"/>
        <v>No Quote</v>
      </c>
      <c r="W42" s="207"/>
      <c r="X42" s="41"/>
      <c r="Y42" s="42" t="str">
        <f t="shared" si="29"/>
        <v/>
      </c>
      <c r="Z42" s="90"/>
      <c r="AA42" s="206" t="str">
        <f t="shared" si="30"/>
        <v>No Quote</v>
      </c>
      <c r="AB42" s="207"/>
      <c r="AC42" s="41"/>
      <c r="AD42" s="42" t="str">
        <f t="shared" si="31"/>
        <v/>
      </c>
      <c r="AE42" s="89"/>
      <c r="AF42" s="206" t="str">
        <f t="shared" si="32"/>
        <v>No Quote</v>
      </c>
      <c r="AG42" s="207"/>
      <c r="AH42" s="41"/>
      <c r="AI42" s="42" t="str">
        <f t="shared" si="33"/>
        <v/>
      </c>
      <c r="AJ42" s="89"/>
      <c r="AK42" s="206" t="str">
        <f t="shared" si="34"/>
        <v>No Quote</v>
      </c>
      <c r="AL42" s="207"/>
      <c r="AM42" s="41"/>
      <c r="AN42" s="42" t="str">
        <f t="shared" si="35"/>
        <v/>
      </c>
      <c r="AO42" s="43"/>
      <c r="AP42" s="206" t="str">
        <f t="shared" si="36"/>
        <v>No Quote</v>
      </c>
      <c r="AQ42" s="207"/>
      <c r="AR42" s="41"/>
      <c r="AS42" s="42" t="str">
        <f t="shared" si="37"/>
        <v/>
      </c>
      <c r="AT42" s="89"/>
      <c r="AU42" s="206" t="str">
        <f t="shared" si="38"/>
        <v>No Quote</v>
      </c>
      <c r="AV42" s="207"/>
      <c r="AW42" s="41"/>
      <c r="AX42" s="42" t="str">
        <f t="shared" si="39"/>
        <v/>
      </c>
      <c r="AY42" s="89"/>
      <c r="AZ42" s="208" t="str">
        <f t="shared" si="40"/>
        <v>No Quote</v>
      </c>
      <c r="BA42" s="209"/>
      <c r="BB42" s="87"/>
      <c r="BC42" s="93"/>
      <c r="BD42" s="63" t="str">
        <f t="shared" si="41"/>
        <v/>
      </c>
      <c r="BE42" s="92"/>
      <c r="BF42" s="92"/>
      <c r="BG42" s="77" t="str">
        <f t="shared" si="10"/>
        <v>-</v>
      </c>
      <c r="BH42" s="77" t="str">
        <f t="shared" si="11"/>
        <v>-</v>
      </c>
      <c r="BI42" s="77" t="str">
        <f t="shared" si="12"/>
        <v>-</v>
      </c>
      <c r="BJ42" s="77" t="str">
        <f t="shared" si="13"/>
        <v>-</v>
      </c>
      <c r="BK42" s="77" t="str">
        <f t="shared" si="14"/>
        <v>-</v>
      </c>
      <c r="BL42" s="77" t="str">
        <f t="shared" si="15"/>
        <v>-</v>
      </c>
      <c r="BM42" s="77" t="str">
        <f t="shared" si="16"/>
        <v>-</v>
      </c>
      <c r="BN42" s="77" t="str">
        <f t="shared" si="17"/>
        <v>-</v>
      </c>
      <c r="BO42" s="77" t="str">
        <f t="shared" si="18"/>
        <v>-</v>
      </c>
      <c r="BP42" s="78" t="str">
        <f t="shared" si="42"/>
        <v/>
      </c>
      <c r="BQ42" s="74" t="str">
        <f t="shared" si="19"/>
        <v/>
      </c>
      <c r="BR42" s="72" t="str">
        <f t="shared" si="43"/>
        <v/>
      </c>
      <c r="BS42" s="71" t="str">
        <f t="shared" si="44"/>
        <v/>
      </c>
      <c r="BT42" s="74" t="str">
        <f t="shared" si="20"/>
        <v/>
      </c>
      <c r="BU42" s="72" t="str">
        <f t="shared" si="45"/>
        <v/>
      </c>
      <c r="BV42" s="71" t="str">
        <f t="shared" si="46"/>
        <v/>
      </c>
      <c r="BW42" s="74" t="str">
        <f t="shared" si="21"/>
        <v/>
      </c>
      <c r="BY42" s="99">
        <f t="shared" si="22"/>
        <v>0</v>
      </c>
      <c r="BZ42" s="100" t="str" cm="1">
        <f t="array" ref="BZ42">IFERROR(INDEX(_xlfn.UNIQUE(_xlfn._xlws.FILTER($BQ$22:$BQ$49,($BQ$22:$BQ$49&lt;&gt;"")*($BQ$22:$BQ$49&lt;&gt;"-"))),ROWS($BZ$22:BZ42)),"")</f>
        <v/>
      </c>
    </row>
    <row r="43" spans="2:78" s="1" customFormat="1" ht="61.5" customHeight="1" outlineLevel="1" x14ac:dyDescent="0.25">
      <c r="B43" s="38">
        <f t="shared" si="47"/>
        <v>22</v>
      </c>
      <c r="C43" s="210"/>
      <c r="D43" s="210"/>
      <c r="E43" s="210"/>
      <c r="F43" s="210"/>
      <c r="G43" s="39"/>
      <c r="H43" s="40"/>
      <c r="I43" s="41"/>
      <c r="J43" s="42" t="str">
        <f t="shared" si="23"/>
        <v/>
      </c>
      <c r="K43" s="90"/>
      <c r="L43" s="206" t="str">
        <f t="shared" si="24"/>
        <v>No Quote</v>
      </c>
      <c r="M43" s="207"/>
      <c r="N43" s="41"/>
      <c r="O43" s="42" t="str">
        <f t="shared" si="25"/>
        <v/>
      </c>
      <c r="P43" s="90"/>
      <c r="Q43" s="206" t="str">
        <f t="shared" si="26"/>
        <v>No Quote</v>
      </c>
      <c r="R43" s="207"/>
      <c r="S43" s="41"/>
      <c r="T43" s="42" t="str">
        <f t="shared" si="27"/>
        <v/>
      </c>
      <c r="U43" s="89"/>
      <c r="V43" s="206" t="str">
        <f t="shared" si="28"/>
        <v>No Quote</v>
      </c>
      <c r="W43" s="207"/>
      <c r="X43" s="41"/>
      <c r="Y43" s="42" t="str">
        <f t="shared" si="29"/>
        <v/>
      </c>
      <c r="Z43" s="90"/>
      <c r="AA43" s="206" t="str">
        <f t="shared" si="30"/>
        <v>No Quote</v>
      </c>
      <c r="AB43" s="207"/>
      <c r="AC43" s="41"/>
      <c r="AD43" s="42" t="str">
        <f t="shared" si="31"/>
        <v/>
      </c>
      <c r="AE43" s="89"/>
      <c r="AF43" s="206" t="str">
        <f t="shared" si="32"/>
        <v>No Quote</v>
      </c>
      <c r="AG43" s="207"/>
      <c r="AH43" s="41"/>
      <c r="AI43" s="42" t="str">
        <f t="shared" si="33"/>
        <v/>
      </c>
      <c r="AJ43" s="89"/>
      <c r="AK43" s="206" t="str">
        <f t="shared" si="34"/>
        <v>No Quote</v>
      </c>
      <c r="AL43" s="207"/>
      <c r="AM43" s="41"/>
      <c r="AN43" s="42" t="str">
        <f t="shared" si="35"/>
        <v/>
      </c>
      <c r="AO43" s="43"/>
      <c r="AP43" s="206" t="str">
        <f t="shared" si="36"/>
        <v>No Quote</v>
      </c>
      <c r="AQ43" s="207"/>
      <c r="AR43" s="41"/>
      <c r="AS43" s="42" t="str">
        <f t="shared" si="37"/>
        <v/>
      </c>
      <c r="AT43" s="89"/>
      <c r="AU43" s="206" t="str">
        <f t="shared" si="38"/>
        <v>No Quote</v>
      </c>
      <c r="AV43" s="207"/>
      <c r="AW43" s="41"/>
      <c r="AX43" s="42" t="str">
        <f t="shared" si="39"/>
        <v/>
      </c>
      <c r="AY43" s="89"/>
      <c r="AZ43" s="208" t="str">
        <f t="shared" si="40"/>
        <v>No Quote</v>
      </c>
      <c r="BA43" s="209"/>
      <c r="BB43" s="87"/>
      <c r="BC43" s="93"/>
      <c r="BD43" s="63" t="str">
        <f t="shared" si="41"/>
        <v/>
      </c>
      <c r="BE43" s="92"/>
      <c r="BF43" s="92"/>
      <c r="BG43" s="77" t="str">
        <f t="shared" si="10"/>
        <v>-</v>
      </c>
      <c r="BH43" s="77" t="str">
        <f t="shared" si="11"/>
        <v>-</v>
      </c>
      <c r="BI43" s="77" t="str">
        <f t="shared" si="12"/>
        <v>-</v>
      </c>
      <c r="BJ43" s="77" t="str">
        <f t="shared" si="13"/>
        <v>-</v>
      </c>
      <c r="BK43" s="77" t="str">
        <f t="shared" si="14"/>
        <v>-</v>
      </c>
      <c r="BL43" s="77" t="str">
        <f t="shared" si="15"/>
        <v>-</v>
      </c>
      <c r="BM43" s="77" t="str">
        <f t="shared" si="16"/>
        <v>-</v>
      </c>
      <c r="BN43" s="77" t="str">
        <f t="shared" si="17"/>
        <v>-</v>
      </c>
      <c r="BO43" s="77" t="str">
        <f t="shared" si="18"/>
        <v>-</v>
      </c>
      <c r="BP43" s="78" t="str">
        <f t="shared" si="42"/>
        <v/>
      </c>
      <c r="BQ43" s="74" t="str">
        <f t="shared" si="19"/>
        <v/>
      </c>
      <c r="BR43" s="72" t="str">
        <f t="shared" si="43"/>
        <v/>
      </c>
      <c r="BS43" s="71" t="str">
        <f t="shared" si="44"/>
        <v/>
      </c>
      <c r="BT43" s="74" t="str">
        <f t="shared" si="20"/>
        <v/>
      </c>
      <c r="BU43" s="72" t="str">
        <f t="shared" si="45"/>
        <v/>
      </c>
      <c r="BV43" s="71" t="str">
        <f t="shared" si="46"/>
        <v/>
      </c>
      <c r="BW43" s="74" t="str">
        <f t="shared" si="21"/>
        <v/>
      </c>
      <c r="BY43" s="99">
        <f t="shared" si="22"/>
        <v>0</v>
      </c>
      <c r="BZ43" s="100" t="str" cm="1">
        <f t="array" ref="BZ43">IFERROR(INDEX(_xlfn.UNIQUE(_xlfn._xlws.FILTER($BQ$22:$BQ$49,($BQ$22:$BQ$49&lt;&gt;"")*($BQ$22:$BQ$49&lt;&gt;"-"))),ROWS($BZ$22:BZ43)),"")</f>
        <v/>
      </c>
    </row>
    <row r="44" spans="2:78" s="1" customFormat="1" ht="61.5" customHeight="1" outlineLevel="1" x14ac:dyDescent="0.25">
      <c r="B44" s="38">
        <f t="shared" si="47"/>
        <v>23</v>
      </c>
      <c r="C44" s="210"/>
      <c r="D44" s="210"/>
      <c r="E44" s="210"/>
      <c r="F44" s="210"/>
      <c r="G44" s="39"/>
      <c r="H44" s="40"/>
      <c r="I44" s="41"/>
      <c r="J44" s="42" t="str">
        <f t="shared" si="23"/>
        <v/>
      </c>
      <c r="K44" s="90"/>
      <c r="L44" s="206" t="str">
        <f t="shared" si="24"/>
        <v>No Quote</v>
      </c>
      <c r="M44" s="207"/>
      <c r="N44" s="41"/>
      <c r="O44" s="42" t="str">
        <f t="shared" si="25"/>
        <v/>
      </c>
      <c r="P44" s="90"/>
      <c r="Q44" s="206" t="str">
        <f t="shared" si="26"/>
        <v>No Quote</v>
      </c>
      <c r="R44" s="207"/>
      <c r="S44" s="41"/>
      <c r="T44" s="42" t="str">
        <f t="shared" si="27"/>
        <v/>
      </c>
      <c r="U44" s="89"/>
      <c r="V44" s="206" t="str">
        <f t="shared" si="28"/>
        <v>No Quote</v>
      </c>
      <c r="W44" s="207"/>
      <c r="X44" s="41"/>
      <c r="Y44" s="42" t="str">
        <f t="shared" si="29"/>
        <v/>
      </c>
      <c r="Z44" s="90"/>
      <c r="AA44" s="206" t="str">
        <f t="shared" si="30"/>
        <v>No Quote</v>
      </c>
      <c r="AB44" s="207"/>
      <c r="AC44" s="41"/>
      <c r="AD44" s="42" t="str">
        <f t="shared" si="31"/>
        <v/>
      </c>
      <c r="AE44" s="89"/>
      <c r="AF44" s="206" t="str">
        <f t="shared" si="32"/>
        <v>No Quote</v>
      </c>
      <c r="AG44" s="207"/>
      <c r="AH44" s="41"/>
      <c r="AI44" s="42" t="str">
        <f t="shared" si="33"/>
        <v/>
      </c>
      <c r="AJ44" s="89"/>
      <c r="AK44" s="206" t="str">
        <f t="shared" si="34"/>
        <v>No Quote</v>
      </c>
      <c r="AL44" s="207"/>
      <c r="AM44" s="41"/>
      <c r="AN44" s="42" t="str">
        <f t="shared" si="35"/>
        <v/>
      </c>
      <c r="AO44" s="43"/>
      <c r="AP44" s="206" t="str">
        <f t="shared" si="36"/>
        <v>No Quote</v>
      </c>
      <c r="AQ44" s="207"/>
      <c r="AR44" s="41"/>
      <c r="AS44" s="42" t="str">
        <f t="shared" si="37"/>
        <v/>
      </c>
      <c r="AT44" s="89"/>
      <c r="AU44" s="206" t="str">
        <f t="shared" si="38"/>
        <v>No Quote</v>
      </c>
      <c r="AV44" s="207"/>
      <c r="AW44" s="41"/>
      <c r="AX44" s="42" t="str">
        <f t="shared" si="39"/>
        <v/>
      </c>
      <c r="AY44" s="89"/>
      <c r="AZ44" s="208" t="str">
        <f t="shared" si="40"/>
        <v>No Quote</v>
      </c>
      <c r="BA44" s="209"/>
      <c r="BB44" s="87"/>
      <c r="BC44" s="93"/>
      <c r="BD44" s="63" t="str">
        <f t="shared" si="41"/>
        <v/>
      </c>
      <c r="BE44" s="92"/>
      <c r="BF44" s="92"/>
      <c r="BG44" s="77" t="str">
        <f t="shared" si="10"/>
        <v>-</v>
      </c>
      <c r="BH44" s="77" t="str">
        <f t="shared" si="11"/>
        <v>-</v>
      </c>
      <c r="BI44" s="77" t="str">
        <f t="shared" si="12"/>
        <v>-</v>
      </c>
      <c r="BJ44" s="77" t="str">
        <f t="shared" si="13"/>
        <v>-</v>
      </c>
      <c r="BK44" s="77" t="str">
        <f t="shared" si="14"/>
        <v>-</v>
      </c>
      <c r="BL44" s="77" t="str">
        <f t="shared" si="15"/>
        <v>-</v>
      </c>
      <c r="BM44" s="77" t="str">
        <f t="shared" si="16"/>
        <v>-</v>
      </c>
      <c r="BN44" s="77" t="str">
        <f t="shared" si="17"/>
        <v>-</v>
      </c>
      <c r="BO44" s="77" t="str">
        <f t="shared" si="18"/>
        <v>-</v>
      </c>
      <c r="BP44" s="78" t="str">
        <f t="shared" si="42"/>
        <v/>
      </c>
      <c r="BQ44" s="74" t="str">
        <f t="shared" si="19"/>
        <v/>
      </c>
      <c r="BR44" s="72" t="str">
        <f t="shared" si="43"/>
        <v/>
      </c>
      <c r="BS44" s="71" t="str">
        <f t="shared" si="44"/>
        <v/>
      </c>
      <c r="BT44" s="74" t="str">
        <f t="shared" si="20"/>
        <v/>
      </c>
      <c r="BU44" s="72" t="str">
        <f t="shared" si="45"/>
        <v/>
      </c>
      <c r="BV44" s="71" t="str">
        <f t="shared" si="46"/>
        <v/>
      </c>
      <c r="BW44" s="74" t="str">
        <f t="shared" si="21"/>
        <v/>
      </c>
      <c r="BY44" s="99">
        <f t="shared" si="22"/>
        <v>0</v>
      </c>
      <c r="BZ44" s="100" t="str" cm="1">
        <f t="array" ref="BZ44">IFERROR(INDEX(_xlfn.UNIQUE(_xlfn._xlws.FILTER($BQ$22:$BQ$49,($BQ$22:$BQ$49&lt;&gt;"")*($BQ$22:$BQ$49&lt;&gt;"-"))),ROWS($BZ$22:BZ44)),"")</f>
        <v/>
      </c>
    </row>
    <row r="45" spans="2:78" s="1" customFormat="1" ht="61.5" customHeight="1" outlineLevel="1" x14ac:dyDescent="0.25">
      <c r="B45" s="38">
        <f t="shared" si="47"/>
        <v>24</v>
      </c>
      <c r="C45" s="210"/>
      <c r="D45" s="210"/>
      <c r="E45" s="210"/>
      <c r="F45" s="210"/>
      <c r="G45" s="39"/>
      <c r="H45" s="40"/>
      <c r="I45" s="41"/>
      <c r="J45" s="42" t="str">
        <f t="shared" si="23"/>
        <v/>
      </c>
      <c r="K45" s="90"/>
      <c r="L45" s="206" t="str">
        <f t="shared" si="24"/>
        <v>No Quote</v>
      </c>
      <c r="M45" s="207"/>
      <c r="N45" s="41"/>
      <c r="O45" s="42" t="str">
        <f t="shared" si="25"/>
        <v/>
      </c>
      <c r="P45" s="90"/>
      <c r="Q45" s="206" t="str">
        <f t="shared" si="26"/>
        <v>No Quote</v>
      </c>
      <c r="R45" s="207"/>
      <c r="S45" s="41"/>
      <c r="T45" s="42" t="str">
        <f t="shared" si="27"/>
        <v/>
      </c>
      <c r="U45" s="89"/>
      <c r="V45" s="206" t="str">
        <f t="shared" si="28"/>
        <v>No Quote</v>
      </c>
      <c r="W45" s="207"/>
      <c r="X45" s="41"/>
      <c r="Y45" s="42" t="str">
        <f t="shared" si="29"/>
        <v/>
      </c>
      <c r="Z45" s="90"/>
      <c r="AA45" s="206" t="str">
        <f t="shared" si="30"/>
        <v>No Quote</v>
      </c>
      <c r="AB45" s="207"/>
      <c r="AC45" s="41"/>
      <c r="AD45" s="42" t="str">
        <f t="shared" si="31"/>
        <v/>
      </c>
      <c r="AE45" s="89"/>
      <c r="AF45" s="206" t="str">
        <f t="shared" si="32"/>
        <v>No Quote</v>
      </c>
      <c r="AG45" s="207"/>
      <c r="AH45" s="41"/>
      <c r="AI45" s="42" t="str">
        <f t="shared" si="33"/>
        <v/>
      </c>
      <c r="AJ45" s="89"/>
      <c r="AK45" s="206" t="str">
        <f t="shared" si="34"/>
        <v>No Quote</v>
      </c>
      <c r="AL45" s="207"/>
      <c r="AM45" s="41"/>
      <c r="AN45" s="42" t="str">
        <f t="shared" si="35"/>
        <v/>
      </c>
      <c r="AO45" s="43"/>
      <c r="AP45" s="206" t="str">
        <f t="shared" si="36"/>
        <v>No Quote</v>
      </c>
      <c r="AQ45" s="207"/>
      <c r="AR45" s="41"/>
      <c r="AS45" s="42" t="str">
        <f t="shared" si="37"/>
        <v/>
      </c>
      <c r="AT45" s="89"/>
      <c r="AU45" s="206" t="str">
        <f t="shared" si="38"/>
        <v>No Quote</v>
      </c>
      <c r="AV45" s="207"/>
      <c r="AW45" s="41"/>
      <c r="AX45" s="42" t="str">
        <f t="shared" si="39"/>
        <v/>
      </c>
      <c r="AY45" s="89"/>
      <c r="AZ45" s="208" t="str">
        <f t="shared" si="40"/>
        <v>No Quote</v>
      </c>
      <c r="BA45" s="209"/>
      <c r="BB45" s="87"/>
      <c r="BC45" s="93"/>
      <c r="BD45" s="63" t="str">
        <f t="shared" si="41"/>
        <v/>
      </c>
      <c r="BE45" s="92"/>
      <c r="BF45" s="92"/>
      <c r="BG45" s="77" t="str">
        <f t="shared" si="10"/>
        <v>-</v>
      </c>
      <c r="BH45" s="77" t="str">
        <f t="shared" si="11"/>
        <v>-</v>
      </c>
      <c r="BI45" s="77" t="str">
        <f t="shared" si="12"/>
        <v>-</v>
      </c>
      <c r="BJ45" s="77" t="str">
        <f t="shared" si="13"/>
        <v>-</v>
      </c>
      <c r="BK45" s="77" t="str">
        <f t="shared" si="14"/>
        <v>-</v>
      </c>
      <c r="BL45" s="77" t="str">
        <f t="shared" si="15"/>
        <v>-</v>
      </c>
      <c r="BM45" s="77" t="str">
        <f t="shared" si="16"/>
        <v>-</v>
      </c>
      <c r="BN45" s="77" t="str">
        <f t="shared" si="17"/>
        <v>-</v>
      </c>
      <c r="BO45" s="77" t="str">
        <f t="shared" si="18"/>
        <v>-</v>
      </c>
      <c r="BP45" s="78" t="str">
        <f t="shared" si="42"/>
        <v/>
      </c>
      <c r="BQ45" s="74" t="str">
        <f t="shared" si="19"/>
        <v/>
      </c>
      <c r="BR45" s="72" t="str">
        <f t="shared" si="43"/>
        <v/>
      </c>
      <c r="BS45" s="71" t="str">
        <f t="shared" si="44"/>
        <v/>
      </c>
      <c r="BT45" s="74" t="str">
        <f t="shared" si="20"/>
        <v/>
      </c>
      <c r="BU45" s="72" t="str">
        <f t="shared" si="45"/>
        <v/>
      </c>
      <c r="BV45" s="71" t="str">
        <f t="shared" si="46"/>
        <v/>
      </c>
      <c r="BW45" s="74" t="str">
        <f t="shared" si="21"/>
        <v/>
      </c>
      <c r="BY45" s="99">
        <f t="shared" si="22"/>
        <v>0</v>
      </c>
      <c r="BZ45" s="100" t="str" cm="1">
        <f t="array" ref="BZ45">IFERROR(INDEX(_xlfn.UNIQUE(_xlfn._xlws.FILTER($BQ$22:$BQ$49,($BQ$22:$BQ$49&lt;&gt;"")*($BQ$22:$BQ$49&lt;&gt;"-"))),ROWS($BZ$22:BZ45)),"")</f>
        <v/>
      </c>
    </row>
    <row r="46" spans="2:78" s="1" customFormat="1" ht="61.5" customHeight="1" outlineLevel="1" x14ac:dyDescent="0.25">
      <c r="B46" s="38">
        <f t="shared" si="47"/>
        <v>25</v>
      </c>
      <c r="C46" s="210"/>
      <c r="D46" s="210"/>
      <c r="E46" s="210"/>
      <c r="F46" s="210"/>
      <c r="G46" s="39"/>
      <c r="H46" s="40"/>
      <c r="I46" s="41"/>
      <c r="J46" s="42" t="str">
        <f t="shared" si="23"/>
        <v/>
      </c>
      <c r="K46" s="90"/>
      <c r="L46" s="206" t="str">
        <f t="shared" si="24"/>
        <v>No Quote</v>
      </c>
      <c r="M46" s="207"/>
      <c r="N46" s="41"/>
      <c r="O46" s="42" t="str">
        <f t="shared" si="25"/>
        <v/>
      </c>
      <c r="P46" s="90"/>
      <c r="Q46" s="206" t="str">
        <f t="shared" si="26"/>
        <v>No Quote</v>
      </c>
      <c r="R46" s="207"/>
      <c r="S46" s="41"/>
      <c r="T46" s="42" t="str">
        <f t="shared" si="27"/>
        <v/>
      </c>
      <c r="U46" s="89"/>
      <c r="V46" s="206" t="str">
        <f t="shared" si="28"/>
        <v>No Quote</v>
      </c>
      <c r="W46" s="207"/>
      <c r="X46" s="41"/>
      <c r="Y46" s="42" t="str">
        <f t="shared" si="29"/>
        <v/>
      </c>
      <c r="Z46" s="90"/>
      <c r="AA46" s="206" t="str">
        <f t="shared" si="30"/>
        <v>No Quote</v>
      </c>
      <c r="AB46" s="207"/>
      <c r="AC46" s="41"/>
      <c r="AD46" s="42" t="str">
        <f t="shared" si="31"/>
        <v/>
      </c>
      <c r="AE46" s="89"/>
      <c r="AF46" s="206" t="str">
        <f t="shared" si="32"/>
        <v>No Quote</v>
      </c>
      <c r="AG46" s="207"/>
      <c r="AH46" s="41"/>
      <c r="AI46" s="42" t="str">
        <f t="shared" si="33"/>
        <v/>
      </c>
      <c r="AJ46" s="89"/>
      <c r="AK46" s="206" t="str">
        <f t="shared" si="34"/>
        <v>No Quote</v>
      </c>
      <c r="AL46" s="207"/>
      <c r="AM46" s="41"/>
      <c r="AN46" s="42" t="str">
        <f t="shared" si="35"/>
        <v/>
      </c>
      <c r="AO46" s="43"/>
      <c r="AP46" s="206" t="str">
        <f t="shared" si="36"/>
        <v>No Quote</v>
      </c>
      <c r="AQ46" s="207"/>
      <c r="AR46" s="41"/>
      <c r="AS46" s="42" t="str">
        <f t="shared" si="37"/>
        <v/>
      </c>
      <c r="AT46" s="89"/>
      <c r="AU46" s="206" t="str">
        <f t="shared" si="38"/>
        <v>No Quote</v>
      </c>
      <c r="AV46" s="207"/>
      <c r="AW46" s="41"/>
      <c r="AX46" s="42" t="str">
        <f t="shared" si="39"/>
        <v/>
      </c>
      <c r="AY46" s="89"/>
      <c r="AZ46" s="208" t="str">
        <f t="shared" si="40"/>
        <v>No Quote</v>
      </c>
      <c r="BA46" s="209"/>
      <c r="BB46" s="87"/>
      <c r="BC46" s="93"/>
      <c r="BD46" s="63" t="str">
        <f t="shared" si="41"/>
        <v/>
      </c>
      <c r="BE46" s="92"/>
      <c r="BF46" s="92"/>
      <c r="BG46" s="77" t="str">
        <f t="shared" si="10"/>
        <v>-</v>
      </c>
      <c r="BH46" s="77" t="str">
        <f t="shared" si="11"/>
        <v>-</v>
      </c>
      <c r="BI46" s="77" t="str">
        <f t="shared" si="12"/>
        <v>-</v>
      </c>
      <c r="BJ46" s="77" t="str">
        <f t="shared" si="13"/>
        <v>-</v>
      </c>
      <c r="BK46" s="77" t="str">
        <f t="shared" si="14"/>
        <v>-</v>
      </c>
      <c r="BL46" s="77" t="str">
        <f t="shared" si="15"/>
        <v>-</v>
      </c>
      <c r="BM46" s="77" t="str">
        <f t="shared" si="16"/>
        <v>-</v>
      </c>
      <c r="BN46" s="77" t="str">
        <f t="shared" si="17"/>
        <v>-</v>
      </c>
      <c r="BO46" s="77" t="str">
        <f t="shared" si="18"/>
        <v>-</v>
      </c>
      <c r="BP46" s="78" t="str">
        <f t="shared" si="42"/>
        <v/>
      </c>
      <c r="BQ46" s="74" t="str">
        <f t="shared" si="19"/>
        <v/>
      </c>
      <c r="BR46" s="72" t="str">
        <f t="shared" si="43"/>
        <v/>
      </c>
      <c r="BS46" s="71" t="str">
        <f t="shared" si="44"/>
        <v/>
      </c>
      <c r="BT46" s="74" t="str">
        <f t="shared" si="20"/>
        <v/>
      </c>
      <c r="BU46" s="72" t="str">
        <f t="shared" si="45"/>
        <v/>
      </c>
      <c r="BV46" s="71" t="str">
        <f t="shared" si="46"/>
        <v/>
      </c>
      <c r="BW46" s="74" t="str">
        <f t="shared" si="21"/>
        <v/>
      </c>
      <c r="BY46" s="99">
        <f t="shared" si="22"/>
        <v>0</v>
      </c>
      <c r="BZ46" s="100" t="str" cm="1">
        <f t="array" ref="BZ46">IFERROR(INDEX(_xlfn.UNIQUE(_xlfn._xlws.FILTER($BQ$22:$BQ$49,($BQ$22:$BQ$49&lt;&gt;"")*($BQ$22:$BQ$49&lt;&gt;"-"))),ROWS($BZ$22:BZ46)),"")</f>
        <v/>
      </c>
    </row>
    <row r="47" spans="2:78" s="1" customFormat="1" ht="61.5" customHeight="1" outlineLevel="1" x14ac:dyDescent="0.25">
      <c r="B47" s="38">
        <f t="shared" si="47"/>
        <v>26</v>
      </c>
      <c r="C47" s="210"/>
      <c r="D47" s="210"/>
      <c r="E47" s="210"/>
      <c r="F47" s="210"/>
      <c r="G47" s="39"/>
      <c r="H47" s="40"/>
      <c r="I47" s="41"/>
      <c r="J47" s="42" t="str">
        <f t="shared" si="23"/>
        <v/>
      </c>
      <c r="K47" s="90"/>
      <c r="L47" s="206" t="str">
        <f t="shared" si="24"/>
        <v>No Quote</v>
      </c>
      <c r="M47" s="207"/>
      <c r="N47" s="41"/>
      <c r="O47" s="42" t="str">
        <f t="shared" si="25"/>
        <v/>
      </c>
      <c r="P47" s="90"/>
      <c r="Q47" s="206" t="str">
        <f t="shared" si="26"/>
        <v>No Quote</v>
      </c>
      <c r="R47" s="207"/>
      <c r="S47" s="41"/>
      <c r="T47" s="42" t="str">
        <f t="shared" si="27"/>
        <v/>
      </c>
      <c r="U47" s="89"/>
      <c r="V47" s="206" t="str">
        <f t="shared" si="28"/>
        <v>No Quote</v>
      </c>
      <c r="W47" s="207"/>
      <c r="X47" s="41"/>
      <c r="Y47" s="42" t="str">
        <f t="shared" si="29"/>
        <v/>
      </c>
      <c r="Z47" s="90"/>
      <c r="AA47" s="206" t="str">
        <f t="shared" si="30"/>
        <v>No Quote</v>
      </c>
      <c r="AB47" s="207"/>
      <c r="AC47" s="41"/>
      <c r="AD47" s="42" t="str">
        <f t="shared" si="31"/>
        <v/>
      </c>
      <c r="AE47" s="89"/>
      <c r="AF47" s="206" t="str">
        <f t="shared" si="32"/>
        <v>No Quote</v>
      </c>
      <c r="AG47" s="207"/>
      <c r="AH47" s="41"/>
      <c r="AI47" s="42" t="str">
        <f t="shared" si="33"/>
        <v/>
      </c>
      <c r="AJ47" s="89"/>
      <c r="AK47" s="206" t="str">
        <f t="shared" si="34"/>
        <v>No Quote</v>
      </c>
      <c r="AL47" s="207"/>
      <c r="AM47" s="41"/>
      <c r="AN47" s="42" t="str">
        <f t="shared" si="35"/>
        <v/>
      </c>
      <c r="AO47" s="43"/>
      <c r="AP47" s="206" t="str">
        <f t="shared" si="36"/>
        <v>No Quote</v>
      </c>
      <c r="AQ47" s="207"/>
      <c r="AR47" s="41"/>
      <c r="AS47" s="42" t="str">
        <f t="shared" si="37"/>
        <v/>
      </c>
      <c r="AT47" s="89"/>
      <c r="AU47" s="206" t="str">
        <f t="shared" si="38"/>
        <v>No Quote</v>
      </c>
      <c r="AV47" s="207"/>
      <c r="AW47" s="41"/>
      <c r="AX47" s="42" t="str">
        <f t="shared" si="39"/>
        <v/>
      </c>
      <c r="AY47" s="89"/>
      <c r="AZ47" s="208" t="str">
        <f t="shared" si="40"/>
        <v>No Quote</v>
      </c>
      <c r="BA47" s="209"/>
      <c r="BB47" s="87"/>
      <c r="BC47" s="93"/>
      <c r="BD47" s="63" t="str">
        <f t="shared" si="41"/>
        <v/>
      </c>
      <c r="BE47" s="92"/>
      <c r="BF47" s="92"/>
      <c r="BG47" s="77" t="str">
        <f t="shared" si="10"/>
        <v>-</v>
      </c>
      <c r="BH47" s="77" t="str">
        <f t="shared" si="11"/>
        <v>-</v>
      </c>
      <c r="BI47" s="77" t="str">
        <f t="shared" si="12"/>
        <v>-</v>
      </c>
      <c r="BJ47" s="77" t="str">
        <f t="shared" si="13"/>
        <v>-</v>
      </c>
      <c r="BK47" s="77" t="str">
        <f t="shared" si="14"/>
        <v>-</v>
      </c>
      <c r="BL47" s="77" t="str">
        <f t="shared" si="15"/>
        <v>-</v>
      </c>
      <c r="BM47" s="77" t="str">
        <f t="shared" si="16"/>
        <v>-</v>
      </c>
      <c r="BN47" s="77" t="str">
        <f t="shared" si="17"/>
        <v>-</v>
      </c>
      <c r="BO47" s="77" t="str">
        <f t="shared" si="18"/>
        <v>-</v>
      </c>
      <c r="BP47" s="78" t="str">
        <f t="shared" si="42"/>
        <v/>
      </c>
      <c r="BQ47" s="74" t="str">
        <f t="shared" si="19"/>
        <v/>
      </c>
      <c r="BR47" s="72" t="str">
        <f t="shared" si="43"/>
        <v/>
      </c>
      <c r="BS47" s="71" t="str">
        <f t="shared" si="44"/>
        <v/>
      </c>
      <c r="BT47" s="74" t="str">
        <f t="shared" si="20"/>
        <v/>
      </c>
      <c r="BU47" s="72" t="str">
        <f t="shared" si="45"/>
        <v/>
      </c>
      <c r="BV47" s="71" t="str">
        <f t="shared" si="46"/>
        <v/>
      </c>
      <c r="BW47" s="74" t="str">
        <f t="shared" si="21"/>
        <v/>
      </c>
      <c r="BY47" s="99">
        <f t="shared" si="22"/>
        <v>0</v>
      </c>
      <c r="BZ47" s="100" t="str" cm="1">
        <f t="array" ref="BZ47">IFERROR(INDEX(_xlfn.UNIQUE(_xlfn._xlws.FILTER($BQ$22:$BQ$49,($BQ$22:$BQ$49&lt;&gt;"")*($BQ$22:$BQ$49&lt;&gt;"-"))),ROWS($BZ$22:BZ47)),"")</f>
        <v/>
      </c>
    </row>
    <row r="48" spans="2:78" s="1" customFormat="1" ht="61.5" customHeight="1" outlineLevel="1" x14ac:dyDescent="0.25">
      <c r="B48" s="38">
        <f t="shared" si="47"/>
        <v>27</v>
      </c>
      <c r="C48" s="210"/>
      <c r="D48" s="210"/>
      <c r="E48" s="210"/>
      <c r="F48" s="210"/>
      <c r="G48" s="39"/>
      <c r="H48" s="40"/>
      <c r="I48" s="41"/>
      <c r="J48" s="42" t="str">
        <f t="shared" si="23"/>
        <v/>
      </c>
      <c r="K48" s="90"/>
      <c r="L48" s="206" t="str">
        <f t="shared" si="24"/>
        <v>No Quote</v>
      </c>
      <c r="M48" s="207"/>
      <c r="N48" s="41"/>
      <c r="O48" s="42" t="str">
        <f t="shared" si="25"/>
        <v/>
      </c>
      <c r="P48" s="90"/>
      <c r="Q48" s="206" t="str">
        <f t="shared" si="26"/>
        <v>No Quote</v>
      </c>
      <c r="R48" s="207"/>
      <c r="S48" s="41"/>
      <c r="T48" s="42" t="str">
        <f t="shared" si="27"/>
        <v/>
      </c>
      <c r="U48" s="89"/>
      <c r="V48" s="206" t="str">
        <f t="shared" si="28"/>
        <v>No Quote</v>
      </c>
      <c r="W48" s="207"/>
      <c r="X48" s="41"/>
      <c r="Y48" s="42" t="str">
        <f t="shared" si="29"/>
        <v/>
      </c>
      <c r="Z48" s="90"/>
      <c r="AA48" s="206" t="str">
        <f t="shared" si="30"/>
        <v>No Quote</v>
      </c>
      <c r="AB48" s="207"/>
      <c r="AC48" s="41"/>
      <c r="AD48" s="42" t="str">
        <f t="shared" si="31"/>
        <v/>
      </c>
      <c r="AE48" s="89"/>
      <c r="AF48" s="206" t="str">
        <f t="shared" si="32"/>
        <v>No Quote</v>
      </c>
      <c r="AG48" s="207"/>
      <c r="AH48" s="41"/>
      <c r="AI48" s="42" t="str">
        <f t="shared" si="33"/>
        <v/>
      </c>
      <c r="AJ48" s="89"/>
      <c r="AK48" s="206" t="str">
        <f t="shared" si="34"/>
        <v>No Quote</v>
      </c>
      <c r="AL48" s="207"/>
      <c r="AM48" s="41"/>
      <c r="AN48" s="42" t="str">
        <f t="shared" si="35"/>
        <v/>
      </c>
      <c r="AO48" s="43"/>
      <c r="AP48" s="206" t="str">
        <f t="shared" si="36"/>
        <v>No Quote</v>
      </c>
      <c r="AQ48" s="207"/>
      <c r="AR48" s="41"/>
      <c r="AS48" s="42" t="str">
        <f t="shared" si="37"/>
        <v/>
      </c>
      <c r="AT48" s="89"/>
      <c r="AU48" s="206" t="str">
        <f t="shared" si="38"/>
        <v>No Quote</v>
      </c>
      <c r="AV48" s="207"/>
      <c r="AW48" s="41"/>
      <c r="AX48" s="42" t="str">
        <f t="shared" si="39"/>
        <v/>
      </c>
      <c r="AY48" s="89"/>
      <c r="AZ48" s="208" t="str">
        <f t="shared" si="40"/>
        <v>No Quote</v>
      </c>
      <c r="BA48" s="209"/>
      <c r="BB48" s="87"/>
      <c r="BC48" s="93"/>
      <c r="BD48" s="63" t="str">
        <f t="shared" si="41"/>
        <v/>
      </c>
      <c r="BE48" s="92"/>
      <c r="BF48" s="92"/>
      <c r="BG48" s="77" t="str">
        <f t="shared" si="10"/>
        <v>-</v>
      </c>
      <c r="BH48" s="77" t="str">
        <f t="shared" si="11"/>
        <v>-</v>
      </c>
      <c r="BI48" s="77" t="str">
        <f t="shared" si="12"/>
        <v>-</v>
      </c>
      <c r="BJ48" s="77" t="str">
        <f t="shared" si="13"/>
        <v>-</v>
      </c>
      <c r="BK48" s="77" t="str">
        <f t="shared" si="14"/>
        <v>-</v>
      </c>
      <c r="BL48" s="77" t="str">
        <f t="shared" si="15"/>
        <v>-</v>
      </c>
      <c r="BM48" s="77" t="str">
        <f t="shared" si="16"/>
        <v>-</v>
      </c>
      <c r="BN48" s="77" t="str">
        <f t="shared" si="17"/>
        <v>-</v>
      </c>
      <c r="BO48" s="77" t="str">
        <f t="shared" si="18"/>
        <v>-</v>
      </c>
      <c r="BP48" s="78" t="str">
        <f t="shared" si="42"/>
        <v/>
      </c>
      <c r="BQ48" s="74" t="str">
        <f t="shared" si="19"/>
        <v/>
      </c>
      <c r="BR48" s="72" t="str">
        <f t="shared" si="43"/>
        <v/>
      </c>
      <c r="BS48" s="71" t="str">
        <f t="shared" si="44"/>
        <v/>
      </c>
      <c r="BT48" s="74" t="str">
        <f t="shared" si="20"/>
        <v/>
      </c>
      <c r="BU48" s="72" t="str">
        <f t="shared" si="45"/>
        <v/>
      </c>
      <c r="BV48" s="71" t="str">
        <f t="shared" si="46"/>
        <v/>
      </c>
      <c r="BW48" s="74" t="str">
        <f t="shared" si="21"/>
        <v/>
      </c>
      <c r="BY48" s="99">
        <f t="shared" si="22"/>
        <v>0</v>
      </c>
      <c r="BZ48" s="100" t="str" cm="1">
        <f t="array" ref="BZ48">IFERROR(INDEX(_xlfn.UNIQUE(_xlfn._xlws.FILTER($BQ$22:$BQ$49,($BQ$22:$BQ$49&lt;&gt;"")*($BQ$22:$BQ$49&lt;&gt;"-"))),ROWS($BZ$22:BZ48)),"")</f>
        <v/>
      </c>
    </row>
    <row r="49" spans="2:78" s="1" customFormat="1" ht="61.5" customHeight="1" outlineLevel="1" x14ac:dyDescent="0.25">
      <c r="B49" s="38">
        <f t="shared" si="47"/>
        <v>28</v>
      </c>
      <c r="C49" s="210"/>
      <c r="D49" s="210"/>
      <c r="E49" s="210"/>
      <c r="F49" s="210"/>
      <c r="G49" s="39"/>
      <c r="H49" s="40"/>
      <c r="I49" s="41"/>
      <c r="J49" s="42" t="str">
        <f t="shared" si="23"/>
        <v/>
      </c>
      <c r="K49" s="90"/>
      <c r="L49" s="206" t="str">
        <f t="shared" si="24"/>
        <v>No Quote</v>
      </c>
      <c r="M49" s="207"/>
      <c r="N49" s="41"/>
      <c r="O49" s="42" t="str">
        <f t="shared" si="25"/>
        <v/>
      </c>
      <c r="P49" s="90"/>
      <c r="Q49" s="206" t="str">
        <f t="shared" si="26"/>
        <v>No Quote</v>
      </c>
      <c r="R49" s="207"/>
      <c r="S49" s="41"/>
      <c r="T49" s="42" t="str">
        <f t="shared" si="27"/>
        <v/>
      </c>
      <c r="U49" s="89"/>
      <c r="V49" s="206" t="str">
        <f t="shared" si="28"/>
        <v>No Quote</v>
      </c>
      <c r="W49" s="207"/>
      <c r="X49" s="41"/>
      <c r="Y49" s="42" t="str">
        <f t="shared" si="29"/>
        <v/>
      </c>
      <c r="Z49" s="90"/>
      <c r="AA49" s="206" t="str">
        <f t="shared" si="30"/>
        <v>No Quote</v>
      </c>
      <c r="AB49" s="207"/>
      <c r="AC49" s="41"/>
      <c r="AD49" s="42" t="str">
        <f t="shared" si="31"/>
        <v/>
      </c>
      <c r="AE49" s="89"/>
      <c r="AF49" s="206" t="str">
        <f t="shared" si="32"/>
        <v>No Quote</v>
      </c>
      <c r="AG49" s="207"/>
      <c r="AH49" s="41"/>
      <c r="AI49" s="42" t="str">
        <f t="shared" si="33"/>
        <v/>
      </c>
      <c r="AJ49" s="89"/>
      <c r="AK49" s="206" t="str">
        <f t="shared" si="34"/>
        <v>No Quote</v>
      </c>
      <c r="AL49" s="207"/>
      <c r="AM49" s="41"/>
      <c r="AN49" s="42" t="str">
        <f t="shared" si="35"/>
        <v/>
      </c>
      <c r="AO49" s="43"/>
      <c r="AP49" s="206" t="str">
        <f t="shared" si="36"/>
        <v>No Quote</v>
      </c>
      <c r="AQ49" s="207"/>
      <c r="AR49" s="41"/>
      <c r="AS49" s="42" t="str">
        <f t="shared" si="37"/>
        <v/>
      </c>
      <c r="AT49" s="89"/>
      <c r="AU49" s="206" t="str">
        <f t="shared" si="38"/>
        <v>No Quote</v>
      </c>
      <c r="AV49" s="207"/>
      <c r="AW49" s="41"/>
      <c r="AX49" s="42" t="str">
        <f t="shared" si="39"/>
        <v/>
      </c>
      <c r="AY49" s="89"/>
      <c r="AZ49" s="208" t="str">
        <f t="shared" si="40"/>
        <v>No Quote</v>
      </c>
      <c r="BA49" s="209"/>
      <c r="BB49" s="87"/>
      <c r="BC49" s="93"/>
      <c r="BD49" s="63" t="str">
        <f t="shared" si="41"/>
        <v/>
      </c>
      <c r="BE49" s="92"/>
      <c r="BF49" s="92"/>
      <c r="BG49" s="77" t="str">
        <f t="shared" si="10"/>
        <v>-</v>
      </c>
      <c r="BH49" s="77" t="str">
        <f t="shared" si="11"/>
        <v>-</v>
      </c>
      <c r="BI49" s="77" t="str">
        <f t="shared" si="12"/>
        <v>-</v>
      </c>
      <c r="BJ49" s="77" t="str">
        <f t="shared" si="13"/>
        <v>-</v>
      </c>
      <c r="BK49" s="77" t="str">
        <f t="shared" si="14"/>
        <v>-</v>
      </c>
      <c r="BL49" s="77" t="str">
        <f t="shared" si="15"/>
        <v>-</v>
      </c>
      <c r="BM49" s="77" t="str">
        <f t="shared" si="16"/>
        <v>-</v>
      </c>
      <c r="BN49" s="77" t="str">
        <f t="shared" si="17"/>
        <v>-</v>
      </c>
      <c r="BO49" s="77" t="str">
        <f t="shared" si="18"/>
        <v>-</v>
      </c>
      <c r="BP49" s="78" t="str">
        <f t="shared" si="42"/>
        <v/>
      </c>
      <c r="BQ49" s="74" t="str">
        <f t="shared" si="19"/>
        <v/>
      </c>
      <c r="BR49" s="72" t="str">
        <f t="shared" si="43"/>
        <v/>
      </c>
      <c r="BS49" s="71" t="str">
        <f t="shared" si="44"/>
        <v/>
      </c>
      <c r="BT49" s="74" t="str">
        <f t="shared" si="20"/>
        <v/>
      </c>
      <c r="BU49" s="72" t="str">
        <f t="shared" si="45"/>
        <v/>
      </c>
      <c r="BV49" s="71" t="str">
        <f t="shared" si="46"/>
        <v/>
      </c>
      <c r="BW49" s="74" t="str">
        <f t="shared" si="21"/>
        <v/>
      </c>
      <c r="BY49" s="99">
        <f t="shared" si="22"/>
        <v>0</v>
      </c>
      <c r="BZ49" s="100" t="str" cm="1">
        <f t="array" ref="BZ49">IFERROR(INDEX(_xlfn.UNIQUE(_xlfn._xlws.FILTER($BQ$22:$BQ$49,($BQ$22:$BQ$49&lt;&gt;"")*($BQ$22:$BQ$49&lt;&gt;"-"))),ROWS($BZ$22:BZ49)),"")</f>
        <v/>
      </c>
    </row>
    <row r="50" spans="2:78" s="44" customFormat="1" ht="35.1" customHeight="1" x14ac:dyDescent="0.25">
      <c r="B50" s="222" t="s">
        <v>17</v>
      </c>
      <c r="C50" s="223"/>
      <c r="D50" s="223"/>
      <c r="E50" s="223"/>
      <c r="F50" s="223"/>
      <c r="G50" s="226" t="s">
        <v>35</v>
      </c>
      <c r="H50" s="183"/>
      <c r="I50" s="211">
        <f>SUMIF(K22:K49,"&lt;&gt;x",J22:J49)</f>
        <v>0</v>
      </c>
      <c r="J50" s="212"/>
      <c r="K50" s="212"/>
      <c r="L50" s="212"/>
      <c r="M50" s="213"/>
      <c r="N50" s="211">
        <f>SUMIF(P22:P49,"&lt;&gt;x",O22:O49)</f>
        <v>0</v>
      </c>
      <c r="O50" s="212"/>
      <c r="P50" s="212"/>
      <c r="Q50" s="212"/>
      <c r="R50" s="213"/>
      <c r="S50" s="211">
        <f>SUMIF(U22:U49,"&lt;&gt;x",T22:T49)</f>
        <v>0</v>
      </c>
      <c r="T50" s="212"/>
      <c r="U50" s="212"/>
      <c r="V50" s="212"/>
      <c r="W50" s="213"/>
      <c r="X50" s="211">
        <f>SUMIF(Z22:Z49,"&lt;&gt;x",Y22:Y49)</f>
        <v>0</v>
      </c>
      <c r="Y50" s="212"/>
      <c r="Z50" s="212"/>
      <c r="AA50" s="212"/>
      <c r="AB50" s="213"/>
      <c r="AC50" s="211">
        <f>SUMIF(AE22:AE49,"&lt;&gt;x",AD22:AD49)</f>
        <v>0</v>
      </c>
      <c r="AD50" s="212"/>
      <c r="AE50" s="212"/>
      <c r="AF50" s="212"/>
      <c r="AG50" s="213"/>
      <c r="AH50" s="211">
        <f>SUMIF(AJ22:AJ49,"&lt;&gt;x",AI22:AI49)</f>
        <v>0</v>
      </c>
      <c r="AI50" s="212"/>
      <c r="AJ50" s="212"/>
      <c r="AK50" s="212"/>
      <c r="AL50" s="213"/>
      <c r="AM50" s="211">
        <f>SUMIF(AO22:AO49,"&lt;&gt;x",AN22:AN49)</f>
        <v>0</v>
      </c>
      <c r="AN50" s="212"/>
      <c r="AO50" s="212"/>
      <c r="AP50" s="212"/>
      <c r="AQ50" s="213"/>
      <c r="AR50" s="211">
        <f>SUMIF(AT22:AT49,"&lt;&gt;x",AS22:AS49)</f>
        <v>0</v>
      </c>
      <c r="AS50" s="212"/>
      <c r="AT50" s="212"/>
      <c r="AU50" s="212"/>
      <c r="AV50" s="213"/>
      <c r="AW50" s="211">
        <f>SUMIF(AY22:AY49,"&lt;&gt;x",AX22:AX49)</f>
        <v>0</v>
      </c>
      <c r="AX50" s="212"/>
      <c r="AY50" s="212"/>
      <c r="AZ50" s="212"/>
      <c r="BA50" s="214"/>
      <c r="BG50" s="110">
        <f t="shared" ref="BG50:BO50" si="48">SUM(BG22:BG49)</f>
        <v>0</v>
      </c>
      <c r="BH50" s="110">
        <f t="shared" si="48"/>
        <v>0</v>
      </c>
      <c r="BI50" s="110">
        <f t="shared" si="48"/>
        <v>0</v>
      </c>
      <c r="BJ50" s="110">
        <f t="shared" si="48"/>
        <v>0</v>
      </c>
      <c r="BK50" s="110">
        <f t="shared" si="48"/>
        <v>0</v>
      </c>
      <c r="BL50" s="110">
        <f t="shared" si="48"/>
        <v>0</v>
      </c>
      <c r="BM50" s="110">
        <f t="shared" si="48"/>
        <v>0</v>
      </c>
      <c r="BN50" s="110">
        <f t="shared" si="48"/>
        <v>0</v>
      </c>
      <c r="BO50" s="110">
        <f t="shared" si="48"/>
        <v>0</v>
      </c>
      <c r="BP50" s="78" t="str">
        <f t="shared" si="42"/>
        <v/>
      </c>
      <c r="BQ50" s="74" t="str">
        <f t="shared" ref="BQ50" si="49">IF(BP50=BG50,$BG$19,IF(BP50=BH50,$BH$19,IF(BP50=BI50,$BI$19,IF(BP50=BJ50,$BJ$19,IF(BP50=BK50,$BK$19,IF(BP50=BL50,$BL$19,IF(BP50=BM50,$BM$19,IF(BP50=BN50,$BN$19,IF(BP50=BO50,$BO$19,"")))))))))</f>
        <v/>
      </c>
      <c r="BR50" s="72">
        <f t="shared" si="43"/>
        <v>0</v>
      </c>
      <c r="BS50" s="71" t="str">
        <f t="shared" si="44"/>
        <v/>
      </c>
      <c r="BT50" s="74">
        <f t="shared" ref="BT50" si="50">IFERROR(IF(BR50="","",IF(BR50=BG50,$BG$19,IF(BR50=BH50,$BH$19,IF(BR50=BI50,$BI$19,IF(BR50=BJ50,$BJ$19,IF(BR50=BK50,$BK$19,IF(BR50=BL50,$BL$19,IF(BR50=BM50,$BM$19,IF(BR50=BN50,$BN$19,IF(BR50=BO50,$BO$19,"")))))))))),"")</f>
        <v>0</v>
      </c>
      <c r="BU50" s="72">
        <f t="shared" si="45"/>
        <v>0</v>
      </c>
      <c r="BV50" s="71" t="str">
        <f t="shared" ref="BV50" si="51">IFERROR(IF((BU50-$BP50)/$BP50&lt;0%,"",(BU50-$BP50)/$BP50),"")</f>
        <v/>
      </c>
      <c r="BW50" s="74">
        <f t="shared" ref="BW50" si="52">IFERROR(IF(BU50="","",IF(BG50=BU50,$BG$19,IF(BH50=BU50,$BH$19,IF(BI50=BU50,$BI$19,IF(BJ50=BU50,$BJ$19,IF(BK50=BU50,$BK$19,IF(BL50=BU50,$BL$19,IF(BM50=BU50,$BM$19,IF(BN50=BU50,$BN$19,IF(BO50=BU50,$BO$19)))))))))),"")</f>
        <v>0</v>
      </c>
      <c r="BZ50" s="101"/>
    </row>
    <row r="51" spans="2:78" s="44" customFormat="1" ht="35.1" customHeight="1" outlineLevel="1" x14ac:dyDescent="0.25">
      <c r="B51" s="224"/>
      <c r="C51" s="225"/>
      <c r="D51" s="225"/>
      <c r="E51" s="225"/>
      <c r="F51" s="225"/>
      <c r="G51" s="226" t="s">
        <v>36</v>
      </c>
      <c r="H51" s="183"/>
      <c r="I51" s="211">
        <f>I50+(I50*11%)</f>
        <v>0</v>
      </c>
      <c r="J51" s="212"/>
      <c r="K51" s="212"/>
      <c r="L51" s="212"/>
      <c r="M51" s="213"/>
      <c r="N51" s="211">
        <f>N50+(N50*11%)</f>
        <v>0</v>
      </c>
      <c r="O51" s="212"/>
      <c r="P51" s="212"/>
      <c r="Q51" s="212"/>
      <c r="R51" s="213"/>
      <c r="S51" s="211">
        <f>S50+(S50*11%)</f>
        <v>0</v>
      </c>
      <c r="T51" s="212"/>
      <c r="U51" s="212"/>
      <c r="V51" s="212"/>
      <c r="W51" s="213"/>
      <c r="X51" s="211">
        <f>X50+(X50*11%)</f>
        <v>0</v>
      </c>
      <c r="Y51" s="212"/>
      <c r="Z51" s="212"/>
      <c r="AA51" s="212"/>
      <c r="AB51" s="213"/>
      <c r="AC51" s="211">
        <f>AC50+(AC50*11%)</f>
        <v>0</v>
      </c>
      <c r="AD51" s="212"/>
      <c r="AE51" s="212"/>
      <c r="AF51" s="212"/>
      <c r="AG51" s="213"/>
      <c r="AH51" s="211">
        <f>AH50+(AH50*11%)</f>
        <v>0</v>
      </c>
      <c r="AI51" s="212"/>
      <c r="AJ51" s="212"/>
      <c r="AK51" s="212"/>
      <c r="AL51" s="213"/>
      <c r="AM51" s="211">
        <f>AM50+(AM50*11%)</f>
        <v>0</v>
      </c>
      <c r="AN51" s="212"/>
      <c r="AO51" s="212"/>
      <c r="AP51" s="212"/>
      <c r="AQ51" s="213"/>
      <c r="AR51" s="211">
        <f>AR50+(AR50*11%)</f>
        <v>0</v>
      </c>
      <c r="AS51" s="212"/>
      <c r="AT51" s="212"/>
      <c r="AU51" s="212"/>
      <c r="AV51" s="213"/>
      <c r="AW51" s="211">
        <f>AW50+(AW50*11%)</f>
        <v>0</v>
      </c>
      <c r="AX51" s="212"/>
      <c r="AY51" s="212"/>
      <c r="AZ51" s="212"/>
      <c r="BA51" s="214"/>
      <c r="BG51" s="11" t="str">
        <f t="shared" ref="BG51:BO51" si="53">IF(COUNTIF(BG22:BG49,"-")&gt;0,"No Full Item","Full Item")</f>
        <v>No Full Item</v>
      </c>
      <c r="BH51" s="11" t="str">
        <f t="shared" si="53"/>
        <v>No Full Item</v>
      </c>
      <c r="BI51" s="11" t="str">
        <f t="shared" si="53"/>
        <v>No Full Item</v>
      </c>
      <c r="BJ51" s="11" t="str">
        <f t="shared" si="53"/>
        <v>No Full Item</v>
      </c>
      <c r="BK51" s="11" t="str">
        <f t="shared" si="53"/>
        <v>No Full Item</v>
      </c>
      <c r="BL51" s="11" t="str">
        <f t="shared" si="53"/>
        <v>No Full Item</v>
      </c>
      <c r="BM51" s="11" t="str">
        <f t="shared" si="53"/>
        <v>No Full Item</v>
      </c>
      <c r="BN51" s="11" t="str">
        <f t="shared" si="53"/>
        <v>No Full Item</v>
      </c>
      <c r="BO51" s="11" t="str">
        <f t="shared" si="53"/>
        <v>No Full Item</v>
      </c>
      <c r="BP51" s="69"/>
      <c r="BQ51" s="75"/>
      <c r="BS51" s="68"/>
      <c r="BT51" s="75"/>
      <c r="BW51" s="75"/>
      <c r="BZ51" s="101"/>
    </row>
    <row r="52" spans="2:78" s="44" customFormat="1" ht="35.1" customHeight="1" x14ac:dyDescent="0.25">
      <c r="B52" s="224"/>
      <c r="C52" s="225"/>
      <c r="D52" s="225"/>
      <c r="E52" s="225"/>
      <c r="F52" s="225"/>
      <c r="G52" s="226" t="s">
        <v>37</v>
      </c>
      <c r="H52" s="183"/>
      <c r="I52" s="211"/>
      <c r="J52" s="212"/>
      <c r="K52" s="212"/>
      <c r="L52" s="212"/>
      <c r="M52" s="213"/>
      <c r="N52" s="211"/>
      <c r="O52" s="212"/>
      <c r="P52" s="212"/>
      <c r="Q52" s="212"/>
      <c r="R52" s="213"/>
      <c r="S52" s="211"/>
      <c r="T52" s="212"/>
      <c r="U52" s="212"/>
      <c r="V52" s="212"/>
      <c r="W52" s="213"/>
      <c r="X52" s="211"/>
      <c r="Y52" s="212"/>
      <c r="Z52" s="212"/>
      <c r="AA52" s="212"/>
      <c r="AB52" s="213"/>
      <c r="AC52" s="211"/>
      <c r="AD52" s="212"/>
      <c r="AE52" s="212"/>
      <c r="AF52" s="212"/>
      <c r="AG52" s="213"/>
      <c r="AH52" s="211"/>
      <c r="AI52" s="212"/>
      <c r="AJ52" s="212"/>
      <c r="AK52" s="212"/>
      <c r="AL52" s="213"/>
      <c r="AM52" s="211"/>
      <c r="AN52" s="212"/>
      <c r="AO52" s="212"/>
      <c r="AP52" s="212"/>
      <c r="AQ52" s="213"/>
      <c r="AR52" s="211"/>
      <c r="AS52" s="212"/>
      <c r="AT52" s="212"/>
      <c r="AU52" s="212"/>
      <c r="AV52" s="213"/>
      <c r="AW52" s="211"/>
      <c r="AX52" s="212"/>
      <c r="AY52" s="212"/>
      <c r="AZ52" s="212"/>
      <c r="BA52" s="214"/>
      <c r="BP52" s="69"/>
      <c r="BQ52" s="75"/>
      <c r="BS52" s="68"/>
      <c r="BT52" s="75"/>
      <c r="BW52" s="75"/>
      <c r="BZ52" s="101"/>
    </row>
    <row r="53" spans="2:78" s="1" customFormat="1" ht="80.25" customHeight="1" x14ac:dyDescent="0.25">
      <c r="B53" s="215" t="s">
        <v>38</v>
      </c>
      <c r="C53" s="216"/>
      <c r="D53" s="216"/>
      <c r="E53" s="216"/>
      <c r="F53" s="216"/>
      <c r="G53" s="216"/>
      <c r="H53" s="217"/>
      <c r="I53" s="218"/>
      <c r="J53" s="219"/>
      <c r="K53" s="219"/>
      <c r="L53" s="219"/>
      <c r="M53" s="220"/>
      <c r="N53" s="221"/>
      <c r="O53" s="219"/>
      <c r="P53" s="219"/>
      <c r="Q53" s="219"/>
      <c r="R53" s="220"/>
      <c r="S53" s="221"/>
      <c r="T53" s="219"/>
      <c r="U53" s="219"/>
      <c r="V53" s="219"/>
      <c r="W53" s="220"/>
      <c r="X53" s="221"/>
      <c r="Y53" s="219"/>
      <c r="Z53" s="219"/>
      <c r="AA53" s="219"/>
      <c r="AB53" s="220"/>
      <c r="AC53" s="221"/>
      <c r="AD53" s="219"/>
      <c r="AE53" s="219"/>
      <c r="AF53" s="219"/>
      <c r="AG53" s="220"/>
      <c r="AH53" s="221"/>
      <c r="AI53" s="219"/>
      <c r="AJ53" s="219"/>
      <c r="AK53" s="219"/>
      <c r="AL53" s="220"/>
      <c r="AM53" s="221"/>
      <c r="AN53" s="219"/>
      <c r="AO53" s="219"/>
      <c r="AP53" s="219"/>
      <c r="AQ53" s="220"/>
      <c r="AR53" s="221"/>
      <c r="AS53" s="219"/>
      <c r="AT53" s="219"/>
      <c r="AU53" s="219"/>
      <c r="AV53" s="220"/>
      <c r="AW53" s="221"/>
      <c r="AX53" s="219"/>
      <c r="AY53" s="219"/>
      <c r="AZ53" s="219"/>
      <c r="BA53" s="227"/>
      <c r="BP53" s="79"/>
      <c r="BQ53" s="70"/>
      <c r="BS53" s="65"/>
      <c r="BT53" s="70"/>
      <c r="BW53" s="70"/>
      <c r="BZ53" s="3"/>
    </row>
    <row r="54" spans="2:78" s="1" customFormat="1" ht="115.5" customHeight="1" x14ac:dyDescent="0.25">
      <c r="B54" s="228"/>
      <c r="C54" s="229"/>
      <c r="D54" s="229"/>
      <c r="E54" s="229"/>
      <c r="F54" s="229"/>
      <c r="G54" s="229"/>
      <c r="H54" s="229"/>
      <c r="I54" s="230" t="s">
        <v>39</v>
      </c>
      <c r="J54" s="231"/>
      <c r="K54" s="231"/>
      <c r="L54" s="231"/>
      <c r="M54" s="232"/>
      <c r="N54" s="230" t="s">
        <v>39</v>
      </c>
      <c r="O54" s="231"/>
      <c r="P54" s="231"/>
      <c r="Q54" s="231"/>
      <c r="R54" s="232"/>
      <c r="S54" s="230" t="s">
        <v>39</v>
      </c>
      <c r="T54" s="231"/>
      <c r="U54" s="231"/>
      <c r="V54" s="231"/>
      <c r="W54" s="232"/>
      <c r="X54" s="230" t="s">
        <v>39</v>
      </c>
      <c r="Y54" s="231"/>
      <c r="Z54" s="231"/>
      <c r="AA54" s="231"/>
      <c r="AB54" s="232"/>
      <c r="AC54" s="230" t="s">
        <v>39</v>
      </c>
      <c r="AD54" s="231"/>
      <c r="AE54" s="231"/>
      <c r="AF54" s="231"/>
      <c r="AG54" s="232"/>
      <c r="AH54" s="230" t="s">
        <v>39</v>
      </c>
      <c r="AI54" s="231"/>
      <c r="AJ54" s="231"/>
      <c r="AK54" s="231"/>
      <c r="AL54" s="232"/>
      <c r="AM54" s="230" t="s">
        <v>39</v>
      </c>
      <c r="AN54" s="231"/>
      <c r="AO54" s="231"/>
      <c r="AP54" s="231"/>
      <c r="AQ54" s="232"/>
      <c r="AR54" s="230" t="s">
        <v>39</v>
      </c>
      <c r="AS54" s="231"/>
      <c r="AT54" s="231"/>
      <c r="AU54" s="231"/>
      <c r="AV54" s="232"/>
      <c r="AW54" s="246" t="s">
        <v>39</v>
      </c>
      <c r="AX54" s="247"/>
      <c r="AY54" s="247"/>
      <c r="AZ54" s="247"/>
      <c r="BA54" s="248"/>
      <c r="BP54" s="79"/>
      <c r="BQ54" s="70"/>
      <c r="BS54" s="65"/>
      <c r="BT54" s="70"/>
      <c r="BW54" s="70"/>
      <c r="BZ54" s="3"/>
    </row>
    <row r="55" spans="2:78" s="47" customFormat="1" ht="15" customHeight="1" x14ac:dyDescent="0.25">
      <c r="B55" s="249" t="s">
        <v>40</v>
      </c>
      <c r="C55" s="250"/>
      <c r="D55" s="250"/>
      <c r="E55" s="250"/>
      <c r="F55" s="250"/>
      <c r="G55" s="250"/>
      <c r="H55" s="251"/>
      <c r="I55" s="252" t="s">
        <v>41</v>
      </c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288"/>
      <c r="AM55" s="252" t="s">
        <v>51</v>
      </c>
      <c r="AN55" s="253"/>
      <c r="AO55" s="253"/>
      <c r="AP55" s="253"/>
      <c r="AQ55" s="253"/>
      <c r="AR55" s="266" t="s">
        <v>42</v>
      </c>
      <c r="AS55" s="267"/>
      <c r="AT55" s="267"/>
      <c r="AU55" s="267"/>
      <c r="AV55" s="267"/>
      <c r="AW55" s="267"/>
      <c r="AX55" s="267"/>
      <c r="AY55" s="267"/>
      <c r="AZ55" s="267"/>
      <c r="BA55" s="268"/>
      <c r="BP55" s="81"/>
      <c r="BQ55" s="70"/>
      <c r="BR55" s="1"/>
      <c r="BS55" s="65"/>
      <c r="BT55" s="70"/>
      <c r="BW55" s="70"/>
      <c r="BZ55" s="102"/>
    </row>
    <row r="56" spans="2:78" s="1" customFormat="1" ht="90" customHeight="1" x14ac:dyDescent="0.25">
      <c r="B56" s="258"/>
      <c r="C56" s="259"/>
      <c r="D56" s="259"/>
      <c r="E56" s="259"/>
      <c r="F56" s="259"/>
      <c r="G56" s="259"/>
      <c r="H56" s="260"/>
      <c r="I56" s="179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289"/>
      <c r="AM56" s="179"/>
      <c r="AN56" s="180"/>
      <c r="AO56" s="180"/>
      <c r="AP56" s="180"/>
      <c r="AQ56" s="180"/>
      <c r="AR56" s="179"/>
      <c r="AS56" s="180"/>
      <c r="AT56" s="180"/>
      <c r="AU56" s="180"/>
      <c r="AV56" s="180"/>
      <c r="AW56" s="180"/>
      <c r="AX56" s="180"/>
      <c r="AY56" s="180"/>
      <c r="AZ56" s="180"/>
      <c r="BA56" s="245"/>
      <c r="BP56" s="79"/>
      <c r="BQ56" s="70"/>
      <c r="BS56" s="65"/>
      <c r="BT56" s="70"/>
      <c r="BW56" s="70"/>
      <c r="BZ56" s="3"/>
    </row>
    <row r="57" spans="2:78" s="1" customFormat="1" ht="13.5" x14ac:dyDescent="0.25">
      <c r="B57" s="233" t="s">
        <v>47</v>
      </c>
      <c r="C57" s="234"/>
      <c r="D57" s="234"/>
      <c r="E57" s="234"/>
      <c r="F57" s="234"/>
      <c r="G57" s="234"/>
      <c r="H57" s="235"/>
      <c r="I57" s="236" t="s">
        <v>43</v>
      </c>
      <c r="J57" s="237"/>
      <c r="K57" s="237"/>
      <c r="L57" s="237"/>
      <c r="M57" s="237"/>
      <c r="N57" s="237" t="s">
        <v>52</v>
      </c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/>
      <c r="AH57" s="237" t="s">
        <v>45</v>
      </c>
      <c r="AI57" s="237"/>
      <c r="AJ57" s="237"/>
      <c r="AK57" s="237"/>
      <c r="AL57" s="287"/>
      <c r="AM57" s="261" t="s">
        <v>48</v>
      </c>
      <c r="AN57" s="262"/>
      <c r="AO57" s="262"/>
      <c r="AP57" s="262"/>
      <c r="AQ57" s="262"/>
      <c r="AR57" s="236" t="str">
        <f>IF(OR($I$50&lt;200000000,$N$50&lt;200000000,$S$50&lt;200000000,$X$50&lt;200000000,$AC$50&lt;200000000,$AH$50&lt;200000000,$AM$50&lt;200000000,$AR$50&lt;200000000,$AW$50&lt;200000000),"Mochammad Rusfandy","Mochammad Rusfandy")</f>
        <v>Mochammad Rusfandy</v>
      </c>
      <c r="AS57" s="237"/>
      <c r="AT57" s="237"/>
      <c r="AU57" s="237"/>
      <c r="AV57" s="237"/>
      <c r="AW57" s="237" t="str">
        <f>IF(OR($I$50="",$N$50="",$S$50="",$X$50="",$AC$50="",$AH$50="",$AM$50="",$AR$50="",$AW$50=""),"",IF(OR($I$50&gt;50000000,$N$50&gt;200000000,$S$50&gt;200000000,$X$50&gt;200000000,$AC$50&gt;200000000,$AH$50&gt;200000000,$AM$50&gt;200000000,$AR$50&gt;200000000,$AW$50&gt;200000000),"Heri Gunawan",""))</f>
        <v/>
      </c>
      <c r="AX57" s="237"/>
      <c r="AY57" s="237"/>
      <c r="AZ57" s="237"/>
      <c r="BA57" s="254"/>
      <c r="BP57" s="79"/>
      <c r="BQ57" s="70"/>
      <c r="BS57" s="65"/>
      <c r="BT57" s="70"/>
      <c r="BW57" s="70"/>
      <c r="BZ57" s="3"/>
    </row>
    <row r="58" spans="2:78" s="1" customFormat="1" ht="13.5" x14ac:dyDescent="0.25">
      <c r="B58" s="48" t="s">
        <v>46</v>
      </c>
      <c r="C58" s="49"/>
      <c r="D58" s="255">
        <f ca="1">AX8</f>
        <v>46314</v>
      </c>
      <c r="E58" s="255"/>
      <c r="F58" s="255"/>
      <c r="G58" s="255"/>
      <c r="H58" s="256"/>
      <c r="I58" s="242" t="str">
        <f>IF(I57="","","Date:")</f>
        <v>Date:</v>
      </c>
      <c r="J58" s="242"/>
      <c r="K58" s="242"/>
      <c r="L58" s="242"/>
      <c r="M58" s="242"/>
      <c r="N58" s="242" t="str">
        <f>IF(N57="","","Date:")</f>
        <v>Date:</v>
      </c>
      <c r="O58" s="242"/>
      <c r="P58" s="242"/>
      <c r="Q58" s="242"/>
      <c r="R58" s="242"/>
      <c r="S58" s="242"/>
      <c r="T58" s="242"/>
      <c r="U58" s="242"/>
      <c r="V58" s="242"/>
      <c r="W58" s="242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242" t="str">
        <f>IF(AH57="","","Date:")</f>
        <v>Date:</v>
      </c>
      <c r="AI58" s="242"/>
      <c r="AJ58" s="242"/>
      <c r="AK58" s="242"/>
      <c r="AL58" s="286"/>
      <c r="AM58" s="263" t="s">
        <v>49</v>
      </c>
      <c r="AN58" s="264"/>
      <c r="AO58" s="264"/>
      <c r="AP58" s="264"/>
      <c r="AQ58" s="264"/>
      <c r="AR58" s="241" t="str">
        <f>IF(AR57="","","Date:")</f>
        <v>Date:</v>
      </c>
      <c r="AS58" s="242"/>
      <c r="AT58" s="242"/>
      <c r="AU58" s="242"/>
      <c r="AV58" s="242"/>
      <c r="AW58" s="242" t="str">
        <f>IF(AW57="","","Date:")</f>
        <v/>
      </c>
      <c r="AX58" s="242"/>
      <c r="AY58" s="242"/>
      <c r="AZ58" s="242"/>
      <c r="BA58" s="243"/>
      <c r="BP58" s="79"/>
      <c r="BQ58" s="70"/>
      <c r="BS58" s="65"/>
      <c r="BT58" s="70"/>
      <c r="BW58" s="70"/>
      <c r="BZ58" s="3"/>
    </row>
    <row r="59" spans="2:78" s="1" customFormat="1" ht="15.75" customHeight="1" thickBot="1" x14ac:dyDescent="0.3">
      <c r="B59" s="283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  <c r="AK59" s="284"/>
      <c r="AL59" s="284"/>
      <c r="AM59" s="284"/>
      <c r="AN59" s="284"/>
      <c r="AO59" s="284"/>
      <c r="AP59" s="284"/>
      <c r="AQ59" s="284"/>
      <c r="AR59" s="284"/>
      <c r="AS59" s="284"/>
      <c r="AT59" s="284"/>
      <c r="AU59" s="284"/>
      <c r="AV59" s="284"/>
      <c r="AW59" s="284"/>
      <c r="AX59" s="284"/>
      <c r="AY59" s="284"/>
      <c r="AZ59" s="284"/>
      <c r="BA59" s="285"/>
      <c r="BP59" s="79"/>
      <c r="BQ59" s="70"/>
      <c r="BS59" s="65"/>
      <c r="BT59" s="70"/>
      <c r="BW59" s="70"/>
      <c r="BZ59" s="3"/>
    </row>
    <row r="60" spans="2:78" ht="17.25" hidden="1" thickTop="1" x14ac:dyDescent="0.25">
      <c r="L60" s="55"/>
      <c r="M60" s="55"/>
    </row>
    <row r="61" spans="2:78" ht="17.25" hidden="1" thickTop="1" x14ac:dyDescent="0.25">
      <c r="L61" s="55"/>
      <c r="M61" s="55"/>
    </row>
    <row r="62" spans="2:78" ht="17.25" hidden="1" thickTop="1" x14ac:dyDescent="0.25">
      <c r="J62" s="265"/>
      <c r="K62" s="244"/>
      <c r="L62" s="244"/>
      <c r="M62" s="244"/>
    </row>
    <row r="63" spans="2:78" ht="17.25" hidden="1" thickTop="1" x14ac:dyDescent="0.25">
      <c r="J63" s="265"/>
      <c r="K63" s="244"/>
      <c r="L63" s="244"/>
      <c r="M63" s="244"/>
    </row>
    <row r="64" spans="2:78" ht="17.25" hidden="1" thickTop="1" x14ac:dyDescent="0.25">
      <c r="J64" s="265"/>
      <c r="K64" s="244"/>
      <c r="L64" s="244"/>
      <c r="M64" s="244"/>
    </row>
    <row r="65" spans="4:16" ht="17.25" hidden="1" thickTop="1" x14ac:dyDescent="0.25">
      <c r="J65" s="265"/>
      <c r="K65" s="244"/>
      <c r="L65" s="244"/>
      <c r="M65" s="244"/>
      <c r="N65" s="265"/>
      <c r="O65" s="244"/>
      <c r="P65" s="244"/>
    </row>
    <row r="66" spans="4:16" ht="17.25" hidden="1" thickTop="1" x14ac:dyDescent="0.25">
      <c r="J66" s="265"/>
      <c r="K66" s="244"/>
      <c r="L66" s="244"/>
      <c r="M66" s="244"/>
    </row>
    <row r="67" spans="4:16" ht="17.25" hidden="1" thickTop="1" x14ac:dyDescent="0.25">
      <c r="J67" s="244"/>
      <c r="K67" s="244"/>
      <c r="L67" s="244"/>
      <c r="M67" s="244"/>
    </row>
    <row r="68" spans="4:16" ht="17.25" hidden="1" thickTop="1" x14ac:dyDescent="0.25">
      <c r="L68" s="55"/>
      <c r="M68" s="55"/>
    </row>
    <row r="69" spans="4:16" ht="17.25" hidden="1" thickTop="1" x14ac:dyDescent="0.25">
      <c r="L69" s="239"/>
      <c r="M69" s="239"/>
    </row>
    <row r="70" spans="4:16" ht="17.25" hidden="1" thickTop="1" x14ac:dyDescent="0.25"/>
    <row r="71" spans="4:16" ht="17.25" hidden="1" thickTop="1" x14ac:dyDescent="0.25"/>
    <row r="72" spans="4:16" ht="17.25" hidden="1" thickTop="1" x14ac:dyDescent="0.25">
      <c r="D72" s="56"/>
      <c r="E72" s="56"/>
      <c r="F72" s="56"/>
      <c r="G72" s="56"/>
      <c r="H72" s="56"/>
      <c r="I72" s="56"/>
    </row>
    <row r="73" spans="4:16" ht="17.25" hidden="1" thickTop="1" x14ac:dyDescent="0.25">
      <c r="D73" s="56"/>
      <c r="E73" s="56"/>
      <c r="F73" s="56"/>
      <c r="G73" s="56"/>
      <c r="H73" s="56"/>
      <c r="I73" s="56"/>
    </row>
    <row r="74" spans="4:16" ht="17.25" hidden="1" thickTop="1" x14ac:dyDescent="0.25">
      <c r="D74" s="56"/>
      <c r="E74" s="56"/>
      <c r="F74" s="56"/>
      <c r="G74" s="56"/>
      <c r="H74" s="56"/>
      <c r="I74" s="56"/>
    </row>
    <row r="75" spans="4:16" ht="17.25" hidden="1" thickTop="1" x14ac:dyDescent="0.25">
      <c r="D75" s="56"/>
      <c r="E75" s="56"/>
      <c r="F75" s="56"/>
      <c r="G75" s="56"/>
      <c r="H75" s="56"/>
      <c r="I75" s="56"/>
    </row>
    <row r="76" spans="4:16" ht="17.25" hidden="1" thickTop="1" x14ac:dyDescent="0.25">
      <c r="D76" s="56"/>
      <c r="E76" s="56"/>
      <c r="F76" s="57"/>
      <c r="G76" s="56"/>
      <c r="H76" s="56"/>
      <c r="I76" s="56"/>
    </row>
    <row r="77" spans="4:16" ht="15" hidden="1" customHeight="1" x14ac:dyDescent="0.25">
      <c r="D77" s="56"/>
      <c r="E77" s="56"/>
      <c r="F77" s="240"/>
      <c r="G77" s="240"/>
      <c r="H77" s="240"/>
      <c r="I77" s="56"/>
    </row>
    <row r="78" spans="4:16" ht="15" hidden="1" customHeight="1" x14ac:dyDescent="0.25">
      <c r="D78" s="56"/>
      <c r="E78" s="56"/>
      <c r="F78" s="240"/>
      <c r="G78" s="240"/>
      <c r="H78" s="240"/>
      <c r="I78" s="58"/>
      <c r="J78" s="59"/>
    </row>
    <row r="79" spans="4:16" ht="17.25" hidden="1" thickTop="1" x14ac:dyDescent="0.25">
      <c r="D79" s="56"/>
      <c r="E79" s="56"/>
      <c r="F79" s="56"/>
      <c r="G79" s="56"/>
      <c r="H79" s="56"/>
      <c r="I79" s="56"/>
    </row>
    <row r="80" spans="4:16" ht="17.25" hidden="1" thickTop="1" x14ac:dyDescent="0.25">
      <c r="D80" s="56"/>
      <c r="E80" s="56"/>
      <c r="F80" s="56"/>
      <c r="G80" s="56"/>
      <c r="H80" s="56"/>
      <c r="I80" s="56"/>
    </row>
    <row r="81" spans="4:9" ht="17.25" hidden="1" thickTop="1" x14ac:dyDescent="0.25">
      <c r="D81" s="56"/>
      <c r="E81" s="56"/>
      <c r="F81" s="56"/>
      <c r="G81" s="56"/>
      <c r="H81" s="56"/>
      <c r="I81" s="60"/>
    </row>
    <row r="82" spans="4:9" ht="17.25" hidden="1" thickTop="1" x14ac:dyDescent="0.25">
      <c r="D82" s="56"/>
      <c r="E82" s="56"/>
      <c r="F82" s="56"/>
      <c r="G82" s="56"/>
      <c r="H82" s="56"/>
      <c r="I82" s="56"/>
    </row>
    <row r="83" spans="4:9" ht="17.25" thickTop="1" x14ac:dyDescent="0.25"/>
    <row r="84" spans="4:9" x14ac:dyDescent="0.25"/>
  </sheetData>
  <mergeCells count="515">
    <mergeCell ref="B12:F12"/>
    <mergeCell ref="G12:H13"/>
    <mergeCell ref="I12:M13"/>
    <mergeCell ref="N12:R13"/>
    <mergeCell ref="S12:W13"/>
    <mergeCell ref="AH12:AL13"/>
    <mergeCell ref="AM12:AQ13"/>
    <mergeCell ref="AR12:AV13"/>
    <mergeCell ref="B13:F15"/>
    <mergeCell ref="G14:H14"/>
    <mergeCell ref="I14:M14"/>
    <mergeCell ref="N14:R14"/>
    <mergeCell ref="S14:W14"/>
    <mergeCell ref="AH14:AL14"/>
    <mergeCell ref="AM14:AQ14"/>
    <mergeCell ref="AR14:AV14"/>
    <mergeCell ref="G15:H15"/>
    <mergeCell ref="T11:W11"/>
    <mergeCell ref="AI11:AL11"/>
    <mergeCell ref="AC15:AG15"/>
    <mergeCell ref="Y11:AB11"/>
    <mergeCell ref="AD11:AG11"/>
    <mergeCell ref="X12:AB13"/>
    <mergeCell ref="AC12:AG13"/>
    <mergeCell ref="BY20:BZ20"/>
    <mergeCell ref="BY21:BZ21"/>
    <mergeCell ref="BU21:BW21"/>
    <mergeCell ref="AN11:AQ11"/>
    <mergeCell ref="AS11:AV11"/>
    <mergeCell ref="AX11:BA11"/>
    <mergeCell ref="BR21:BT21"/>
    <mergeCell ref="AW14:BA14"/>
    <mergeCell ref="AW15:BA15"/>
    <mergeCell ref="AR15:AV15"/>
    <mergeCell ref="S15:W15"/>
    <mergeCell ref="AM15:AQ15"/>
    <mergeCell ref="BP18:BP21"/>
    <mergeCell ref="BJ19:BJ21"/>
    <mergeCell ref="BK19:BK21"/>
    <mergeCell ref="BH19:BH21"/>
    <mergeCell ref="BI19:BI21"/>
    <mergeCell ref="B18:F19"/>
    <mergeCell ref="G18:H18"/>
    <mergeCell ref="I18:M18"/>
    <mergeCell ref="N18:R18"/>
    <mergeCell ref="S18:W18"/>
    <mergeCell ref="B17:E17"/>
    <mergeCell ref="AH15:AL15"/>
    <mergeCell ref="X14:AB14"/>
    <mergeCell ref="AC14:AG14"/>
    <mergeCell ref="X15:AB15"/>
    <mergeCell ref="G17:H17"/>
    <mergeCell ref="K17:M17"/>
    <mergeCell ref="N17:O17"/>
    <mergeCell ref="P17:R17"/>
    <mergeCell ref="S17:T17"/>
    <mergeCell ref="U17:W17"/>
    <mergeCell ref="AH17:AI17"/>
    <mergeCell ref="I16:M16"/>
    <mergeCell ref="N16:R16"/>
    <mergeCell ref="S16:W16"/>
    <mergeCell ref="X16:AB16"/>
    <mergeCell ref="AC16:AG16"/>
    <mergeCell ref="I15:M15"/>
    <mergeCell ref="N15:R15"/>
    <mergeCell ref="B4:F6"/>
    <mergeCell ref="B7:D7"/>
    <mergeCell ref="AR10:AV10"/>
    <mergeCell ref="AW10:BA10"/>
    <mergeCell ref="X10:AB10"/>
    <mergeCell ref="AC10:AG10"/>
    <mergeCell ref="AX7:BA7"/>
    <mergeCell ref="B8:D8"/>
    <mergeCell ref="AX8:BA8"/>
    <mergeCell ref="B9:D9"/>
    <mergeCell ref="F7:Q7"/>
    <mergeCell ref="F8:Q8"/>
    <mergeCell ref="F9:Q9"/>
    <mergeCell ref="G4:AY6"/>
    <mergeCell ref="S10:W10"/>
    <mergeCell ref="AH10:AL10"/>
    <mergeCell ref="AM10:AQ10"/>
    <mergeCell ref="B10:F10"/>
    <mergeCell ref="G10:H11"/>
    <mergeCell ref="I10:M10"/>
    <mergeCell ref="N10:R10"/>
    <mergeCell ref="B11:F11"/>
    <mergeCell ref="J11:M11"/>
    <mergeCell ref="O11:R11"/>
    <mergeCell ref="G16:H16"/>
    <mergeCell ref="AY17:BA17"/>
    <mergeCell ref="AJ17:AL17"/>
    <mergeCell ref="AM17:AN17"/>
    <mergeCell ref="AO17:AQ17"/>
    <mergeCell ref="AR17:AS17"/>
    <mergeCell ref="AT17:AV17"/>
    <mergeCell ref="AW17:AX17"/>
    <mergeCell ref="AH16:AL16"/>
    <mergeCell ref="AR16:AV16"/>
    <mergeCell ref="AW16:BA16"/>
    <mergeCell ref="AM16:AQ16"/>
    <mergeCell ref="N19:R19"/>
    <mergeCell ref="S19:W19"/>
    <mergeCell ref="AH19:AL19"/>
    <mergeCell ref="AM19:AQ19"/>
    <mergeCell ref="AR19:AV19"/>
    <mergeCell ref="AW19:BA19"/>
    <mergeCell ref="BG19:BG21"/>
    <mergeCell ref="AR20:AV20"/>
    <mergeCell ref="AW20:BA20"/>
    <mergeCell ref="AR18:AV18"/>
    <mergeCell ref="AW18:BA18"/>
    <mergeCell ref="AM18:AQ18"/>
    <mergeCell ref="AH18:AL18"/>
    <mergeCell ref="BL19:BL21"/>
    <mergeCell ref="BM19:BM21"/>
    <mergeCell ref="BN19:BN21"/>
    <mergeCell ref="BO19:BO21"/>
    <mergeCell ref="C21:F21"/>
    <mergeCell ref="L21:M21"/>
    <mergeCell ref="Q21:R21"/>
    <mergeCell ref="V21:W21"/>
    <mergeCell ref="AK21:AL21"/>
    <mergeCell ref="AP21:AQ21"/>
    <mergeCell ref="AU21:AV21"/>
    <mergeCell ref="AZ21:BA21"/>
    <mergeCell ref="G20:H20"/>
    <mergeCell ref="I20:M20"/>
    <mergeCell ref="N20:R20"/>
    <mergeCell ref="S20:W20"/>
    <mergeCell ref="AH20:AL20"/>
    <mergeCell ref="AM20:AQ20"/>
    <mergeCell ref="G19:H19"/>
    <mergeCell ref="I19:M19"/>
    <mergeCell ref="AU22:AV22"/>
    <mergeCell ref="AZ22:BA22"/>
    <mergeCell ref="C23:F23"/>
    <mergeCell ref="L23:M23"/>
    <mergeCell ref="Q23:R23"/>
    <mergeCell ref="V23:W23"/>
    <mergeCell ref="AK23:AL23"/>
    <mergeCell ref="AP23:AQ23"/>
    <mergeCell ref="AU23:AV23"/>
    <mergeCell ref="AZ23:BA23"/>
    <mergeCell ref="C22:F22"/>
    <mergeCell ref="L22:M22"/>
    <mergeCell ref="Q22:R22"/>
    <mergeCell ref="V22:W22"/>
    <mergeCell ref="AK22:AL22"/>
    <mergeCell ref="AP22:AQ22"/>
    <mergeCell ref="AA22:AB22"/>
    <mergeCell ref="AF22:AG22"/>
    <mergeCell ref="AU24:AV24"/>
    <mergeCell ref="AZ24:BA24"/>
    <mergeCell ref="C25:F25"/>
    <mergeCell ref="L25:M25"/>
    <mergeCell ref="Q25:R25"/>
    <mergeCell ref="V25:W25"/>
    <mergeCell ref="AK25:AL25"/>
    <mergeCell ref="AP25:AQ25"/>
    <mergeCell ref="AU25:AV25"/>
    <mergeCell ref="AZ25:BA25"/>
    <mergeCell ref="C24:F24"/>
    <mergeCell ref="L24:M24"/>
    <mergeCell ref="Q24:R24"/>
    <mergeCell ref="V24:W24"/>
    <mergeCell ref="AK24:AL24"/>
    <mergeCell ref="AP24:AQ24"/>
    <mergeCell ref="AU26:AV26"/>
    <mergeCell ref="AZ26:BA26"/>
    <mergeCell ref="C27:F27"/>
    <mergeCell ref="L27:M27"/>
    <mergeCell ref="Q27:R27"/>
    <mergeCell ref="V27:W27"/>
    <mergeCell ref="AK27:AL27"/>
    <mergeCell ref="AP27:AQ27"/>
    <mergeCell ref="AU27:AV27"/>
    <mergeCell ref="AZ27:BA27"/>
    <mergeCell ref="C26:F26"/>
    <mergeCell ref="L26:M26"/>
    <mergeCell ref="Q26:R26"/>
    <mergeCell ref="V26:W26"/>
    <mergeCell ref="AK26:AL26"/>
    <mergeCell ref="AP26:AQ26"/>
    <mergeCell ref="AA26:AB26"/>
    <mergeCell ref="AF26:AG26"/>
    <mergeCell ref="AU28:AV28"/>
    <mergeCell ref="AZ28:BA28"/>
    <mergeCell ref="C29:F29"/>
    <mergeCell ref="L29:M29"/>
    <mergeCell ref="Q29:R29"/>
    <mergeCell ref="V29:W29"/>
    <mergeCell ref="AK29:AL29"/>
    <mergeCell ref="AP29:AQ29"/>
    <mergeCell ref="AU29:AV29"/>
    <mergeCell ref="AZ29:BA29"/>
    <mergeCell ref="C28:F28"/>
    <mergeCell ref="L28:M28"/>
    <mergeCell ref="Q28:R28"/>
    <mergeCell ref="V28:W28"/>
    <mergeCell ref="AK28:AL28"/>
    <mergeCell ref="AP28:AQ28"/>
    <mergeCell ref="AA29:AB29"/>
    <mergeCell ref="AF28:AG28"/>
    <mergeCell ref="AU30:AV30"/>
    <mergeCell ref="AZ30:BA30"/>
    <mergeCell ref="C31:F31"/>
    <mergeCell ref="L31:M31"/>
    <mergeCell ref="Q31:R31"/>
    <mergeCell ref="V31:W31"/>
    <mergeCell ref="AK31:AL31"/>
    <mergeCell ref="AP31:AQ31"/>
    <mergeCell ref="AU31:AV31"/>
    <mergeCell ref="AZ31:BA31"/>
    <mergeCell ref="C30:F30"/>
    <mergeCell ref="L30:M30"/>
    <mergeCell ref="Q30:R30"/>
    <mergeCell ref="V30:W30"/>
    <mergeCell ref="AK30:AL30"/>
    <mergeCell ref="AP30:AQ30"/>
    <mergeCell ref="AA30:AB30"/>
    <mergeCell ref="AF30:AG30"/>
    <mergeCell ref="AU32:AV32"/>
    <mergeCell ref="AZ32:BA32"/>
    <mergeCell ref="C33:F33"/>
    <mergeCell ref="L33:M33"/>
    <mergeCell ref="Q33:R33"/>
    <mergeCell ref="V33:W33"/>
    <mergeCell ref="AK33:AL33"/>
    <mergeCell ref="AP33:AQ33"/>
    <mergeCell ref="AU33:AV33"/>
    <mergeCell ref="AZ33:BA33"/>
    <mergeCell ref="C32:F32"/>
    <mergeCell ref="L32:M32"/>
    <mergeCell ref="Q32:R32"/>
    <mergeCell ref="V32:W32"/>
    <mergeCell ref="AK32:AL32"/>
    <mergeCell ref="AP32:AQ32"/>
    <mergeCell ref="AU34:AV34"/>
    <mergeCell ref="AZ34:BA34"/>
    <mergeCell ref="C35:F35"/>
    <mergeCell ref="L35:M35"/>
    <mergeCell ref="Q35:R35"/>
    <mergeCell ref="V35:W35"/>
    <mergeCell ref="AK35:AL35"/>
    <mergeCell ref="AP35:AQ35"/>
    <mergeCell ref="AU35:AV35"/>
    <mergeCell ref="AZ35:BA35"/>
    <mergeCell ref="C34:F34"/>
    <mergeCell ref="L34:M34"/>
    <mergeCell ref="Q34:R34"/>
    <mergeCell ref="V34:W34"/>
    <mergeCell ref="AK34:AL34"/>
    <mergeCell ref="AP34:AQ34"/>
    <mergeCell ref="AA34:AB34"/>
    <mergeCell ref="AF34:AG34"/>
    <mergeCell ref="AA35:AB35"/>
    <mergeCell ref="AF35:AG35"/>
    <mergeCell ref="AU36:AV36"/>
    <mergeCell ref="AZ36:BA36"/>
    <mergeCell ref="C37:F37"/>
    <mergeCell ref="L37:M37"/>
    <mergeCell ref="Q37:R37"/>
    <mergeCell ref="V37:W37"/>
    <mergeCell ref="AK37:AL37"/>
    <mergeCell ref="AP37:AQ37"/>
    <mergeCell ref="AU37:AV37"/>
    <mergeCell ref="AZ37:BA37"/>
    <mergeCell ref="C36:F36"/>
    <mergeCell ref="L36:M36"/>
    <mergeCell ref="Q36:R36"/>
    <mergeCell ref="V36:W36"/>
    <mergeCell ref="AK36:AL36"/>
    <mergeCell ref="AP36:AQ36"/>
    <mergeCell ref="AA36:AB36"/>
    <mergeCell ref="AF36:AG36"/>
    <mergeCell ref="AA37:AB37"/>
    <mergeCell ref="AF37:AG37"/>
    <mergeCell ref="AU38:AV38"/>
    <mergeCell ref="AZ38:BA38"/>
    <mergeCell ref="C39:F39"/>
    <mergeCell ref="L39:M39"/>
    <mergeCell ref="Q39:R39"/>
    <mergeCell ref="V39:W39"/>
    <mergeCell ref="AK39:AL39"/>
    <mergeCell ref="AP39:AQ39"/>
    <mergeCell ref="AU39:AV39"/>
    <mergeCell ref="AZ39:BA39"/>
    <mergeCell ref="C38:F38"/>
    <mergeCell ref="L38:M38"/>
    <mergeCell ref="Q38:R38"/>
    <mergeCell ref="V38:W38"/>
    <mergeCell ref="AK38:AL38"/>
    <mergeCell ref="AP38:AQ38"/>
    <mergeCell ref="AA38:AB38"/>
    <mergeCell ref="AF38:AG38"/>
    <mergeCell ref="AA39:AB39"/>
    <mergeCell ref="AF39:AG39"/>
    <mergeCell ref="AU40:AV40"/>
    <mergeCell ref="AZ40:BA40"/>
    <mergeCell ref="C41:F41"/>
    <mergeCell ref="L41:M41"/>
    <mergeCell ref="Q41:R41"/>
    <mergeCell ref="V41:W41"/>
    <mergeCell ref="AK41:AL41"/>
    <mergeCell ref="AP41:AQ41"/>
    <mergeCell ref="AU41:AV41"/>
    <mergeCell ref="AZ41:BA41"/>
    <mergeCell ref="C40:F40"/>
    <mergeCell ref="L40:M40"/>
    <mergeCell ref="Q40:R40"/>
    <mergeCell ref="V40:W40"/>
    <mergeCell ref="AK40:AL40"/>
    <mergeCell ref="AP40:AQ40"/>
    <mergeCell ref="AF41:AG41"/>
    <mergeCell ref="AA40:AB40"/>
    <mergeCell ref="AU42:AV42"/>
    <mergeCell ref="AZ42:BA42"/>
    <mergeCell ref="C43:F43"/>
    <mergeCell ref="L43:M43"/>
    <mergeCell ref="Q43:R43"/>
    <mergeCell ref="V43:W43"/>
    <mergeCell ref="AK43:AL43"/>
    <mergeCell ref="AP43:AQ43"/>
    <mergeCell ref="AU43:AV43"/>
    <mergeCell ref="AZ43:BA43"/>
    <mergeCell ref="C42:F42"/>
    <mergeCell ref="L42:M42"/>
    <mergeCell ref="Q42:R42"/>
    <mergeCell ref="V42:W42"/>
    <mergeCell ref="AK42:AL42"/>
    <mergeCell ref="AP42:AQ42"/>
    <mergeCell ref="AA42:AB42"/>
    <mergeCell ref="AF42:AG42"/>
    <mergeCell ref="AA43:AB43"/>
    <mergeCell ref="AF43:AG43"/>
    <mergeCell ref="AU44:AV44"/>
    <mergeCell ref="AZ44:BA44"/>
    <mergeCell ref="C45:F45"/>
    <mergeCell ref="L45:M45"/>
    <mergeCell ref="Q45:R45"/>
    <mergeCell ref="V45:W45"/>
    <mergeCell ref="AK45:AL45"/>
    <mergeCell ref="AP45:AQ45"/>
    <mergeCell ref="AU45:AV45"/>
    <mergeCell ref="AZ45:BA45"/>
    <mergeCell ref="C44:F44"/>
    <mergeCell ref="L44:M44"/>
    <mergeCell ref="Q44:R44"/>
    <mergeCell ref="V44:W44"/>
    <mergeCell ref="AK44:AL44"/>
    <mergeCell ref="AP44:AQ44"/>
    <mergeCell ref="AA44:AB44"/>
    <mergeCell ref="AF44:AG44"/>
    <mergeCell ref="AA45:AB45"/>
    <mergeCell ref="AF45:AG45"/>
    <mergeCell ref="AU46:AV46"/>
    <mergeCell ref="AZ46:BA46"/>
    <mergeCell ref="C47:F47"/>
    <mergeCell ref="L47:M47"/>
    <mergeCell ref="Q47:R47"/>
    <mergeCell ref="V47:W47"/>
    <mergeCell ref="AK47:AL47"/>
    <mergeCell ref="AP47:AQ47"/>
    <mergeCell ref="AU47:AV47"/>
    <mergeCell ref="AZ47:BA47"/>
    <mergeCell ref="C46:F46"/>
    <mergeCell ref="L46:M46"/>
    <mergeCell ref="Q46:R46"/>
    <mergeCell ref="V46:W46"/>
    <mergeCell ref="AK46:AL46"/>
    <mergeCell ref="AP46:AQ46"/>
    <mergeCell ref="AA46:AB46"/>
    <mergeCell ref="AF46:AG46"/>
    <mergeCell ref="AA47:AB47"/>
    <mergeCell ref="AF47:AG47"/>
    <mergeCell ref="AU48:AV48"/>
    <mergeCell ref="AZ48:BA48"/>
    <mergeCell ref="C49:F49"/>
    <mergeCell ref="L49:M49"/>
    <mergeCell ref="Q49:R49"/>
    <mergeCell ref="V49:W49"/>
    <mergeCell ref="AK49:AL49"/>
    <mergeCell ref="AP49:AQ49"/>
    <mergeCell ref="AU49:AV49"/>
    <mergeCell ref="AZ49:BA49"/>
    <mergeCell ref="C48:F48"/>
    <mergeCell ref="L48:M48"/>
    <mergeCell ref="Q48:R48"/>
    <mergeCell ref="V48:W48"/>
    <mergeCell ref="AK48:AL48"/>
    <mergeCell ref="AP48:AQ48"/>
    <mergeCell ref="AA48:AB48"/>
    <mergeCell ref="AF48:AG48"/>
    <mergeCell ref="AA49:AB49"/>
    <mergeCell ref="AF49:AG49"/>
    <mergeCell ref="AH50:AL50"/>
    <mergeCell ref="AM50:AQ50"/>
    <mergeCell ref="AR50:AV50"/>
    <mergeCell ref="AW50:BA50"/>
    <mergeCell ref="G51:H51"/>
    <mergeCell ref="I51:M51"/>
    <mergeCell ref="N51:R51"/>
    <mergeCell ref="S51:W51"/>
    <mergeCell ref="AH51:AL51"/>
    <mergeCell ref="AM51:AQ51"/>
    <mergeCell ref="AR51:AV51"/>
    <mergeCell ref="AW51:BA51"/>
    <mergeCell ref="AR53:AV53"/>
    <mergeCell ref="AW53:BA53"/>
    <mergeCell ref="G52:H52"/>
    <mergeCell ref="I52:M52"/>
    <mergeCell ref="N52:R52"/>
    <mergeCell ref="S52:W52"/>
    <mergeCell ref="AH52:AL52"/>
    <mergeCell ref="AM52:AQ52"/>
    <mergeCell ref="X52:AB52"/>
    <mergeCell ref="AC52:AG52"/>
    <mergeCell ref="X53:AB53"/>
    <mergeCell ref="AC53:AG53"/>
    <mergeCell ref="I53:M53"/>
    <mergeCell ref="N53:R53"/>
    <mergeCell ref="S53:W53"/>
    <mergeCell ref="AR52:AV52"/>
    <mergeCell ref="AW52:BA52"/>
    <mergeCell ref="AH53:AL53"/>
    <mergeCell ref="B53:H53"/>
    <mergeCell ref="B50:F52"/>
    <mergeCell ref="G50:H50"/>
    <mergeCell ref="I50:M50"/>
    <mergeCell ref="N50:R50"/>
    <mergeCell ref="S50:W50"/>
    <mergeCell ref="AR54:AV54"/>
    <mergeCell ref="AW54:BA54"/>
    <mergeCell ref="B55:H55"/>
    <mergeCell ref="B56:H56"/>
    <mergeCell ref="AR56:BA56"/>
    <mergeCell ref="X54:AB54"/>
    <mergeCell ref="AC54:AG54"/>
    <mergeCell ref="B54:H54"/>
    <mergeCell ref="I54:M54"/>
    <mergeCell ref="N54:R54"/>
    <mergeCell ref="S54:W54"/>
    <mergeCell ref="AH54:AL54"/>
    <mergeCell ref="AM54:AQ54"/>
    <mergeCell ref="AM55:AQ55"/>
    <mergeCell ref="AM56:AQ56"/>
    <mergeCell ref="AR55:BA55"/>
    <mergeCell ref="I55:AL55"/>
    <mergeCell ref="I56:AL56"/>
    <mergeCell ref="D58:H58"/>
    <mergeCell ref="I58:M58"/>
    <mergeCell ref="N58:R58"/>
    <mergeCell ref="S58:W58"/>
    <mergeCell ref="AH58:AL58"/>
    <mergeCell ref="AR58:AV58"/>
    <mergeCell ref="AW58:BA58"/>
    <mergeCell ref="B57:H57"/>
    <mergeCell ref="I57:M57"/>
    <mergeCell ref="N57:R57"/>
    <mergeCell ref="S57:W57"/>
    <mergeCell ref="AH57:AL57"/>
    <mergeCell ref="AM57:AQ57"/>
    <mergeCell ref="AM58:AQ58"/>
    <mergeCell ref="X57:AB57"/>
    <mergeCell ref="AC57:AG57"/>
    <mergeCell ref="AW57:BA57"/>
    <mergeCell ref="F77:H78"/>
    <mergeCell ref="J64:M64"/>
    <mergeCell ref="J65:M65"/>
    <mergeCell ref="N65:P65"/>
    <mergeCell ref="J66:M66"/>
    <mergeCell ref="AA23:AB23"/>
    <mergeCell ref="AF23:AG23"/>
    <mergeCell ref="AA24:AB24"/>
    <mergeCell ref="AF24:AG24"/>
    <mergeCell ref="AA25:AB25"/>
    <mergeCell ref="AF25:AG25"/>
    <mergeCell ref="AA31:AB31"/>
    <mergeCell ref="AF31:AG31"/>
    <mergeCell ref="AA32:AB32"/>
    <mergeCell ref="AF32:AG32"/>
    <mergeCell ref="AA33:AB33"/>
    <mergeCell ref="AF33:AG33"/>
    <mergeCell ref="AA27:AB27"/>
    <mergeCell ref="AF27:AG27"/>
    <mergeCell ref="AA28:AB28"/>
    <mergeCell ref="AC51:AG51"/>
    <mergeCell ref="J62:M62"/>
    <mergeCell ref="J63:M63"/>
    <mergeCell ref="AF29:AG29"/>
    <mergeCell ref="AW12:BA13"/>
    <mergeCell ref="AM53:AQ53"/>
    <mergeCell ref="J67:M67"/>
    <mergeCell ref="L69:M69"/>
    <mergeCell ref="X17:Y17"/>
    <mergeCell ref="Z17:AB17"/>
    <mergeCell ref="AC17:AD17"/>
    <mergeCell ref="AE17:AG17"/>
    <mergeCell ref="X18:AB18"/>
    <mergeCell ref="AC18:AG18"/>
    <mergeCell ref="X19:AB19"/>
    <mergeCell ref="AC19:AG19"/>
    <mergeCell ref="X20:AB20"/>
    <mergeCell ref="AC20:AG20"/>
    <mergeCell ref="AA21:AB21"/>
    <mergeCell ref="AF21:AG21"/>
    <mergeCell ref="AF40:AG40"/>
    <mergeCell ref="AA41:AB41"/>
    <mergeCell ref="X50:AB50"/>
    <mergeCell ref="AC50:AG50"/>
    <mergeCell ref="X51:AB51"/>
    <mergeCell ref="I17:J17"/>
    <mergeCell ref="B59:BA59"/>
    <mergeCell ref="AR57:AV57"/>
  </mergeCells>
  <conditionalFormatting sqref="I22:M49 T22:T49 AD22:AD49 AN22:AN49 AX22:AX49">
    <cfRule type="expression" dxfId="94" priority="9" stopIfTrue="1">
      <formula>$L22="No Quote"</formula>
    </cfRule>
  </conditionalFormatting>
  <conditionalFormatting sqref="N22:R49 Y22:Y49 AI22:AI49 AS22:AS49">
    <cfRule type="expression" dxfId="93" priority="8" stopIfTrue="1">
      <formula>$Q22="No Quote"</formula>
    </cfRule>
  </conditionalFormatting>
  <conditionalFormatting sqref="S22:S49 U22:W49">
    <cfRule type="expression" dxfId="92" priority="86" stopIfTrue="1">
      <formula>$V22="No Quote"</formula>
    </cfRule>
  </conditionalFormatting>
  <conditionalFormatting sqref="X22:X49 Z22:AB49">
    <cfRule type="expression" dxfId="91" priority="63" stopIfTrue="1">
      <formula>$AA22="No Quote"</formula>
    </cfRule>
  </conditionalFormatting>
  <conditionalFormatting sqref="AC22:AC49 AE22:AG49">
    <cfRule type="expression" dxfId="90" priority="56" stopIfTrue="1">
      <formula>$AF22="No Quote"</formula>
    </cfRule>
  </conditionalFormatting>
  <conditionalFormatting sqref="AH22:AH49 AJ22:AL49">
    <cfRule type="expression" dxfId="89" priority="87" stopIfTrue="1">
      <formula>$AK22="No Quote"</formula>
    </cfRule>
  </conditionalFormatting>
  <conditionalFormatting sqref="AM22:AM49 AO22:AQ49">
    <cfRule type="expression" dxfId="88" priority="85" stopIfTrue="1">
      <formula>$AP22="No Quote"</formula>
    </cfRule>
  </conditionalFormatting>
  <conditionalFormatting sqref="AR22:AR49 AT22:AV49">
    <cfRule type="expression" dxfId="87" priority="84" stopIfTrue="1">
      <formula>$AU22="No Quote"</formula>
    </cfRule>
  </conditionalFormatting>
  <conditionalFormatting sqref="AW22:AW49 AY22:BA49">
    <cfRule type="expression" dxfId="86" priority="83" stopIfTrue="1">
      <formula>$AZ22="No Quote"</formula>
    </cfRule>
  </conditionalFormatting>
  <conditionalFormatting sqref="BD22:BD49">
    <cfRule type="expression" dxfId="85" priority="24" stopIfTrue="1">
      <formula>$BD22&gt;$BP22</formula>
    </cfRule>
  </conditionalFormatting>
  <conditionalFormatting sqref="BG22:BG49">
    <cfRule type="expression" dxfId="84" priority="12" stopIfTrue="1">
      <formula>$BG22=$BP22</formula>
    </cfRule>
  </conditionalFormatting>
  <conditionalFormatting sqref="BG23:BO49">
    <cfRule type="expression" dxfId="83" priority="20" stopIfTrue="1">
      <formula>$BL23=$BU23</formula>
    </cfRule>
  </conditionalFormatting>
  <conditionalFormatting sqref="BH22:BH49">
    <cfRule type="expression" dxfId="82" priority="13" stopIfTrue="1">
      <formula>$BH22=$BP22</formula>
    </cfRule>
  </conditionalFormatting>
  <conditionalFormatting sqref="BI22:BI49">
    <cfRule type="expression" dxfId="81" priority="14" stopIfTrue="1">
      <formula>$BI22=$BP22</formula>
    </cfRule>
  </conditionalFormatting>
  <conditionalFormatting sqref="BJ22:BJ49">
    <cfRule type="expression" dxfId="80" priority="15" stopIfTrue="1">
      <formula>$BJ22=$BP22</formula>
    </cfRule>
  </conditionalFormatting>
  <conditionalFormatting sqref="BK22:BK49">
    <cfRule type="expression" dxfId="79" priority="16" stopIfTrue="1">
      <formula>$BK22=$BP22</formula>
    </cfRule>
  </conditionalFormatting>
  <conditionalFormatting sqref="BL22:BL49">
    <cfRule type="expression" dxfId="78" priority="17" stopIfTrue="1">
      <formula>$BL22=$BP22</formula>
    </cfRule>
  </conditionalFormatting>
  <conditionalFormatting sqref="BM22:BM49">
    <cfRule type="expression" dxfId="77" priority="18" stopIfTrue="1">
      <formula>$BM22=$BP22</formula>
    </cfRule>
  </conditionalFormatting>
  <conditionalFormatting sqref="BN22:BN49">
    <cfRule type="expression" dxfId="76" priority="19" stopIfTrue="1">
      <formula>$BN22=$BP22</formula>
    </cfRule>
  </conditionalFormatting>
  <conditionalFormatting sqref="BO22:BO49">
    <cfRule type="expression" dxfId="75" priority="22" stopIfTrue="1">
      <formula>$BO22=$BP22</formula>
    </cfRule>
  </conditionalFormatting>
  <dataValidations disablePrompts="1" count="1">
    <dataValidation type="list" allowBlank="1" showInputMessage="1" showErrorMessage="1" sqref="N57:R57" xr:uid="{50A58031-C3CF-45BE-9A3A-9F6413AAC288}">
      <formula1>"Zulkifli Bastiandi, Teuku Syamsul Rizal, Ifit Prabowo"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3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5EA5-8855-4D22-8655-6569B016C6AD}">
  <sheetPr codeName="Sheet9">
    <pageSetUpPr fitToPage="1"/>
  </sheetPr>
  <dimension ref="A1:BT84"/>
  <sheetViews>
    <sheetView showGridLines="0" topLeftCell="AN19" zoomScale="55" zoomScaleNormal="55" zoomScaleSheetLayoutView="55" workbookViewId="0">
      <selection activeCell="BT27" sqref="BT27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43" width="15.7109375" style="4" customWidth="1"/>
    <col min="44" max="46" width="10.7109375" style="4" customWidth="1"/>
    <col min="47" max="61" width="15.7109375" style="4" customWidth="1"/>
    <col min="62" max="62" width="15.7109375" style="56" customWidth="1"/>
    <col min="63" max="63" width="22" style="55" bestFit="1" customWidth="1"/>
    <col min="64" max="64" width="12" style="4" customWidth="1" outlineLevel="1"/>
    <col min="65" max="65" width="4.7109375" style="66" customWidth="1" outlineLevel="1"/>
    <col min="66" max="66" width="22" style="55" customWidth="1" outlineLevel="1"/>
    <col min="67" max="67" width="9.7109375" style="4" customWidth="1" outlineLevel="1"/>
    <col min="68" max="68" width="4.7109375" style="4" customWidth="1" outlineLevel="1"/>
    <col min="69" max="69" width="22" style="55" bestFit="1" customWidth="1" outlineLevel="1"/>
    <col min="70" max="70" width="9.28515625" customWidth="1"/>
    <col min="71" max="71" width="9.28515625" style="4" customWidth="1"/>
    <col min="72" max="72" width="20.7109375" style="5" customWidth="1"/>
    <col min="73" max="16384" width="9.28515625" style="4" hidden="1"/>
  </cols>
  <sheetData>
    <row r="1" spans="2:72" s="1" customFormat="1" ht="13.5" x14ac:dyDescent="0.25">
      <c r="D1" s="2"/>
      <c r="U1" s="3"/>
      <c r="BJ1" s="79"/>
      <c r="BK1" s="70"/>
      <c r="BM1" s="65"/>
      <c r="BN1" s="70"/>
      <c r="BQ1" s="70"/>
      <c r="BT1" s="3"/>
    </row>
    <row r="2" spans="2:72" s="1" customFormat="1" ht="13.5" x14ac:dyDescent="0.25">
      <c r="D2" s="2"/>
      <c r="U2" s="3"/>
      <c r="BJ2" s="79"/>
      <c r="BK2" s="70"/>
      <c r="BM2" s="65"/>
      <c r="BN2" s="70"/>
      <c r="BQ2" s="70"/>
      <c r="BT2" s="3"/>
    </row>
    <row r="3" spans="2:72" ht="17.25" thickBot="1" x14ac:dyDescent="0.3"/>
    <row r="4" spans="2:72" ht="20.100000000000001" customHeight="1" thickTop="1" x14ac:dyDescent="0.25">
      <c r="B4" s="115" t="s">
        <v>2</v>
      </c>
      <c r="C4" s="116"/>
      <c r="D4" s="116"/>
      <c r="E4" s="116"/>
      <c r="F4" s="116"/>
      <c r="G4" s="119" t="s">
        <v>3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6"/>
      <c r="AV4" s="7"/>
    </row>
    <row r="5" spans="2:72" ht="20.100000000000001" customHeight="1" x14ac:dyDescent="0.25">
      <c r="B5" s="117"/>
      <c r="C5" s="118"/>
      <c r="D5" s="118"/>
      <c r="E5" s="118"/>
      <c r="F5" s="118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8"/>
      <c r="AV5" s="9"/>
    </row>
    <row r="6" spans="2:72" ht="20.100000000000001" customHeight="1" x14ac:dyDescent="0.25">
      <c r="B6" s="117"/>
      <c r="C6" s="118"/>
      <c r="D6" s="118"/>
      <c r="E6" s="118"/>
      <c r="F6" s="118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8"/>
      <c r="AV6" s="9"/>
    </row>
    <row r="7" spans="2:72" s="12" customFormat="1" ht="15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U7" s="13"/>
      <c r="AP7" s="14"/>
      <c r="AQ7" s="15"/>
      <c r="AS7" s="123"/>
      <c r="AT7" s="123"/>
      <c r="AU7" s="123"/>
      <c r="AV7" s="124"/>
      <c r="BJ7" s="80"/>
      <c r="BK7" s="73"/>
      <c r="BM7" s="67"/>
      <c r="BN7" s="73"/>
      <c r="BQ7" s="73"/>
      <c r="BT7" s="13"/>
    </row>
    <row r="8" spans="2:72" s="12" customFormat="1" ht="15" customHeight="1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U8" s="13"/>
      <c r="AP8" s="16"/>
      <c r="AQ8" s="15"/>
      <c r="AS8" s="142">
        <f ca="1">TODAY()</f>
        <v>46314</v>
      </c>
      <c r="AT8" s="142"/>
      <c r="AU8" s="142"/>
      <c r="AV8" s="143"/>
      <c r="BJ8" s="80"/>
      <c r="BK8" s="73"/>
      <c r="BM8" s="67"/>
      <c r="BN8" s="73"/>
      <c r="BQ8" s="73"/>
      <c r="BT8" s="13"/>
    </row>
    <row r="9" spans="2:72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U9" s="13"/>
      <c r="AR9" s="10"/>
      <c r="AS9" s="17"/>
      <c r="AT9" s="17"/>
      <c r="AU9" s="17"/>
      <c r="AV9" s="18"/>
      <c r="BJ9" s="80"/>
      <c r="BK9" s="73"/>
      <c r="BM9" s="67"/>
      <c r="BN9" s="73"/>
      <c r="BQ9" s="73"/>
      <c r="BT9" s="13"/>
    </row>
    <row r="10" spans="2:72" s="1" customFormat="1" ht="14.25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 t="shared" ref="S10" si="0">N10+1</f>
        <v>3</v>
      </c>
      <c r="T10" s="125"/>
      <c r="U10" s="125"/>
      <c r="V10" s="125"/>
      <c r="W10" s="140"/>
      <c r="X10" s="139">
        <f t="shared" ref="X10" si="1">S10+1</f>
        <v>4</v>
      </c>
      <c r="Y10" s="125"/>
      <c r="Z10" s="125"/>
      <c r="AA10" s="125"/>
      <c r="AB10" s="140"/>
      <c r="AC10" s="139">
        <f>X10+1</f>
        <v>5</v>
      </c>
      <c r="AD10" s="125"/>
      <c r="AE10" s="125"/>
      <c r="AF10" s="125"/>
      <c r="AG10" s="140"/>
      <c r="AH10" s="139">
        <f t="shared" ref="AH10" si="2">AC10+1</f>
        <v>6</v>
      </c>
      <c r="AI10" s="125"/>
      <c r="AJ10" s="125"/>
      <c r="AK10" s="125"/>
      <c r="AL10" s="140"/>
      <c r="AM10" s="139">
        <f t="shared" ref="AM10" si="3">AH10+1</f>
        <v>7</v>
      </c>
      <c r="AN10" s="125"/>
      <c r="AO10" s="125"/>
      <c r="AP10" s="125"/>
      <c r="AQ10" s="140"/>
      <c r="AR10" s="139">
        <f t="shared" ref="AR10" si="4">AM10+1</f>
        <v>8</v>
      </c>
      <c r="AS10" s="125"/>
      <c r="AT10" s="125"/>
      <c r="AU10" s="125"/>
      <c r="AV10" s="126"/>
      <c r="BJ10" s="79"/>
      <c r="BK10" s="70"/>
      <c r="BM10" s="65"/>
      <c r="BN10" s="70"/>
      <c r="BQ10" s="70"/>
      <c r="BT10" s="3"/>
    </row>
    <row r="11" spans="2:72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 t="s">
        <v>47</v>
      </c>
      <c r="J11" s="130"/>
      <c r="K11" s="130"/>
      <c r="L11" s="130"/>
      <c r="M11" s="131"/>
      <c r="N11" s="19"/>
      <c r="O11" s="130"/>
      <c r="P11" s="130"/>
      <c r="Q11" s="130"/>
      <c r="R11" s="131"/>
      <c r="S11" s="19"/>
      <c r="T11" s="130"/>
      <c r="U11" s="130"/>
      <c r="V11" s="130"/>
      <c r="W11" s="131"/>
      <c r="X11" s="19"/>
      <c r="Y11" s="130"/>
      <c r="Z11" s="130"/>
      <c r="AA11" s="130"/>
      <c r="AB11" s="131"/>
      <c r="AC11" s="19"/>
      <c r="AD11" s="130"/>
      <c r="AE11" s="130"/>
      <c r="AF11" s="130"/>
      <c r="AG11" s="131"/>
      <c r="AH11" s="19"/>
      <c r="AI11" s="130"/>
      <c r="AJ11" s="130"/>
      <c r="AK11" s="130"/>
      <c r="AL11" s="131"/>
      <c r="AM11" s="19"/>
      <c r="AN11" s="130"/>
      <c r="AO11" s="130"/>
      <c r="AP11" s="130"/>
      <c r="AQ11" s="131"/>
      <c r="AR11" s="19"/>
      <c r="AS11" s="130"/>
      <c r="AT11" s="130"/>
      <c r="AU11" s="130"/>
      <c r="AV11" s="280"/>
      <c r="BB11" s="3"/>
      <c r="BC11" s="3"/>
      <c r="BJ11" s="79"/>
      <c r="BK11" s="70"/>
      <c r="BM11" s="65"/>
      <c r="BN11" s="70"/>
      <c r="BQ11" s="70"/>
      <c r="BT11" s="3"/>
    </row>
    <row r="12" spans="2:72" s="1" customFormat="1" ht="15" customHeight="1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153"/>
      <c r="X12" s="151">
        <v>0</v>
      </c>
      <c r="Y12" s="152"/>
      <c r="Z12" s="152"/>
      <c r="AA12" s="152"/>
      <c r="AB12" s="153"/>
      <c r="AC12" s="151">
        <v>0</v>
      </c>
      <c r="AD12" s="152"/>
      <c r="AE12" s="152"/>
      <c r="AF12" s="152"/>
      <c r="AG12" s="153"/>
      <c r="AH12" s="151">
        <v>0</v>
      </c>
      <c r="AI12" s="152"/>
      <c r="AJ12" s="152"/>
      <c r="AK12" s="152"/>
      <c r="AL12" s="153"/>
      <c r="AM12" s="151">
        <v>0</v>
      </c>
      <c r="AN12" s="152"/>
      <c r="AO12" s="152"/>
      <c r="AP12" s="152"/>
      <c r="AQ12" s="153"/>
      <c r="AR12" s="151">
        <v>0</v>
      </c>
      <c r="AS12" s="152"/>
      <c r="AT12" s="152"/>
      <c r="AU12" s="152"/>
      <c r="AV12" s="276"/>
      <c r="BJ12" s="79"/>
      <c r="BK12" s="70"/>
      <c r="BM12" s="65"/>
      <c r="BN12" s="70"/>
      <c r="BQ12" s="70"/>
      <c r="BT12" s="3"/>
    </row>
    <row r="13" spans="2:72" s="1" customFormat="1" ht="36.75" customHeight="1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156"/>
      <c r="X13" s="154"/>
      <c r="Y13" s="155"/>
      <c r="Z13" s="155"/>
      <c r="AA13" s="155"/>
      <c r="AB13" s="156"/>
      <c r="AC13" s="154"/>
      <c r="AD13" s="155"/>
      <c r="AE13" s="155"/>
      <c r="AF13" s="155"/>
      <c r="AG13" s="156"/>
      <c r="AH13" s="154"/>
      <c r="AI13" s="155"/>
      <c r="AJ13" s="155"/>
      <c r="AK13" s="155"/>
      <c r="AL13" s="156"/>
      <c r="AM13" s="154"/>
      <c r="AN13" s="155"/>
      <c r="AO13" s="155"/>
      <c r="AP13" s="155"/>
      <c r="AQ13" s="156"/>
      <c r="AR13" s="154"/>
      <c r="AS13" s="155"/>
      <c r="AT13" s="155"/>
      <c r="AU13" s="155"/>
      <c r="AV13" s="277"/>
      <c r="BJ13" s="79"/>
      <c r="BK13" s="70"/>
      <c r="BM13" s="65"/>
      <c r="BN13" s="70"/>
      <c r="BQ13" s="70"/>
      <c r="BT13" s="3"/>
    </row>
    <row r="14" spans="2:72" s="1" customFormat="1" ht="15" customHeight="1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165"/>
      <c r="X14" s="164"/>
      <c r="Y14" s="128"/>
      <c r="Z14" s="128"/>
      <c r="AA14" s="128"/>
      <c r="AB14" s="165"/>
      <c r="AC14" s="164"/>
      <c r="AD14" s="128"/>
      <c r="AE14" s="128"/>
      <c r="AF14" s="128"/>
      <c r="AG14" s="165"/>
      <c r="AH14" s="164"/>
      <c r="AI14" s="128"/>
      <c r="AJ14" s="128"/>
      <c r="AK14" s="128"/>
      <c r="AL14" s="165"/>
      <c r="AM14" s="164"/>
      <c r="AN14" s="128"/>
      <c r="AO14" s="128"/>
      <c r="AP14" s="128"/>
      <c r="AQ14" s="165"/>
      <c r="AR14" s="164"/>
      <c r="AS14" s="128"/>
      <c r="AT14" s="128"/>
      <c r="AU14" s="128"/>
      <c r="AV14" s="278"/>
      <c r="BJ14" s="79"/>
      <c r="BK14" s="70"/>
      <c r="BM14" s="65"/>
      <c r="BN14" s="70"/>
      <c r="BQ14" s="70"/>
      <c r="BT14" s="3"/>
    </row>
    <row r="15" spans="2:72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170"/>
      <c r="X15" s="168" t="s">
        <v>47</v>
      </c>
      <c r="Y15" s="169"/>
      <c r="Z15" s="169"/>
      <c r="AA15" s="169"/>
      <c r="AB15" s="170"/>
      <c r="AC15" s="168" t="s">
        <v>47</v>
      </c>
      <c r="AD15" s="169"/>
      <c r="AE15" s="169"/>
      <c r="AF15" s="169"/>
      <c r="AG15" s="170"/>
      <c r="AH15" s="168" t="s">
        <v>47</v>
      </c>
      <c r="AI15" s="169"/>
      <c r="AJ15" s="169"/>
      <c r="AK15" s="169"/>
      <c r="AL15" s="170"/>
      <c r="AM15" s="168" t="s">
        <v>47</v>
      </c>
      <c r="AN15" s="169"/>
      <c r="AO15" s="169"/>
      <c r="AP15" s="169"/>
      <c r="AQ15" s="170"/>
      <c r="AR15" s="168" t="s">
        <v>47</v>
      </c>
      <c r="AS15" s="169"/>
      <c r="AT15" s="169"/>
      <c r="AU15" s="169"/>
      <c r="AV15" s="279"/>
      <c r="BJ15" s="79"/>
      <c r="BK15" s="70"/>
      <c r="BM15" s="65"/>
      <c r="BN15" s="70"/>
      <c r="BQ15" s="70"/>
      <c r="BT15" s="3"/>
    </row>
    <row r="16" spans="2:72" s="1" customFormat="1" ht="20.100000000000001" customHeight="1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74"/>
      <c r="X16" s="304"/>
      <c r="Y16" s="305"/>
      <c r="Z16" s="305"/>
      <c r="AA16" s="305"/>
      <c r="AB16" s="306"/>
      <c r="AC16" s="172"/>
      <c r="AD16" s="173"/>
      <c r="AE16" s="173"/>
      <c r="AF16" s="173"/>
      <c r="AG16" s="174"/>
      <c r="AH16" s="172"/>
      <c r="AI16" s="173"/>
      <c r="AJ16" s="173"/>
      <c r="AK16" s="173"/>
      <c r="AL16" s="174"/>
      <c r="AM16" s="172"/>
      <c r="AN16" s="173"/>
      <c r="AO16" s="173"/>
      <c r="AP16" s="173"/>
      <c r="AQ16" s="174"/>
      <c r="AR16" s="172"/>
      <c r="AS16" s="173"/>
      <c r="AT16" s="173"/>
      <c r="AU16" s="173"/>
      <c r="AV16" s="184"/>
      <c r="BJ16" s="79"/>
      <c r="BK16" s="70"/>
      <c r="BM16" s="65"/>
      <c r="BN16" s="70"/>
      <c r="BQ16" s="70"/>
      <c r="BT16" s="3"/>
    </row>
    <row r="17" spans="2:72" s="1" customFormat="1" ht="20.100000000000001" customHeight="1" x14ac:dyDescent="0.25">
      <c r="B17" s="270"/>
      <c r="C17" s="271"/>
      <c r="D17" s="271"/>
      <c r="E17" s="271"/>
      <c r="F17" s="114"/>
      <c r="G17" s="178" t="s">
        <v>15</v>
      </c>
      <c r="H17" s="178"/>
      <c r="I17" s="179"/>
      <c r="J17" s="180"/>
      <c r="K17" s="181"/>
      <c r="L17" s="181"/>
      <c r="M17" s="182"/>
      <c r="N17" s="179"/>
      <c r="O17" s="180"/>
      <c r="P17" s="181"/>
      <c r="Q17" s="181"/>
      <c r="R17" s="182"/>
      <c r="S17" s="179"/>
      <c r="T17" s="180"/>
      <c r="U17" s="181"/>
      <c r="V17" s="181"/>
      <c r="W17" s="182"/>
      <c r="X17" s="179"/>
      <c r="Y17" s="180"/>
      <c r="Z17" s="181"/>
      <c r="AA17" s="181"/>
      <c r="AB17" s="182"/>
      <c r="AC17" s="179"/>
      <c r="AD17" s="180"/>
      <c r="AE17" s="181"/>
      <c r="AF17" s="181"/>
      <c r="AG17" s="182"/>
      <c r="AH17" s="179"/>
      <c r="AI17" s="180"/>
      <c r="AJ17" s="181"/>
      <c r="AK17" s="181"/>
      <c r="AL17" s="182"/>
      <c r="AM17" s="179"/>
      <c r="AN17" s="180"/>
      <c r="AO17" s="181"/>
      <c r="AP17" s="181"/>
      <c r="AQ17" s="182"/>
      <c r="AR17" s="179"/>
      <c r="AS17" s="180"/>
      <c r="AT17" s="181"/>
      <c r="AU17" s="181"/>
      <c r="AV17" s="185"/>
      <c r="BJ17" s="79"/>
      <c r="BK17" s="70"/>
      <c r="BM17" s="65"/>
      <c r="BN17" s="70"/>
      <c r="BQ17" s="70"/>
      <c r="BT17" s="3"/>
    </row>
    <row r="18" spans="2:72" s="1" customFormat="1" ht="20.100000000000001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83"/>
      <c r="X18" s="175"/>
      <c r="Y18" s="176"/>
      <c r="Z18" s="176"/>
      <c r="AA18" s="176"/>
      <c r="AB18" s="183"/>
      <c r="AC18" s="175"/>
      <c r="AD18" s="176"/>
      <c r="AE18" s="176"/>
      <c r="AF18" s="176"/>
      <c r="AG18" s="183"/>
      <c r="AH18" s="175"/>
      <c r="AI18" s="176"/>
      <c r="AJ18" s="176"/>
      <c r="AK18" s="176"/>
      <c r="AL18" s="183"/>
      <c r="AM18" s="175"/>
      <c r="AN18" s="176"/>
      <c r="AO18" s="176"/>
      <c r="AP18" s="176"/>
      <c r="AQ18" s="183"/>
      <c r="AR18" s="175"/>
      <c r="AS18" s="176"/>
      <c r="AT18" s="176"/>
      <c r="AU18" s="176"/>
      <c r="AV18" s="177"/>
      <c r="BB18" s="22">
        <v>1</v>
      </c>
      <c r="BC18" s="22">
        <f>BB18+1</f>
        <v>2</v>
      </c>
      <c r="BD18" s="22">
        <f t="shared" ref="BD18:BI18" si="5">BC18+1</f>
        <v>3</v>
      </c>
      <c r="BE18" s="22">
        <f t="shared" si="5"/>
        <v>4</v>
      </c>
      <c r="BF18" s="22">
        <f>BE18+1</f>
        <v>5</v>
      </c>
      <c r="BG18" s="22">
        <f t="shared" si="5"/>
        <v>6</v>
      </c>
      <c r="BH18" s="22">
        <f t="shared" si="5"/>
        <v>7</v>
      </c>
      <c r="BI18" s="22">
        <f t="shared" si="5"/>
        <v>8</v>
      </c>
      <c r="BJ18" s="273" t="s">
        <v>17</v>
      </c>
      <c r="BK18" s="70"/>
      <c r="BM18" s="65"/>
      <c r="BN18" s="70"/>
      <c r="BQ18" s="70"/>
      <c r="BT18" s="3"/>
    </row>
    <row r="19" spans="2:72" s="1" customFormat="1" ht="20.100000000000001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83"/>
      <c r="X19" s="175"/>
      <c r="Y19" s="176"/>
      <c r="Z19" s="176"/>
      <c r="AA19" s="176"/>
      <c r="AB19" s="183"/>
      <c r="AC19" s="175"/>
      <c r="AD19" s="176"/>
      <c r="AE19" s="176"/>
      <c r="AF19" s="176"/>
      <c r="AG19" s="183"/>
      <c r="AH19" s="175"/>
      <c r="AI19" s="176"/>
      <c r="AJ19" s="176"/>
      <c r="AK19" s="176"/>
      <c r="AL19" s="183"/>
      <c r="AM19" s="175"/>
      <c r="AN19" s="176"/>
      <c r="AO19" s="176"/>
      <c r="AP19" s="176"/>
      <c r="AQ19" s="183"/>
      <c r="AR19" s="175"/>
      <c r="AS19" s="176"/>
      <c r="AT19" s="176"/>
      <c r="AU19" s="176"/>
      <c r="AV19" s="177"/>
      <c r="BB19" s="200">
        <f>J11</f>
        <v>0</v>
      </c>
      <c r="BC19" s="200">
        <f>O11</f>
        <v>0</v>
      </c>
      <c r="BD19" s="200">
        <f>T11</f>
        <v>0</v>
      </c>
      <c r="BE19" s="200">
        <f>Y11</f>
        <v>0</v>
      </c>
      <c r="BF19" s="200">
        <f>AD11</f>
        <v>0</v>
      </c>
      <c r="BG19" s="200">
        <f>AI11</f>
        <v>0</v>
      </c>
      <c r="BH19" s="200">
        <f>AN11</f>
        <v>0</v>
      </c>
      <c r="BI19" s="200">
        <f>AS11</f>
        <v>0</v>
      </c>
      <c r="BJ19" s="274"/>
      <c r="BT19" s="3"/>
    </row>
    <row r="20" spans="2:72" s="1" customFormat="1" ht="20.100000000000001" customHeight="1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8"/>
      <c r="X20" s="196"/>
      <c r="Y20" s="197"/>
      <c r="Z20" s="197"/>
      <c r="AA20" s="197"/>
      <c r="AB20" s="198"/>
      <c r="AC20" s="196"/>
      <c r="AD20" s="197"/>
      <c r="AE20" s="197"/>
      <c r="AF20" s="197"/>
      <c r="AG20" s="198"/>
      <c r="AH20" s="196"/>
      <c r="AI20" s="197"/>
      <c r="AJ20" s="197"/>
      <c r="AK20" s="197"/>
      <c r="AL20" s="198"/>
      <c r="AM20" s="196"/>
      <c r="AN20" s="197"/>
      <c r="AO20" s="197"/>
      <c r="AP20" s="197"/>
      <c r="AQ20" s="198"/>
      <c r="AR20" s="196"/>
      <c r="AS20" s="197"/>
      <c r="AT20" s="197"/>
      <c r="AU20" s="197"/>
      <c r="AV20" s="199"/>
      <c r="AW20" s="47"/>
      <c r="AX20" s="47"/>
      <c r="BB20" s="200"/>
      <c r="BC20" s="200"/>
      <c r="BD20" s="200"/>
      <c r="BE20" s="200"/>
      <c r="BF20" s="200"/>
      <c r="BG20" s="200"/>
      <c r="BH20" s="200"/>
      <c r="BI20" s="200"/>
      <c r="BJ20" s="274"/>
      <c r="BK20" s="70"/>
      <c r="BM20" s="65"/>
      <c r="BN20" s="70"/>
      <c r="BQ20" s="70"/>
      <c r="BS20" s="272">
        <f>SUM(BS22:BS34)</f>
        <v>0</v>
      </c>
      <c r="BT20" s="176"/>
    </row>
    <row r="21" spans="2:72" s="37" customFormat="1" ht="15" customHeight="1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29" t="s">
        <v>25</v>
      </c>
      <c r="O21" s="27" t="s">
        <v>17</v>
      </c>
      <c r="P21" s="30" t="s">
        <v>26</v>
      </c>
      <c r="Q21" s="187" t="s">
        <v>27</v>
      </c>
      <c r="R21" s="190"/>
      <c r="S21" s="31" t="s">
        <v>25</v>
      </c>
      <c r="T21" s="27" t="s">
        <v>17</v>
      </c>
      <c r="U21" s="32" t="s">
        <v>26</v>
      </c>
      <c r="V21" s="187" t="s">
        <v>27</v>
      </c>
      <c r="W21" s="191"/>
      <c r="X21" s="29" t="s">
        <v>25</v>
      </c>
      <c r="Y21" s="27" t="s">
        <v>17</v>
      </c>
      <c r="Z21" s="30" t="s">
        <v>26</v>
      </c>
      <c r="AA21" s="302" t="s">
        <v>27</v>
      </c>
      <c r="AB21" s="303"/>
      <c r="AC21" s="33" t="s">
        <v>25</v>
      </c>
      <c r="AD21" s="27" t="s">
        <v>17</v>
      </c>
      <c r="AE21" s="32" t="s">
        <v>26</v>
      </c>
      <c r="AF21" s="187" t="s">
        <v>27</v>
      </c>
      <c r="AG21" s="191"/>
      <c r="AH21" s="33" t="s">
        <v>25</v>
      </c>
      <c r="AI21" s="27" t="s">
        <v>17</v>
      </c>
      <c r="AJ21" s="32" t="s">
        <v>26</v>
      </c>
      <c r="AK21" s="187" t="s">
        <v>27</v>
      </c>
      <c r="AL21" s="191"/>
      <c r="AM21" s="33" t="s">
        <v>25</v>
      </c>
      <c r="AN21" s="27" t="s">
        <v>17</v>
      </c>
      <c r="AO21" s="32" t="s">
        <v>26</v>
      </c>
      <c r="AP21" s="187" t="s">
        <v>27</v>
      </c>
      <c r="AQ21" s="191"/>
      <c r="AR21" s="34" t="s">
        <v>25</v>
      </c>
      <c r="AS21" s="35" t="s">
        <v>17</v>
      </c>
      <c r="AT21" s="36" t="s">
        <v>26</v>
      </c>
      <c r="AU21" s="204" t="s">
        <v>27</v>
      </c>
      <c r="AV21" s="205"/>
      <c r="AW21" s="37" t="s">
        <v>28</v>
      </c>
      <c r="AX21" s="37" t="s">
        <v>0</v>
      </c>
      <c r="AY21" s="37" t="s">
        <v>29</v>
      </c>
      <c r="AZ21" s="37" t="s">
        <v>30</v>
      </c>
      <c r="BA21" s="111" t="s">
        <v>1</v>
      </c>
      <c r="BB21" s="200"/>
      <c r="BC21" s="200"/>
      <c r="BD21" s="200"/>
      <c r="BE21" s="200"/>
      <c r="BF21" s="200"/>
      <c r="BG21" s="200"/>
      <c r="BH21" s="200"/>
      <c r="BI21" s="200"/>
      <c r="BJ21" s="275"/>
      <c r="BK21" s="76" t="s">
        <v>31</v>
      </c>
      <c r="BL21" s="186" t="s">
        <v>32</v>
      </c>
      <c r="BM21" s="186"/>
      <c r="BN21" s="186"/>
      <c r="BO21" s="186" t="s">
        <v>33</v>
      </c>
      <c r="BP21" s="186"/>
      <c r="BQ21" s="186"/>
      <c r="BS21" s="281" t="s">
        <v>34</v>
      </c>
      <c r="BT21" s="282"/>
    </row>
    <row r="22" spans="2:72" s="1" customFormat="1" ht="61.5" customHeight="1" x14ac:dyDescent="0.25">
      <c r="B22" s="38">
        <v>1</v>
      </c>
      <c r="C22" s="210"/>
      <c r="D22" s="210"/>
      <c r="E22" s="210"/>
      <c r="F22" s="210"/>
      <c r="G22" s="39"/>
      <c r="H22" s="40"/>
      <c r="I22" s="41"/>
      <c r="J22" s="42" t="str">
        <f>IF($G22="","",$G22*I22)</f>
        <v/>
      </c>
      <c r="K22" s="90"/>
      <c r="L22" s="206" t="str">
        <f>IF($I22="","No Quote",IF($K22="","","No Comply"))</f>
        <v>No Quote</v>
      </c>
      <c r="M22" s="207"/>
      <c r="N22" s="41"/>
      <c r="O22" s="42" t="str">
        <f>IF($G22="","",$G22*N22)</f>
        <v/>
      </c>
      <c r="P22" s="90"/>
      <c r="Q22" s="206" t="str">
        <f>IF($N22="","No Quote",IF($P22="","","No Comply"))</f>
        <v>No Quote</v>
      </c>
      <c r="R22" s="207"/>
      <c r="S22" s="41"/>
      <c r="T22" s="42" t="str">
        <f>IF($G22="","",$G22*S22)</f>
        <v/>
      </c>
      <c r="U22" s="89"/>
      <c r="V22" s="206" t="str">
        <f>IF($S22="","No Quote",IF($U22="","","No Comply"))</f>
        <v>No Quote</v>
      </c>
      <c r="W22" s="207"/>
      <c r="X22" s="41"/>
      <c r="Y22" s="42" t="str">
        <f>IF($G22="","",$G22*X22)</f>
        <v/>
      </c>
      <c r="Z22" s="90"/>
      <c r="AA22" s="300" t="str">
        <f>IF($X22="","No Quote",IF($Z22="","","No Comply"))</f>
        <v>No Quote</v>
      </c>
      <c r="AB22" s="301"/>
      <c r="AC22" s="41"/>
      <c r="AD22" s="42" t="str">
        <f>IF($G22="","",$G22*AC22)</f>
        <v/>
      </c>
      <c r="AE22" s="89"/>
      <c r="AF22" s="206" t="str">
        <f>IF($AC22="","No Quote",IF(AE22="","","No Comply"))</f>
        <v>No Quote</v>
      </c>
      <c r="AG22" s="207"/>
      <c r="AH22" s="41"/>
      <c r="AI22" s="42" t="str">
        <f>IF($G22="","",$G22*AH22)</f>
        <v/>
      </c>
      <c r="AJ22" s="89"/>
      <c r="AK22" s="206" t="str">
        <f>IF($AH22="","No Quote",IF($AJ22="","","No Comply"))</f>
        <v>No Quote</v>
      </c>
      <c r="AL22" s="207"/>
      <c r="AM22" s="41"/>
      <c r="AN22" s="42" t="str">
        <f>IF($G22="","",$G22*AM22)</f>
        <v/>
      </c>
      <c r="AO22" s="89"/>
      <c r="AP22" s="206" t="str">
        <f>IF($AM22="","No Quote",IF($AO22="","","No Comply"))</f>
        <v>No Quote</v>
      </c>
      <c r="AQ22" s="207"/>
      <c r="AR22" s="41"/>
      <c r="AS22" s="42" t="str">
        <f>IF($G22="","",$G22*AR22)</f>
        <v/>
      </c>
      <c r="AT22" s="89"/>
      <c r="AU22" s="208" t="str">
        <f>IF($AR22="","No Quote",IF($AT22="","","No Comply"))</f>
        <v>No Quote</v>
      </c>
      <c r="AV22" s="209"/>
      <c r="AW22" s="87"/>
      <c r="AX22" s="93"/>
      <c r="AY22" s="63" t="str">
        <f>IF(AW22="","",$AW22*$G22)</f>
        <v/>
      </c>
      <c r="AZ22" s="92"/>
      <c r="BA22" s="92"/>
      <c r="BB22" s="77" t="str">
        <f>IF(OR(K22="X",J22=""),"-",J22)</f>
        <v>-</v>
      </c>
      <c r="BC22" s="91" t="str">
        <f>IF(OR(P22="X",O22=""),"-",O22)</f>
        <v>-</v>
      </c>
      <c r="BD22" s="77" t="str">
        <f>IF(OR(U22="X",T22=""),"-",T22)</f>
        <v>-</v>
      </c>
      <c r="BE22" s="77" t="str">
        <f>IF(OR(Z22="X",Y22=""),"-",Y22)</f>
        <v>-</v>
      </c>
      <c r="BF22" s="77" t="str">
        <f>IF(OR(AE22="X",AD22=""),"-",AD22)</f>
        <v>-</v>
      </c>
      <c r="BG22" s="77" t="str">
        <f>IF(OR(AJ22="X",AI22=""),"-",AI22)</f>
        <v>-</v>
      </c>
      <c r="BH22" s="77" t="str">
        <f>IF(OR(AO22="X",AN22=""),"-",AN22)</f>
        <v>-</v>
      </c>
      <c r="BI22" s="77" t="str">
        <f>IF(OR(AT22="X",AS22=""),"-",AS22)</f>
        <v>-</v>
      </c>
      <c r="BJ22" s="78" t="str">
        <f t="shared" ref="BJ22:BJ50" si="6">IFERROR(SMALL($BB22:$BI22,COUNTIF($BB22:$BI22,0)+1),"")</f>
        <v/>
      </c>
      <c r="BK22" s="74" t="str">
        <f t="shared" ref="BK22:BK49" si="7">IF(BJ22=BB22,$BB$19,IF(BJ22=BC22,$BC$19,IF(BJ22=BD22,$BD$19,IF(BJ22=BE22,$BE$19,IF(BJ22=BF22,$BF$19,IF(BJ22=BG22,$BG$19,IF(BJ22=BH22,$BH$19,IF(BJ22=BI22,$BI$19,""))))))))</f>
        <v/>
      </c>
      <c r="BL22" s="72" t="str">
        <f t="shared" ref="BL22:BL50" si="8">IFERROR(SMALL($BB22:$BI22,2),"")</f>
        <v/>
      </c>
      <c r="BM22" s="71" t="str">
        <f>IFERROR(IF(($BL22-$BJ22)/$BJ22&lt;0%,"",($BL22-$BJ22)/$BJ22),"")</f>
        <v/>
      </c>
      <c r="BN22" s="74" t="str">
        <f t="shared" ref="BN22:BN49" si="9">IFERROR(IF(BL22="","",IF(BL22=BB22,$BB$19,IF(BL22=BC22,$BC$19,IF(BL22=BD22,$BD$19,IF(BL22=BE22,$BE$19,IF(BL22=BF22,$BF$19,IF(BL22=BG22,$BG$19,IF(BL22=BH22,$BH$19,IF(BL22=BI22,$BI$19,""))))))))),"")</f>
        <v/>
      </c>
      <c r="BO22" s="72" t="str">
        <f t="shared" ref="BO22:BO50" si="10">IFERROR(SMALL($BB22:$BI22,3),"")</f>
        <v/>
      </c>
      <c r="BP22" s="71" t="str">
        <f>IFERROR(IF((BO22-$BJ22)/$BJ22&lt;0%,"",(BO22-$BJ22)/$BJ22),"")</f>
        <v/>
      </c>
      <c r="BQ22" s="74" t="str">
        <f t="shared" ref="BQ22:BQ49" si="11">IFERROR(IF(BO22="","",IF(BO22=BB22,$BB$19,IF(BO22=BC22,$BC$19,IF(BO22=BD22,$BD$19,IF(BO22=BE22,$BE$19,IF(BO22=BF22,$BF$19,IF(BO22=BG22,$BG$19,IF(BO22=BH22,$BH$19,IF(BO22=BI22,$BI$19,""))))))))),"")</f>
        <v/>
      </c>
      <c r="BS22" s="99">
        <f t="shared" ref="BS22:BS49" si="12">SUMIFS($BJ$22:$BJ$49,$BK$22:$BK$49,BT22)</f>
        <v>0</v>
      </c>
      <c r="BT22" s="100" t="str" cm="1">
        <f t="array" ref="BT22">IFERROR(INDEX(_xlfn.UNIQUE(_xlfn._xlws.FILTER($BK$22:$BK$49,($BK$22:$BK$49&lt;&gt;"")*($BK$22:$BK$49&lt;&gt;"-"))),ROWS($BT22:BT$22)),"")</f>
        <v/>
      </c>
    </row>
    <row r="23" spans="2:72" s="1" customFormat="1" ht="61.5" customHeight="1" x14ac:dyDescent="0.25">
      <c r="B23" s="38">
        <f>B22+1</f>
        <v>2</v>
      </c>
      <c r="C23" s="210"/>
      <c r="D23" s="210"/>
      <c r="E23" s="210"/>
      <c r="F23" s="210"/>
      <c r="G23" s="39"/>
      <c r="H23" s="40"/>
      <c r="I23" s="41"/>
      <c r="J23" s="42" t="str">
        <f t="shared" ref="J23:J49" si="13">IF($G23="","",$G23*I23)</f>
        <v/>
      </c>
      <c r="K23" s="90"/>
      <c r="L23" s="206" t="str">
        <f t="shared" ref="L23:L49" si="14">IF($I23="","No Quote",IF($K23="","","No Comply"))</f>
        <v>No Quote</v>
      </c>
      <c r="M23" s="207"/>
      <c r="N23" s="41"/>
      <c r="O23" s="42" t="str">
        <f t="shared" ref="O23:O49" si="15">IF($G23="","",$G23*N23)</f>
        <v/>
      </c>
      <c r="P23" s="90"/>
      <c r="Q23" s="206" t="str">
        <f t="shared" ref="Q23:Q49" si="16">IF($N23="","No Quote",IF($P23="","","No Comply"))</f>
        <v>No Quote</v>
      </c>
      <c r="R23" s="207"/>
      <c r="S23" s="41"/>
      <c r="T23" s="42" t="str">
        <f t="shared" ref="T23:T49" si="17">IF($G23="","",$G23*S23)</f>
        <v/>
      </c>
      <c r="U23" s="89"/>
      <c r="V23" s="206" t="str">
        <f t="shared" ref="V23:V49" si="18">IF($S23="","No Quote",IF($U23="","","No Comply"))</f>
        <v>No Quote</v>
      </c>
      <c r="W23" s="207"/>
      <c r="X23" s="41"/>
      <c r="Y23" s="42" t="str">
        <f t="shared" ref="Y23:Y49" si="19">IF($G23="","",$G23*X23)</f>
        <v/>
      </c>
      <c r="Z23" s="90"/>
      <c r="AA23" s="208" t="str">
        <f t="shared" ref="AA23:AA49" si="20">IF($X23="","No Quote",IF($Z23="","","No Comply"))</f>
        <v>No Quote</v>
      </c>
      <c r="AB23" s="299"/>
      <c r="AC23" s="41"/>
      <c r="AD23" s="42" t="str">
        <f t="shared" ref="AD23:AD49" si="21">IF($G23="","",$G23*AC23)</f>
        <v/>
      </c>
      <c r="AE23" s="89"/>
      <c r="AF23" s="206" t="str">
        <f t="shared" ref="AF23:AF49" si="22">IF($AC23="","No Quote",IF(AE23="","","No Comply"))</f>
        <v>No Quote</v>
      </c>
      <c r="AG23" s="207"/>
      <c r="AH23" s="41"/>
      <c r="AI23" s="42" t="str">
        <f t="shared" ref="AI23:AI49" si="23">IF($G23="","",$G23*AH23)</f>
        <v/>
      </c>
      <c r="AJ23" s="89"/>
      <c r="AK23" s="206" t="str">
        <f t="shared" ref="AK23:AK49" si="24">IF($AH23="","No Quote",IF($AJ23="","","No Comply"))</f>
        <v>No Quote</v>
      </c>
      <c r="AL23" s="207"/>
      <c r="AM23" s="41"/>
      <c r="AN23" s="42" t="str">
        <f t="shared" ref="AN23:AN49" si="25">IF($G23="","",$G23*AM23)</f>
        <v/>
      </c>
      <c r="AO23" s="89"/>
      <c r="AP23" s="206" t="str">
        <f t="shared" ref="AP23:AP49" si="26">IF($AM23="","No Quote",IF($AO23="","","No Comply"))</f>
        <v>No Quote</v>
      </c>
      <c r="AQ23" s="207"/>
      <c r="AR23" s="41"/>
      <c r="AS23" s="42" t="str">
        <f t="shared" ref="AS23:AS49" si="27">IF($G23="","",$G23*AR23)</f>
        <v/>
      </c>
      <c r="AT23" s="89"/>
      <c r="AU23" s="208" t="str">
        <f t="shared" ref="AU23:AU49" si="28">IF($AR23="","No Quote",IF($AT23="","","No Comply"))</f>
        <v>No Quote</v>
      </c>
      <c r="AV23" s="209"/>
      <c r="AW23" s="87"/>
      <c r="AX23" s="93"/>
      <c r="AY23" s="63" t="str">
        <f t="shared" ref="AY23:AY49" si="29">IF(AW23="","",$AW23*$G23)</f>
        <v/>
      </c>
      <c r="AZ23" s="92"/>
      <c r="BA23" s="92"/>
      <c r="BB23" s="77" t="str">
        <f t="shared" ref="BB23:BB49" si="30">IF(OR(K23="X",J23=""),"-",J23)</f>
        <v>-</v>
      </c>
      <c r="BC23" s="77" t="str">
        <f t="shared" ref="BC23:BC49" si="31">IF(OR(P23="X",O23=""),"-",O23)</f>
        <v>-</v>
      </c>
      <c r="BD23" s="77" t="str">
        <f t="shared" ref="BD23:BD49" si="32">IF(OR(U23="X",T23=""),"-",T23)</f>
        <v>-</v>
      </c>
      <c r="BE23" s="77" t="str">
        <f t="shared" ref="BE23:BE49" si="33">IF(OR(Z23="X",Y23=""),"-",Y23)</f>
        <v>-</v>
      </c>
      <c r="BF23" s="77" t="str">
        <f t="shared" ref="BF23:BF49" si="34">IF(OR(AE23="X",AD23=""),"-",AD23)</f>
        <v>-</v>
      </c>
      <c r="BG23" s="77" t="str">
        <f t="shared" ref="BG23:BG49" si="35">IF(OR(AJ23="X",AI23=""),"-",AI23)</f>
        <v>-</v>
      </c>
      <c r="BH23" s="77" t="str">
        <f t="shared" ref="BH23:BH49" si="36">IF(OR(AO23="X",AN23=""),"-",AN23)</f>
        <v>-</v>
      </c>
      <c r="BI23" s="77" t="str">
        <f t="shared" ref="BI23:BI49" si="37">IF(OR(AT23="X",AS23=""),"-",AS23)</f>
        <v>-</v>
      </c>
      <c r="BJ23" s="78" t="str">
        <f t="shared" si="6"/>
        <v/>
      </c>
      <c r="BK23" s="74" t="str">
        <f t="shared" si="7"/>
        <v/>
      </c>
      <c r="BL23" s="72" t="str">
        <f t="shared" si="8"/>
        <v/>
      </c>
      <c r="BM23" s="71" t="str">
        <f t="shared" ref="BM23:BM50" si="38">IFERROR(IF(($BL23-$BJ23)/$BJ23&lt;0%,"",($BL23-$BJ23)/$BJ23),"")</f>
        <v/>
      </c>
      <c r="BN23" s="74" t="str">
        <f t="shared" si="9"/>
        <v/>
      </c>
      <c r="BO23" s="72" t="str">
        <f t="shared" si="10"/>
        <v/>
      </c>
      <c r="BP23" s="71" t="str">
        <f t="shared" ref="BP23:BP49" si="39">IFERROR(IF((BO23-$BJ23)/$BJ23&lt;0%,"",(BO23-$BJ23)/$BJ23),"")</f>
        <v/>
      </c>
      <c r="BQ23" s="74" t="str">
        <f t="shared" si="11"/>
        <v/>
      </c>
      <c r="BS23" s="99">
        <f t="shared" si="12"/>
        <v>0</v>
      </c>
      <c r="BT23" s="100" t="str" cm="1">
        <f t="array" ref="BT23">IFERROR(INDEX(_xlfn.UNIQUE(_xlfn._xlws.FILTER($BK$22:$BK$49,($BK$22:$BK$49&lt;&gt;"")*($BK$22:$BK$49&lt;&gt;"-"))),ROWS($BT$22:BT23)),"")</f>
        <v/>
      </c>
    </row>
    <row r="24" spans="2:72" s="1" customFormat="1" ht="61.5" customHeight="1" x14ac:dyDescent="0.25">
      <c r="B24" s="38">
        <f t="shared" ref="B24:B49" si="40">B23+1</f>
        <v>3</v>
      </c>
      <c r="C24" s="210"/>
      <c r="D24" s="210"/>
      <c r="E24" s="210"/>
      <c r="F24" s="210"/>
      <c r="G24" s="39"/>
      <c r="H24" s="40"/>
      <c r="I24" s="41"/>
      <c r="J24" s="42" t="str">
        <f t="shared" si="13"/>
        <v/>
      </c>
      <c r="K24" s="90"/>
      <c r="L24" s="206" t="str">
        <f t="shared" si="14"/>
        <v>No Quote</v>
      </c>
      <c r="M24" s="207"/>
      <c r="N24" s="41"/>
      <c r="O24" s="42" t="str">
        <f t="shared" si="15"/>
        <v/>
      </c>
      <c r="P24" s="90"/>
      <c r="Q24" s="206" t="str">
        <f t="shared" si="16"/>
        <v>No Quote</v>
      </c>
      <c r="R24" s="207"/>
      <c r="S24" s="41"/>
      <c r="T24" s="42" t="str">
        <f t="shared" si="17"/>
        <v/>
      </c>
      <c r="U24" s="89"/>
      <c r="V24" s="206" t="str">
        <f t="shared" si="18"/>
        <v>No Quote</v>
      </c>
      <c r="W24" s="207"/>
      <c r="X24" s="41"/>
      <c r="Y24" s="42" t="str">
        <f t="shared" si="19"/>
        <v/>
      </c>
      <c r="Z24" s="90"/>
      <c r="AA24" s="208" t="str">
        <f t="shared" si="20"/>
        <v>No Quote</v>
      </c>
      <c r="AB24" s="299"/>
      <c r="AC24" s="41"/>
      <c r="AD24" s="42" t="str">
        <f t="shared" si="21"/>
        <v/>
      </c>
      <c r="AE24" s="89"/>
      <c r="AF24" s="206" t="str">
        <f t="shared" si="22"/>
        <v>No Quote</v>
      </c>
      <c r="AG24" s="207"/>
      <c r="AH24" s="41"/>
      <c r="AI24" s="42" t="str">
        <f t="shared" si="23"/>
        <v/>
      </c>
      <c r="AJ24" s="89"/>
      <c r="AK24" s="206" t="str">
        <f t="shared" si="24"/>
        <v>No Quote</v>
      </c>
      <c r="AL24" s="207"/>
      <c r="AM24" s="41"/>
      <c r="AN24" s="42" t="str">
        <f t="shared" si="25"/>
        <v/>
      </c>
      <c r="AO24" s="89"/>
      <c r="AP24" s="206" t="str">
        <f t="shared" si="26"/>
        <v>No Quote</v>
      </c>
      <c r="AQ24" s="207"/>
      <c r="AR24" s="41"/>
      <c r="AS24" s="42" t="str">
        <f t="shared" si="27"/>
        <v/>
      </c>
      <c r="AT24" s="89"/>
      <c r="AU24" s="208" t="str">
        <f t="shared" si="28"/>
        <v>No Quote</v>
      </c>
      <c r="AV24" s="209"/>
      <c r="AW24" s="87"/>
      <c r="AX24" s="93"/>
      <c r="AY24" s="63" t="str">
        <f t="shared" si="29"/>
        <v/>
      </c>
      <c r="AZ24" s="92"/>
      <c r="BA24" s="92"/>
      <c r="BB24" s="77" t="str">
        <f t="shared" si="30"/>
        <v>-</v>
      </c>
      <c r="BC24" s="77" t="str">
        <f t="shared" si="31"/>
        <v>-</v>
      </c>
      <c r="BD24" s="77" t="str">
        <f t="shared" si="32"/>
        <v>-</v>
      </c>
      <c r="BE24" s="77" t="str">
        <f t="shared" si="33"/>
        <v>-</v>
      </c>
      <c r="BF24" s="77" t="str">
        <f t="shared" si="34"/>
        <v>-</v>
      </c>
      <c r="BG24" s="77" t="str">
        <f t="shared" si="35"/>
        <v>-</v>
      </c>
      <c r="BH24" s="77" t="str">
        <f t="shared" si="36"/>
        <v>-</v>
      </c>
      <c r="BI24" s="77" t="str">
        <f t="shared" si="37"/>
        <v>-</v>
      </c>
      <c r="BJ24" s="78" t="str">
        <f t="shared" si="6"/>
        <v/>
      </c>
      <c r="BK24" s="74" t="str">
        <f t="shared" si="7"/>
        <v/>
      </c>
      <c r="BL24" s="72" t="str">
        <f t="shared" si="8"/>
        <v/>
      </c>
      <c r="BM24" s="71" t="str">
        <f t="shared" si="38"/>
        <v/>
      </c>
      <c r="BN24" s="74" t="str">
        <f t="shared" si="9"/>
        <v/>
      </c>
      <c r="BO24" s="72" t="str">
        <f t="shared" si="10"/>
        <v/>
      </c>
      <c r="BP24" s="71" t="str">
        <f t="shared" si="39"/>
        <v/>
      </c>
      <c r="BQ24" s="74" t="str">
        <f t="shared" si="11"/>
        <v/>
      </c>
      <c r="BS24" s="99">
        <f t="shared" si="12"/>
        <v>0</v>
      </c>
      <c r="BT24" s="100" t="str" cm="1">
        <f t="array" ref="BT24">IFERROR(INDEX(_xlfn.UNIQUE(_xlfn._xlws.FILTER($BK$22:$BK$49,($BK$22:$BK$49&lt;&gt;"")*($BK$22:$BK$49&lt;&gt;"-"))),ROWS($BT$22:BT24)),"")</f>
        <v/>
      </c>
    </row>
    <row r="25" spans="2:72" s="1" customFormat="1" ht="61.5" customHeight="1" x14ac:dyDescent="0.25">
      <c r="B25" s="38">
        <f t="shared" si="40"/>
        <v>4</v>
      </c>
      <c r="C25" s="210"/>
      <c r="D25" s="210"/>
      <c r="E25" s="210"/>
      <c r="F25" s="210"/>
      <c r="G25" s="39"/>
      <c r="H25" s="40"/>
      <c r="I25" s="41"/>
      <c r="J25" s="42" t="str">
        <f t="shared" si="13"/>
        <v/>
      </c>
      <c r="K25" s="90"/>
      <c r="L25" s="206" t="str">
        <f t="shared" si="14"/>
        <v>No Quote</v>
      </c>
      <c r="M25" s="207"/>
      <c r="N25" s="41"/>
      <c r="O25" s="42" t="str">
        <f t="shared" si="15"/>
        <v/>
      </c>
      <c r="P25" s="90"/>
      <c r="Q25" s="206" t="str">
        <f t="shared" si="16"/>
        <v>No Quote</v>
      </c>
      <c r="R25" s="207"/>
      <c r="S25" s="41"/>
      <c r="T25" s="42" t="str">
        <f t="shared" si="17"/>
        <v/>
      </c>
      <c r="U25" s="89"/>
      <c r="V25" s="206" t="str">
        <f t="shared" si="18"/>
        <v>No Quote</v>
      </c>
      <c r="W25" s="207"/>
      <c r="X25" s="41"/>
      <c r="Y25" s="42" t="str">
        <f t="shared" si="19"/>
        <v/>
      </c>
      <c r="Z25" s="90"/>
      <c r="AA25" s="208" t="str">
        <f t="shared" si="20"/>
        <v>No Quote</v>
      </c>
      <c r="AB25" s="299"/>
      <c r="AC25" s="41"/>
      <c r="AD25" s="42" t="str">
        <f t="shared" si="21"/>
        <v/>
      </c>
      <c r="AE25" s="89"/>
      <c r="AF25" s="206" t="str">
        <f t="shared" si="22"/>
        <v>No Quote</v>
      </c>
      <c r="AG25" s="207"/>
      <c r="AH25" s="41"/>
      <c r="AI25" s="42" t="str">
        <f t="shared" si="23"/>
        <v/>
      </c>
      <c r="AJ25" s="89"/>
      <c r="AK25" s="206" t="str">
        <f t="shared" si="24"/>
        <v>No Quote</v>
      </c>
      <c r="AL25" s="207"/>
      <c r="AM25" s="41"/>
      <c r="AN25" s="42" t="str">
        <f t="shared" si="25"/>
        <v/>
      </c>
      <c r="AO25" s="89"/>
      <c r="AP25" s="206" t="str">
        <f t="shared" si="26"/>
        <v>No Quote</v>
      </c>
      <c r="AQ25" s="207"/>
      <c r="AR25" s="41"/>
      <c r="AS25" s="42" t="str">
        <f t="shared" si="27"/>
        <v/>
      </c>
      <c r="AT25" s="89"/>
      <c r="AU25" s="208" t="str">
        <f t="shared" si="28"/>
        <v>No Quote</v>
      </c>
      <c r="AV25" s="209"/>
      <c r="AW25" s="87"/>
      <c r="AX25" s="93"/>
      <c r="AY25" s="63" t="str">
        <f t="shared" si="29"/>
        <v/>
      </c>
      <c r="AZ25" s="92"/>
      <c r="BA25" s="92"/>
      <c r="BB25" s="77" t="str">
        <f t="shared" si="30"/>
        <v>-</v>
      </c>
      <c r="BC25" s="77" t="str">
        <f t="shared" si="31"/>
        <v>-</v>
      </c>
      <c r="BD25" s="77" t="str">
        <f t="shared" si="32"/>
        <v>-</v>
      </c>
      <c r="BE25" s="77" t="str">
        <f t="shared" si="33"/>
        <v>-</v>
      </c>
      <c r="BF25" s="77" t="str">
        <f t="shared" si="34"/>
        <v>-</v>
      </c>
      <c r="BG25" s="77" t="str">
        <f t="shared" si="35"/>
        <v>-</v>
      </c>
      <c r="BH25" s="77" t="str">
        <f t="shared" si="36"/>
        <v>-</v>
      </c>
      <c r="BI25" s="77" t="str">
        <f t="shared" si="37"/>
        <v>-</v>
      </c>
      <c r="BJ25" s="78" t="str">
        <f t="shared" si="6"/>
        <v/>
      </c>
      <c r="BK25" s="74" t="str">
        <f t="shared" si="7"/>
        <v/>
      </c>
      <c r="BL25" s="72" t="str">
        <f t="shared" si="8"/>
        <v/>
      </c>
      <c r="BM25" s="71" t="str">
        <f t="shared" si="38"/>
        <v/>
      </c>
      <c r="BN25" s="74" t="str">
        <f t="shared" si="9"/>
        <v/>
      </c>
      <c r="BO25" s="72" t="str">
        <f t="shared" si="10"/>
        <v/>
      </c>
      <c r="BP25" s="71" t="str">
        <f t="shared" si="39"/>
        <v/>
      </c>
      <c r="BQ25" s="74" t="str">
        <f t="shared" si="11"/>
        <v/>
      </c>
      <c r="BS25" s="99">
        <f t="shared" si="12"/>
        <v>0</v>
      </c>
      <c r="BT25" s="100" t="str" cm="1">
        <f t="array" ref="BT25">IFERROR(INDEX(_xlfn.UNIQUE(_xlfn._xlws.FILTER($BK$22:$BK$49,($BK$22:$BK$49&lt;&gt;"")*($BK$22:$BK$49&lt;&gt;"-"))),ROWS($BT$22:BT25)),"")</f>
        <v/>
      </c>
    </row>
    <row r="26" spans="2:72" s="1" customFormat="1" ht="61.5" customHeight="1" x14ac:dyDescent="0.25">
      <c r="B26" s="38">
        <f t="shared" si="40"/>
        <v>5</v>
      </c>
      <c r="C26" s="210"/>
      <c r="D26" s="210"/>
      <c r="E26" s="210"/>
      <c r="F26" s="210"/>
      <c r="G26" s="39"/>
      <c r="H26" s="40"/>
      <c r="I26" s="41"/>
      <c r="J26" s="42" t="str">
        <f t="shared" si="13"/>
        <v/>
      </c>
      <c r="K26" s="90"/>
      <c r="L26" s="206" t="str">
        <f t="shared" si="14"/>
        <v>No Quote</v>
      </c>
      <c r="M26" s="207"/>
      <c r="N26" s="41"/>
      <c r="O26" s="42" t="str">
        <f t="shared" si="15"/>
        <v/>
      </c>
      <c r="P26" s="90"/>
      <c r="Q26" s="206" t="str">
        <f t="shared" si="16"/>
        <v>No Quote</v>
      </c>
      <c r="R26" s="207"/>
      <c r="S26" s="41"/>
      <c r="T26" s="42" t="str">
        <f t="shared" si="17"/>
        <v/>
      </c>
      <c r="U26" s="89"/>
      <c r="V26" s="206" t="str">
        <f t="shared" si="18"/>
        <v>No Quote</v>
      </c>
      <c r="W26" s="207"/>
      <c r="X26" s="41"/>
      <c r="Y26" s="42" t="str">
        <f t="shared" si="19"/>
        <v/>
      </c>
      <c r="Z26" s="90"/>
      <c r="AA26" s="208" t="str">
        <f t="shared" si="20"/>
        <v>No Quote</v>
      </c>
      <c r="AB26" s="299"/>
      <c r="AC26" s="41"/>
      <c r="AD26" s="42" t="str">
        <f t="shared" si="21"/>
        <v/>
      </c>
      <c r="AE26" s="89"/>
      <c r="AF26" s="206" t="str">
        <f t="shared" si="22"/>
        <v>No Quote</v>
      </c>
      <c r="AG26" s="207"/>
      <c r="AH26" s="41"/>
      <c r="AI26" s="42" t="str">
        <f t="shared" si="23"/>
        <v/>
      </c>
      <c r="AJ26" s="89"/>
      <c r="AK26" s="206" t="str">
        <f t="shared" si="24"/>
        <v>No Quote</v>
      </c>
      <c r="AL26" s="207"/>
      <c r="AM26" s="41"/>
      <c r="AN26" s="42" t="str">
        <f t="shared" si="25"/>
        <v/>
      </c>
      <c r="AO26" s="89"/>
      <c r="AP26" s="206" t="str">
        <f t="shared" si="26"/>
        <v>No Quote</v>
      </c>
      <c r="AQ26" s="207"/>
      <c r="AR26" s="41"/>
      <c r="AS26" s="42" t="str">
        <f t="shared" si="27"/>
        <v/>
      </c>
      <c r="AT26" s="89"/>
      <c r="AU26" s="208" t="str">
        <f t="shared" si="28"/>
        <v>No Quote</v>
      </c>
      <c r="AV26" s="209"/>
      <c r="AW26" s="87"/>
      <c r="AX26" s="93"/>
      <c r="AY26" s="63" t="str">
        <f t="shared" si="29"/>
        <v/>
      </c>
      <c r="AZ26" s="92"/>
      <c r="BA26" s="92"/>
      <c r="BB26" s="77" t="str">
        <f t="shared" si="30"/>
        <v>-</v>
      </c>
      <c r="BC26" s="77" t="str">
        <f t="shared" si="31"/>
        <v>-</v>
      </c>
      <c r="BD26" s="77" t="str">
        <f t="shared" si="32"/>
        <v>-</v>
      </c>
      <c r="BE26" s="77" t="str">
        <f t="shared" si="33"/>
        <v>-</v>
      </c>
      <c r="BF26" s="77" t="str">
        <f t="shared" si="34"/>
        <v>-</v>
      </c>
      <c r="BG26" s="77" t="str">
        <f t="shared" si="35"/>
        <v>-</v>
      </c>
      <c r="BH26" s="77" t="str">
        <f t="shared" si="36"/>
        <v>-</v>
      </c>
      <c r="BI26" s="77" t="str">
        <f t="shared" si="37"/>
        <v>-</v>
      </c>
      <c r="BJ26" s="78" t="str">
        <f t="shared" si="6"/>
        <v/>
      </c>
      <c r="BK26" s="74" t="str">
        <f t="shared" si="7"/>
        <v/>
      </c>
      <c r="BL26" s="72" t="str">
        <f t="shared" si="8"/>
        <v/>
      </c>
      <c r="BM26" s="71" t="str">
        <f t="shared" si="38"/>
        <v/>
      </c>
      <c r="BN26" s="74" t="str">
        <f t="shared" si="9"/>
        <v/>
      </c>
      <c r="BO26" s="72" t="str">
        <f t="shared" si="10"/>
        <v/>
      </c>
      <c r="BP26" s="71" t="str">
        <f t="shared" si="39"/>
        <v/>
      </c>
      <c r="BQ26" s="74" t="str">
        <f t="shared" si="11"/>
        <v/>
      </c>
      <c r="BS26" s="99">
        <f t="shared" si="12"/>
        <v>0</v>
      </c>
      <c r="BT26" s="100" t="str" cm="1">
        <f t="array" ref="BT26">IFERROR(INDEX(_xlfn.UNIQUE(_xlfn._xlws.FILTER($BK$22:$BK$49,($BK$22:$BK$49&lt;&gt;"")*($BK$22:$BK$49&lt;&gt;"-"))),ROWS($BT$22:BT26)),"")</f>
        <v/>
      </c>
    </row>
    <row r="27" spans="2:72" s="1" customFormat="1" ht="61.5" customHeight="1" outlineLevel="1" x14ac:dyDescent="0.25">
      <c r="B27" s="38">
        <f t="shared" si="40"/>
        <v>6</v>
      </c>
      <c r="C27" s="210"/>
      <c r="D27" s="210"/>
      <c r="E27" s="210"/>
      <c r="F27" s="210"/>
      <c r="G27" s="39"/>
      <c r="H27" s="40"/>
      <c r="I27" s="41"/>
      <c r="J27" s="42" t="str">
        <f t="shared" si="13"/>
        <v/>
      </c>
      <c r="K27" s="90"/>
      <c r="L27" s="206" t="str">
        <f t="shared" si="14"/>
        <v>No Quote</v>
      </c>
      <c r="M27" s="207"/>
      <c r="N27" s="41"/>
      <c r="O27" s="42" t="str">
        <f t="shared" si="15"/>
        <v/>
      </c>
      <c r="P27" s="90"/>
      <c r="Q27" s="206" t="str">
        <f t="shared" si="16"/>
        <v>No Quote</v>
      </c>
      <c r="R27" s="207"/>
      <c r="S27" s="41"/>
      <c r="T27" s="42" t="str">
        <f t="shared" si="17"/>
        <v/>
      </c>
      <c r="U27" s="89"/>
      <c r="V27" s="206" t="str">
        <f t="shared" si="18"/>
        <v>No Quote</v>
      </c>
      <c r="W27" s="207"/>
      <c r="X27" s="41"/>
      <c r="Y27" s="42" t="str">
        <f t="shared" si="19"/>
        <v/>
      </c>
      <c r="Z27" s="90"/>
      <c r="AA27" s="208" t="str">
        <f t="shared" si="20"/>
        <v>No Quote</v>
      </c>
      <c r="AB27" s="299"/>
      <c r="AC27" s="41"/>
      <c r="AD27" s="42" t="str">
        <f t="shared" si="21"/>
        <v/>
      </c>
      <c r="AE27" s="89"/>
      <c r="AF27" s="206" t="str">
        <f t="shared" si="22"/>
        <v>No Quote</v>
      </c>
      <c r="AG27" s="207"/>
      <c r="AH27" s="41"/>
      <c r="AI27" s="42" t="str">
        <f t="shared" si="23"/>
        <v/>
      </c>
      <c r="AJ27" s="89"/>
      <c r="AK27" s="206" t="str">
        <f t="shared" si="24"/>
        <v>No Quote</v>
      </c>
      <c r="AL27" s="207"/>
      <c r="AM27" s="41"/>
      <c r="AN27" s="42" t="str">
        <f t="shared" si="25"/>
        <v/>
      </c>
      <c r="AO27" s="89"/>
      <c r="AP27" s="206" t="str">
        <f t="shared" si="26"/>
        <v>No Quote</v>
      </c>
      <c r="AQ27" s="207"/>
      <c r="AR27" s="41"/>
      <c r="AS27" s="42" t="str">
        <f t="shared" si="27"/>
        <v/>
      </c>
      <c r="AT27" s="89"/>
      <c r="AU27" s="208" t="str">
        <f t="shared" si="28"/>
        <v>No Quote</v>
      </c>
      <c r="AV27" s="209"/>
      <c r="AW27" s="87"/>
      <c r="AX27" s="93"/>
      <c r="AY27" s="63" t="str">
        <f t="shared" si="29"/>
        <v/>
      </c>
      <c r="AZ27" s="92"/>
      <c r="BA27" s="92"/>
      <c r="BB27" s="77" t="str">
        <f t="shared" si="30"/>
        <v>-</v>
      </c>
      <c r="BC27" s="77" t="str">
        <f t="shared" si="31"/>
        <v>-</v>
      </c>
      <c r="BD27" s="77" t="str">
        <f t="shared" si="32"/>
        <v>-</v>
      </c>
      <c r="BE27" s="77" t="str">
        <f t="shared" si="33"/>
        <v>-</v>
      </c>
      <c r="BF27" s="77" t="str">
        <f t="shared" si="34"/>
        <v>-</v>
      </c>
      <c r="BG27" s="77" t="str">
        <f t="shared" si="35"/>
        <v>-</v>
      </c>
      <c r="BH27" s="77" t="str">
        <f t="shared" si="36"/>
        <v>-</v>
      </c>
      <c r="BI27" s="77" t="str">
        <f t="shared" si="37"/>
        <v>-</v>
      </c>
      <c r="BJ27" s="78" t="str">
        <f t="shared" si="6"/>
        <v/>
      </c>
      <c r="BK27" s="74" t="str">
        <f t="shared" si="7"/>
        <v/>
      </c>
      <c r="BL27" s="72" t="str">
        <f t="shared" si="8"/>
        <v/>
      </c>
      <c r="BM27" s="71" t="str">
        <f t="shared" si="38"/>
        <v/>
      </c>
      <c r="BN27" s="74" t="str">
        <f t="shared" si="9"/>
        <v/>
      </c>
      <c r="BO27" s="72" t="str">
        <f t="shared" si="10"/>
        <v/>
      </c>
      <c r="BP27" s="71" t="str">
        <f t="shared" si="39"/>
        <v/>
      </c>
      <c r="BQ27" s="74" t="str">
        <f t="shared" si="11"/>
        <v/>
      </c>
      <c r="BS27" s="99">
        <f t="shared" si="12"/>
        <v>0</v>
      </c>
      <c r="BT27" s="100" t="str" cm="1">
        <f t="array" ref="BT27">IFERROR(INDEX(_xlfn.UNIQUE(_xlfn._xlws.FILTER($BK$22:$BK$49,($BK$22:$BK$49&lt;&gt;"")*($BK$22:$BK$49&lt;&gt;"-"))),ROWS($BT$22:BT27)),"")</f>
        <v/>
      </c>
    </row>
    <row r="28" spans="2:72" s="1" customFormat="1" ht="61.5" customHeight="1" outlineLevel="1" x14ac:dyDescent="0.25">
      <c r="B28" s="38">
        <f t="shared" si="40"/>
        <v>7</v>
      </c>
      <c r="C28" s="210"/>
      <c r="D28" s="210"/>
      <c r="E28" s="210"/>
      <c r="F28" s="210"/>
      <c r="G28" s="39"/>
      <c r="H28" s="40"/>
      <c r="I28" s="41"/>
      <c r="J28" s="42" t="str">
        <f t="shared" si="13"/>
        <v/>
      </c>
      <c r="K28" s="90"/>
      <c r="L28" s="206" t="str">
        <f t="shared" si="14"/>
        <v>No Quote</v>
      </c>
      <c r="M28" s="207"/>
      <c r="N28" s="41"/>
      <c r="O28" s="42" t="str">
        <f t="shared" si="15"/>
        <v/>
      </c>
      <c r="P28" s="90"/>
      <c r="Q28" s="206" t="str">
        <f t="shared" si="16"/>
        <v>No Quote</v>
      </c>
      <c r="R28" s="207"/>
      <c r="S28" s="41"/>
      <c r="T28" s="42" t="str">
        <f t="shared" si="17"/>
        <v/>
      </c>
      <c r="U28" s="89"/>
      <c r="V28" s="206" t="str">
        <f t="shared" si="18"/>
        <v>No Quote</v>
      </c>
      <c r="W28" s="207"/>
      <c r="X28" s="41"/>
      <c r="Y28" s="42" t="str">
        <f t="shared" si="19"/>
        <v/>
      </c>
      <c r="Z28" s="90"/>
      <c r="AA28" s="208" t="str">
        <f t="shared" si="20"/>
        <v>No Quote</v>
      </c>
      <c r="AB28" s="299"/>
      <c r="AC28" s="41"/>
      <c r="AD28" s="42" t="str">
        <f t="shared" si="21"/>
        <v/>
      </c>
      <c r="AE28" s="89"/>
      <c r="AF28" s="206" t="str">
        <f t="shared" si="22"/>
        <v>No Quote</v>
      </c>
      <c r="AG28" s="207"/>
      <c r="AH28" s="41"/>
      <c r="AI28" s="42" t="str">
        <f t="shared" si="23"/>
        <v/>
      </c>
      <c r="AJ28" s="89"/>
      <c r="AK28" s="206" t="str">
        <f t="shared" si="24"/>
        <v>No Quote</v>
      </c>
      <c r="AL28" s="207"/>
      <c r="AM28" s="41"/>
      <c r="AN28" s="42" t="str">
        <f t="shared" si="25"/>
        <v/>
      </c>
      <c r="AO28" s="89"/>
      <c r="AP28" s="206" t="str">
        <f t="shared" si="26"/>
        <v>No Quote</v>
      </c>
      <c r="AQ28" s="207"/>
      <c r="AR28" s="41"/>
      <c r="AS28" s="42" t="str">
        <f t="shared" si="27"/>
        <v/>
      </c>
      <c r="AT28" s="89"/>
      <c r="AU28" s="208" t="str">
        <f t="shared" si="28"/>
        <v>No Quote</v>
      </c>
      <c r="AV28" s="209"/>
      <c r="AW28" s="87"/>
      <c r="AX28" s="93"/>
      <c r="AY28" s="63" t="str">
        <f t="shared" si="29"/>
        <v/>
      </c>
      <c r="AZ28" s="92"/>
      <c r="BA28" s="92"/>
      <c r="BB28" s="77" t="str">
        <f t="shared" si="30"/>
        <v>-</v>
      </c>
      <c r="BC28" s="77" t="str">
        <f t="shared" si="31"/>
        <v>-</v>
      </c>
      <c r="BD28" s="77" t="str">
        <f t="shared" si="32"/>
        <v>-</v>
      </c>
      <c r="BE28" s="77" t="str">
        <f t="shared" si="33"/>
        <v>-</v>
      </c>
      <c r="BF28" s="77" t="str">
        <f t="shared" si="34"/>
        <v>-</v>
      </c>
      <c r="BG28" s="77" t="str">
        <f t="shared" si="35"/>
        <v>-</v>
      </c>
      <c r="BH28" s="77" t="str">
        <f t="shared" si="36"/>
        <v>-</v>
      </c>
      <c r="BI28" s="77" t="str">
        <f t="shared" si="37"/>
        <v>-</v>
      </c>
      <c r="BJ28" s="78" t="str">
        <f t="shared" si="6"/>
        <v/>
      </c>
      <c r="BK28" s="74" t="str">
        <f t="shared" si="7"/>
        <v/>
      </c>
      <c r="BL28" s="72" t="str">
        <f t="shared" si="8"/>
        <v/>
      </c>
      <c r="BM28" s="71" t="str">
        <f t="shared" si="38"/>
        <v/>
      </c>
      <c r="BN28" s="74" t="str">
        <f t="shared" si="9"/>
        <v/>
      </c>
      <c r="BO28" s="72" t="str">
        <f t="shared" si="10"/>
        <v/>
      </c>
      <c r="BP28" s="71" t="str">
        <f t="shared" si="39"/>
        <v/>
      </c>
      <c r="BQ28" s="74" t="str">
        <f t="shared" si="11"/>
        <v/>
      </c>
      <c r="BS28" s="99">
        <f t="shared" si="12"/>
        <v>0</v>
      </c>
      <c r="BT28" s="100" t="str" cm="1">
        <f t="array" ref="BT28">IFERROR(INDEX(_xlfn.UNIQUE(_xlfn._xlws.FILTER($BK$22:$BK$49,($BK$22:$BK$49&lt;&gt;"")*($BK$22:$BK$49&lt;&gt;"-"))),ROWS($BT$22:BT28)),"")</f>
        <v/>
      </c>
    </row>
    <row r="29" spans="2:72" s="1" customFormat="1" ht="61.5" customHeight="1" outlineLevel="1" x14ac:dyDescent="0.25">
      <c r="B29" s="38">
        <f t="shared" si="40"/>
        <v>8</v>
      </c>
      <c r="C29" s="210"/>
      <c r="D29" s="210"/>
      <c r="E29" s="210"/>
      <c r="F29" s="210"/>
      <c r="G29" s="39"/>
      <c r="H29" s="40"/>
      <c r="I29" s="41"/>
      <c r="J29" s="42" t="str">
        <f t="shared" si="13"/>
        <v/>
      </c>
      <c r="K29" s="90"/>
      <c r="L29" s="206" t="str">
        <f t="shared" si="14"/>
        <v>No Quote</v>
      </c>
      <c r="M29" s="207"/>
      <c r="N29" s="41"/>
      <c r="O29" s="42" t="str">
        <f t="shared" si="15"/>
        <v/>
      </c>
      <c r="P29" s="90"/>
      <c r="Q29" s="206" t="str">
        <f t="shared" si="16"/>
        <v>No Quote</v>
      </c>
      <c r="R29" s="207"/>
      <c r="S29" s="41"/>
      <c r="T29" s="42" t="str">
        <f t="shared" si="17"/>
        <v/>
      </c>
      <c r="U29" s="89"/>
      <c r="V29" s="206" t="str">
        <f t="shared" si="18"/>
        <v>No Quote</v>
      </c>
      <c r="W29" s="207"/>
      <c r="X29" s="41"/>
      <c r="Y29" s="42" t="str">
        <f t="shared" si="19"/>
        <v/>
      </c>
      <c r="Z29" s="90"/>
      <c r="AA29" s="208" t="str">
        <f t="shared" si="20"/>
        <v>No Quote</v>
      </c>
      <c r="AB29" s="299"/>
      <c r="AC29" s="41"/>
      <c r="AD29" s="42" t="str">
        <f t="shared" si="21"/>
        <v/>
      </c>
      <c r="AE29" s="89"/>
      <c r="AF29" s="206" t="str">
        <f t="shared" si="22"/>
        <v>No Quote</v>
      </c>
      <c r="AG29" s="207"/>
      <c r="AH29" s="41"/>
      <c r="AI29" s="42" t="str">
        <f t="shared" si="23"/>
        <v/>
      </c>
      <c r="AJ29" s="89"/>
      <c r="AK29" s="206" t="str">
        <f t="shared" si="24"/>
        <v>No Quote</v>
      </c>
      <c r="AL29" s="207"/>
      <c r="AM29" s="41"/>
      <c r="AN29" s="42" t="str">
        <f t="shared" si="25"/>
        <v/>
      </c>
      <c r="AO29" s="89"/>
      <c r="AP29" s="206" t="str">
        <f t="shared" si="26"/>
        <v>No Quote</v>
      </c>
      <c r="AQ29" s="207"/>
      <c r="AR29" s="41"/>
      <c r="AS29" s="42" t="str">
        <f t="shared" si="27"/>
        <v/>
      </c>
      <c r="AT29" s="89"/>
      <c r="AU29" s="208" t="str">
        <f t="shared" si="28"/>
        <v>No Quote</v>
      </c>
      <c r="AV29" s="209"/>
      <c r="AW29" s="87"/>
      <c r="AX29" s="93"/>
      <c r="AY29" s="63" t="str">
        <f t="shared" si="29"/>
        <v/>
      </c>
      <c r="AZ29" s="92"/>
      <c r="BA29" s="92"/>
      <c r="BB29" s="77" t="str">
        <f t="shared" si="30"/>
        <v>-</v>
      </c>
      <c r="BC29" s="77" t="str">
        <f t="shared" si="31"/>
        <v>-</v>
      </c>
      <c r="BD29" s="77" t="str">
        <f t="shared" si="32"/>
        <v>-</v>
      </c>
      <c r="BE29" s="77" t="str">
        <f t="shared" si="33"/>
        <v>-</v>
      </c>
      <c r="BF29" s="77" t="str">
        <f t="shared" si="34"/>
        <v>-</v>
      </c>
      <c r="BG29" s="77" t="str">
        <f t="shared" si="35"/>
        <v>-</v>
      </c>
      <c r="BH29" s="77" t="str">
        <f t="shared" si="36"/>
        <v>-</v>
      </c>
      <c r="BI29" s="77" t="str">
        <f t="shared" si="37"/>
        <v>-</v>
      </c>
      <c r="BJ29" s="78" t="str">
        <f t="shared" si="6"/>
        <v/>
      </c>
      <c r="BK29" s="74" t="str">
        <f t="shared" si="7"/>
        <v/>
      </c>
      <c r="BL29" s="72" t="str">
        <f t="shared" si="8"/>
        <v/>
      </c>
      <c r="BM29" s="71" t="str">
        <f t="shared" si="38"/>
        <v/>
      </c>
      <c r="BN29" s="74" t="str">
        <f t="shared" si="9"/>
        <v/>
      </c>
      <c r="BO29" s="72" t="str">
        <f t="shared" si="10"/>
        <v/>
      </c>
      <c r="BP29" s="71" t="str">
        <f t="shared" si="39"/>
        <v/>
      </c>
      <c r="BQ29" s="74" t="str">
        <f t="shared" si="11"/>
        <v/>
      </c>
      <c r="BS29" s="99">
        <f t="shared" si="12"/>
        <v>0</v>
      </c>
      <c r="BT29" s="100" t="str" cm="1">
        <f t="array" ref="BT29">IFERROR(INDEX(_xlfn.UNIQUE(_xlfn._xlws.FILTER($BK$22:$BK$49,($BK$22:$BK$49&lt;&gt;"")*($BK$22:$BK$49&lt;&gt;"-"))),ROWS($BT$22:BT29)),"")</f>
        <v/>
      </c>
    </row>
    <row r="30" spans="2:72" s="1" customFormat="1" ht="61.5" customHeight="1" outlineLevel="1" x14ac:dyDescent="0.25">
      <c r="B30" s="38">
        <f t="shared" si="40"/>
        <v>9</v>
      </c>
      <c r="C30" s="210"/>
      <c r="D30" s="210"/>
      <c r="E30" s="210"/>
      <c r="F30" s="210"/>
      <c r="G30" s="39"/>
      <c r="H30" s="40"/>
      <c r="I30" s="41"/>
      <c r="J30" s="42" t="str">
        <f t="shared" si="13"/>
        <v/>
      </c>
      <c r="K30" s="90"/>
      <c r="L30" s="206" t="str">
        <f t="shared" si="14"/>
        <v>No Quote</v>
      </c>
      <c r="M30" s="207"/>
      <c r="N30" s="41"/>
      <c r="O30" s="42" t="str">
        <f t="shared" si="15"/>
        <v/>
      </c>
      <c r="P30" s="90"/>
      <c r="Q30" s="206" t="str">
        <f t="shared" si="16"/>
        <v>No Quote</v>
      </c>
      <c r="R30" s="207"/>
      <c r="S30" s="41"/>
      <c r="T30" s="42" t="str">
        <f t="shared" si="17"/>
        <v/>
      </c>
      <c r="U30" s="89"/>
      <c r="V30" s="206" t="str">
        <f t="shared" si="18"/>
        <v>No Quote</v>
      </c>
      <c r="W30" s="207"/>
      <c r="X30" s="41"/>
      <c r="Y30" s="42" t="str">
        <f t="shared" si="19"/>
        <v/>
      </c>
      <c r="Z30" s="90"/>
      <c r="AA30" s="208" t="str">
        <f t="shared" si="20"/>
        <v>No Quote</v>
      </c>
      <c r="AB30" s="299"/>
      <c r="AC30" s="41"/>
      <c r="AD30" s="42" t="str">
        <f t="shared" si="21"/>
        <v/>
      </c>
      <c r="AE30" s="89"/>
      <c r="AF30" s="206" t="str">
        <f t="shared" si="22"/>
        <v>No Quote</v>
      </c>
      <c r="AG30" s="207"/>
      <c r="AH30" s="41"/>
      <c r="AI30" s="42" t="str">
        <f t="shared" si="23"/>
        <v/>
      </c>
      <c r="AJ30" s="89"/>
      <c r="AK30" s="206" t="str">
        <f t="shared" si="24"/>
        <v>No Quote</v>
      </c>
      <c r="AL30" s="207"/>
      <c r="AM30" s="41"/>
      <c r="AN30" s="42" t="str">
        <f t="shared" si="25"/>
        <v/>
      </c>
      <c r="AO30" s="89"/>
      <c r="AP30" s="206" t="str">
        <f t="shared" si="26"/>
        <v>No Quote</v>
      </c>
      <c r="AQ30" s="207"/>
      <c r="AR30" s="41"/>
      <c r="AS30" s="42" t="str">
        <f t="shared" si="27"/>
        <v/>
      </c>
      <c r="AT30" s="89"/>
      <c r="AU30" s="208" t="str">
        <f t="shared" si="28"/>
        <v>No Quote</v>
      </c>
      <c r="AV30" s="209"/>
      <c r="AW30" s="87"/>
      <c r="AX30" s="93"/>
      <c r="AY30" s="63" t="str">
        <f t="shared" si="29"/>
        <v/>
      </c>
      <c r="AZ30" s="92"/>
      <c r="BA30" s="92"/>
      <c r="BB30" s="77" t="str">
        <f t="shared" si="30"/>
        <v>-</v>
      </c>
      <c r="BC30" s="77" t="str">
        <f t="shared" si="31"/>
        <v>-</v>
      </c>
      <c r="BD30" s="77" t="str">
        <f t="shared" si="32"/>
        <v>-</v>
      </c>
      <c r="BE30" s="77" t="str">
        <f t="shared" si="33"/>
        <v>-</v>
      </c>
      <c r="BF30" s="77" t="str">
        <f t="shared" si="34"/>
        <v>-</v>
      </c>
      <c r="BG30" s="77" t="str">
        <f t="shared" si="35"/>
        <v>-</v>
      </c>
      <c r="BH30" s="77" t="str">
        <f t="shared" si="36"/>
        <v>-</v>
      </c>
      <c r="BI30" s="77" t="str">
        <f t="shared" si="37"/>
        <v>-</v>
      </c>
      <c r="BJ30" s="78" t="str">
        <f t="shared" si="6"/>
        <v/>
      </c>
      <c r="BK30" s="74" t="str">
        <f t="shared" si="7"/>
        <v/>
      </c>
      <c r="BL30" s="72" t="str">
        <f t="shared" si="8"/>
        <v/>
      </c>
      <c r="BM30" s="71" t="str">
        <f t="shared" si="38"/>
        <v/>
      </c>
      <c r="BN30" s="74" t="str">
        <f t="shared" si="9"/>
        <v/>
      </c>
      <c r="BO30" s="72" t="str">
        <f t="shared" si="10"/>
        <v/>
      </c>
      <c r="BP30" s="71" t="str">
        <f t="shared" si="39"/>
        <v/>
      </c>
      <c r="BQ30" s="74" t="str">
        <f t="shared" si="11"/>
        <v/>
      </c>
      <c r="BS30" s="99">
        <f t="shared" si="12"/>
        <v>0</v>
      </c>
      <c r="BT30" s="100" t="str" cm="1">
        <f t="array" ref="BT30">IFERROR(INDEX(_xlfn.UNIQUE(_xlfn._xlws.FILTER($BK$22:$BK$49,($BK$22:$BK$49&lt;&gt;"")*($BK$22:$BK$49&lt;&gt;"-"))),ROWS($BT$22:BT30)),"")</f>
        <v/>
      </c>
    </row>
    <row r="31" spans="2:72" s="1" customFormat="1" ht="61.5" customHeight="1" outlineLevel="1" x14ac:dyDescent="0.25">
      <c r="B31" s="38">
        <f t="shared" si="40"/>
        <v>10</v>
      </c>
      <c r="C31" s="210"/>
      <c r="D31" s="210"/>
      <c r="E31" s="210"/>
      <c r="F31" s="210"/>
      <c r="G31" s="39"/>
      <c r="H31" s="40"/>
      <c r="I31" s="41"/>
      <c r="J31" s="42" t="str">
        <f t="shared" si="13"/>
        <v/>
      </c>
      <c r="K31" s="90"/>
      <c r="L31" s="206" t="str">
        <f t="shared" si="14"/>
        <v>No Quote</v>
      </c>
      <c r="M31" s="207"/>
      <c r="N31" s="41"/>
      <c r="O31" s="42" t="str">
        <f t="shared" si="15"/>
        <v/>
      </c>
      <c r="P31" s="90"/>
      <c r="Q31" s="206" t="str">
        <f t="shared" si="16"/>
        <v>No Quote</v>
      </c>
      <c r="R31" s="207"/>
      <c r="S31" s="41"/>
      <c r="T31" s="42" t="str">
        <f t="shared" si="17"/>
        <v/>
      </c>
      <c r="U31" s="89"/>
      <c r="V31" s="206" t="str">
        <f t="shared" si="18"/>
        <v>No Quote</v>
      </c>
      <c r="W31" s="207"/>
      <c r="X31" s="41"/>
      <c r="Y31" s="42" t="str">
        <f t="shared" si="19"/>
        <v/>
      </c>
      <c r="Z31" s="90"/>
      <c r="AA31" s="208" t="str">
        <f t="shared" si="20"/>
        <v>No Quote</v>
      </c>
      <c r="AB31" s="299"/>
      <c r="AC31" s="41"/>
      <c r="AD31" s="42" t="str">
        <f t="shared" si="21"/>
        <v/>
      </c>
      <c r="AE31" s="89"/>
      <c r="AF31" s="206" t="str">
        <f t="shared" si="22"/>
        <v>No Quote</v>
      </c>
      <c r="AG31" s="207"/>
      <c r="AH31" s="41"/>
      <c r="AI31" s="42" t="str">
        <f t="shared" si="23"/>
        <v/>
      </c>
      <c r="AJ31" s="89"/>
      <c r="AK31" s="206" t="str">
        <f t="shared" si="24"/>
        <v>No Quote</v>
      </c>
      <c r="AL31" s="207"/>
      <c r="AM31" s="41"/>
      <c r="AN31" s="42" t="str">
        <f t="shared" si="25"/>
        <v/>
      </c>
      <c r="AO31" s="89"/>
      <c r="AP31" s="206" t="str">
        <f t="shared" si="26"/>
        <v>No Quote</v>
      </c>
      <c r="AQ31" s="207"/>
      <c r="AR31" s="41"/>
      <c r="AS31" s="42" t="str">
        <f t="shared" si="27"/>
        <v/>
      </c>
      <c r="AT31" s="89"/>
      <c r="AU31" s="208" t="str">
        <f t="shared" si="28"/>
        <v>No Quote</v>
      </c>
      <c r="AV31" s="209"/>
      <c r="AW31" s="87"/>
      <c r="AX31" s="93"/>
      <c r="AY31" s="63" t="str">
        <f t="shared" si="29"/>
        <v/>
      </c>
      <c r="AZ31" s="92"/>
      <c r="BA31" s="92"/>
      <c r="BB31" s="77" t="str">
        <f t="shared" si="30"/>
        <v>-</v>
      </c>
      <c r="BC31" s="77" t="str">
        <f t="shared" si="31"/>
        <v>-</v>
      </c>
      <c r="BD31" s="77" t="str">
        <f t="shared" si="32"/>
        <v>-</v>
      </c>
      <c r="BE31" s="77" t="str">
        <f t="shared" si="33"/>
        <v>-</v>
      </c>
      <c r="BF31" s="77" t="str">
        <f t="shared" si="34"/>
        <v>-</v>
      </c>
      <c r="BG31" s="77" t="str">
        <f t="shared" si="35"/>
        <v>-</v>
      </c>
      <c r="BH31" s="77" t="str">
        <f t="shared" si="36"/>
        <v>-</v>
      </c>
      <c r="BI31" s="77" t="str">
        <f t="shared" si="37"/>
        <v>-</v>
      </c>
      <c r="BJ31" s="78" t="str">
        <f t="shared" si="6"/>
        <v/>
      </c>
      <c r="BK31" s="74" t="str">
        <f t="shared" si="7"/>
        <v/>
      </c>
      <c r="BL31" s="72" t="str">
        <f t="shared" si="8"/>
        <v/>
      </c>
      <c r="BM31" s="71" t="str">
        <f t="shared" si="38"/>
        <v/>
      </c>
      <c r="BN31" s="74" t="str">
        <f t="shared" si="9"/>
        <v/>
      </c>
      <c r="BO31" s="72" t="str">
        <f t="shared" si="10"/>
        <v/>
      </c>
      <c r="BP31" s="71" t="str">
        <f t="shared" si="39"/>
        <v/>
      </c>
      <c r="BQ31" s="74" t="str">
        <f t="shared" si="11"/>
        <v/>
      </c>
      <c r="BS31" s="99">
        <f t="shared" si="12"/>
        <v>0</v>
      </c>
      <c r="BT31" s="100" t="str" cm="1">
        <f t="array" ref="BT31">IFERROR(INDEX(_xlfn.UNIQUE(_xlfn._xlws.FILTER($BK$22:$BK$49,($BK$22:$BK$49&lt;&gt;"")*($BK$22:$BK$49&lt;&gt;"-"))),ROWS($BT$22:BT31)),"")</f>
        <v/>
      </c>
    </row>
    <row r="32" spans="2:72" s="1" customFormat="1" ht="61.5" customHeight="1" outlineLevel="1" x14ac:dyDescent="0.25">
      <c r="B32" s="38">
        <f t="shared" si="40"/>
        <v>11</v>
      </c>
      <c r="C32" s="210"/>
      <c r="D32" s="210"/>
      <c r="E32" s="210"/>
      <c r="F32" s="210"/>
      <c r="G32" s="39"/>
      <c r="H32" s="40"/>
      <c r="I32" s="41"/>
      <c r="J32" s="42" t="str">
        <f t="shared" si="13"/>
        <v/>
      </c>
      <c r="K32" s="90"/>
      <c r="L32" s="206" t="str">
        <f t="shared" si="14"/>
        <v>No Quote</v>
      </c>
      <c r="M32" s="207"/>
      <c r="N32" s="41"/>
      <c r="O32" s="42" t="str">
        <f t="shared" si="15"/>
        <v/>
      </c>
      <c r="P32" s="90"/>
      <c r="Q32" s="206" t="str">
        <f t="shared" si="16"/>
        <v>No Quote</v>
      </c>
      <c r="R32" s="207"/>
      <c r="S32" s="41"/>
      <c r="T32" s="42" t="str">
        <f t="shared" si="17"/>
        <v/>
      </c>
      <c r="U32" s="89"/>
      <c r="V32" s="206" t="str">
        <f t="shared" si="18"/>
        <v>No Quote</v>
      </c>
      <c r="W32" s="207"/>
      <c r="X32" s="41"/>
      <c r="Y32" s="42" t="str">
        <f t="shared" si="19"/>
        <v/>
      </c>
      <c r="Z32" s="90"/>
      <c r="AA32" s="208" t="str">
        <f t="shared" si="20"/>
        <v>No Quote</v>
      </c>
      <c r="AB32" s="299"/>
      <c r="AC32" s="41"/>
      <c r="AD32" s="42" t="str">
        <f t="shared" si="21"/>
        <v/>
      </c>
      <c r="AE32" s="89"/>
      <c r="AF32" s="206" t="str">
        <f t="shared" si="22"/>
        <v>No Quote</v>
      </c>
      <c r="AG32" s="207"/>
      <c r="AH32" s="41"/>
      <c r="AI32" s="42" t="str">
        <f t="shared" si="23"/>
        <v/>
      </c>
      <c r="AJ32" s="89"/>
      <c r="AK32" s="206" t="str">
        <f t="shared" si="24"/>
        <v>No Quote</v>
      </c>
      <c r="AL32" s="207"/>
      <c r="AM32" s="41"/>
      <c r="AN32" s="42" t="str">
        <f t="shared" si="25"/>
        <v/>
      </c>
      <c r="AO32" s="89"/>
      <c r="AP32" s="206" t="str">
        <f t="shared" si="26"/>
        <v>No Quote</v>
      </c>
      <c r="AQ32" s="207"/>
      <c r="AR32" s="41"/>
      <c r="AS32" s="42" t="str">
        <f t="shared" si="27"/>
        <v/>
      </c>
      <c r="AT32" s="89"/>
      <c r="AU32" s="208" t="str">
        <f t="shared" si="28"/>
        <v>No Quote</v>
      </c>
      <c r="AV32" s="209"/>
      <c r="AW32" s="87"/>
      <c r="AX32" s="93"/>
      <c r="AY32" s="63" t="str">
        <f t="shared" si="29"/>
        <v/>
      </c>
      <c r="AZ32" s="92"/>
      <c r="BA32" s="92"/>
      <c r="BB32" s="77" t="str">
        <f t="shared" si="30"/>
        <v>-</v>
      </c>
      <c r="BC32" s="77" t="str">
        <f t="shared" si="31"/>
        <v>-</v>
      </c>
      <c r="BD32" s="77" t="str">
        <f t="shared" si="32"/>
        <v>-</v>
      </c>
      <c r="BE32" s="77" t="str">
        <f t="shared" si="33"/>
        <v>-</v>
      </c>
      <c r="BF32" s="77" t="str">
        <f t="shared" si="34"/>
        <v>-</v>
      </c>
      <c r="BG32" s="77" t="str">
        <f t="shared" si="35"/>
        <v>-</v>
      </c>
      <c r="BH32" s="77" t="str">
        <f t="shared" si="36"/>
        <v>-</v>
      </c>
      <c r="BI32" s="77" t="str">
        <f t="shared" si="37"/>
        <v>-</v>
      </c>
      <c r="BJ32" s="78" t="str">
        <f t="shared" si="6"/>
        <v/>
      </c>
      <c r="BK32" s="74" t="str">
        <f t="shared" si="7"/>
        <v/>
      </c>
      <c r="BL32" s="72" t="str">
        <f t="shared" si="8"/>
        <v/>
      </c>
      <c r="BM32" s="71" t="str">
        <f t="shared" si="38"/>
        <v/>
      </c>
      <c r="BN32" s="74" t="str">
        <f t="shared" si="9"/>
        <v/>
      </c>
      <c r="BO32" s="72" t="str">
        <f t="shared" si="10"/>
        <v/>
      </c>
      <c r="BP32" s="71" t="str">
        <f t="shared" si="39"/>
        <v/>
      </c>
      <c r="BQ32" s="74" t="str">
        <f t="shared" si="11"/>
        <v/>
      </c>
      <c r="BS32" s="99">
        <f t="shared" si="12"/>
        <v>0</v>
      </c>
      <c r="BT32" s="100" t="str" cm="1">
        <f t="array" ref="BT32">IFERROR(INDEX(_xlfn.UNIQUE(_xlfn._xlws.FILTER($BK$22:$BK$49,($BK$22:$BK$49&lt;&gt;"")*($BK$22:$BK$49&lt;&gt;"-"))),ROWS($BT$22:BT32)),"")</f>
        <v/>
      </c>
    </row>
    <row r="33" spans="2:72" s="1" customFormat="1" ht="61.5" customHeight="1" outlineLevel="1" x14ac:dyDescent="0.25">
      <c r="B33" s="38">
        <f t="shared" si="40"/>
        <v>12</v>
      </c>
      <c r="C33" s="210"/>
      <c r="D33" s="210"/>
      <c r="E33" s="210"/>
      <c r="F33" s="210"/>
      <c r="G33" s="39"/>
      <c r="H33" s="40"/>
      <c r="I33" s="41"/>
      <c r="J33" s="42" t="str">
        <f t="shared" si="13"/>
        <v/>
      </c>
      <c r="K33" s="90"/>
      <c r="L33" s="206" t="str">
        <f t="shared" si="14"/>
        <v>No Quote</v>
      </c>
      <c r="M33" s="207"/>
      <c r="N33" s="41"/>
      <c r="O33" s="42" t="str">
        <f t="shared" si="15"/>
        <v/>
      </c>
      <c r="P33" s="90"/>
      <c r="Q33" s="206" t="str">
        <f t="shared" si="16"/>
        <v>No Quote</v>
      </c>
      <c r="R33" s="207"/>
      <c r="S33" s="41"/>
      <c r="T33" s="42" t="str">
        <f t="shared" si="17"/>
        <v/>
      </c>
      <c r="U33" s="89"/>
      <c r="V33" s="206" t="str">
        <f t="shared" si="18"/>
        <v>No Quote</v>
      </c>
      <c r="W33" s="207"/>
      <c r="X33" s="41"/>
      <c r="Y33" s="42" t="str">
        <f t="shared" si="19"/>
        <v/>
      </c>
      <c r="Z33" s="90"/>
      <c r="AA33" s="208" t="str">
        <f t="shared" si="20"/>
        <v>No Quote</v>
      </c>
      <c r="AB33" s="299"/>
      <c r="AC33" s="41"/>
      <c r="AD33" s="42" t="str">
        <f t="shared" si="21"/>
        <v/>
      </c>
      <c r="AE33" s="89"/>
      <c r="AF33" s="206" t="str">
        <f t="shared" si="22"/>
        <v>No Quote</v>
      </c>
      <c r="AG33" s="207"/>
      <c r="AH33" s="41"/>
      <c r="AI33" s="42" t="str">
        <f t="shared" si="23"/>
        <v/>
      </c>
      <c r="AJ33" s="89"/>
      <c r="AK33" s="206" t="str">
        <f t="shared" si="24"/>
        <v>No Quote</v>
      </c>
      <c r="AL33" s="207"/>
      <c r="AM33" s="41"/>
      <c r="AN33" s="42" t="str">
        <f t="shared" si="25"/>
        <v/>
      </c>
      <c r="AO33" s="89"/>
      <c r="AP33" s="206" t="str">
        <f t="shared" si="26"/>
        <v>No Quote</v>
      </c>
      <c r="AQ33" s="207"/>
      <c r="AR33" s="41"/>
      <c r="AS33" s="42" t="str">
        <f t="shared" si="27"/>
        <v/>
      </c>
      <c r="AT33" s="89"/>
      <c r="AU33" s="208" t="str">
        <f t="shared" si="28"/>
        <v>No Quote</v>
      </c>
      <c r="AV33" s="209"/>
      <c r="AW33" s="87"/>
      <c r="AX33" s="93"/>
      <c r="AY33" s="63" t="str">
        <f t="shared" si="29"/>
        <v/>
      </c>
      <c r="AZ33" s="92"/>
      <c r="BA33" s="92"/>
      <c r="BB33" s="77" t="str">
        <f t="shared" si="30"/>
        <v>-</v>
      </c>
      <c r="BC33" s="77" t="str">
        <f t="shared" si="31"/>
        <v>-</v>
      </c>
      <c r="BD33" s="77" t="str">
        <f t="shared" si="32"/>
        <v>-</v>
      </c>
      <c r="BE33" s="77" t="str">
        <f t="shared" si="33"/>
        <v>-</v>
      </c>
      <c r="BF33" s="77" t="str">
        <f t="shared" si="34"/>
        <v>-</v>
      </c>
      <c r="BG33" s="77" t="str">
        <f t="shared" si="35"/>
        <v>-</v>
      </c>
      <c r="BH33" s="77" t="str">
        <f t="shared" si="36"/>
        <v>-</v>
      </c>
      <c r="BI33" s="77" t="str">
        <f t="shared" si="37"/>
        <v>-</v>
      </c>
      <c r="BJ33" s="78" t="str">
        <f t="shared" si="6"/>
        <v/>
      </c>
      <c r="BK33" s="74" t="str">
        <f t="shared" si="7"/>
        <v/>
      </c>
      <c r="BL33" s="72" t="str">
        <f t="shared" si="8"/>
        <v/>
      </c>
      <c r="BM33" s="71" t="str">
        <f t="shared" si="38"/>
        <v/>
      </c>
      <c r="BN33" s="74" t="str">
        <f t="shared" si="9"/>
        <v/>
      </c>
      <c r="BO33" s="72" t="str">
        <f t="shared" si="10"/>
        <v/>
      </c>
      <c r="BP33" s="71" t="str">
        <f t="shared" si="39"/>
        <v/>
      </c>
      <c r="BQ33" s="74" t="str">
        <f t="shared" si="11"/>
        <v/>
      </c>
      <c r="BS33" s="99">
        <f t="shared" si="12"/>
        <v>0</v>
      </c>
      <c r="BT33" s="100" t="str" cm="1">
        <f t="array" ref="BT33">IFERROR(INDEX(_xlfn.UNIQUE(_xlfn._xlws.FILTER($BK$22:$BK$49,($BK$22:$BK$49&lt;&gt;"")*($BK$22:$BK$49&lt;&gt;"-"))),ROWS($BT$22:BT33)),"")</f>
        <v/>
      </c>
    </row>
    <row r="34" spans="2:72" s="1" customFormat="1" ht="61.5" customHeight="1" outlineLevel="1" x14ac:dyDescent="0.25">
      <c r="B34" s="38">
        <f t="shared" si="40"/>
        <v>13</v>
      </c>
      <c r="C34" s="210"/>
      <c r="D34" s="210"/>
      <c r="E34" s="210"/>
      <c r="F34" s="210"/>
      <c r="G34" s="39"/>
      <c r="H34" s="40"/>
      <c r="I34" s="41"/>
      <c r="J34" s="42" t="str">
        <f t="shared" si="13"/>
        <v/>
      </c>
      <c r="K34" s="90"/>
      <c r="L34" s="206" t="str">
        <f t="shared" si="14"/>
        <v>No Quote</v>
      </c>
      <c r="M34" s="207"/>
      <c r="N34" s="41"/>
      <c r="O34" s="42" t="str">
        <f t="shared" si="15"/>
        <v/>
      </c>
      <c r="P34" s="90"/>
      <c r="Q34" s="206" t="str">
        <f t="shared" si="16"/>
        <v>No Quote</v>
      </c>
      <c r="R34" s="207"/>
      <c r="S34" s="41"/>
      <c r="T34" s="42" t="str">
        <f t="shared" si="17"/>
        <v/>
      </c>
      <c r="U34" s="89"/>
      <c r="V34" s="206" t="str">
        <f t="shared" si="18"/>
        <v>No Quote</v>
      </c>
      <c r="W34" s="207"/>
      <c r="X34" s="41"/>
      <c r="Y34" s="42" t="str">
        <f t="shared" si="19"/>
        <v/>
      </c>
      <c r="Z34" s="90"/>
      <c r="AA34" s="208" t="str">
        <f t="shared" si="20"/>
        <v>No Quote</v>
      </c>
      <c r="AB34" s="299"/>
      <c r="AC34" s="41"/>
      <c r="AD34" s="42" t="str">
        <f t="shared" si="21"/>
        <v/>
      </c>
      <c r="AE34" s="89"/>
      <c r="AF34" s="206" t="str">
        <f t="shared" si="22"/>
        <v>No Quote</v>
      </c>
      <c r="AG34" s="207"/>
      <c r="AH34" s="41"/>
      <c r="AI34" s="42" t="str">
        <f t="shared" si="23"/>
        <v/>
      </c>
      <c r="AJ34" s="89"/>
      <c r="AK34" s="206" t="str">
        <f t="shared" si="24"/>
        <v>No Quote</v>
      </c>
      <c r="AL34" s="207"/>
      <c r="AM34" s="41"/>
      <c r="AN34" s="42" t="str">
        <f t="shared" si="25"/>
        <v/>
      </c>
      <c r="AO34" s="89"/>
      <c r="AP34" s="206" t="str">
        <f t="shared" si="26"/>
        <v>No Quote</v>
      </c>
      <c r="AQ34" s="207"/>
      <c r="AR34" s="41"/>
      <c r="AS34" s="42" t="str">
        <f t="shared" si="27"/>
        <v/>
      </c>
      <c r="AT34" s="89"/>
      <c r="AU34" s="208" t="str">
        <f t="shared" si="28"/>
        <v>No Quote</v>
      </c>
      <c r="AV34" s="209"/>
      <c r="AW34" s="87"/>
      <c r="AX34" s="93"/>
      <c r="AY34" s="63" t="str">
        <f t="shared" si="29"/>
        <v/>
      </c>
      <c r="AZ34" s="92"/>
      <c r="BA34" s="92"/>
      <c r="BB34" s="77" t="str">
        <f t="shared" si="30"/>
        <v>-</v>
      </c>
      <c r="BC34" s="77" t="str">
        <f t="shared" si="31"/>
        <v>-</v>
      </c>
      <c r="BD34" s="77" t="str">
        <f t="shared" si="32"/>
        <v>-</v>
      </c>
      <c r="BE34" s="77" t="str">
        <f t="shared" si="33"/>
        <v>-</v>
      </c>
      <c r="BF34" s="77" t="str">
        <f t="shared" si="34"/>
        <v>-</v>
      </c>
      <c r="BG34" s="77" t="str">
        <f t="shared" si="35"/>
        <v>-</v>
      </c>
      <c r="BH34" s="77" t="str">
        <f t="shared" si="36"/>
        <v>-</v>
      </c>
      <c r="BI34" s="77" t="str">
        <f t="shared" si="37"/>
        <v>-</v>
      </c>
      <c r="BJ34" s="78" t="str">
        <f t="shared" si="6"/>
        <v/>
      </c>
      <c r="BK34" s="74" t="str">
        <f t="shared" si="7"/>
        <v/>
      </c>
      <c r="BL34" s="72" t="str">
        <f t="shared" si="8"/>
        <v/>
      </c>
      <c r="BM34" s="71" t="str">
        <f t="shared" si="38"/>
        <v/>
      </c>
      <c r="BN34" s="74" t="str">
        <f t="shared" si="9"/>
        <v/>
      </c>
      <c r="BO34" s="72" t="str">
        <f t="shared" si="10"/>
        <v/>
      </c>
      <c r="BP34" s="71" t="str">
        <f t="shared" si="39"/>
        <v/>
      </c>
      <c r="BQ34" s="74" t="str">
        <f t="shared" si="11"/>
        <v/>
      </c>
      <c r="BS34" s="99">
        <f t="shared" si="12"/>
        <v>0</v>
      </c>
      <c r="BT34" s="100" t="str" cm="1">
        <f t="array" ref="BT34">IFERROR(INDEX(_xlfn.UNIQUE(_xlfn._xlws.FILTER($BK$22:$BK$49,($BK$22:$BK$49&lt;&gt;"")*($BK$22:$BK$49&lt;&gt;"-"))),ROWS($BT$22:BT34)),"")</f>
        <v/>
      </c>
    </row>
    <row r="35" spans="2:72" s="1" customFormat="1" ht="61.5" customHeight="1" outlineLevel="1" x14ac:dyDescent="0.25">
      <c r="B35" s="38">
        <f t="shared" si="40"/>
        <v>14</v>
      </c>
      <c r="C35" s="210"/>
      <c r="D35" s="210"/>
      <c r="E35" s="210"/>
      <c r="F35" s="210"/>
      <c r="G35" s="39"/>
      <c r="H35" s="40"/>
      <c r="I35" s="41"/>
      <c r="J35" s="42" t="str">
        <f t="shared" si="13"/>
        <v/>
      </c>
      <c r="K35" s="90"/>
      <c r="L35" s="206" t="str">
        <f t="shared" si="14"/>
        <v>No Quote</v>
      </c>
      <c r="M35" s="207"/>
      <c r="N35" s="41"/>
      <c r="O35" s="42" t="str">
        <f t="shared" si="15"/>
        <v/>
      </c>
      <c r="P35" s="90"/>
      <c r="Q35" s="206" t="str">
        <f t="shared" si="16"/>
        <v>No Quote</v>
      </c>
      <c r="R35" s="207"/>
      <c r="S35" s="41"/>
      <c r="T35" s="42" t="str">
        <f t="shared" si="17"/>
        <v/>
      </c>
      <c r="U35" s="89"/>
      <c r="V35" s="206" t="str">
        <f t="shared" si="18"/>
        <v>No Quote</v>
      </c>
      <c r="W35" s="207"/>
      <c r="X35" s="41"/>
      <c r="Y35" s="42" t="str">
        <f t="shared" si="19"/>
        <v/>
      </c>
      <c r="Z35" s="90"/>
      <c r="AA35" s="208" t="str">
        <f t="shared" si="20"/>
        <v>No Quote</v>
      </c>
      <c r="AB35" s="299"/>
      <c r="AC35" s="41"/>
      <c r="AD35" s="42" t="str">
        <f t="shared" si="21"/>
        <v/>
      </c>
      <c r="AE35" s="89"/>
      <c r="AF35" s="206" t="str">
        <f t="shared" si="22"/>
        <v>No Quote</v>
      </c>
      <c r="AG35" s="207"/>
      <c r="AH35" s="41"/>
      <c r="AI35" s="42" t="str">
        <f t="shared" si="23"/>
        <v/>
      </c>
      <c r="AJ35" s="89"/>
      <c r="AK35" s="206" t="str">
        <f t="shared" si="24"/>
        <v>No Quote</v>
      </c>
      <c r="AL35" s="207"/>
      <c r="AM35" s="41"/>
      <c r="AN35" s="42" t="str">
        <f t="shared" si="25"/>
        <v/>
      </c>
      <c r="AO35" s="89"/>
      <c r="AP35" s="206" t="str">
        <f t="shared" si="26"/>
        <v>No Quote</v>
      </c>
      <c r="AQ35" s="207"/>
      <c r="AR35" s="41"/>
      <c r="AS35" s="42" t="str">
        <f t="shared" si="27"/>
        <v/>
      </c>
      <c r="AT35" s="89"/>
      <c r="AU35" s="208" t="str">
        <f t="shared" si="28"/>
        <v>No Quote</v>
      </c>
      <c r="AV35" s="209"/>
      <c r="AW35" s="87"/>
      <c r="AX35" s="93"/>
      <c r="AY35" s="63" t="str">
        <f t="shared" si="29"/>
        <v/>
      </c>
      <c r="AZ35" s="92"/>
      <c r="BA35" s="92"/>
      <c r="BB35" s="77" t="str">
        <f t="shared" si="30"/>
        <v>-</v>
      </c>
      <c r="BC35" s="77" t="str">
        <f t="shared" si="31"/>
        <v>-</v>
      </c>
      <c r="BD35" s="77" t="str">
        <f t="shared" si="32"/>
        <v>-</v>
      </c>
      <c r="BE35" s="77" t="str">
        <f t="shared" si="33"/>
        <v>-</v>
      </c>
      <c r="BF35" s="77" t="str">
        <f t="shared" si="34"/>
        <v>-</v>
      </c>
      <c r="BG35" s="77" t="str">
        <f t="shared" si="35"/>
        <v>-</v>
      </c>
      <c r="BH35" s="77" t="str">
        <f t="shared" si="36"/>
        <v>-</v>
      </c>
      <c r="BI35" s="77" t="str">
        <f t="shared" si="37"/>
        <v>-</v>
      </c>
      <c r="BJ35" s="78" t="str">
        <f t="shared" si="6"/>
        <v/>
      </c>
      <c r="BK35" s="74" t="str">
        <f t="shared" si="7"/>
        <v/>
      </c>
      <c r="BL35" s="72" t="str">
        <f t="shared" si="8"/>
        <v/>
      </c>
      <c r="BM35" s="71" t="str">
        <f t="shared" si="38"/>
        <v/>
      </c>
      <c r="BN35" s="74" t="str">
        <f t="shared" si="9"/>
        <v/>
      </c>
      <c r="BO35" s="72" t="str">
        <f t="shared" si="10"/>
        <v/>
      </c>
      <c r="BP35" s="71" t="str">
        <f t="shared" si="39"/>
        <v/>
      </c>
      <c r="BQ35" s="74" t="str">
        <f t="shared" si="11"/>
        <v/>
      </c>
      <c r="BS35" s="99">
        <f t="shared" si="12"/>
        <v>0</v>
      </c>
      <c r="BT35" s="100" t="str" cm="1">
        <f t="array" ref="BT35">IFERROR(INDEX(_xlfn.UNIQUE(_xlfn._xlws.FILTER($BK$22:$BK$49,($BK$22:$BK$49&lt;&gt;"")*($BK$22:$BK$49&lt;&gt;"-"))),ROWS($BT$22:BT35)),"")</f>
        <v/>
      </c>
    </row>
    <row r="36" spans="2:72" s="1" customFormat="1" ht="61.5" customHeight="1" outlineLevel="1" x14ac:dyDescent="0.25">
      <c r="B36" s="38">
        <f t="shared" si="40"/>
        <v>15</v>
      </c>
      <c r="C36" s="210"/>
      <c r="D36" s="210"/>
      <c r="E36" s="210"/>
      <c r="F36" s="210"/>
      <c r="G36" s="39"/>
      <c r="H36" s="40"/>
      <c r="I36" s="41"/>
      <c r="J36" s="42" t="str">
        <f t="shared" si="13"/>
        <v/>
      </c>
      <c r="K36" s="90"/>
      <c r="L36" s="206" t="str">
        <f t="shared" si="14"/>
        <v>No Quote</v>
      </c>
      <c r="M36" s="207"/>
      <c r="N36" s="41"/>
      <c r="O36" s="42" t="str">
        <f t="shared" si="15"/>
        <v/>
      </c>
      <c r="P36" s="90"/>
      <c r="Q36" s="206" t="str">
        <f t="shared" si="16"/>
        <v>No Quote</v>
      </c>
      <c r="R36" s="207"/>
      <c r="S36" s="41"/>
      <c r="T36" s="42" t="str">
        <f t="shared" si="17"/>
        <v/>
      </c>
      <c r="U36" s="89"/>
      <c r="V36" s="206" t="str">
        <f t="shared" si="18"/>
        <v>No Quote</v>
      </c>
      <c r="W36" s="207"/>
      <c r="X36" s="41"/>
      <c r="Y36" s="42" t="str">
        <f t="shared" si="19"/>
        <v/>
      </c>
      <c r="Z36" s="90"/>
      <c r="AA36" s="208" t="str">
        <f t="shared" si="20"/>
        <v>No Quote</v>
      </c>
      <c r="AB36" s="299"/>
      <c r="AC36" s="41"/>
      <c r="AD36" s="42" t="str">
        <f t="shared" si="21"/>
        <v/>
      </c>
      <c r="AE36" s="89"/>
      <c r="AF36" s="206" t="str">
        <f t="shared" si="22"/>
        <v>No Quote</v>
      </c>
      <c r="AG36" s="207"/>
      <c r="AH36" s="41"/>
      <c r="AI36" s="42" t="str">
        <f t="shared" si="23"/>
        <v/>
      </c>
      <c r="AJ36" s="89"/>
      <c r="AK36" s="206" t="str">
        <f t="shared" si="24"/>
        <v>No Quote</v>
      </c>
      <c r="AL36" s="207"/>
      <c r="AM36" s="41"/>
      <c r="AN36" s="42" t="str">
        <f t="shared" si="25"/>
        <v/>
      </c>
      <c r="AO36" s="89"/>
      <c r="AP36" s="206" t="str">
        <f t="shared" si="26"/>
        <v>No Quote</v>
      </c>
      <c r="AQ36" s="207"/>
      <c r="AR36" s="41"/>
      <c r="AS36" s="42" t="str">
        <f t="shared" si="27"/>
        <v/>
      </c>
      <c r="AT36" s="89"/>
      <c r="AU36" s="208" t="str">
        <f t="shared" si="28"/>
        <v>No Quote</v>
      </c>
      <c r="AV36" s="209"/>
      <c r="AW36" s="87"/>
      <c r="AX36" s="93"/>
      <c r="AY36" s="63" t="str">
        <f t="shared" si="29"/>
        <v/>
      </c>
      <c r="AZ36" s="92"/>
      <c r="BA36" s="92"/>
      <c r="BB36" s="77" t="str">
        <f t="shared" si="30"/>
        <v>-</v>
      </c>
      <c r="BC36" s="77" t="str">
        <f t="shared" si="31"/>
        <v>-</v>
      </c>
      <c r="BD36" s="77" t="str">
        <f t="shared" si="32"/>
        <v>-</v>
      </c>
      <c r="BE36" s="77" t="str">
        <f t="shared" si="33"/>
        <v>-</v>
      </c>
      <c r="BF36" s="77" t="str">
        <f t="shared" si="34"/>
        <v>-</v>
      </c>
      <c r="BG36" s="77" t="str">
        <f t="shared" si="35"/>
        <v>-</v>
      </c>
      <c r="BH36" s="77" t="str">
        <f t="shared" si="36"/>
        <v>-</v>
      </c>
      <c r="BI36" s="77" t="str">
        <f t="shared" si="37"/>
        <v>-</v>
      </c>
      <c r="BJ36" s="78" t="str">
        <f t="shared" si="6"/>
        <v/>
      </c>
      <c r="BK36" s="74" t="str">
        <f t="shared" si="7"/>
        <v/>
      </c>
      <c r="BL36" s="72" t="str">
        <f t="shared" si="8"/>
        <v/>
      </c>
      <c r="BM36" s="71" t="str">
        <f t="shared" si="38"/>
        <v/>
      </c>
      <c r="BN36" s="74" t="str">
        <f t="shared" si="9"/>
        <v/>
      </c>
      <c r="BO36" s="72" t="str">
        <f t="shared" si="10"/>
        <v/>
      </c>
      <c r="BP36" s="71" t="str">
        <f t="shared" si="39"/>
        <v/>
      </c>
      <c r="BQ36" s="74" t="str">
        <f t="shared" si="11"/>
        <v/>
      </c>
      <c r="BS36" s="99">
        <f t="shared" si="12"/>
        <v>0</v>
      </c>
      <c r="BT36" s="100" t="str" cm="1">
        <f t="array" ref="BT36">IFERROR(INDEX(_xlfn.UNIQUE(_xlfn._xlws.FILTER($BK$22:$BK$49,($BK$22:$BK$49&lt;&gt;"")*($BK$22:$BK$49&lt;&gt;"-"))),ROWS($BT$22:BT36)),"")</f>
        <v/>
      </c>
    </row>
    <row r="37" spans="2:72" s="1" customFormat="1" ht="61.5" customHeight="1" outlineLevel="1" x14ac:dyDescent="0.25">
      <c r="B37" s="38">
        <f t="shared" si="40"/>
        <v>16</v>
      </c>
      <c r="C37" s="210"/>
      <c r="D37" s="210"/>
      <c r="E37" s="210"/>
      <c r="F37" s="210"/>
      <c r="G37" s="39"/>
      <c r="H37" s="40"/>
      <c r="I37" s="41"/>
      <c r="J37" s="42" t="str">
        <f t="shared" si="13"/>
        <v/>
      </c>
      <c r="K37" s="90"/>
      <c r="L37" s="206" t="str">
        <f t="shared" si="14"/>
        <v>No Quote</v>
      </c>
      <c r="M37" s="207"/>
      <c r="N37" s="41"/>
      <c r="O37" s="42" t="str">
        <f t="shared" si="15"/>
        <v/>
      </c>
      <c r="P37" s="90"/>
      <c r="Q37" s="206" t="str">
        <f t="shared" si="16"/>
        <v>No Quote</v>
      </c>
      <c r="R37" s="207"/>
      <c r="S37" s="41"/>
      <c r="T37" s="42" t="str">
        <f t="shared" si="17"/>
        <v/>
      </c>
      <c r="U37" s="89"/>
      <c r="V37" s="206" t="str">
        <f t="shared" si="18"/>
        <v>No Quote</v>
      </c>
      <c r="W37" s="207"/>
      <c r="X37" s="41"/>
      <c r="Y37" s="42" t="str">
        <f t="shared" si="19"/>
        <v/>
      </c>
      <c r="Z37" s="90"/>
      <c r="AA37" s="208" t="str">
        <f t="shared" si="20"/>
        <v>No Quote</v>
      </c>
      <c r="AB37" s="299"/>
      <c r="AC37" s="41"/>
      <c r="AD37" s="42" t="str">
        <f t="shared" si="21"/>
        <v/>
      </c>
      <c r="AE37" s="89"/>
      <c r="AF37" s="206" t="str">
        <f t="shared" si="22"/>
        <v>No Quote</v>
      </c>
      <c r="AG37" s="207"/>
      <c r="AH37" s="41"/>
      <c r="AI37" s="42" t="str">
        <f t="shared" si="23"/>
        <v/>
      </c>
      <c r="AJ37" s="89"/>
      <c r="AK37" s="206" t="str">
        <f t="shared" si="24"/>
        <v>No Quote</v>
      </c>
      <c r="AL37" s="207"/>
      <c r="AM37" s="41"/>
      <c r="AN37" s="42" t="str">
        <f t="shared" si="25"/>
        <v/>
      </c>
      <c r="AO37" s="89"/>
      <c r="AP37" s="206" t="str">
        <f t="shared" si="26"/>
        <v>No Quote</v>
      </c>
      <c r="AQ37" s="207"/>
      <c r="AR37" s="41"/>
      <c r="AS37" s="42" t="str">
        <f t="shared" si="27"/>
        <v/>
      </c>
      <c r="AT37" s="89"/>
      <c r="AU37" s="208" t="str">
        <f t="shared" si="28"/>
        <v>No Quote</v>
      </c>
      <c r="AV37" s="209"/>
      <c r="AW37" s="87"/>
      <c r="AX37" s="93"/>
      <c r="AY37" s="63" t="str">
        <f t="shared" si="29"/>
        <v/>
      </c>
      <c r="AZ37" s="92"/>
      <c r="BA37" s="92"/>
      <c r="BB37" s="77" t="str">
        <f t="shared" si="30"/>
        <v>-</v>
      </c>
      <c r="BC37" s="77" t="str">
        <f t="shared" si="31"/>
        <v>-</v>
      </c>
      <c r="BD37" s="77" t="str">
        <f t="shared" si="32"/>
        <v>-</v>
      </c>
      <c r="BE37" s="77" t="str">
        <f t="shared" si="33"/>
        <v>-</v>
      </c>
      <c r="BF37" s="77" t="str">
        <f t="shared" si="34"/>
        <v>-</v>
      </c>
      <c r="BG37" s="77" t="str">
        <f t="shared" si="35"/>
        <v>-</v>
      </c>
      <c r="BH37" s="77" t="str">
        <f t="shared" si="36"/>
        <v>-</v>
      </c>
      <c r="BI37" s="77" t="str">
        <f t="shared" si="37"/>
        <v>-</v>
      </c>
      <c r="BJ37" s="78" t="str">
        <f t="shared" si="6"/>
        <v/>
      </c>
      <c r="BK37" s="74" t="str">
        <f t="shared" si="7"/>
        <v/>
      </c>
      <c r="BL37" s="72" t="str">
        <f t="shared" si="8"/>
        <v/>
      </c>
      <c r="BM37" s="71" t="str">
        <f t="shared" si="38"/>
        <v/>
      </c>
      <c r="BN37" s="74" t="str">
        <f t="shared" si="9"/>
        <v/>
      </c>
      <c r="BO37" s="72" t="str">
        <f t="shared" si="10"/>
        <v/>
      </c>
      <c r="BP37" s="71" t="str">
        <f t="shared" si="39"/>
        <v/>
      </c>
      <c r="BQ37" s="74" t="str">
        <f t="shared" si="11"/>
        <v/>
      </c>
      <c r="BS37" s="99">
        <f t="shared" si="12"/>
        <v>0</v>
      </c>
      <c r="BT37" s="100" t="str" cm="1">
        <f t="array" ref="BT37">IFERROR(INDEX(_xlfn.UNIQUE(_xlfn._xlws.FILTER($BK$22:$BK$49,($BK$22:$BK$49&lt;&gt;"")*($BK$22:$BK$49&lt;&gt;"-"))),ROWS($BT$22:BT37)),"")</f>
        <v/>
      </c>
    </row>
    <row r="38" spans="2:72" s="1" customFormat="1" ht="61.5" customHeight="1" outlineLevel="1" x14ac:dyDescent="0.25">
      <c r="B38" s="38">
        <f t="shared" si="40"/>
        <v>17</v>
      </c>
      <c r="C38" s="210"/>
      <c r="D38" s="210"/>
      <c r="E38" s="210"/>
      <c r="F38" s="210"/>
      <c r="G38" s="39"/>
      <c r="H38" s="40"/>
      <c r="I38" s="41"/>
      <c r="J38" s="42" t="str">
        <f t="shared" si="13"/>
        <v/>
      </c>
      <c r="K38" s="90"/>
      <c r="L38" s="206" t="str">
        <f t="shared" si="14"/>
        <v>No Quote</v>
      </c>
      <c r="M38" s="207"/>
      <c r="N38" s="41"/>
      <c r="O38" s="42" t="str">
        <f t="shared" si="15"/>
        <v/>
      </c>
      <c r="P38" s="90"/>
      <c r="Q38" s="206" t="str">
        <f t="shared" si="16"/>
        <v>No Quote</v>
      </c>
      <c r="R38" s="207"/>
      <c r="S38" s="41"/>
      <c r="T38" s="42" t="str">
        <f t="shared" si="17"/>
        <v/>
      </c>
      <c r="U38" s="89"/>
      <c r="V38" s="206" t="str">
        <f t="shared" si="18"/>
        <v>No Quote</v>
      </c>
      <c r="W38" s="207"/>
      <c r="X38" s="41"/>
      <c r="Y38" s="42" t="str">
        <f t="shared" si="19"/>
        <v/>
      </c>
      <c r="Z38" s="90"/>
      <c r="AA38" s="208" t="str">
        <f t="shared" si="20"/>
        <v>No Quote</v>
      </c>
      <c r="AB38" s="299"/>
      <c r="AC38" s="41"/>
      <c r="AD38" s="42" t="str">
        <f t="shared" si="21"/>
        <v/>
      </c>
      <c r="AE38" s="89"/>
      <c r="AF38" s="206" t="str">
        <f t="shared" si="22"/>
        <v>No Quote</v>
      </c>
      <c r="AG38" s="207"/>
      <c r="AH38" s="41"/>
      <c r="AI38" s="42" t="str">
        <f t="shared" si="23"/>
        <v/>
      </c>
      <c r="AJ38" s="89"/>
      <c r="AK38" s="206" t="str">
        <f t="shared" si="24"/>
        <v>No Quote</v>
      </c>
      <c r="AL38" s="207"/>
      <c r="AM38" s="41"/>
      <c r="AN38" s="42" t="str">
        <f t="shared" si="25"/>
        <v/>
      </c>
      <c r="AO38" s="89"/>
      <c r="AP38" s="206" t="str">
        <f t="shared" si="26"/>
        <v>No Quote</v>
      </c>
      <c r="AQ38" s="207"/>
      <c r="AR38" s="41"/>
      <c r="AS38" s="42" t="str">
        <f t="shared" si="27"/>
        <v/>
      </c>
      <c r="AT38" s="89"/>
      <c r="AU38" s="208" t="str">
        <f t="shared" si="28"/>
        <v>No Quote</v>
      </c>
      <c r="AV38" s="209"/>
      <c r="AW38" s="87"/>
      <c r="AX38" s="93"/>
      <c r="AY38" s="63" t="str">
        <f t="shared" si="29"/>
        <v/>
      </c>
      <c r="AZ38" s="92"/>
      <c r="BA38" s="92"/>
      <c r="BB38" s="77" t="str">
        <f t="shared" si="30"/>
        <v>-</v>
      </c>
      <c r="BC38" s="77" t="str">
        <f t="shared" si="31"/>
        <v>-</v>
      </c>
      <c r="BD38" s="77" t="str">
        <f t="shared" si="32"/>
        <v>-</v>
      </c>
      <c r="BE38" s="77" t="str">
        <f t="shared" si="33"/>
        <v>-</v>
      </c>
      <c r="BF38" s="77" t="str">
        <f t="shared" si="34"/>
        <v>-</v>
      </c>
      <c r="BG38" s="77" t="str">
        <f t="shared" si="35"/>
        <v>-</v>
      </c>
      <c r="BH38" s="77" t="str">
        <f t="shared" si="36"/>
        <v>-</v>
      </c>
      <c r="BI38" s="77" t="str">
        <f t="shared" si="37"/>
        <v>-</v>
      </c>
      <c r="BJ38" s="78" t="str">
        <f t="shared" si="6"/>
        <v/>
      </c>
      <c r="BK38" s="74" t="str">
        <f t="shared" si="7"/>
        <v/>
      </c>
      <c r="BL38" s="72" t="str">
        <f t="shared" si="8"/>
        <v/>
      </c>
      <c r="BM38" s="71" t="str">
        <f t="shared" si="38"/>
        <v/>
      </c>
      <c r="BN38" s="74" t="str">
        <f t="shared" si="9"/>
        <v/>
      </c>
      <c r="BO38" s="72" t="str">
        <f t="shared" si="10"/>
        <v/>
      </c>
      <c r="BP38" s="71" t="str">
        <f t="shared" si="39"/>
        <v/>
      </c>
      <c r="BQ38" s="74" t="str">
        <f t="shared" si="11"/>
        <v/>
      </c>
      <c r="BS38" s="99">
        <f t="shared" si="12"/>
        <v>0</v>
      </c>
      <c r="BT38" s="100" t="str" cm="1">
        <f t="array" ref="BT38">IFERROR(INDEX(_xlfn.UNIQUE(_xlfn._xlws.FILTER($BK$22:$BK$49,($BK$22:$BK$49&lt;&gt;"")*($BK$22:$BK$49&lt;&gt;"-"))),ROWS($BT$22:BT38)),"")</f>
        <v/>
      </c>
    </row>
    <row r="39" spans="2:72" s="1" customFormat="1" ht="61.5" customHeight="1" outlineLevel="1" x14ac:dyDescent="0.25">
      <c r="B39" s="38">
        <f t="shared" si="40"/>
        <v>18</v>
      </c>
      <c r="C39" s="210"/>
      <c r="D39" s="210"/>
      <c r="E39" s="210"/>
      <c r="F39" s="210"/>
      <c r="G39" s="39"/>
      <c r="H39" s="40"/>
      <c r="I39" s="41"/>
      <c r="J39" s="42" t="str">
        <f t="shared" si="13"/>
        <v/>
      </c>
      <c r="K39" s="90"/>
      <c r="L39" s="206" t="str">
        <f t="shared" si="14"/>
        <v>No Quote</v>
      </c>
      <c r="M39" s="207"/>
      <c r="N39" s="41"/>
      <c r="O39" s="42" t="str">
        <f t="shared" si="15"/>
        <v/>
      </c>
      <c r="P39" s="90"/>
      <c r="Q39" s="206" t="str">
        <f t="shared" si="16"/>
        <v>No Quote</v>
      </c>
      <c r="R39" s="207"/>
      <c r="S39" s="41"/>
      <c r="T39" s="42" t="str">
        <f t="shared" si="17"/>
        <v/>
      </c>
      <c r="U39" s="89"/>
      <c r="V39" s="206" t="str">
        <f t="shared" si="18"/>
        <v>No Quote</v>
      </c>
      <c r="W39" s="207"/>
      <c r="X39" s="41"/>
      <c r="Y39" s="42" t="str">
        <f t="shared" si="19"/>
        <v/>
      </c>
      <c r="Z39" s="90"/>
      <c r="AA39" s="208" t="str">
        <f t="shared" si="20"/>
        <v>No Quote</v>
      </c>
      <c r="AB39" s="299"/>
      <c r="AC39" s="41"/>
      <c r="AD39" s="42" t="str">
        <f t="shared" si="21"/>
        <v/>
      </c>
      <c r="AE39" s="89"/>
      <c r="AF39" s="206" t="str">
        <f t="shared" si="22"/>
        <v>No Quote</v>
      </c>
      <c r="AG39" s="207"/>
      <c r="AH39" s="41"/>
      <c r="AI39" s="42" t="str">
        <f t="shared" si="23"/>
        <v/>
      </c>
      <c r="AJ39" s="89"/>
      <c r="AK39" s="206" t="str">
        <f t="shared" si="24"/>
        <v>No Quote</v>
      </c>
      <c r="AL39" s="207"/>
      <c r="AM39" s="41"/>
      <c r="AN39" s="42" t="str">
        <f t="shared" si="25"/>
        <v/>
      </c>
      <c r="AO39" s="89"/>
      <c r="AP39" s="206" t="str">
        <f t="shared" si="26"/>
        <v>No Quote</v>
      </c>
      <c r="AQ39" s="207"/>
      <c r="AR39" s="41"/>
      <c r="AS39" s="42" t="str">
        <f t="shared" si="27"/>
        <v/>
      </c>
      <c r="AT39" s="89"/>
      <c r="AU39" s="208" t="str">
        <f t="shared" si="28"/>
        <v>No Quote</v>
      </c>
      <c r="AV39" s="209"/>
      <c r="AW39" s="87"/>
      <c r="AX39" s="93"/>
      <c r="AY39" s="63" t="str">
        <f t="shared" si="29"/>
        <v/>
      </c>
      <c r="AZ39" s="92"/>
      <c r="BA39" s="92"/>
      <c r="BB39" s="77" t="str">
        <f t="shared" si="30"/>
        <v>-</v>
      </c>
      <c r="BC39" s="77" t="str">
        <f t="shared" si="31"/>
        <v>-</v>
      </c>
      <c r="BD39" s="77" t="str">
        <f t="shared" si="32"/>
        <v>-</v>
      </c>
      <c r="BE39" s="77" t="str">
        <f t="shared" si="33"/>
        <v>-</v>
      </c>
      <c r="BF39" s="77" t="str">
        <f t="shared" si="34"/>
        <v>-</v>
      </c>
      <c r="BG39" s="77" t="str">
        <f t="shared" si="35"/>
        <v>-</v>
      </c>
      <c r="BH39" s="77" t="str">
        <f t="shared" si="36"/>
        <v>-</v>
      </c>
      <c r="BI39" s="77" t="str">
        <f t="shared" si="37"/>
        <v>-</v>
      </c>
      <c r="BJ39" s="78" t="str">
        <f t="shared" si="6"/>
        <v/>
      </c>
      <c r="BK39" s="74" t="str">
        <f t="shared" si="7"/>
        <v/>
      </c>
      <c r="BL39" s="72" t="str">
        <f t="shared" si="8"/>
        <v/>
      </c>
      <c r="BM39" s="71" t="str">
        <f t="shared" si="38"/>
        <v/>
      </c>
      <c r="BN39" s="74" t="str">
        <f t="shared" si="9"/>
        <v/>
      </c>
      <c r="BO39" s="72" t="str">
        <f t="shared" si="10"/>
        <v/>
      </c>
      <c r="BP39" s="71" t="str">
        <f t="shared" si="39"/>
        <v/>
      </c>
      <c r="BQ39" s="74" t="str">
        <f t="shared" si="11"/>
        <v/>
      </c>
      <c r="BS39" s="99">
        <f t="shared" si="12"/>
        <v>0</v>
      </c>
      <c r="BT39" s="100" t="str" cm="1">
        <f t="array" ref="BT39">IFERROR(INDEX(_xlfn.UNIQUE(_xlfn._xlws.FILTER($BK$22:$BK$49,($BK$22:$BK$49&lt;&gt;"")*($BK$22:$BK$49&lt;&gt;"-"))),ROWS($BT$22:BT39)),"")</f>
        <v/>
      </c>
    </row>
    <row r="40" spans="2:72" s="1" customFormat="1" ht="61.5" customHeight="1" outlineLevel="1" x14ac:dyDescent="0.25">
      <c r="B40" s="38">
        <f t="shared" si="40"/>
        <v>19</v>
      </c>
      <c r="C40" s="210"/>
      <c r="D40" s="210"/>
      <c r="E40" s="210"/>
      <c r="F40" s="210"/>
      <c r="G40" s="39"/>
      <c r="H40" s="40"/>
      <c r="I40" s="41"/>
      <c r="J40" s="42" t="str">
        <f t="shared" si="13"/>
        <v/>
      </c>
      <c r="K40" s="90"/>
      <c r="L40" s="206" t="str">
        <f t="shared" si="14"/>
        <v>No Quote</v>
      </c>
      <c r="M40" s="207"/>
      <c r="N40" s="41"/>
      <c r="O40" s="42" t="str">
        <f t="shared" si="15"/>
        <v/>
      </c>
      <c r="P40" s="90"/>
      <c r="Q40" s="206" t="str">
        <f t="shared" si="16"/>
        <v>No Quote</v>
      </c>
      <c r="R40" s="207"/>
      <c r="S40" s="41"/>
      <c r="T40" s="42" t="str">
        <f t="shared" si="17"/>
        <v/>
      </c>
      <c r="U40" s="89"/>
      <c r="V40" s="206" t="str">
        <f t="shared" si="18"/>
        <v>No Quote</v>
      </c>
      <c r="W40" s="207"/>
      <c r="X40" s="41"/>
      <c r="Y40" s="42" t="str">
        <f t="shared" si="19"/>
        <v/>
      </c>
      <c r="Z40" s="90"/>
      <c r="AA40" s="208" t="str">
        <f t="shared" si="20"/>
        <v>No Quote</v>
      </c>
      <c r="AB40" s="299"/>
      <c r="AC40" s="41"/>
      <c r="AD40" s="42" t="str">
        <f t="shared" si="21"/>
        <v/>
      </c>
      <c r="AE40" s="89"/>
      <c r="AF40" s="206" t="str">
        <f t="shared" si="22"/>
        <v>No Quote</v>
      </c>
      <c r="AG40" s="207"/>
      <c r="AH40" s="41"/>
      <c r="AI40" s="42" t="str">
        <f t="shared" si="23"/>
        <v/>
      </c>
      <c r="AJ40" s="89"/>
      <c r="AK40" s="206" t="str">
        <f t="shared" si="24"/>
        <v>No Quote</v>
      </c>
      <c r="AL40" s="207"/>
      <c r="AM40" s="41"/>
      <c r="AN40" s="42" t="str">
        <f t="shared" si="25"/>
        <v/>
      </c>
      <c r="AO40" s="89"/>
      <c r="AP40" s="206" t="str">
        <f t="shared" si="26"/>
        <v>No Quote</v>
      </c>
      <c r="AQ40" s="207"/>
      <c r="AR40" s="41"/>
      <c r="AS40" s="42" t="str">
        <f t="shared" si="27"/>
        <v/>
      </c>
      <c r="AT40" s="89"/>
      <c r="AU40" s="208" t="str">
        <f t="shared" si="28"/>
        <v>No Quote</v>
      </c>
      <c r="AV40" s="209"/>
      <c r="AW40" s="87"/>
      <c r="AX40" s="93"/>
      <c r="AY40" s="63" t="str">
        <f t="shared" si="29"/>
        <v/>
      </c>
      <c r="AZ40" s="92"/>
      <c r="BA40" s="92"/>
      <c r="BB40" s="77" t="str">
        <f t="shared" si="30"/>
        <v>-</v>
      </c>
      <c r="BC40" s="77" t="str">
        <f t="shared" si="31"/>
        <v>-</v>
      </c>
      <c r="BD40" s="77" t="str">
        <f t="shared" si="32"/>
        <v>-</v>
      </c>
      <c r="BE40" s="77" t="str">
        <f t="shared" si="33"/>
        <v>-</v>
      </c>
      <c r="BF40" s="77" t="str">
        <f t="shared" si="34"/>
        <v>-</v>
      </c>
      <c r="BG40" s="77" t="str">
        <f t="shared" si="35"/>
        <v>-</v>
      </c>
      <c r="BH40" s="77" t="str">
        <f t="shared" si="36"/>
        <v>-</v>
      </c>
      <c r="BI40" s="77" t="str">
        <f t="shared" si="37"/>
        <v>-</v>
      </c>
      <c r="BJ40" s="78" t="str">
        <f t="shared" si="6"/>
        <v/>
      </c>
      <c r="BK40" s="74" t="str">
        <f t="shared" si="7"/>
        <v/>
      </c>
      <c r="BL40" s="72" t="str">
        <f t="shared" si="8"/>
        <v/>
      </c>
      <c r="BM40" s="71" t="str">
        <f t="shared" si="38"/>
        <v/>
      </c>
      <c r="BN40" s="74" t="str">
        <f t="shared" si="9"/>
        <v/>
      </c>
      <c r="BO40" s="72" t="str">
        <f t="shared" si="10"/>
        <v/>
      </c>
      <c r="BP40" s="71" t="str">
        <f t="shared" si="39"/>
        <v/>
      </c>
      <c r="BQ40" s="74" t="str">
        <f t="shared" si="11"/>
        <v/>
      </c>
      <c r="BS40" s="99">
        <f t="shared" si="12"/>
        <v>0</v>
      </c>
      <c r="BT40" s="100" t="str" cm="1">
        <f t="array" ref="BT40">IFERROR(INDEX(_xlfn.UNIQUE(_xlfn._xlws.FILTER($BK$22:$BK$49,($BK$22:$BK$49&lt;&gt;"")*($BK$22:$BK$49&lt;&gt;"-"))),ROWS($BT$22:BT40)),"")</f>
        <v/>
      </c>
    </row>
    <row r="41" spans="2:72" s="1" customFormat="1" ht="61.5" customHeight="1" outlineLevel="1" x14ac:dyDescent="0.25">
      <c r="B41" s="38">
        <f t="shared" si="40"/>
        <v>20</v>
      </c>
      <c r="C41" s="210"/>
      <c r="D41" s="210"/>
      <c r="E41" s="210"/>
      <c r="F41" s="210"/>
      <c r="G41" s="39"/>
      <c r="H41" s="40"/>
      <c r="I41" s="41"/>
      <c r="J41" s="42" t="str">
        <f t="shared" si="13"/>
        <v/>
      </c>
      <c r="K41" s="90"/>
      <c r="L41" s="206" t="str">
        <f t="shared" si="14"/>
        <v>No Quote</v>
      </c>
      <c r="M41" s="207"/>
      <c r="N41" s="41"/>
      <c r="O41" s="42" t="str">
        <f t="shared" si="15"/>
        <v/>
      </c>
      <c r="P41" s="90"/>
      <c r="Q41" s="206" t="str">
        <f t="shared" si="16"/>
        <v>No Quote</v>
      </c>
      <c r="R41" s="207"/>
      <c r="S41" s="41"/>
      <c r="T41" s="42" t="str">
        <f t="shared" si="17"/>
        <v/>
      </c>
      <c r="U41" s="89"/>
      <c r="V41" s="206" t="str">
        <f t="shared" si="18"/>
        <v>No Quote</v>
      </c>
      <c r="W41" s="207"/>
      <c r="X41" s="41"/>
      <c r="Y41" s="42" t="str">
        <f t="shared" si="19"/>
        <v/>
      </c>
      <c r="Z41" s="90"/>
      <c r="AA41" s="208" t="str">
        <f t="shared" si="20"/>
        <v>No Quote</v>
      </c>
      <c r="AB41" s="299"/>
      <c r="AC41" s="41"/>
      <c r="AD41" s="42" t="str">
        <f t="shared" si="21"/>
        <v/>
      </c>
      <c r="AE41" s="89"/>
      <c r="AF41" s="206" t="str">
        <f t="shared" si="22"/>
        <v>No Quote</v>
      </c>
      <c r="AG41" s="207"/>
      <c r="AH41" s="41"/>
      <c r="AI41" s="42" t="str">
        <f t="shared" si="23"/>
        <v/>
      </c>
      <c r="AJ41" s="89"/>
      <c r="AK41" s="206" t="str">
        <f t="shared" si="24"/>
        <v>No Quote</v>
      </c>
      <c r="AL41" s="207"/>
      <c r="AM41" s="41"/>
      <c r="AN41" s="42" t="str">
        <f t="shared" si="25"/>
        <v/>
      </c>
      <c r="AO41" s="89"/>
      <c r="AP41" s="206" t="str">
        <f t="shared" si="26"/>
        <v>No Quote</v>
      </c>
      <c r="AQ41" s="207"/>
      <c r="AR41" s="41"/>
      <c r="AS41" s="42" t="str">
        <f t="shared" si="27"/>
        <v/>
      </c>
      <c r="AT41" s="89"/>
      <c r="AU41" s="208" t="str">
        <f t="shared" si="28"/>
        <v>No Quote</v>
      </c>
      <c r="AV41" s="209"/>
      <c r="AW41" s="87"/>
      <c r="AX41" s="93"/>
      <c r="AY41" s="63" t="str">
        <f t="shared" si="29"/>
        <v/>
      </c>
      <c r="AZ41" s="92"/>
      <c r="BA41" s="92"/>
      <c r="BB41" s="77" t="str">
        <f t="shared" si="30"/>
        <v>-</v>
      </c>
      <c r="BC41" s="77" t="str">
        <f t="shared" si="31"/>
        <v>-</v>
      </c>
      <c r="BD41" s="77" t="str">
        <f t="shared" si="32"/>
        <v>-</v>
      </c>
      <c r="BE41" s="77" t="str">
        <f t="shared" si="33"/>
        <v>-</v>
      </c>
      <c r="BF41" s="77" t="str">
        <f t="shared" si="34"/>
        <v>-</v>
      </c>
      <c r="BG41" s="77" t="str">
        <f t="shared" si="35"/>
        <v>-</v>
      </c>
      <c r="BH41" s="77" t="str">
        <f t="shared" si="36"/>
        <v>-</v>
      </c>
      <c r="BI41" s="77" t="str">
        <f t="shared" si="37"/>
        <v>-</v>
      </c>
      <c r="BJ41" s="78" t="str">
        <f t="shared" si="6"/>
        <v/>
      </c>
      <c r="BK41" s="74" t="str">
        <f t="shared" si="7"/>
        <v/>
      </c>
      <c r="BL41" s="72" t="str">
        <f t="shared" si="8"/>
        <v/>
      </c>
      <c r="BM41" s="71" t="str">
        <f t="shared" si="38"/>
        <v/>
      </c>
      <c r="BN41" s="74" t="str">
        <f t="shared" si="9"/>
        <v/>
      </c>
      <c r="BO41" s="72" t="str">
        <f t="shared" si="10"/>
        <v/>
      </c>
      <c r="BP41" s="71" t="str">
        <f t="shared" si="39"/>
        <v/>
      </c>
      <c r="BQ41" s="74" t="str">
        <f t="shared" si="11"/>
        <v/>
      </c>
      <c r="BS41" s="99">
        <f t="shared" si="12"/>
        <v>0</v>
      </c>
      <c r="BT41" s="100" t="str" cm="1">
        <f t="array" ref="BT41">IFERROR(INDEX(_xlfn.UNIQUE(_xlfn._xlws.FILTER($BK$22:$BK$49,($BK$22:$BK$49&lt;&gt;"")*($BK$22:$BK$49&lt;&gt;"-"))),ROWS($BT$22:BT41)),"")</f>
        <v/>
      </c>
    </row>
    <row r="42" spans="2:72" s="1" customFormat="1" ht="61.5" customHeight="1" outlineLevel="1" x14ac:dyDescent="0.25">
      <c r="B42" s="38">
        <f t="shared" si="40"/>
        <v>21</v>
      </c>
      <c r="C42" s="210"/>
      <c r="D42" s="210"/>
      <c r="E42" s="210"/>
      <c r="F42" s="210"/>
      <c r="G42" s="39"/>
      <c r="H42" s="40"/>
      <c r="I42" s="41"/>
      <c r="J42" s="42" t="str">
        <f t="shared" si="13"/>
        <v/>
      </c>
      <c r="K42" s="90"/>
      <c r="L42" s="206" t="str">
        <f t="shared" si="14"/>
        <v>No Quote</v>
      </c>
      <c r="M42" s="207"/>
      <c r="N42" s="41"/>
      <c r="O42" s="42" t="str">
        <f t="shared" si="15"/>
        <v/>
      </c>
      <c r="P42" s="90"/>
      <c r="Q42" s="206" t="str">
        <f t="shared" si="16"/>
        <v>No Quote</v>
      </c>
      <c r="R42" s="207"/>
      <c r="S42" s="41"/>
      <c r="T42" s="42" t="str">
        <f t="shared" si="17"/>
        <v/>
      </c>
      <c r="U42" s="89"/>
      <c r="V42" s="206" t="str">
        <f t="shared" si="18"/>
        <v>No Quote</v>
      </c>
      <c r="W42" s="207"/>
      <c r="X42" s="41"/>
      <c r="Y42" s="42" t="str">
        <f t="shared" si="19"/>
        <v/>
      </c>
      <c r="Z42" s="90"/>
      <c r="AA42" s="208" t="str">
        <f t="shared" si="20"/>
        <v>No Quote</v>
      </c>
      <c r="AB42" s="299"/>
      <c r="AC42" s="41"/>
      <c r="AD42" s="42" t="str">
        <f t="shared" si="21"/>
        <v/>
      </c>
      <c r="AE42" s="89"/>
      <c r="AF42" s="206" t="str">
        <f t="shared" si="22"/>
        <v>No Quote</v>
      </c>
      <c r="AG42" s="207"/>
      <c r="AH42" s="41"/>
      <c r="AI42" s="42" t="str">
        <f t="shared" si="23"/>
        <v/>
      </c>
      <c r="AJ42" s="89"/>
      <c r="AK42" s="206" t="str">
        <f t="shared" si="24"/>
        <v>No Quote</v>
      </c>
      <c r="AL42" s="207"/>
      <c r="AM42" s="41"/>
      <c r="AN42" s="42" t="str">
        <f t="shared" si="25"/>
        <v/>
      </c>
      <c r="AO42" s="89"/>
      <c r="AP42" s="206" t="str">
        <f t="shared" si="26"/>
        <v>No Quote</v>
      </c>
      <c r="AQ42" s="207"/>
      <c r="AR42" s="41"/>
      <c r="AS42" s="42" t="str">
        <f t="shared" si="27"/>
        <v/>
      </c>
      <c r="AT42" s="89"/>
      <c r="AU42" s="208" t="str">
        <f t="shared" si="28"/>
        <v>No Quote</v>
      </c>
      <c r="AV42" s="209"/>
      <c r="AW42" s="87"/>
      <c r="AX42" s="93"/>
      <c r="AY42" s="63" t="str">
        <f t="shared" si="29"/>
        <v/>
      </c>
      <c r="AZ42" s="92"/>
      <c r="BA42" s="92"/>
      <c r="BB42" s="77" t="str">
        <f t="shared" si="30"/>
        <v>-</v>
      </c>
      <c r="BC42" s="77" t="str">
        <f t="shared" si="31"/>
        <v>-</v>
      </c>
      <c r="BD42" s="77" t="str">
        <f t="shared" si="32"/>
        <v>-</v>
      </c>
      <c r="BE42" s="77" t="str">
        <f t="shared" si="33"/>
        <v>-</v>
      </c>
      <c r="BF42" s="77" t="str">
        <f t="shared" si="34"/>
        <v>-</v>
      </c>
      <c r="BG42" s="77" t="str">
        <f t="shared" si="35"/>
        <v>-</v>
      </c>
      <c r="BH42" s="77" t="str">
        <f t="shared" si="36"/>
        <v>-</v>
      </c>
      <c r="BI42" s="77" t="str">
        <f t="shared" si="37"/>
        <v>-</v>
      </c>
      <c r="BJ42" s="78" t="str">
        <f t="shared" si="6"/>
        <v/>
      </c>
      <c r="BK42" s="74" t="str">
        <f t="shared" si="7"/>
        <v/>
      </c>
      <c r="BL42" s="72" t="str">
        <f t="shared" si="8"/>
        <v/>
      </c>
      <c r="BM42" s="71" t="str">
        <f t="shared" si="38"/>
        <v/>
      </c>
      <c r="BN42" s="74" t="str">
        <f t="shared" si="9"/>
        <v/>
      </c>
      <c r="BO42" s="72" t="str">
        <f t="shared" si="10"/>
        <v/>
      </c>
      <c r="BP42" s="71" t="str">
        <f t="shared" si="39"/>
        <v/>
      </c>
      <c r="BQ42" s="74" t="str">
        <f t="shared" si="11"/>
        <v/>
      </c>
      <c r="BS42" s="99">
        <f t="shared" si="12"/>
        <v>0</v>
      </c>
      <c r="BT42" s="100" t="str" cm="1">
        <f t="array" ref="BT42">IFERROR(INDEX(_xlfn.UNIQUE(_xlfn._xlws.FILTER($BK$22:$BK$49,($BK$22:$BK$49&lt;&gt;"")*($BK$22:$BK$49&lt;&gt;"-"))),ROWS($BT$22:BT42)),"")</f>
        <v/>
      </c>
    </row>
    <row r="43" spans="2:72" s="1" customFormat="1" ht="61.5" customHeight="1" outlineLevel="1" x14ac:dyDescent="0.25">
      <c r="B43" s="38">
        <f t="shared" si="40"/>
        <v>22</v>
      </c>
      <c r="C43" s="210"/>
      <c r="D43" s="210"/>
      <c r="E43" s="210"/>
      <c r="F43" s="210"/>
      <c r="G43" s="39"/>
      <c r="H43" s="40"/>
      <c r="I43" s="41"/>
      <c r="J43" s="42" t="str">
        <f t="shared" si="13"/>
        <v/>
      </c>
      <c r="K43" s="90"/>
      <c r="L43" s="206" t="str">
        <f t="shared" si="14"/>
        <v>No Quote</v>
      </c>
      <c r="M43" s="207"/>
      <c r="N43" s="41"/>
      <c r="O43" s="42" t="str">
        <f t="shared" si="15"/>
        <v/>
      </c>
      <c r="P43" s="90"/>
      <c r="Q43" s="206" t="str">
        <f t="shared" si="16"/>
        <v>No Quote</v>
      </c>
      <c r="R43" s="207"/>
      <c r="S43" s="41"/>
      <c r="T43" s="42" t="str">
        <f t="shared" si="17"/>
        <v/>
      </c>
      <c r="U43" s="89"/>
      <c r="V43" s="206" t="str">
        <f t="shared" si="18"/>
        <v>No Quote</v>
      </c>
      <c r="W43" s="207"/>
      <c r="X43" s="41"/>
      <c r="Y43" s="42" t="str">
        <f t="shared" si="19"/>
        <v/>
      </c>
      <c r="Z43" s="90"/>
      <c r="AA43" s="208" t="str">
        <f t="shared" si="20"/>
        <v>No Quote</v>
      </c>
      <c r="AB43" s="299"/>
      <c r="AC43" s="41"/>
      <c r="AD43" s="42" t="str">
        <f t="shared" si="21"/>
        <v/>
      </c>
      <c r="AE43" s="89"/>
      <c r="AF43" s="206" t="str">
        <f t="shared" si="22"/>
        <v>No Quote</v>
      </c>
      <c r="AG43" s="207"/>
      <c r="AH43" s="41"/>
      <c r="AI43" s="42" t="str">
        <f t="shared" si="23"/>
        <v/>
      </c>
      <c r="AJ43" s="89"/>
      <c r="AK43" s="206" t="str">
        <f t="shared" si="24"/>
        <v>No Quote</v>
      </c>
      <c r="AL43" s="207"/>
      <c r="AM43" s="41"/>
      <c r="AN43" s="42" t="str">
        <f t="shared" si="25"/>
        <v/>
      </c>
      <c r="AO43" s="89"/>
      <c r="AP43" s="206" t="str">
        <f t="shared" si="26"/>
        <v>No Quote</v>
      </c>
      <c r="AQ43" s="207"/>
      <c r="AR43" s="41"/>
      <c r="AS43" s="42" t="str">
        <f t="shared" si="27"/>
        <v/>
      </c>
      <c r="AT43" s="89"/>
      <c r="AU43" s="208" t="str">
        <f t="shared" si="28"/>
        <v>No Quote</v>
      </c>
      <c r="AV43" s="209"/>
      <c r="AW43" s="87"/>
      <c r="AX43" s="93"/>
      <c r="AY43" s="63" t="str">
        <f t="shared" si="29"/>
        <v/>
      </c>
      <c r="AZ43" s="92"/>
      <c r="BA43" s="92"/>
      <c r="BB43" s="77" t="str">
        <f t="shared" si="30"/>
        <v>-</v>
      </c>
      <c r="BC43" s="77" t="str">
        <f t="shared" si="31"/>
        <v>-</v>
      </c>
      <c r="BD43" s="77" t="str">
        <f t="shared" si="32"/>
        <v>-</v>
      </c>
      <c r="BE43" s="77" t="str">
        <f t="shared" si="33"/>
        <v>-</v>
      </c>
      <c r="BF43" s="77" t="str">
        <f t="shared" si="34"/>
        <v>-</v>
      </c>
      <c r="BG43" s="77" t="str">
        <f t="shared" si="35"/>
        <v>-</v>
      </c>
      <c r="BH43" s="77" t="str">
        <f t="shared" si="36"/>
        <v>-</v>
      </c>
      <c r="BI43" s="77" t="str">
        <f t="shared" si="37"/>
        <v>-</v>
      </c>
      <c r="BJ43" s="78" t="str">
        <f t="shared" si="6"/>
        <v/>
      </c>
      <c r="BK43" s="74" t="str">
        <f t="shared" si="7"/>
        <v/>
      </c>
      <c r="BL43" s="72" t="str">
        <f t="shared" si="8"/>
        <v/>
      </c>
      <c r="BM43" s="71" t="str">
        <f t="shared" si="38"/>
        <v/>
      </c>
      <c r="BN43" s="74" t="str">
        <f t="shared" si="9"/>
        <v/>
      </c>
      <c r="BO43" s="72" t="str">
        <f t="shared" si="10"/>
        <v/>
      </c>
      <c r="BP43" s="71" t="str">
        <f t="shared" si="39"/>
        <v/>
      </c>
      <c r="BQ43" s="74" t="str">
        <f t="shared" si="11"/>
        <v/>
      </c>
      <c r="BS43" s="99">
        <f t="shared" si="12"/>
        <v>0</v>
      </c>
      <c r="BT43" s="100" t="str" cm="1">
        <f t="array" ref="BT43">IFERROR(INDEX(_xlfn.UNIQUE(_xlfn._xlws.FILTER($BK$22:$BK$49,($BK$22:$BK$49&lt;&gt;"")*($BK$22:$BK$49&lt;&gt;"-"))),ROWS($BT$22:BT43)),"")</f>
        <v/>
      </c>
    </row>
    <row r="44" spans="2:72" s="1" customFormat="1" ht="61.5" customHeight="1" outlineLevel="1" x14ac:dyDescent="0.25">
      <c r="B44" s="38">
        <f t="shared" si="40"/>
        <v>23</v>
      </c>
      <c r="C44" s="210"/>
      <c r="D44" s="210"/>
      <c r="E44" s="210"/>
      <c r="F44" s="210"/>
      <c r="G44" s="39"/>
      <c r="H44" s="40"/>
      <c r="I44" s="41"/>
      <c r="J44" s="42" t="str">
        <f t="shared" si="13"/>
        <v/>
      </c>
      <c r="K44" s="90"/>
      <c r="L44" s="206" t="str">
        <f t="shared" si="14"/>
        <v>No Quote</v>
      </c>
      <c r="M44" s="207"/>
      <c r="N44" s="41"/>
      <c r="O44" s="42" t="str">
        <f t="shared" si="15"/>
        <v/>
      </c>
      <c r="P44" s="90"/>
      <c r="Q44" s="206" t="str">
        <f t="shared" si="16"/>
        <v>No Quote</v>
      </c>
      <c r="R44" s="207"/>
      <c r="S44" s="41"/>
      <c r="T44" s="42" t="str">
        <f t="shared" si="17"/>
        <v/>
      </c>
      <c r="U44" s="89"/>
      <c r="V44" s="206" t="str">
        <f t="shared" si="18"/>
        <v>No Quote</v>
      </c>
      <c r="W44" s="207"/>
      <c r="X44" s="41"/>
      <c r="Y44" s="42" t="str">
        <f t="shared" si="19"/>
        <v/>
      </c>
      <c r="Z44" s="90"/>
      <c r="AA44" s="208" t="str">
        <f t="shared" si="20"/>
        <v>No Quote</v>
      </c>
      <c r="AB44" s="299"/>
      <c r="AC44" s="41"/>
      <c r="AD44" s="42" t="str">
        <f t="shared" si="21"/>
        <v/>
      </c>
      <c r="AE44" s="89"/>
      <c r="AF44" s="206" t="str">
        <f t="shared" si="22"/>
        <v>No Quote</v>
      </c>
      <c r="AG44" s="207"/>
      <c r="AH44" s="41"/>
      <c r="AI44" s="42" t="str">
        <f t="shared" si="23"/>
        <v/>
      </c>
      <c r="AJ44" s="89"/>
      <c r="AK44" s="206" t="str">
        <f t="shared" si="24"/>
        <v>No Quote</v>
      </c>
      <c r="AL44" s="207"/>
      <c r="AM44" s="41"/>
      <c r="AN44" s="42" t="str">
        <f t="shared" si="25"/>
        <v/>
      </c>
      <c r="AO44" s="89"/>
      <c r="AP44" s="206" t="str">
        <f t="shared" si="26"/>
        <v>No Quote</v>
      </c>
      <c r="AQ44" s="207"/>
      <c r="AR44" s="41"/>
      <c r="AS44" s="42" t="str">
        <f t="shared" si="27"/>
        <v/>
      </c>
      <c r="AT44" s="89"/>
      <c r="AU44" s="208" t="str">
        <f t="shared" si="28"/>
        <v>No Quote</v>
      </c>
      <c r="AV44" s="209"/>
      <c r="AW44" s="87"/>
      <c r="AX44" s="93"/>
      <c r="AY44" s="63" t="str">
        <f t="shared" si="29"/>
        <v/>
      </c>
      <c r="AZ44" s="92"/>
      <c r="BA44" s="92"/>
      <c r="BB44" s="77" t="str">
        <f t="shared" si="30"/>
        <v>-</v>
      </c>
      <c r="BC44" s="77" t="str">
        <f t="shared" si="31"/>
        <v>-</v>
      </c>
      <c r="BD44" s="77" t="str">
        <f t="shared" si="32"/>
        <v>-</v>
      </c>
      <c r="BE44" s="77" t="str">
        <f t="shared" si="33"/>
        <v>-</v>
      </c>
      <c r="BF44" s="77" t="str">
        <f t="shared" si="34"/>
        <v>-</v>
      </c>
      <c r="BG44" s="77" t="str">
        <f t="shared" si="35"/>
        <v>-</v>
      </c>
      <c r="BH44" s="77" t="str">
        <f t="shared" si="36"/>
        <v>-</v>
      </c>
      <c r="BI44" s="77" t="str">
        <f t="shared" si="37"/>
        <v>-</v>
      </c>
      <c r="BJ44" s="78" t="str">
        <f t="shared" si="6"/>
        <v/>
      </c>
      <c r="BK44" s="74" t="str">
        <f t="shared" si="7"/>
        <v/>
      </c>
      <c r="BL44" s="72" t="str">
        <f t="shared" si="8"/>
        <v/>
      </c>
      <c r="BM44" s="71" t="str">
        <f t="shared" si="38"/>
        <v/>
      </c>
      <c r="BN44" s="74" t="str">
        <f t="shared" si="9"/>
        <v/>
      </c>
      <c r="BO44" s="72" t="str">
        <f t="shared" si="10"/>
        <v/>
      </c>
      <c r="BP44" s="71" t="str">
        <f t="shared" si="39"/>
        <v/>
      </c>
      <c r="BQ44" s="74" t="str">
        <f t="shared" si="11"/>
        <v/>
      </c>
      <c r="BS44" s="99">
        <f t="shared" si="12"/>
        <v>0</v>
      </c>
      <c r="BT44" s="100" t="str" cm="1">
        <f t="array" ref="BT44">IFERROR(INDEX(_xlfn.UNIQUE(_xlfn._xlws.FILTER($BK$22:$BK$49,($BK$22:$BK$49&lt;&gt;"")*($BK$22:$BK$49&lt;&gt;"-"))),ROWS($BT$22:BT44)),"")</f>
        <v/>
      </c>
    </row>
    <row r="45" spans="2:72" s="1" customFormat="1" ht="61.5" customHeight="1" outlineLevel="1" x14ac:dyDescent="0.25">
      <c r="B45" s="38">
        <f t="shared" si="40"/>
        <v>24</v>
      </c>
      <c r="C45" s="210"/>
      <c r="D45" s="210"/>
      <c r="E45" s="210"/>
      <c r="F45" s="210"/>
      <c r="G45" s="39"/>
      <c r="H45" s="40"/>
      <c r="I45" s="41"/>
      <c r="J45" s="42" t="str">
        <f t="shared" si="13"/>
        <v/>
      </c>
      <c r="K45" s="90"/>
      <c r="L45" s="206" t="str">
        <f t="shared" si="14"/>
        <v>No Quote</v>
      </c>
      <c r="M45" s="207"/>
      <c r="N45" s="41"/>
      <c r="O45" s="42" t="str">
        <f t="shared" si="15"/>
        <v/>
      </c>
      <c r="P45" s="90"/>
      <c r="Q45" s="206" t="str">
        <f t="shared" si="16"/>
        <v>No Quote</v>
      </c>
      <c r="R45" s="207"/>
      <c r="S45" s="41"/>
      <c r="T45" s="42" t="str">
        <f t="shared" si="17"/>
        <v/>
      </c>
      <c r="U45" s="89"/>
      <c r="V45" s="206" t="str">
        <f t="shared" si="18"/>
        <v>No Quote</v>
      </c>
      <c r="W45" s="207"/>
      <c r="X45" s="41"/>
      <c r="Y45" s="42" t="str">
        <f t="shared" si="19"/>
        <v/>
      </c>
      <c r="Z45" s="90"/>
      <c r="AA45" s="208" t="str">
        <f t="shared" si="20"/>
        <v>No Quote</v>
      </c>
      <c r="AB45" s="299"/>
      <c r="AC45" s="41"/>
      <c r="AD45" s="42" t="str">
        <f t="shared" si="21"/>
        <v/>
      </c>
      <c r="AE45" s="89"/>
      <c r="AF45" s="206" t="str">
        <f t="shared" si="22"/>
        <v>No Quote</v>
      </c>
      <c r="AG45" s="207"/>
      <c r="AH45" s="41"/>
      <c r="AI45" s="42" t="str">
        <f t="shared" si="23"/>
        <v/>
      </c>
      <c r="AJ45" s="89"/>
      <c r="AK45" s="206" t="str">
        <f t="shared" si="24"/>
        <v>No Quote</v>
      </c>
      <c r="AL45" s="207"/>
      <c r="AM45" s="41"/>
      <c r="AN45" s="42" t="str">
        <f t="shared" si="25"/>
        <v/>
      </c>
      <c r="AO45" s="89"/>
      <c r="AP45" s="206" t="str">
        <f t="shared" si="26"/>
        <v>No Quote</v>
      </c>
      <c r="AQ45" s="207"/>
      <c r="AR45" s="41"/>
      <c r="AS45" s="42" t="str">
        <f t="shared" si="27"/>
        <v/>
      </c>
      <c r="AT45" s="89"/>
      <c r="AU45" s="208" t="str">
        <f t="shared" si="28"/>
        <v>No Quote</v>
      </c>
      <c r="AV45" s="209"/>
      <c r="AW45" s="87"/>
      <c r="AX45" s="93"/>
      <c r="AY45" s="63" t="str">
        <f t="shared" si="29"/>
        <v/>
      </c>
      <c r="AZ45" s="92"/>
      <c r="BA45" s="92"/>
      <c r="BB45" s="77" t="str">
        <f t="shared" si="30"/>
        <v>-</v>
      </c>
      <c r="BC45" s="77" t="str">
        <f t="shared" si="31"/>
        <v>-</v>
      </c>
      <c r="BD45" s="77" t="str">
        <f t="shared" si="32"/>
        <v>-</v>
      </c>
      <c r="BE45" s="77" t="str">
        <f t="shared" si="33"/>
        <v>-</v>
      </c>
      <c r="BF45" s="77" t="str">
        <f t="shared" si="34"/>
        <v>-</v>
      </c>
      <c r="BG45" s="77" t="str">
        <f t="shared" si="35"/>
        <v>-</v>
      </c>
      <c r="BH45" s="77" t="str">
        <f t="shared" si="36"/>
        <v>-</v>
      </c>
      <c r="BI45" s="77" t="str">
        <f t="shared" si="37"/>
        <v>-</v>
      </c>
      <c r="BJ45" s="78" t="str">
        <f t="shared" si="6"/>
        <v/>
      </c>
      <c r="BK45" s="74" t="str">
        <f t="shared" si="7"/>
        <v/>
      </c>
      <c r="BL45" s="72" t="str">
        <f t="shared" si="8"/>
        <v/>
      </c>
      <c r="BM45" s="71" t="str">
        <f t="shared" si="38"/>
        <v/>
      </c>
      <c r="BN45" s="74" t="str">
        <f t="shared" si="9"/>
        <v/>
      </c>
      <c r="BO45" s="72" t="str">
        <f t="shared" si="10"/>
        <v/>
      </c>
      <c r="BP45" s="71" t="str">
        <f t="shared" si="39"/>
        <v/>
      </c>
      <c r="BQ45" s="74" t="str">
        <f t="shared" si="11"/>
        <v/>
      </c>
      <c r="BS45" s="99">
        <f t="shared" si="12"/>
        <v>0</v>
      </c>
      <c r="BT45" s="100" t="str" cm="1">
        <f t="array" ref="BT45">IFERROR(INDEX(_xlfn.UNIQUE(_xlfn._xlws.FILTER($BK$22:$BK$49,($BK$22:$BK$49&lt;&gt;"")*($BK$22:$BK$49&lt;&gt;"-"))),ROWS($BT$22:BT45)),"")</f>
        <v/>
      </c>
    </row>
    <row r="46" spans="2:72" s="1" customFormat="1" ht="61.5" customHeight="1" outlineLevel="1" x14ac:dyDescent="0.25">
      <c r="B46" s="38">
        <f t="shared" si="40"/>
        <v>25</v>
      </c>
      <c r="C46" s="210"/>
      <c r="D46" s="210"/>
      <c r="E46" s="210"/>
      <c r="F46" s="210"/>
      <c r="G46" s="39"/>
      <c r="H46" s="40"/>
      <c r="I46" s="41"/>
      <c r="J46" s="42" t="str">
        <f t="shared" si="13"/>
        <v/>
      </c>
      <c r="K46" s="90"/>
      <c r="L46" s="206" t="str">
        <f t="shared" si="14"/>
        <v>No Quote</v>
      </c>
      <c r="M46" s="207"/>
      <c r="N46" s="41"/>
      <c r="O46" s="42" t="str">
        <f t="shared" si="15"/>
        <v/>
      </c>
      <c r="P46" s="90"/>
      <c r="Q46" s="206" t="str">
        <f t="shared" si="16"/>
        <v>No Quote</v>
      </c>
      <c r="R46" s="207"/>
      <c r="S46" s="41"/>
      <c r="T46" s="42" t="str">
        <f t="shared" si="17"/>
        <v/>
      </c>
      <c r="U46" s="89"/>
      <c r="V46" s="206" t="str">
        <f t="shared" si="18"/>
        <v>No Quote</v>
      </c>
      <c r="W46" s="207"/>
      <c r="X46" s="41"/>
      <c r="Y46" s="42" t="str">
        <f t="shared" si="19"/>
        <v/>
      </c>
      <c r="Z46" s="90"/>
      <c r="AA46" s="208" t="str">
        <f t="shared" si="20"/>
        <v>No Quote</v>
      </c>
      <c r="AB46" s="299"/>
      <c r="AC46" s="41"/>
      <c r="AD46" s="42" t="str">
        <f t="shared" si="21"/>
        <v/>
      </c>
      <c r="AE46" s="89"/>
      <c r="AF46" s="206" t="str">
        <f t="shared" si="22"/>
        <v>No Quote</v>
      </c>
      <c r="AG46" s="207"/>
      <c r="AH46" s="41"/>
      <c r="AI46" s="42" t="str">
        <f t="shared" si="23"/>
        <v/>
      </c>
      <c r="AJ46" s="89"/>
      <c r="AK46" s="206" t="str">
        <f t="shared" si="24"/>
        <v>No Quote</v>
      </c>
      <c r="AL46" s="207"/>
      <c r="AM46" s="41"/>
      <c r="AN46" s="42" t="str">
        <f t="shared" si="25"/>
        <v/>
      </c>
      <c r="AO46" s="89"/>
      <c r="AP46" s="206" t="str">
        <f t="shared" si="26"/>
        <v>No Quote</v>
      </c>
      <c r="AQ46" s="207"/>
      <c r="AR46" s="41"/>
      <c r="AS46" s="42" t="str">
        <f t="shared" si="27"/>
        <v/>
      </c>
      <c r="AT46" s="89"/>
      <c r="AU46" s="208" t="str">
        <f t="shared" si="28"/>
        <v>No Quote</v>
      </c>
      <c r="AV46" s="209"/>
      <c r="AW46" s="87"/>
      <c r="AX46" s="93"/>
      <c r="AY46" s="63" t="str">
        <f t="shared" si="29"/>
        <v/>
      </c>
      <c r="AZ46" s="92"/>
      <c r="BA46" s="92"/>
      <c r="BB46" s="77" t="str">
        <f t="shared" si="30"/>
        <v>-</v>
      </c>
      <c r="BC46" s="77" t="str">
        <f t="shared" si="31"/>
        <v>-</v>
      </c>
      <c r="BD46" s="77" t="str">
        <f t="shared" si="32"/>
        <v>-</v>
      </c>
      <c r="BE46" s="77" t="str">
        <f t="shared" si="33"/>
        <v>-</v>
      </c>
      <c r="BF46" s="77" t="str">
        <f t="shared" si="34"/>
        <v>-</v>
      </c>
      <c r="BG46" s="77" t="str">
        <f t="shared" si="35"/>
        <v>-</v>
      </c>
      <c r="BH46" s="77" t="str">
        <f t="shared" si="36"/>
        <v>-</v>
      </c>
      <c r="BI46" s="77" t="str">
        <f t="shared" si="37"/>
        <v>-</v>
      </c>
      <c r="BJ46" s="78" t="str">
        <f t="shared" si="6"/>
        <v/>
      </c>
      <c r="BK46" s="74" t="str">
        <f t="shared" si="7"/>
        <v/>
      </c>
      <c r="BL46" s="72" t="str">
        <f t="shared" si="8"/>
        <v/>
      </c>
      <c r="BM46" s="71" t="str">
        <f t="shared" si="38"/>
        <v/>
      </c>
      <c r="BN46" s="74" t="str">
        <f t="shared" si="9"/>
        <v/>
      </c>
      <c r="BO46" s="72" t="str">
        <f t="shared" si="10"/>
        <v/>
      </c>
      <c r="BP46" s="71" t="str">
        <f t="shared" si="39"/>
        <v/>
      </c>
      <c r="BQ46" s="74" t="str">
        <f t="shared" si="11"/>
        <v/>
      </c>
      <c r="BS46" s="99">
        <f t="shared" si="12"/>
        <v>0</v>
      </c>
      <c r="BT46" s="100" t="str" cm="1">
        <f t="array" ref="BT46">IFERROR(INDEX(_xlfn.UNIQUE(_xlfn._xlws.FILTER($BK$22:$BK$49,($BK$22:$BK$49&lt;&gt;"")*($BK$22:$BK$49&lt;&gt;"-"))),ROWS($BT$22:BT46)),"")</f>
        <v/>
      </c>
    </row>
    <row r="47" spans="2:72" s="1" customFormat="1" ht="61.5" customHeight="1" outlineLevel="1" x14ac:dyDescent="0.25">
      <c r="B47" s="38">
        <f t="shared" si="40"/>
        <v>26</v>
      </c>
      <c r="C47" s="210"/>
      <c r="D47" s="210"/>
      <c r="E47" s="210"/>
      <c r="F47" s="210"/>
      <c r="G47" s="39"/>
      <c r="H47" s="40"/>
      <c r="I47" s="41"/>
      <c r="J47" s="42" t="str">
        <f t="shared" si="13"/>
        <v/>
      </c>
      <c r="K47" s="90"/>
      <c r="L47" s="206" t="str">
        <f t="shared" si="14"/>
        <v>No Quote</v>
      </c>
      <c r="M47" s="207"/>
      <c r="N47" s="41"/>
      <c r="O47" s="42" t="str">
        <f t="shared" si="15"/>
        <v/>
      </c>
      <c r="P47" s="90"/>
      <c r="Q47" s="206" t="str">
        <f t="shared" si="16"/>
        <v>No Quote</v>
      </c>
      <c r="R47" s="207"/>
      <c r="S47" s="41"/>
      <c r="T47" s="42" t="str">
        <f t="shared" si="17"/>
        <v/>
      </c>
      <c r="U47" s="89"/>
      <c r="V47" s="206" t="str">
        <f t="shared" si="18"/>
        <v>No Quote</v>
      </c>
      <c r="W47" s="207"/>
      <c r="X47" s="41"/>
      <c r="Y47" s="42" t="str">
        <f t="shared" si="19"/>
        <v/>
      </c>
      <c r="Z47" s="90"/>
      <c r="AA47" s="208" t="str">
        <f t="shared" si="20"/>
        <v>No Quote</v>
      </c>
      <c r="AB47" s="299"/>
      <c r="AC47" s="41"/>
      <c r="AD47" s="42" t="str">
        <f t="shared" si="21"/>
        <v/>
      </c>
      <c r="AE47" s="89"/>
      <c r="AF47" s="206" t="str">
        <f t="shared" si="22"/>
        <v>No Quote</v>
      </c>
      <c r="AG47" s="207"/>
      <c r="AH47" s="41"/>
      <c r="AI47" s="42" t="str">
        <f t="shared" si="23"/>
        <v/>
      </c>
      <c r="AJ47" s="89"/>
      <c r="AK47" s="206" t="str">
        <f t="shared" si="24"/>
        <v>No Quote</v>
      </c>
      <c r="AL47" s="207"/>
      <c r="AM47" s="41"/>
      <c r="AN47" s="42" t="str">
        <f t="shared" si="25"/>
        <v/>
      </c>
      <c r="AO47" s="89"/>
      <c r="AP47" s="206" t="str">
        <f t="shared" si="26"/>
        <v>No Quote</v>
      </c>
      <c r="AQ47" s="207"/>
      <c r="AR47" s="41"/>
      <c r="AS47" s="42" t="str">
        <f t="shared" si="27"/>
        <v/>
      </c>
      <c r="AT47" s="89"/>
      <c r="AU47" s="208" t="str">
        <f t="shared" si="28"/>
        <v>No Quote</v>
      </c>
      <c r="AV47" s="209"/>
      <c r="AW47" s="87"/>
      <c r="AX47" s="93"/>
      <c r="AY47" s="63" t="str">
        <f t="shared" si="29"/>
        <v/>
      </c>
      <c r="AZ47" s="92"/>
      <c r="BA47" s="92"/>
      <c r="BB47" s="77" t="str">
        <f t="shared" si="30"/>
        <v>-</v>
      </c>
      <c r="BC47" s="77" t="str">
        <f t="shared" si="31"/>
        <v>-</v>
      </c>
      <c r="BD47" s="77" t="str">
        <f t="shared" si="32"/>
        <v>-</v>
      </c>
      <c r="BE47" s="77" t="str">
        <f t="shared" si="33"/>
        <v>-</v>
      </c>
      <c r="BF47" s="77" t="str">
        <f t="shared" si="34"/>
        <v>-</v>
      </c>
      <c r="BG47" s="77" t="str">
        <f t="shared" si="35"/>
        <v>-</v>
      </c>
      <c r="BH47" s="77" t="str">
        <f t="shared" si="36"/>
        <v>-</v>
      </c>
      <c r="BI47" s="77" t="str">
        <f t="shared" si="37"/>
        <v>-</v>
      </c>
      <c r="BJ47" s="78" t="str">
        <f t="shared" si="6"/>
        <v/>
      </c>
      <c r="BK47" s="74" t="str">
        <f t="shared" si="7"/>
        <v/>
      </c>
      <c r="BL47" s="72" t="str">
        <f t="shared" si="8"/>
        <v/>
      </c>
      <c r="BM47" s="71" t="str">
        <f t="shared" si="38"/>
        <v/>
      </c>
      <c r="BN47" s="74" t="str">
        <f t="shared" si="9"/>
        <v/>
      </c>
      <c r="BO47" s="72" t="str">
        <f t="shared" si="10"/>
        <v/>
      </c>
      <c r="BP47" s="71" t="str">
        <f t="shared" si="39"/>
        <v/>
      </c>
      <c r="BQ47" s="74" t="str">
        <f t="shared" si="11"/>
        <v/>
      </c>
      <c r="BS47" s="99">
        <f t="shared" si="12"/>
        <v>0</v>
      </c>
      <c r="BT47" s="100" t="str" cm="1">
        <f t="array" ref="BT47">IFERROR(INDEX(_xlfn.UNIQUE(_xlfn._xlws.FILTER($BK$22:$BK$49,($BK$22:$BK$49&lt;&gt;"")*($BK$22:$BK$49&lt;&gt;"-"))),ROWS($BT$22:BT47)),"")</f>
        <v/>
      </c>
    </row>
    <row r="48" spans="2:72" s="1" customFormat="1" ht="61.5" customHeight="1" outlineLevel="1" x14ac:dyDescent="0.25">
      <c r="B48" s="38">
        <f t="shared" si="40"/>
        <v>27</v>
      </c>
      <c r="C48" s="210"/>
      <c r="D48" s="210"/>
      <c r="E48" s="210"/>
      <c r="F48" s="210"/>
      <c r="G48" s="39"/>
      <c r="H48" s="40"/>
      <c r="I48" s="41"/>
      <c r="J48" s="42" t="str">
        <f t="shared" si="13"/>
        <v/>
      </c>
      <c r="K48" s="90"/>
      <c r="L48" s="206" t="str">
        <f t="shared" si="14"/>
        <v>No Quote</v>
      </c>
      <c r="M48" s="207"/>
      <c r="N48" s="41"/>
      <c r="O48" s="42" t="str">
        <f t="shared" si="15"/>
        <v/>
      </c>
      <c r="P48" s="90"/>
      <c r="Q48" s="206" t="str">
        <f t="shared" si="16"/>
        <v>No Quote</v>
      </c>
      <c r="R48" s="207"/>
      <c r="S48" s="41"/>
      <c r="T48" s="42" t="str">
        <f t="shared" si="17"/>
        <v/>
      </c>
      <c r="U48" s="89"/>
      <c r="V48" s="206" t="str">
        <f t="shared" si="18"/>
        <v>No Quote</v>
      </c>
      <c r="W48" s="207"/>
      <c r="X48" s="41"/>
      <c r="Y48" s="42" t="str">
        <f t="shared" si="19"/>
        <v/>
      </c>
      <c r="Z48" s="90"/>
      <c r="AA48" s="208" t="str">
        <f t="shared" si="20"/>
        <v>No Quote</v>
      </c>
      <c r="AB48" s="299"/>
      <c r="AC48" s="41"/>
      <c r="AD48" s="42" t="str">
        <f t="shared" si="21"/>
        <v/>
      </c>
      <c r="AE48" s="89"/>
      <c r="AF48" s="206" t="str">
        <f t="shared" si="22"/>
        <v>No Quote</v>
      </c>
      <c r="AG48" s="207"/>
      <c r="AH48" s="41"/>
      <c r="AI48" s="42" t="str">
        <f t="shared" si="23"/>
        <v/>
      </c>
      <c r="AJ48" s="89"/>
      <c r="AK48" s="206" t="str">
        <f t="shared" si="24"/>
        <v>No Quote</v>
      </c>
      <c r="AL48" s="207"/>
      <c r="AM48" s="41"/>
      <c r="AN48" s="42" t="str">
        <f t="shared" si="25"/>
        <v/>
      </c>
      <c r="AO48" s="89"/>
      <c r="AP48" s="206" t="str">
        <f t="shared" si="26"/>
        <v>No Quote</v>
      </c>
      <c r="AQ48" s="207"/>
      <c r="AR48" s="41"/>
      <c r="AS48" s="42" t="str">
        <f t="shared" si="27"/>
        <v/>
      </c>
      <c r="AT48" s="89"/>
      <c r="AU48" s="208" t="str">
        <f t="shared" si="28"/>
        <v>No Quote</v>
      </c>
      <c r="AV48" s="209"/>
      <c r="AW48" s="87"/>
      <c r="AX48" s="93"/>
      <c r="AY48" s="63" t="str">
        <f t="shared" si="29"/>
        <v/>
      </c>
      <c r="AZ48" s="92"/>
      <c r="BA48" s="92"/>
      <c r="BB48" s="77" t="str">
        <f t="shared" si="30"/>
        <v>-</v>
      </c>
      <c r="BC48" s="77" t="str">
        <f t="shared" si="31"/>
        <v>-</v>
      </c>
      <c r="BD48" s="77" t="str">
        <f t="shared" si="32"/>
        <v>-</v>
      </c>
      <c r="BE48" s="77" t="str">
        <f t="shared" si="33"/>
        <v>-</v>
      </c>
      <c r="BF48" s="77" t="str">
        <f t="shared" si="34"/>
        <v>-</v>
      </c>
      <c r="BG48" s="77" t="str">
        <f t="shared" si="35"/>
        <v>-</v>
      </c>
      <c r="BH48" s="77" t="str">
        <f t="shared" si="36"/>
        <v>-</v>
      </c>
      <c r="BI48" s="77" t="str">
        <f t="shared" si="37"/>
        <v>-</v>
      </c>
      <c r="BJ48" s="78" t="str">
        <f t="shared" si="6"/>
        <v/>
      </c>
      <c r="BK48" s="74" t="str">
        <f t="shared" si="7"/>
        <v/>
      </c>
      <c r="BL48" s="72" t="str">
        <f t="shared" si="8"/>
        <v/>
      </c>
      <c r="BM48" s="71" t="str">
        <f t="shared" si="38"/>
        <v/>
      </c>
      <c r="BN48" s="74" t="str">
        <f t="shared" si="9"/>
        <v/>
      </c>
      <c r="BO48" s="72" t="str">
        <f t="shared" si="10"/>
        <v/>
      </c>
      <c r="BP48" s="71" t="str">
        <f t="shared" si="39"/>
        <v/>
      </c>
      <c r="BQ48" s="74" t="str">
        <f t="shared" si="11"/>
        <v/>
      </c>
      <c r="BS48" s="99">
        <f t="shared" si="12"/>
        <v>0</v>
      </c>
      <c r="BT48" s="100" t="str" cm="1">
        <f t="array" ref="BT48">IFERROR(INDEX(_xlfn.UNIQUE(_xlfn._xlws.FILTER($BK$22:$BK$49,($BK$22:$BK$49&lt;&gt;"")*($BK$22:$BK$49&lt;&gt;"-"))),ROWS($BT$22:BT48)),"")</f>
        <v/>
      </c>
    </row>
    <row r="49" spans="2:72" s="1" customFormat="1" ht="61.5" customHeight="1" outlineLevel="1" x14ac:dyDescent="0.25">
      <c r="B49" s="38">
        <f t="shared" si="40"/>
        <v>28</v>
      </c>
      <c r="C49" s="210"/>
      <c r="D49" s="210"/>
      <c r="E49" s="210"/>
      <c r="F49" s="210"/>
      <c r="G49" s="39"/>
      <c r="H49" s="40"/>
      <c r="I49" s="41"/>
      <c r="J49" s="42" t="str">
        <f t="shared" si="13"/>
        <v/>
      </c>
      <c r="K49" s="90"/>
      <c r="L49" s="206" t="str">
        <f t="shared" si="14"/>
        <v>No Quote</v>
      </c>
      <c r="M49" s="207"/>
      <c r="N49" s="41"/>
      <c r="O49" s="42" t="str">
        <f t="shared" si="15"/>
        <v/>
      </c>
      <c r="P49" s="90"/>
      <c r="Q49" s="206" t="str">
        <f t="shared" si="16"/>
        <v>No Quote</v>
      </c>
      <c r="R49" s="207"/>
      <c r="S49" s="41"/>
      <c r="T49" s="42" t="str">
        <f t="shared" si="17"/>
        <v/>
      </c>
      <c r="U49" s="89"/>
      <c r="V49" s="206" t="str">
        <f t="shared" si="18"/>
        <v>No Quote</v>
      </c>
      <c r="W49" s="207"/>
      <c r="X49" s="41"/>
      <c r="Y49" s="42" t="str">
        <f t="shared" si="19"/>
        <v/>
      </c>
      <c r="Z49" s="90"/>
      <c r="AA49" s="208" t="str">
        <f t="shared" si="20"/>
        <v>No Quote</v>
      </c>
      <c r="AB49" s="299"/>
      <c r="AC49" s="41"/>
      <c r="AD49" s="42" t="str">
        <f t="shared" si="21"/>
        <v/>
      </c>
      <c r="AE49" s="89"/>
      <c r="AF49" s="206" t="str">
        <f t="shared" si="22"/>
        <v>No Quote</v>
      </c>
      <c r="AG49" s="207"/>
      <c r="AH49" s="41"/>
      <c r="AI49" s="42" t="str">
        <f t="shared" si="23"/>
        <v/>
      </c>
      <c r="AJ49" s="89"/>
      <c r="AK49" s="206" t="str">
        <f t="shared" si="24"/>
        <v>No Quote</v>
      </c>
      <c r="AL49" s="207"/>
      <c r="AM49" s="41"/>
      <c r="AN49" s="42" t="str">
        <f t="shared" si="25"/>
        <v/>
      </c>
      <c r="AO49" s="89"/>
      <c r="AP49" s="206" t="str">
        <f t="shared" si="26"/>
        <v>No Quote</v>
      </c>
      <c r="AQ49" s="207"/>
      <c r="AR49" s="41"/>
      <c r="AS49" s="42" t="str">
        <f t="shared" si="27"/>
        <v/>
      </c>
      <c r="AT49" s="89"/>
      <c r="AU49" s="208" t="str">
        <f t="shared" si="28"/>
        <v>No Quote</v>
      </c>
      <c r="AV49" s="209"/>
      <c r="AW49" s="87"/>
      <c r="AX49" s="93"/>
      <c r="AY49" s="63" t="str">
        <f t="shared" si="29"/>
        <v/>
      </c>
      <c r="AZ49" s="92"/>
      <c r="BA49" s="92"/>
      <c r="BB49" s="77" t="str">
        <f t="shared" si="30"/>
        <v>-</v>
      </c>
      <c r="BC49" s="77" t="str">
        <f t="shared" si="31"/>
        <v>-</v>
      </c>
      <c r="BD49" s="77" t="str">
        <f t="shared" si="32"/>
        <v>-</v>
      </c>
      <c r="BE49" s="77" t="str">
        <f t="shared" si="33"/>
        <v>-</v>
      </c>
      <c r="BF49" s="77" t="str">
        <f t="shared" si="34"/>
        <v>-</v>
      </c>
      <c r="BG49" s="77" t="str">
        <f t="shared" si="35"/>
        <v>-</v>
      </c>
      <c r="BH49" s="77" t="str">
        <f t="shared" si="36"/>
        <v>-</v>
      </c>
      <c r="BI49" s="77" t="str">
        <f t="shared" si="37"/>
        <v>-</v>
      </c>
      <c r="BJ49" s="78" t="str">
        <f t="shared" si="6"/>
        <v/>
      </c>
      <c r="BK49" s="74" t="str">
        <f t="shared" si="7"/>
        <v/>
      </c>
      <c r="BL49" s="72" t="str">
        <f t="shared" si="8"/>
        <v/>
      </c>
      <c r="BM49" s="71" t="str">
        <f t="shared" si="38"/>
        <v/>
      </c>
      <c r="BN49" s="74" t="str">
        <f t="shared" si="9"/>
        <v/>
      </c>
      <c r="BO49" s="72" t="str">
        <f t="shared" si="10"/>
        <v/>
      </c>
      <c r="BP49" s="71" t="str">
        <f t="shared" si="39"/>
        <v/>
      </c>
      <c r="BQ49" s="74" t="str">
        <f t="shared" si="11"/>
        <v/>
      </c>
      <c r="BS49" s="99">
        <f t="shared" si="12"/>
        <v>0</v>
      </c>
      <c r="BT49" s="100" t="str" cm="1">
        <f t="array" ref="BT49">IFERROR(INDEX(_xlfn.UNIQUE(_xlfn._xlws.FILTER($BK$22:$BK$49,($BK$22:$BK$49&lt;&gt;"")*($BK$22:$BK$49&lt;&gt;"-"))),ROWS($BT$22:BT49)),"")</f>
        <v/>
      </c>
    </row>
    <row r="50" spans="2:72" s="44" customFormat="1" ht="35.1" customHeight="1" x14ac:dyDescent="0.25">
      <c r="B50" s="222" t="s">
        <v>17</v>
      </c>
      <c r="C50" s="223"/>
      <c r="D50" s="223"/>
      <c r="E50" s="223"/>
      <c r="F50" s="223"/>
      <c r="G50" s="226" t="s">
        <v>35</v>
      </c>
      <c r="H50" s="183"/>
      <c r="I50" s="211">
        <f>SUMIF(K22:K49,"&lt;&gt;x",J22:J49)</f>
        <v>0</v>
      </c>
      <c r="J50" s="212"/>
      <c r="K50" s="212"/>
      <c r="L50" s="212"/>
      <c r="M50" s="213"/>
      <c r="N50" s="211">
        <f>SUMIF(P22:P49,"&lt;&gt;x",O22:O49)</f>
        <v>0</v>
      </c>
      <c r="O50" s="212"/>
      <c r="P50" s="212"/>
      <c r="Q50" s="212"/>
      <c r="R50" s="213"/>
      <c r="S50" s="211">
        <f>SUMIF(U22:U49,"&lt;&gt;x",T22:T49)</f>
        <v>0</v>
      </c>
      <c r="T50" s="212"/>
      <c r="U50" s="212"/>
      <c r="V50" s="212"/>
      <c r="W50" s="213"/>
      <c r="X50" s="211">
        <f>SUMIF(Z22:Z49,"&lt;&gt;x",Y22:Y49)</f>
        <v>0</v>
      </c>
      <c r="Y50" s="212"/>
      <c r="Z50" s="212"/>
      <c r="AA50" s="212"/>
      <c r="AB50" s="213"/>
      <c r="AC50" s="211">
        <f>SUMIF(AE22:AE49,"&lt;&gt;x",AD22:AD49)</f>
        <v>0</v>
      </c>
      <c r="AD50" s="212"/>
      <c r="AE50" s="212"/>
      <c r="AF50" s="212"/>
      <c r="AG50" s="213"/>
      <c r="AH50" s="211">
        <f>SUMIF(AJ22:AJ49,"&lt;&gt;x",AI22:AI49)</f>
        <v>0</v>
      </c>
      <c r="AI50" s="212"/>
      <c r="AJ50" s="212"/>
      <c r="AK50" s="212"/>
      <c r="AL50" s="213"/>
      <c r="AM50" s="211">
        <f>SUMIF(AO22:AO49,"&lt;&gt;x",AN22:AN49)</f>
        <v>0</v>
      </c>
      <c r="AN50" s="212"/>
      <c r="AO50" s="212"/>
      <c r="AP50" s="212"/>
      <c r="AQ50" s="213"/>
      <c r="AR50" s="211">
        <f>SUMIF(AT22:AT49,"&lt;&gt;x",AS22:AS49)</f>
        <v>0</v>
      </c>
      <c r="AS50" s="212"/>
      <c r="AT50" s="212"/>
      <c r="AU50" s="212"/>
      <c r="AV50" s="214"/>
      <c r="BB50" s="110">
        <f t="shared" ref="BB50:BI50" si="41">SUM(BB22:BB49)</f>
        <v>0</v>
      </c>
      <c r="BC50" s="110">
        <f t="shared" si="41"/>
        <v>0</v>
      </c>
      <c r="BD50" s="110">
        <f t="shared" si="41"/>
        <v>0</v>
      </c>
      <c r="BE50" s="110">
        <f t="shared" si="41"/>
        <v>0</v>
      </c>
      <c r="BF50" s="110">
        <f t="shared" si="41"/>
        <v>0</v>
      </c>
      <c r="BG50" s="110">
        <f t="shared" si="41"/>
        <v>0</v>
      </c>
      <c r="BH50" s="110">
        <f t="shared" si="41"/>
        <v>0</v>
      </c>
      <c r="BI50" s="110">
        <f t="shared" si="41"/>
        <v>0</v>
      </c>
      <c r="BJ50" s="78" t="str">
        <f t="shared" si="6"/>
        <v/>
      </c>
      <c r="BK50" s="74" t="str">
        <f t="shared" ref="BK50" si="42">IF(BJ50=BB50,$BB$19,IF(BJ50=BC50,$BC$19,IF(BJ50=BD50,$BD$19,IF(BJ50=BE50,$BE$19,IF(BJ50=BF50,$BF$19,IF(BJ50=BG50,$BG$19,IF(BJ50=BH50,$BH$19,IF(BJ50=BI50,$BI$19,""))))))))</f>
        <v/>
      </c>
      <c r="BL50" s="72">
        <f t="shared" si="8"/>
        <v>0</v>
      </c>
      <c r="BM50" s="71" t="str">
        <f t="shared" si="38"/>
        <v/>
      </c>
      <c r="BN50" s="74">
        <f t="shared" ref="BN50" si="43">IFERROR(IF(BL50="","",IF(BL50=BB50,$BB$19,IF(BL50=BC50,$BC$19,IF(BL50=BD50,$BD$19,IF(BL50=BE50,$BE$19,IF(BL50=BF50,$BF$19,IF(BL50=BG50,$BG$19,IF(BL50=BH50,$BH$19,IF(BL50=BI50,$BI$19,""))))))))),"")</f>
        <v>0</v>
      </c>
      <c r="BO50" s="72">
        <f t="shared" si="10"/>
        <v>0</v>
      </c>
      <c r="BP50" s="71" t="str">
        <f t="shared" ref="BP50" si="44">IFERROR(IF((BO50-$BJ50)/$BJ50&lt;0%,"",(BO50-$BJ50)/$BJ50),"")</f>
        <v/>
      </c>
      <c r="BQ50" s="74">
        <f t="shared" ref="BQ50" si="45">IFERROR(IF(BO50="","",IF(BO50=BB50,$BB$19,IF(BO50=BC50,$BC$19,IF(BO50=BD50,$BD$19,IF(BO50=BE50,$BE$19,IF(BO50=BF50,$BF$19,IF(BO50=BG50,$BG$19,IF(BO50=BH50,$BH$19,IF(BO50=BI50,$BI$19,""))))))))),"")</f>
        <v>0</v>
      </c>
      <c r="BT50" s="101"/>
    </row>
    <row r="51" spans="2:72" s="44" customFormat="1" ht="35.1" customHeight="1" outlineLevel="1" x14ac:dyDescent="0.25">
      <c r="B51" s="224"/>
      <c r="C51" s="225"/>
      <c r="D51" s="225"/>
      <c r="E51" s="225"/>
      <c r="F51" s="225"/>
      <c r="G51" s="226" t="s">
        <v>36</v>
      </c>
      <c r="H51" s="183"/>
      <c r="I51" s="211">
        <f>I50+(I50*11%)</f>
        <v>0</v>
      </c>
      <c r="J51" s="212"/>
      <c r="K51" s="212"/>
      <c r="L51" s="212"/>
      <c r="M51" s="213"/>
      <c r="N51" s="211">
        <f>N50+(N50*11%)</f>
        <v>0</v>
      </c>
      <c r="O51" s="212"/>
      <c r="P51" s="212"/>
      <c r="Q51" s="212"/>
      <c r="R51" s="213"/>
      <c r="S51" s="211">
        <f>S50+(S50*11%)</f>
        <v>0</v>
      </c>
      <c r="T51" s="212"/>
      <c r="U51" s="212"/>
      <c r="V51" s="212"/>
      <c r="W51" s="213"/>
      <c r="X51" s="211">
        <f>X50+(X50*11%)</f>
        <v>0</v>
      </c>
      <c r="Y51" s="212"/>
      <c r="Z51" s="212"/>
      <c r="AA51" s="212"/>
      <c r="AB51" s="213"/>
      <c r="AC51" s="211">
        <f>AC50+(AC50*11%)</f>
        <v>0</v>
      </c>
      <c r="AD51" s="212"/>
      <c r="AE51" s="212"/>
      <c r="AF51" s="212"/>
      <c r="AG51" s="213"/>
      <c r="AH51" s="211">
        <f>AH50+(AH50*11%)</f>
        <v>0</v>
      </c>
      <c r="AI51" s="212"/>
      <c r="AJ51" s="212"/>
      <c r="AK51" s="212"/>
      <c r="AL51" s="213"/>
      <c r="AM51" s="211">
        <f>AM50+(AM50*11%)</f>
        <v>0</v>
      </c>
      <c r="AN51" s="212"/>
      <c r="AO51" s="212"/>
      <c r="AP51" s="212"/>
      <c r="AQ51" s="213"/>
      <c r="AR51" s="211">
        <f>AR50+(AR50*11%)</f>
        <v>0</v>
      </c>
      <c r="AS51" s="212"/>
      <c r="AT51" s="212"/>
      <c r="AU51" s="212"/>
      <c r="AV51" s="214"/>
      <c r="BB51" s="11" t="str">
        <f t="shared" ref="BB51:BI51" si="46">IF(COUNTIF(BB22:BB49,"-")&gt;0,"No Full Item","Full Item")</f>
        <v>No Full Item</v>
      </c>
      <c r="BC51" s="11" t="str">
        <f t="shared" si="46"/>
        <v>No Full Item</v>
      </c>
      <c r="BD51" s="11" t="str">
        <f t="shared" si="46"/>
        <v>No Full Item</v>
      </c>
      <c r="BE51" s="11" t="str">
        <f t="shared" si="46"/>
        <v>No Full Item</v>
      </c>
      <c r="BF51" s="11" t="str">
        <f t="shared" si="46"/>
        <v>No Full Item</v>
      </c>
      <c r="BG51" s="11" t="str">
        <f t="shared" si="46"/>
        <v>No Full Item</v>
      </c>
      <c r="BH51" s="11" t="str">
        <f t="shared" si="46"/>
        <v>No Full Item</v>
      </c>
      <c r="BI51" s="11" t="str">
        <f t="shared" si="46"/>
        <v>No Full Item</v>
      </c>
      <c r="BJ51" s="11"/>
      <c r="BK51" s="75"/>
      <c r="BM51" s="68"/>
      <c r="BN51" s="75"/>
      <c r="BQ51" s="75"/>
      <c r="BT51" s="101"/>
    </row>
    <row r="52" spans="2:72" s="44" customFormat="1" ht="35.1" customHeight="1" x14ac:dyDescent="0.25">
      <c r="B52" s="224"/>
      <c r="C52" s="225"/>
      <c r="D52" s="225"/>
      <c r="E52" s="225"/>
      <c r="F52" s="225"/>
      <c r="G52" s="226" t="s">
        <v>37</v>
      </c>
      <c r="H52" s="183"/>
      <c r="I52" s="211"/>
      <c r="J52" s="212"/>
      <c r="K52" s="212"/>
      <c r="L52" s="212"/>
      <c r="M52" s="213"/>
      <c r="N52" s="211"/>
      <c r="O52" s="212"/>
      <c r="P52" s="212"/>
      <c r="Q52" s="212"/>
      <c r="R52" s="213"/>
      <c r="S52" s="211"/>
      <c r="T52" s="212"/>
      <c r="U52" s="212"/>
      <c r="V52" s="212"/>
      <c r="W52" s="213"/>
      <c r="X52" s="211"/>
      <c r="Y52" s="212"/>
      <c r="Z52" s="212"/>
      <c r="AA52" s="212"/>
      <c r="AB52" s="213"/>
      <c r="AC52" s="211"/>
      <c r="AD52" s="212"/>
      <c r="AE52" s="212"/>
      <c r="AF52" s="212"/>
      <c r="AG52" s="213"/>
      <c r="AH52" s="211"/>
      <c r="AI52" s="212"/>
      <c r="AJ52" s="212"/>
      <c r="AK52" s="212"/>
      <c r="AL52" s="213"/>
      <c r="AM52" s="211"/>
      <c r="AN52" s="212"/>
      <c r="AO52" s="212"/>
      <c r="AP52" s="212"/>
      <c r="AQ52" s="213"/>
      <c r="AR52" s="211"/>
      <c r="AS52" s="212"/>
      <c r="AT52" s="212"/>
      <c r="AU52" s="212"/>
      <c r="AV52" s="214"/>
      <c r="BJ52" s="69"/>
      <c r="BK52" s="75"/>
      <c r="BM52" s="68"/>
      <c r="BN52" s="75"/>
      <c r="BQ52" s="75"/>
      <c r="BT52" s="101"/>
    </row>
    <row r="53" spans="2:72" s="1" customFormat="1" ht="80.25" customHeight="1" x14ac:dyDescent="0.25">
      <c r="B53" s="215" t="s">
        <v>38</v>
      </c>
      <c r="C53" s="216"/>
      <c r="D53" s="216"/>
      <c r="E53" s="216"/>
      <c r="F53" s="216"/>
      <c r="G53" s="216"/>
      <c r="H53" s="217"/>
      <c r="I53" s="218"/>
      <c r="J53" s="219"/>
      <c r="K53" s="219"/>
      <c r="L53" s="219"/>
      <c r="M53" s="220"/>
      <c r="N53" s="221"/>
      <c r="O53" s="219"/>
      <c r="P53" s="219"/>
      <c r="Q53" s="219"/>
      <c r="R53" s="220"/>
      <c r="S53" s="221"/>
      <c r="T53" s="219"/>
      <c r="U53" s="219"/>
      <c r="V53" s="219"/>
      <c r="W53" s="220"/>
      <c r="X53" s="296"/>
      <c r="Y53" s="297"/>
      <c r="Z53" s="297"/>
      <c r="AA53" s="297"/>
      <c r="AB53" s="298"/>
      <c r="AC53" s="221"/>
      <c r="AD53" s="219"/>
      <c r="AE53" s="219"/>
      <c r="AF53" s="219"/>
      <c r="AG53" s="220"/>
      <c r="AH53" s="221"/>
      <c r="AI53" s="219"/>
      <c r="AJ53" s="219"/>
      <c r="AK53" s="219"/>
      <c r="AL53" s="220"/>
      <c r="AM53" s="221"/>
      <c r="AN53" s="219"/>
      <c r="AO53" s="219"/>
      <c r="AP53" s="219"/>
      <c r="AQ53" s="220"/>
      <c r="AR53" s="221"/>
      <c r="AS53" s="219"/>
      <c r="AT53" s="219"/>
      <c r="AU53" s="219"/>
      <c r="AV53" s="227"/>
      <c r="BJ53" s="79"/>
      <c r="BK53" s="70"/>
      <c r="BM53" s="65"/>
      <c r="BN53" s="70"/>
      <c r="BQ53" s="70"/>
      <c r="BT53" s="3"/>
    </row>
    <row r="54" spans="2:72" s="1" customFormat="1" ht="109.5" customHeight="1" x14ac:dyDescent="0.25">
      <c r="B54" s="228"/>
      <c r="C54" s="229"/>
      <c r="D54" s="229"/>
      <c r="E54" s="229"/>
      <c r="F54" s="229"/>
      <c r="G54" s="229"/>
      <c r="H54" s="229"/>
      <c r="I54" s="230" t="s">
        <v>39</v>
      </c>
      <c r="J54" s="231"/>
      <c r="K54" s="231"/>
      <c r="L54" s="231"/>
      <c r="M54" s="232"/>
      <c r="N54" s="230" t="s">
        <v>39</v>
      </c>
      <c r="O54" s="231"/>
      <c r="P54" s="231"/>
      <c r="Q54" s="231"/>
      <c r="R54" s="232"/>
      <c r="S54" s="230" t="s">
        <v>39</v>
      </c>
      <c r="T54" s="231"/>
      <c r="U54" s="231"/>
      <c r="V54" s="231"/>
      <c r="W54" s="232"/>
      <c r="X54" s="292" t="s">
        <v>39</v>
      </c>
      <c r="Y54" s="293"/>
      <c r="Z54" s="293"/>
      <c r="AA54" s="293"/>
      <c r="AB54" s="294"/>
      <c r="AC54" s="230" t="s">
        <v>39</v>
      </c>
      <c r="AD54" s="231"/>
      <c r="AE54" s="231"/>
      <c r="AF54" s="231"/>
      <c r="AG54" s="232"/>
      <c r="AH54" s="230" t="s">
        <v>39</v>
      </c>
      <c r="AI54" s="231"/>
      <c r="AJ54" s="231"/>
      <c r="AK54" s="231"/>
      <c r="AL54" s="232"/>
      <c r="AM54" s="230" t="s">
        <v>39</v>
      </c>
      <c r="AN54" s="231"/>
      <c r="AO54" s="231"/>
      <c r="AP54" s="231"/>
      <c r="AQ54" s="232"/>
      <c r="AR54" s="246" t="s">
        <v>39</v>
      </c>
      <c r="AS54" s="247"/>
      <c r="AT54" s="247"/>
      <c r="AU54" s="247"/>
      <c r="AV54" s="248"/>
      <c r="BJ54" s="79"/>
      <c r="BK54" s="70"/>
      <c r="BM54" s="65"/>
      <c r="BN54" s="70"/>
      <c r="BQ54" s="70"/>
      <c r="BT54" s="3"/>
    </row>
    <row r="55" spans="2:72" s="47" customFormat="1" ht="15" customHeight="1" x14ac:dyDescent="0.25">
      <c r="B55" s="249" t="s">
        <v>40</v>
      </c>
      <c r="C55" s="250"/>
      <c r="D55" s="250"/>
      <c r="E55" s="250"/>
      <c r="F55" s="250"/>
      <c r="G55" s="250"/>
      <c r="H55" s="251"/>
      <c r="I55" s="252" t="s">
        <v>41</v>
      </c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88"/>
      <c r="AH55" s="252" t="s">
        <v>51</v>
      </c>
      <c r="AI55" s="253"/>
      <c r="AJ55" s="253"/>
      <c r="AK55" s="253"/>
      <c r="AL55" s="253"/>
      <c r="AM55" s="266" t="s">
        <v>42</v>
      </c>
      <c r="AN55" s="267"/>
      <c r="AO55" s="267"/>
      <c r="AP55" s="267"/>
      <c r="AQ55" s="267"/>
      <c r="AR55" s="267"/>
      <c r="AS55" s="267"/>
      <c r="AT55" s="267"/>
      <c r="AU55" s="267"/>
      <c r="AV55" s="268"/>
      <c r="BJ55" s="81"/>
      <c r="BK55" s="70"/>
      <c r="BL55" s="1"/>
      <c r="BM55" s="65"/>
      <c r="BN55" s="70"/>
      <c r="BQ55" s="70"/>
      <c r="BT55" s="102"/>
    </row>
    <row r="56" spans="2:72" s="1" customFormat="1" ht="90" customHeight="1" x14ac:dyDescent="0.25">
      <c r="B56" s="258"/>
      <c r="C56" s="259"/>
      <c r="D56" s="259"/>
      <c r="E56" s="259"/>
      <c r="F56" s="259"/>
      <c r="G56" s="259"/>
      <c r="H56" s="260"/>
      <c r="I56" s="179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289"/>
      <c r="AH56" s="179"/>
      <c r="AI56" s="180"/>
      <c r="AJ56" s="180"/>
      <c r="AK56" s="180"/>
      <c r="AL56" s="180"/>
      <c r="AM56" s="179"/>
      <c r="AN56" s="180"/>
      <c r="AO56" s="180"/>
      <c r="AP56" s="180"/>
      <c r="AQ56" s="180"/>
      <c r="AR56" s="180"/>
      <c r="AS56" s="180"/>
      <c r="AT56" s="180"/>
      <c r="AU56" s="180"/>
      <c r="AV56" s="245"/>
      <c r="BJ56" s="79"/>
      <c r="BK56" s="70"/>
      <c r="BM56" s="65"/>
      <c r="BN56" s="70"/>
      <c r="BQ56" s="70"/>
      <c r="BT56" s="3"/>
    </row>
    <row r="57" spans="2:72" s="1" customFormat="1" ht="13.5" x14ac:dyDescent="0.25">
      <c r="B57" s="233" t="s">
        <v>47</v>
      </c>
      <c r="C57" s="234"/>
      <c r="D57" s="234"/>
      <c r="E57" s="234"/>
      <c r="F57" s="234"/>
      <c r="G57" s="234"/>
      <c r="H57" s="235"/>
      <c r="I57" s="236" t="s">
        <v>43</v>
      </c>
      <c r="J57" s="237"/>
      <c r="K57" s="237"/>
      <c r="L57" s="237"/>
      <c r="M57" s="237"/>
      <c r="N57" s="237" t="s">
        <v>52</v>
      </c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 t="s">
        <v>45</v>
      </c>
      <c r="AD57" s="237"/>
      <c r="AE57" s="237"/>
      <c r="AF57" s="237"/>
      <c r="AG57" s="287"/>
      <c r="AH57" s="261" t="s">
        <v>48</v>
      </c>
      <c r="AI57" s="262"/>
      <c r="AJ57" s="262"/>
      <c r="AK57" s="262"/>
      <c r="AL57" s="262"/>
      <c r="AM57" s="236" t="str">
        <f>IF(OR($I$50&lt;200000000,$N$50&lt;200000000,$S$50&lt;200000000,$X$50&lt;200000000,$AC$50&lt;200000000,$AH$50&lt;200000000,$AM$50&lt;200000000,$AR$50&lt;200000000),"Mochammad Rusfandy","Mochammad Rusfandy")</f>
        <v>Mochammad Rusfandy</v>
      </c>
      <c r="AN57" s="237"/>
      <c r="AO57" s="237"/>
      <c r="AP57" s="237"/>
      <c r="AQ57" s="237"/>
      <c r="AR57" s="237" t="str">
        <f>IF(OR($I$50="",$N$50="",$S$50="",$X$50="",$AC$50="",$AH$50="",$AM$50="",$AR$50=""),"",IF(OR($I$50&gt;50000000,$N$50&gt;200000000,$S$50&gt;200000000,$X$50&gt;200000000,$AC$50&gt;200000000,$AH$50&gt;200000000,$AM$50&gt;200000000,$AR$50&gt;200000000),"Heri Gunawan",""))</f>
        <v/>
      </c>
      <c r="AS57" s="237"/>
      <c r="AT57" s="237"/>
      <c r="AU57" s="237"/>
      <c r="AV57" s="254"/>
      <c r="BJ57" s="79"/>
      <c r="BK57" s="70"/>
      <c r="BM57" s="65"/>
      <c r="BN57" s="70"/>
      <c r="BQ57" s="70"/>
      <c r="BT57" s="3"/>
    </row>
    <row r="58" spans="2:72" s="1" customFormat="1" ht="13.5" x14ac:dyDescent="0.25">
      <c r="B58" s="48" t="s">
        <v>46</v>
      </c>
      <c r="C58" s="49"/>
      <c r="D58" s="255">
        <f ca="1">AS8</f>
        <v>46314</v>
      </c>
      <c r="E58" s="255"/>
      <c r="F58" s="255"/>
      <c r="G58" s="255"/>
      <c r="H58" s="256"/>
      <c r="I58" s="242" t="str">
        <f>IF(I57="","","Date:")</f>
        <v>Date:</v>
      </c>
      <c r="J58" s="242"/>
      <c r="K58" s="242"/>
      <c r="L58" s="242"/>
      <c r="M58" s="242"/>
      <c r="N58" s="242" t="str">
        <f>IF(N57="","","Date:")</f>
        <v>Date:</v>
      </c>
      <c r="O58" s="242"/>
      <c r="P58" s="242"/>
      <c r="Q58" s="242"/>
      <c r="R58" s="242"/>
      <c r="S58" s="242"/>
      <c r="T58" s="242"/>
      <c r="U58" s="242"/>
      <c r="V58" s="242"/>
      <c r="W58" s="242"/>
      <c r="X58" s="64"/>
      <c r="Y58" s="64"/>
      <c r="Z58" s="64"/>
      <c r="AA58" s="64"/>
      <c r="AB58" s="64"/>
      <c r="AC58" s="242" t="str">
        <f>IF(AC57="","","Date:")</f>
        <v>Date:</v>
      </c>
      <c r="AD58" s="242"/>
      <c r="AE58" s="242"/>
      <c r="AF58" s="242"/>
      <c r="AG58" s="286"/>
      <c r="AH58" s="263" t="s">
        <v>49</v>
      </c>
      <c r="AI58" s="264"/>
      <c r="AJ58" s="264"/>
      <c r="AK58" s="264"/>
      <c r="AL58" s="295"/>
      <c r="AM58" s="241" t="str">
        <f>IF(AM57="","","Date:")</f>
        <v>Date:</v>
      </c>
      <c r="AN58" s="242"/>
      <c r="AO58" s="242"/>
      <c r="AP58" s="242"/>
      <c r="AQ58" s="242"/>
      <c r="AR58" s="242" t="str">
        <f>IF(AR57="","","Date:")</f>
        <v/>
      </c>
      <c r="AS58" s="242"/>
      <c r="AT58" s="242"/>
      <c r="AU58" s="242"/>
      <c r="AV58" s="243"/>
      <c r="BJ58" s="79"/>
      <c r="BK58" s="70"/>
      <c r="BM58" s="65"/>
      <c r="BN58" s="70"/>
      <c r="BQ58" s="70"/>
      <c r="BT58" s="3"/>
    </row>
    <row r="59" spans="2:72" s="1" customFormat="1" ht="14.25" thickBot="1" x14ac:dyDescent="0.3">
      <c r="B59" s="50"/>
      <c r="C59" s="51"/>
      <c r="D59" s="51"/>
      <c r="E59" s="51"/>
      <c r="F59" s="51"/>
      <c r="G59" s="51"/>
      <c r="H59" s="51"/>
      <c r="I59" s="51"/>
      <c r="J59" s="51"/>
      <c r="K59" s="51"/>
      <c r="L59" s="52"/>
      <c r="M59" s="52"/>
      <c r="N59" s="51"/>
      <c r="O59" s="51"/>
      <c r="P59" s="51"/>
      <c r="Q59" s="51"/>
      <c r="R59" s="51"/>
      <c r="S59" s="51"/>
      <c r="T59" s="51"/>
      <c r="U59" s="53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197"/>
      <c r="AI59" s="197"/>
      <c r="AJ59" s="197"/>
      <c r="AK59" s="197"/>
      <c r="AL59" s="197"/>
      <c r="AM59" s="51"/>
      <c r="AN59" s="51"/>
      <c r="AO59" s="51"/>
      <c r="AP59" s="51"/>
      <c r="AQ59" s="51"/>
      <c r="AR59" s="51"/>
      <c r="AS59" s="51"/>
      <c r="AT59" s="51"/>
      <c r="AU59" s="51"/>
      <c r="AV59" s="54"/>
      <c r="BJ59" s="79"/>
      <c r="BK59" s="70"/>
      <c r="BM59" s="65"/>
      <c r="BN59" s="70"/>
      <c r="BQ59" s="70"/>
      <c r="BT59" s="3"/>
    </row>
    <row r="60" spans="2:72" ht="17.25" hidden="1" thickTop="1" x14ac:dyDescent="0.25">
      <c r="L60" s="55"/>
      <c r="M60" s="55"/>
    </row>
    <row r="61" spans="2:72" ht="17.25" hidden="1" thickTop="1" x14ac:dyDescent="0.25">
      <c r="L61" s="55"/>
      <c r="M61" s="55"/>
    </row>
    <row r="62" spans="2:72" ht="17.25" hidden="1" thickTop="1" x14ac:dyDescent="0.25">
      <c r="J62" s="265"/>
      <c r="K62" s="244"/>
      <c r="L62" s="244"/>
      <c r="M62" s="244"/>
    </row>
    <row r="63" spans="2:72" ht="17.25" hidden="1" thickTop="1" x14ac:dyDescent="0.25">
      <c r="J63" s="265"/>
      <c r="K63" s="244"/>
      <c r="L63" s="244"/>
      <c r="M63" s="244"/>
    </row>
    <row r="64" spans="2:72" ht="17.25" hidden="1" thickTop="1" x14ac:dyDescent="0.25">
      <c r="J64" s="265"/>
      <c r="K64" s="244"/>
      <c r="L64" s="244"/>
      <c r="M64" s="244"/>
    </row>
    <row r="65" spans="4:16" ht="17.25" hidden="1" thickTop="1" x14ac:dyDescent="0.25">
      <c r="J65" s="265"/>
      <c r="K65" s="244"/>
      <c r="L65" s="244"/>
      <c r="M65" s="244"/>
      <c r="N65" s="265"/>
      <c r="O65" s="244"/>
      <c r="P65" s="244"/>
    </row>
    <row r="66" spans="4:16" ht="17.25" hidden="1" thickTop="1" x14ac:dyDescent="0.25">
      <c r="J66" s="265"/>
      <c r="K66" s="244"/>
      <c r="L66" s="244"/>
      <c r="M66" s="244"/>
    </row>
    <row r="67" spans="4:16" ht="17.25" hidden="1" thickTop="1" x14ac:dyDescent="0.25">
      <c r="J67" s="244"/>
      <c r="K67" s="244"/>
      <c r="L67" s="244"/>
      <c r="M67" s="244"/>
    </row>
    <row r="68" spans="4:16" ht="17.25" hidden="1" thickTop="1" x14ac:dyDescent="0.25">
      <c r="L68" s="55"/>
      <c r="M68" s="55"/>
    </row>
    <row r="69" spans="4:16" ht="17.25" hidden="1" thickTop="1" x14ac:dyDescent="0.25">
      <c r="L69" s="239"/>
      <c r="M69" s="239"/>
    </row>
    <row r="72" spans="4:16" ht="17.25" hidden="1" thickTop="1" x14ac:dyDescent="0.25">
      <c r="D72" s="56"/>
      <c r="E72" s="56"/>
      <c r="F72" s="56"/>
      <c r="G72" s="56"/>
      <c r="H72" s="56"/>
      <c r="I72" s="56"/>
    </row>
    <row r="73" spans="4:16" ht="17.25" hidden="1" thickTop="1" x14ac:dyDescent="0.25">
      <c r="D73" s="56"/>
      <c r="E73" s="56"/>
      <c r="F73" s="56"/>
      <c r="G73" s="56"/>
      <c r="H73" s="56"/>
      <c r="I73" s="56"/>
    </row>
    <row r="74" spans="4:16" ht="17.25" hidden="1" thickTop="1" x14ac:dyDescent="0.25">
      <c r="D74" s="56"/>
      <c r="E74" s="56"/>
      <c r="F74" s="56"/>
      <c r="G74" s="56"/>
      <c r="H74" s="56"/>
      <c r="I74" s="56"/>
    </row>
    <row r="75" spans="4:16" ht="17.25" hidden="1" thickTop="1" x14ac:dyDescent="0.25">
      <c r="D75" s="56"/>
      <c r="E75" s="56"/>
      <c r="F75" s="56"/>
      <c r="G75" s="56"/>
      <c r="H75" s="56"/>
      <c r="I75" s="56"/>
    </row>
    <row r="76" spans="4:16" ht="17.25" hidden="1" thickTop="1" x14ac:dyDescent="0.25">
      <c r="D76" s="56"/>
      <c r="E76" s="56"/>
      <c r="F76" s="57"/>
      <c r="G76" s="56"/>
      <c r="H76" s="56"/>
      <c r="I76" s="56"/>
    </row>
    <row r="77" spans="4:16" ht="15" hidden="1" customHeight="1" x14ac:dyDescent="0.25">
      <c r="D77" s="56"/>
      <c r="E77" s="56"/>
      <c r="F77" s="240"/>
      <c r="G77" s="240"/>
      <c r="H77" s="240"/>
      <c r="I77" s="56"/>
    </row>
    <row r="78" spans="4:16" ht="15" hidden="1" customHeight="1" x14ac:dyDescent="0.25">
      <c r="D78" s="56"/>
      <c r="E78" s="56"/>
      <c r="F78" s="240"/>
      <c r="G78" s="240"/>
      <c r="H78" s="240"/>
      <c r="I78" s="58"/>
      <c r="J78" s="59"/>
    </row>
    <row r="79" spans="4:16" ht="17.25" hidden="1" thickTop="1" x14ac:dyDescent="0.25">
      <c r="D79" s="56"/>
      <c r="E79" s="56"/>
      <c r="F79" s="56"/>
      <c r="G79" s="56"/>
      <c r="H79" s="56"/>
      <c r="I79" s="56"/>
    </row>
    <row r="80" spans="4:16" ht="17.25" hidden="1" thickTop="1" x14ac:dyDescent="0.25">
      <c r="D80" s="56"/>
      <c r="E80" s="56"/>
      <c r="F80" s="56"/>
      <c r="G80" s="56"/>
      <c r="H80" s="56"/>
      <c r="I80" s="56"/>
    </row>
    <row r="81" spans="4:9" ht="17.25" hidden="1" thickTop="1" x14ac:dyDescent="0.25">
      <c r="D81" s="56"/>
      <c r="E81" s="56"/>
      <c r="F81" s="56"/>
      <c r="G81" s="56"/>
      <c r="H81" s="56"/>
      <c r="I81" s="60"/>
    </row>
    <row r="82" spans="4:9" ht="17.25" hidden="1" thickTop="1" x14ac:dyDescent="0.25">
      <c r="D82" s="56"/>
      <c r="E82" s="56"/>
      <c r="F82" s="56"/>
      <c r="G82" s="56"/>
      <c r="H82" s="56"/>
      <c r="I82" s="56"/>
    </row>
    <row r="83" spans="4:9" ht="17.25" thickTop="1" x14ac:dyDescent="0.25"/>
    <row r="84" spans="4:9" x14ac:dyDescent="0.25"/>
  </sheetData>
  <mergeCells count="468">
    <mergeCell ref="B17:E17"/>
    <mergeCell ref="F7:Q7"/>
    <mergeCell ref="F8:Q8"/>
    <mergeCell ref="F9:Q9"/>
    <mergeCell ref="X57:AB57"/>
    <mergeCell ref="I56:AG56"/>
    <mergeCell ref="I55:AG55"/>
    <mergeCell ref="AM55:AV55"/>
    <mergeCell ref="BS20:BT20"/>
    <mergeCell ref="BS21:BT21"/>
    <mergeCell ref="AC10:AG10"/>
    <mergeCell ref="AH10:AL10"/>
    <mergeCell ref="AM10:AQ10"/>
    <mergeCell ref="AS11:AV11"/>
    <mergeCell ref="B12:F12"/>
    <mergeCell ref="G12:H13"/>
    <mergeCell ref="I12:M13"/>
    <mergeCell ref="N12:R13"/>
    <mergeCell ref="S12:W13"/>
    <mergeCell ref="X12:AB13"/>
    <mergeCell ref="AC12:AG13"/>
    <mergeCell ref="AH12:AL13"/>
    <mergeCell ref="AM12:AQ13"/>
    <mergeCell ref="B13:F15"/>
    <mergeCell ref="B4:F6"/>
    <mergeCell ref="G4:AT6"/>
    <mergeCell ref="B7:D7"/>
    <mergeCell ref="AS7:AV7"/>
    <mergeCell ref="B8:D8"/>
    <mergeCell ref="AS8:AV8"/>
    <mergeCell ref="AR10:AV10"/>
    <mergeCell ref="B11:F11"/>
    <mergeCell ref="J11:M11"/>
    <mergeCell ref="O11:R11"/>
    <mergeCell ref="T11:W11"/>
    <mergeCell ref="Y11:AB11"/>
    <mergeCell ref="AD11:AG11"/>
    <mergeCell ref="AI11:AL11"/>
    <mergeCell ref="AN11:AQ11"/>
    <mergeCell ref="S10:W10"/>
    <mergeCell ref="X10:AB10"/>
    <mergeCell ref="AR12:AV13"/>
    <mergeCell ref="AR14:AV14"/>
    <mergeCell ref="AR15:AV15"/>
    <mergeCell ref="AM14:AQ14"/>
    <mergeCell ref="B9:D9"/>
    <mergeCell ref="B10:F10"/>
    <mergeCell ref="G10:H11"/>
    <mergeCell ref="I10:M10"/>
    <mergeCell ref="N10:R10"/>
    <mergeCell ref="G15:H15"/>
    <mergeCell ref="I15:M15"/>
    <mergeCell ref="N15:R15"/>
    <mergeCell ref="S15:W15"/>
    <mergeCell ref="X15:AB15"/>
    <mergeCell ref="AC15:AG15"/>
    <mergeCell ref="AH15:AL15"/>
    <mergeCell ref="AM15:AQ15"/>
    <mergeCell ref="G14:H14"/>
    <mergeCell ref="I14:M14"/>
    <mergeCell ref="N14:R14"/>
    <mergeCell ref="S14:W14"/>
    <mergeCell ref="X14:AB14"/>
    <mergeCell ref="AC14:AG14"/>
    <mergeCell ref="AH14:AL14"/>
    <mergeCell ref="G16:H16"/>
    <mergeCell ref="I16:M16"/>
    <mergeCell ref="N16:R16"/>
    <mergeCell ref="S16:W16"/>
    <mergeCell ref="X16:AB16"/>
    <mergeCell ref="AC16:AG16"/>
    <mergeCell ref="AH16:AL16"/>
    <mergeCell ref="AM16:AQ16"/>
    <mergeCell ref="AR16:AV16"/>
    <mergeCell ref="G17:H17"/>
    <mergeCell ref="I17:J17"/>
    <mergeCell ref="K17:M17"/>
    <mergeCell ref="N17:O17"/>
    <mergeCell ref="P17:R17"/>
    <mergeCell ref="S17:T17"/>
    <mergeCell ref="U17:W17"/>
    <mergeCell ref="AH17:AI17"/>
    <mergeCell ref="AJ17:AL17"/>
    <mergeCell ref="AM17:AN17"/>
    <mergeCell ref="AO17:AQ17"/>
    <mergeCell ref="AR17:AS17"/>
    <mergeCell ref="AT17:AV17"/>
    <mergeCell ref="X17:Y17"/>
    <mergeCell ref="Z17:AB17"/>
    <mergeCell ref="AC17:AD17"/>
    <mergeCell ref="AE17:AG17"/>
    <mergeCell ref="AC18:AG18"/>
    <mergeCell ref="AH18:AL18"/>
    <mergeCell ref="AM18:AQ18"/>
    <mergeCell ref="AR18:AV18"/>
    <mergeCell ref="BJ18:BJ21"/>
    <mergeCell ref="BB19:BB21"/>
    <mergeCell ref="BC19:BC21"/>
    <mergeCell ref="BD19:BD21"/>
    <mergeCell ref="BE19:BE21"/>
    <mergeCell ref="AC20:AG20"/>
    <mergeCell ref="AH20:AL20"/>
    <mergeCell ref="AM20:AQ20"/>
    <mergeCell ref="AR20:AV20"/>
    <mergeCell ref="C21:F21"/>
    <mergeCell ref="L21:M21"/>
    <mergeCell ref="Q21:R21"/>
    <mergeCell ref="V21:W21"/>
    <mergeCell ref="AA21:AB21"/>
    <mergeCell ref="G20:H20"/>
    <mergeCell ref="I20:M20"/>
    <mergeCell ref="N20:R20"/>
    <mergeCell ref="S20:W20"/>
    <mergeCell ref="X20:AB20"/>
    <mergeCell ref="BO21:BQ21"/>
    <mergeCell ref="C22:F22"/>
    <mergeCell ref="L22:M22"/>
    <mergeCell ref="Q22:R22"/>
    <mergeCell ref="V22:W22"/>
    <mergeCell ref="AA22:AB22"/>
    <mergeCell ref="AF22:AG22"/>
    <mergeCell ref="AK22:AL22"/>
    <mergeCell ref="AP22:AQ22"/>
    <mergeCell ref="AF21:AG21"/>
    <mergeCell ref="AK21:AL21"/>
    <mergeCell ref="AP21:AQ21"/>
    <mergeCell ref="AU21:AV21"/>
    <mergeCell ref="BL21:BN21"/>
    <mergeCell ref="BF19:BF21"/>
    <mergeCell ref="BG19:BG21"/>
    <mergeCell ref="BH19:BH21"/>
    <mergeCell ref="BI19:BI21"/>
    <mergeCell ref="X19:AB19"/>
    <mergeCell ref="AC19:AG19"/>
    <mergeCell ref="AH19:AL19"/>
    <mergeCell ref="AM19:AQ19"/>
    <mergeCell ref="AR19:AV19"/>
    <mergeCell ref="B18:F19"/>
    <mergeCell ref="AU22:AV22"/>
    <mergeCell ref="C23:F23"/>
    <mergeCell ref="L23:M23"/>
    <mergeCell ref="Q23:R23"/>
    <mergeCell ref="V23:W23"/>
    <mergeCell ref="AA23:AB23"/>
    <mergeCell ref="AF23:AG23"/>
    <mergeCell ref="AK23:AL23"/>
    <mergeCell ref="AP23:AQ23"/>
    <mergeCell ref="AU23:AV23"/>
    <mergeCell ref="C24:F24"/>
    <mergeCell ref="L24:M24"/>
    <mergeCell ref="Q24:R24"/>
    <mergeCell ref="V24:W24"/>
    <mergeCell ref="AA24:AB24"/>
    <mergeCell ref="AF24:AG24"/>
    <mergeCell ref="AK24:AL24"/>
    <mergeCell ref="AP24:AQ24"/>
    <mergeCell ref="AU24:AV24"/>
    <mergeCell ref="C25:F25"/>
    <mergeCell ref="L25:M25"/>
    <mergeCell ref="Q25:R25"/>
    <mergeCell ref="V25:W25"/>
    <mergeCell ref="AA25:AB25"/>
    <mergeCell ref="AF25:AG25"/>
    <mergeCell ref="AK25:AL25"/>
    <mergeCell ref="AP25:AQ25"/>
    <mergeCell ref="AU25:AV25"/>
    <mergeCell ref="C26:F26"/>
    <mergeCell ref="L26:M26"/>
    <mergeCell ref="Q26:R26"/>
    <mergeCell ref="V26:W26"/>
    <mergeCell ref="AA26:AB26"/>
    <mergeCell ref="AF26:AG26"/>
    <mergeCell ref="AK26:AL26"/>
    <mergeCell ref="AP26:AQ26"/>
    <mergeCell ref="AU26:AV26"/>
    <mergeCell ref="C27:F27"/>
    <mergeCell ref="L27:M27"/>
    <mergeCell ref="Q27:R27"/>
    <mergeCell ref="V27:W27"/>
    <mergeCell ref="AA27:AB27"/>
    <mergeCell ref="AF27:AG27"/>
    <mergeCell ref="AK27:AL27"/>
    <mergeCell ref="AP27:AQ27"/>
    <mergeCell ref="AU27:AV27"/>
    <mergeCell ref="C28:F28"/>
    <mergeCell ref="L28:M28"/>
    <mergeCell ref="Q28:R28"/>
    <mergeCell ref="V28:W28"/>
    <mergeCell ref="AA28:AB28"/>
    <mergeCell ref="AF28:AG28"/>
    <mergeCell ref="AK28:AL28"/>
    <mergeCell ref="AP28:AQ28"/>
    <mergeCell ref="AU28:AV28"/>
    <mergeCell ref="C29:F29"/>
    <mergeCell ref="L29:M29"/>
    <mergeCell ref="Q29:R29"/>
    <mergeCell ref="V29:W29"/>
    <mergeCell ref="AA29:AB29"/>
    <mergeCell ref="AF29:AG29"/>
    <mergeCell ref="AK29:AL29"/>
    <mergeCell ref="AP29:AQ29"/>
    <mergeCell ref="AU29:AV29"/>
    <mergeCell ref="C30:F30"/>
    <mergeCell ref="L30:M30"/>
    <mergeCell ref="Q30:R30"/>
    <mergeCell ref="V30:W30"/>
    <mergeCell ref="AA30:AB30"/>
    <mergeCell ref="AF30:AG30"/>
    <mergeCell ref="AK30:AL30"/>
    <mergeCell ref="AP30:AQ30"/>
    <mergeCell ref="AU30:AV30"/>
    <mergeCell ref="C31:F31"/>
    <mergeCell ref="L31:M31"/>
    <mergeCell ref="Q31:R31"/>
    <mergeCell ref="V31:W31"/>
    <mergeCell ref="AA31:AB31"/>
    <mergeCell ref="AF31:AG31"/>
    <mergeCell ref="AK31:AL31"/>
    <mergeCell ref="AP31:AQ31"/>
    <mergeCell ref="AU31:AV31"/>
    <mergeCell ref="C32:F32"/>
    <mergeCell ref="L32:M32"/>
    <mergeCell ref="Q32:R32"/>
    <mergeCell ref="V32:W32"/>
    <mergeCell ref="AA32:AB32"/>
    <mergeCell ref="AF32:AG32"/>
    <mergeCell ref="AK32:AL32"/>
    <mergeCell ref="AP32:AQ32"/>
    <mergeCell ref="AU32:AV32"/>
    <mergeCell ref="C33:F33"/>
    <mergeCell ref="L33:M33"/>
    <mergeCell ref="Q33:R33"/>
    <mergeCell ref="V33:W33"/>
    <mergeCell ref="AA33:AB33"/>
    <mergeCell ref="AF33:AG33"/>
    <mergeCell ref="AK33:AL33"/>
    <mergeCell ref="AP33:AQ33"/>
    <mergeCell ref="AU33:AV33"/>
    <mergeCell ref="C34:F34"/>
    <mergeCell ref="L34:M34"/>
    <mergeCell ref="Q34:R34"/>
    <mergeCell ref="V34:W34"/>
    <mergeCell ref="AA34:AB34"/>
    <mergeCell ref="AF34:AG34"/>
    <mergeCell ref="AK34:AL34"/>
    <mergeCell ref="AP34:AQ34"/>
    <mergeCell ref="AU34:AV34"/>
    <mergeCell ref="C35:F35"/>
    <mergeCell ref="L35:M35"/>
    <mergeCell ref="Q35:R35"/>
    <mergeCell ref="V35:W35"/>
    <mergeCell ref="AA35:AB35"/>
    <mergeCell ref="AF35:AG35"/>
    <mergeCell ref="AK35:AL35"/>
    <mergeCell ref="AP35:AQ35"/>
    <mergeCell ref="AU35:AV35"/>
    <mergeCell ref="C36:F36"/>
    <mergeCell ref="L36:M36"/>
    <mergeCell ref="Q36:R36"/>
    <mergeCell ref="V36:W36"/>
    <mergeCell ref="AA36:AB36"/>
    <mergeCell ref="AF36:AG36"/>
    <mergeCell ref="AK36:AL36"/>
    <mergeCell ref="AP36:AQ36"/>
    <mergeCell ref="AU36:AV36"/>
    <mergeCell ref="C37:F37"/>
    <mergeCell ref="L37:M37"/>
    <mergeCell ref="Q37:R37"/>
    <mergeCell ref="V37:W37"/>
    <mergeCell ref="AA37:AB37"/>
    <mergeCell ref="AF37:AG37"/>
    <mergeCell ref="AK37:AL37"/>
    <mergeCell ref="AP37:AQ37"/>
    <mergeCell ref="AU37:AV37"/>
    <mergeCell ref="C38:F38"/>
    <mergeCell ref="L38:M38"/>
    <mergeCell ref="Q38:R38"/>
    <mergeCell ref="V38:W38"/>
    <mergeCell ref="AA38:AB38"/>
    <mergeCell ref="AF38:AG38"/>
    <mergeCell ref="AK38:AL38"/>
    <mergeCell ref="AP38:AQ38"/>
    <mergeCell ref="AU38:AV38"/>
    <mergeCell ref="C39:F39"/>
    <mergeCell ref="L39:M39"/>
    <mergeCell ref="Q39:R39"/>
    <mergeCell ref="V39:W39"/>
    <mergeCell ref="AA39:AB39"/>
    <mergeCell ref="AF39:AG39"/>
    <mergeCell ref="AK39:AL39"/>
    <mergeCell ref="AP39:AQ39"/>
    <mergeCell ref="AU39:AV39"/>
    <mergeCell ref="C40:F40"/>
    <mergeCell ref="L40:M40"/>
    <mergeCell ref="Q40:R40"/>
    <mergeCell ref="V40:W40"/>
    <mergeCell ref="AA40:AB40"/>
    <mergeCell ref="AF40:AG40"/>
    <mergeCell ref="AK40:AL40"/>
    <mergeCell ref="AP40:AQ40"/>
    <mergeCell ref="AU40:AV40"/>
    <mergeCell ref="C41:F41"/>
    <mergeCell ref="L41:M41"/>
    <mergeCell ref="Q41:R41"/>
    <mergeCell ref="V41:W41"/>
    <mergeCell ref="AA41:AB41"/>
    <mergeCell ref="AF41:AG41"/>
    <mergeCell ref="AK41:AL41"/>
    <mergeCell ref="AP41:AQ41"/>
    <mergeCell ref="AU41:AV41"/>
    <mergeCell ref="C42:F42"/>
    <mergeCell ref="L42:M42"/>
    <mergeCell ref="Q42:R42"/>
    <mergeCell ref="V42:W42"/>
    <mergeCell ref="AA42:AB42"/>
    <mergeCell ref="AF42:AG42"/>
    <mergeCell ref="AK42:AL42"/>
    <mergeCell ref="AP42:AQ42"/>
    <mergeCell ref="AU42:AV42"/>
    <mergeCell ref="C43:F43"/>
    <mergeCell ref="L43:M43"/>
    <mergeCell ref="Q43:R43"/>
    <mergeCell ref="V43:W43"/>
    <mergeCell ref="AA43:AB43"/>
    <mergeCell ref="AF43:AG43"/>
    <mergeCell ref="AK43:AL43"/>
    <mergeCell ref="AP43:AQ43"/>
    <mergeCell ref="AU43:AV43"/>
    <mergeCell ref="C44:F44"/>
    <mergeCell ref="L44:M44"/>
    <mergeCell ref="Q44:R44"/>
    <mergeCell ref="V44:W44"/>
    <mergeCell ref="AA44:AB44"/>
    <mergeCell ref="AF44:AG44"/>
    <mergeCell ref="AK44:AL44"/>
    <mergeCell ref="AP44:AQ44"/>
    <mergeCell ref="AU44:AV44"/>
    <mergeCell ref="C45:F45"/>
    <mergeCell ref="L45:M45"/>
    <mergeCell ref="Q45:R45"/>
    <mergeCell ref="V45:W45"/>
    <mergeCell ref="AA45:AB45"/>
    <mergeCell ref="AF45:AG45"/>
    <mergeCell ref="AK45:AL45"/>
    <mergeCell ref="AP45:AQ45"/>
    <mergeCell ref="AU45:AV45"/>
    <mergeCell ref="C46:F46"/>
    <mergeCell ref="L46:M46"/>
    <mergeCell ref="Q46:R46"/>
    <mergeCell ref="V46:W46"/>
    <mergeCell ref="AA46:AB46"/>
    <mergeCell ref="AF46:AG46"/>
    <mergeCell ref="AK46:AL46"/>
    <mergeCell ref="AP46:AQ46"/>
    <mergeCell ref="AU46:AV46"/>
    <mergeCell ref="C47:F47"/>
    <mergeCell ref="L47:M47"/>
    <mergeCell ref="Q47:R47"/>
    <mergeCell ref="V47:W47"/>
    <mergeCell ref="AA47:AB47"/>
    <mergeCell ref="AF47:AG47"/>
    <mergeCell ref="AK47:AL47"/>
    <mergeCell ref="AP47:AQ47"/>
    <mergeCell ref="AU47:AV47"/>
    <mergeCell ref="C48:F48"/>
    <mergeCell ref="L48:M48"/>
    <mergeCell ref="Q48:R48"/>
    <mergeCell ref="V48:W48"/>
    <mergeCell ref="AA48:AB48"/>
    <mergeCell ref="AF48:AG48"/>
    <mergeCell ref="AK48:AL48"/>
    <mergeCell ref="AP48:AQ48"/>
    <mergeCell ref="AU48:AV48"/>
    <mergeCell ref="C49:F49"/>
    <mergeCell ref="L49:M49"/>
    <mergeCell ref="Q49:R49"/>
    <mergeCell ref="V49:W49"/>
    <mergeCell ref="AA49:AB49"/>
    <mergeCell ref="AF49:AG49"/>
    <mergeCell ref="AK49:AL49"/>
    <mergeCell ref="AP49:AQ49"/>
    <mergeCell ref="AU49:AV49"/>
    <mergeCell ref="S51:W51"/>
    <mergeCell ref="X51:AB51"/>
    <mergeCell ref="AC51:AG51"/>
    <mergeCell ref="AH51:AL51"/>
    <mergeCell ref="AM51:AQ51"/>
    <mergeCell ref="AR51:AV51"/>
    <mergeCell ref="G50:H50"/>
    <mergeCell ref="I50:M50"/>
    <mergeCell ref="N50:R50"/>
    <mergeCell ref="S50:W50"/>
    <mergeCell ref="X50:AB50"/>
    <mergeCell ref="AC50:AG50"/>
    <mergeCell ref="AH50:AL50"/>
    <mergeCell ref="AM50:AQ50"/>
    <mergeCell ref="AC57:AG57"/>
    <mergeCell ref="AH59:AL59"/>
    <mergeCell ref="AR52:AV52"/>
    <mergeCell ref="B53:H53"/>
    <mergeCell ref="I53:M53"/>
    <mergeCell ref="N53:R53"/>
    <mergeCell ref="S53:W53"/>
    <mergeCell ref="X53:AB53"/>
    <mergeCell ref="AC53:AG53"/>
    <mergeCell ref="AH53:AL53"/>
    <mergeCell ref="AM54:AQ54"/>
    <mergeCell ref="AR54:AV54"/>
    <mergeCell ref="B50:F52"/>
    <mergeCell ref="G52:H52"/>
    <mergeCell ref="I52:M52"/>
    <mergeCell ref="N52:R52"/>
    <mergeCell ref="S52:W52"/>
    <mergeCell ref="X52:AB52"/>
    <mergeCell ref="AC52:AG52"/>
    <mergeCell ref="AH52:AL52"/>
    <mergeCell ref="AM52:AQ52"/>
    <mergeCell ref="AR50:AV50"/>
    <mergeCell ref="G51:H51"/>
    <mergeCell ref="I51:M51"/>
    <mergeCell ref="AM56:AV56"/>
    <mergeCell ref="AM53:AQ53"/>
    <mergeCell ref="AR53:AV53"/>
    <mergeCell ref="B54:H54"/>
    <mergeCell ref="I54:M54"/>
    <mergeCell ref="N54:R54"/>
    <mergeCell ref="S54:W54"/>
    <mergeCell ref="J67:M67"/>
    <mergeCell ref="AH54:AL54"/>
    <mergeCell ref="AH55:AL55"/>
    <mergeCell ref="AH56:AL56"/>
    <mergeCell ref="AH57:AL57"/>
    <mergeCell ref="AC54:AG54"/>
    <mergeCell ref="AM57:AQ57"/>
    <mergeCell ref="AR57:AV57"/>
    <mergeCell ref="D58:H58"/>
    <mergeCell ref="I58:M58"/>
    <mergeCell ref="N58:R58"/>
    <mergeCell ref="S58:W58"/>
    <mergeCell ref="AC58:AG58"/>
    <mergeCell ref="AH58:AL58"/>
    <mergeCell ref="AM58:AQ58"/>
    <mergeCell ref="AR58:AV58"/>
    <mergeCell ref="B57:H57"/>
    <mergeCell ref="F77:H78"/>
    <mergeCell ref="X18:AB18"/>
    <mergeCell ref="J62:M62"/>
    <mergeCell ref="J63:M63"/>
    <mergeCell ref="J64:M64"/>
    <mergeCell ref="J65:M65"/>
    <mergeCell ref="N65:P65"/>
    <mergeCell ref="J66:M66"/>
    <mergeCell ref="G18:H18"/>
    <mergeCell ref="I18:M18"/>
    <mergeCell ref="N18:R18"/>
    <mergeCell ref="S18:W18"/>
    <mergeCell ref="G19:H19"/>
    <mergeCell ref="I19:M19"/>
    <mergeCell ref="N19:R19"/>
    <mergeCell ref="S19:W19"/>
    <mergeCell ref="B55:H55"/>
    <mergeCell ref="B56:H56"/>
    <mergeCell ref="X54:AB54"/>
    <mergeCell ref="L69:M69"/>
    <mergeCell ref="I57:M57"/>
    <mergeCell ref="N57:R57"/>
    <mergeCell ref="S57:W57"/>
    <mergeCell ref="N51:R51"/>
  </mergeCells>
  <conditionalFormatting sqref="I22:M49">
    <cfRule type="expression" dxfId="74" priority="1" stopIfTrue="1">
      <formula>$L22="No Quote"</formula>
    </cfRule>
  </conditionalFormatting>
  <conditionalFormatting sqref="N22:R49">
    <cfRule type="expression" dxfId="73" priority="46" stopIfTrue="1">
      <formula>$Q22="No Quote"</formula>
    </cfRule>
  </conditionalFormatting>
  <conditionalFormatting sqref="S22:W49">
    <cfRule type="expression" dxfId="72" priority="44" stopIfTrue="1">
      <formula>$V22="No Quote"</formula>
    </cfRule>
  </conditionalFormatting>
  <conditionalFormatting sqref="X22:AB49">
    <cfRule type="expression" dxfId="71" priority="28" stopIfTrue="1">
      <formula>$AA22="No Quote"</formula>
    </cfRule>
  </conditionalFormatting>
  <conditionalFormatting sqref="AC22:AG49">
    <cfRule type="expression" dxfId="70" priority="45" stopIfTrue="1">
      <formula>$AF22="No Quote"</formula>
    </cfRule>
  </conditionalFormatting>
  <conditionalFormatting sqref="AH22:AL49">
    <cfRule type="expression" dxfId="69" priority="43" stopIfTrue="1">
      <formula>$AK22="No Quote"</formula>
    </cfRule>
  </conditionalFormatting>
  <conditionalFormatting sqref="AM22:AQ49">
    <cfRule type="expression" dxfId="68" priority="42" stopIfTrue="1">
      <formula>$AP22="No Quote"</formula>
    </cfRule>
  </conditionalFormatting>
  <conditionalFormatting sqref="AR22:AV49">
    <cfRule type="expression" dxfId="67" priority="41" stopIfTrue="1">
      <formula>$AU22="No Quote"</formula>
    </cfRule>
  </conditionalFormatting>
  <conditionalFormatting sqref="AY22:AZ49">
    <cfRule type="expression" dxfId="66" priority="2" stopIfTrue="1">
      <formula>$AY22&gt;$BJ22</formula>
    </cfRule>
  </conditionalFormatting>
  <conditionalFormatting sqref="BB22:BB49">
    <cfRule type="expression" dxfId="65" priority="129" stopIfTrue="1">
      <formula>$BB22=$BJ22</formula>
    </cfRule>
  </conditionalFormatting>
  <conditionalFormatting sqref="BC22:BC49">
    <cfRule type="expression" dxfId="64" priority="125" stopIfTrue="1">
      <formula>$BC22=$BJ22</formula>
    </cfRule>
  </conditionalFormatting>
  <conditionalFormatting sqref="BD22:BD49">
    <cfRule type="expression" dxfId="63" priority="131" stopIfTrue="1">
      <formula>$BD22=$BJ22</formula>
    </cfRule>
  </conditionalFormatting>
  <conditionalFormatting sqref="BE22:BE49">
    <cfRule type="expression" dxfId="62" priority="132" stopIfTrue="1">
      <formula>$BE22=$BJ22</formula>
    </cfRule>
  </conditionalFormatting>
  <conditionalFormatting sqref="BF22:BF49">
    <cfRule type="expression" dxfId="61" priority="7" stopIfTrue="1">
      <formula>$BF22=$BJ22</formula>
    </cfRule>
  </conditionalFormatting>
  <conditionalFormatting sqref="BG22:BG49">
    <cfRule type="expression" dxfId="60" priority="5" stopIfTrue="1">
      <formula>$BG22=$BJ22</formula>
    </cfRule>
  </conditionalFormatting>
  <conditionalFormatting sqref="BH22:BH49">
    <cfRule type="expression" dxfId="59" priority="6" stopIfTrue="1">
      <formula>$BH22=$BJ22</formula>
    </cfRule>
  </conditionalFormatting>
  <conditionalFormatting sqref="BI22:BI49">
    <cfRule type="expression" dxfId="58" priority="4" stopIfTrue="1">
      <formula>$BI22=$BJ22</formula>
    </cfRule>
  </conditionalFormatting>
  <dataValidations count="1">
    <dataValidation type="list" allowBlank="1" sqref="N57:R57" xr:uid="{2466EEF8-0997-4D59-88A3-B992339F3628}">
      <formula1>"Zulkifli Bastiandi, Teuku Syamsul Rizal, Nurhidayad Dawoed"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8904-6515-4B7B-BE3C-76C1710C5860}">
  <sheetPr codeName="Sheet10">
    <pageSetUpPr fitToPage="1"/>
  </sheetPr>
  <dimension ref="A1:BN84"/>
  <sheetViews>
    <sheetView showGridLines="0" topLeftCell="AH12" zoomScale="55" zoomScaleNormal="55" zoomScaleSheetLayoutView="55" workbookViewId="0">
      <selection activeCell="BN28" sqref="BN28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38" width="15.7109375" style="4" customWidth="1"/>
    <col min="39" max="41" width="10.7109375" style="4" customWidth="1"/>
    <col min="42" max="55" width="15.7109375" style="4" customWidth="1"/>
    <col min="56" max="56" width="15.7109375" style="56" customWidth="1"/>
    <col min="57" max="57" width="22" style="55" bestFit="1" customWidth="1"/>
    <col min="58" max="58" width="12" style="4" customWidth="1" outlineLevel="1"/>
    <col min="59" max="59" width="4.7109375" style="66" customWidth="1" outlineLevel="1"/>
    <col min="60" max="60" width="22" style="55" customWidth="1" outlineLevel="1"/>
    <col min="61" max="61" width="9.7109375" style="4" customWidth="1" outlineLevel="1"/>
    <col min="62" max="62" width="4.7109375" style="4" customWidth="1" outlineLevel="1"/>
    <col min="63" max="63" width="22" style="55" customWidth="1" outlineLevel="1"/>
    <col min="64" max="64" width="9.28515625" customWidth="1"/>
    <col min="65" max="65" width="9.28515625" style="4" customWidth="1"/>
    <col min="66" max="66" width="20.7109375" style="5" customWidth="1"/>
    <col min="67" max="16384" width="9.28515625" style="4" hidden="1"/>
  </cols>
  <sheetData>
    <row r="1" spans="2:66" s="1" customFormat="1" ht="13.5" x14ac:dyDescent="0.25">
      <c r="D1" s="2"/>
      <c r="U1" s="3"/>
      <c r="BD1" s="79"/>
      <c r="BE1" s="70"/>
      <c r="BG1" s="65"/>
      <c r="BH1" s="70"/>
      <c r="BK1" s="70"/>
      <c r="BN1" s="3"/>
    </row>
    <row r="2" spans="2:66" s="1" customFormat="1" ht="13.5" x14ac:dyDescent="0.25">
      <c r="D2" s="2"/>
      <c r="U2" s="3"/>
      <c r="BD2" s="79"/>
      <c r="BE2" s="70"/>
      <c r="BG2" s="65"/>
      <c r="BH2" s="70"/>
      <c r="BK2" s="70"/>
      <c r="BN2" s="3"/>
    </row>
    <row r="3" spans="2:66" ht="17.25" thickBot="1" x14ac:dyDescent="0.3"/>
    <row r="4" spans="2:66" ht="20.100000000000001" customHeight="1" thickTop="1" x14ac:dyDescent="0.25">
      <c r="B4" s="115" t="s">
        <v>2</v>
      </c>
      <c r="C4" s="116"/>
      <c r="D4" s="116"/>
      <c r="E4" s="116"/>
      <c r="F4" s="116"/>
      <c r="G4" s="119" t="s">
        <v>3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6"/>
      <c r="AQ4" s="7"/>
    </row>
    <row r="5" spans="2:66" ht="20.100000000000001" customHeight="1" x14ac:dyDescent="0.25">
      <c r="B5" s="117"/>
      <c r="C5" s="118"/>
      <c r="D5" s="118"/>
      <c r="E5" s="118"/>
      <c r="F5" s="118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8"/>
      <c r="AQ5" s="9"/>
    </row>
    <row r="6" spans="2:66" ht="20.100000000000001" customHeight="1" x14ac:dyDescent="0.25">
      <c r="B6" s="117"/>
      <c r="C6" s="118"/>
      <c r="D6" s="118"/>
      <c r="E6" s="118"/>
      <c r="F6" s="118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8"/>
      <c r="AQ6" s="9"/>
    </row>
    <row r="7" spans="2:66" s="12" customFormat="1" ht="15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U7" s="13"/>
      <c r="AK7" s="14"/>
      <c r="AL7" s="15"/>
      <c r="AN7" s="123"/>
      <c r="AO7" s="123"/>
      <c r="AP7" s="123"/>
      <c r="AQ7" s="124"/>
      <c r="BD7" s="80"/>
      <c r="BE7" s="73"/>
      <c r="BG7" s="67"/>
      <c r="BH7" s="73"/>
      <c r="BK7" s="73"/>
      <c r="BN7" s="13"/>
    </row>
    <row r="8" spans="2:66" s="12" customFormat="1" ht="15" customHeight="1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U8" s="13"/>
      <c r="AK8" s="16"/>
      <c r="AL8" s="15"/>
      <c r="AN8" s="142">
        <f ca="1">TODAY()</f>
        <v>46314</v>
      </c>
      <c r="AO8" s="142"/>
      <c r="AP8" s="142"/>
      <c r="AQ8" s="143"/>
      <c r="BD8" s="80"/>
      <c r="BE8" s="73"/>
      <c r="BG8" s="67"/>
      <c r="BH8" s="73"/>
      <c r="BK8" s="73"/>
      <c r="BN8" s="13"/>
    </row>
    <row r="9" spans="2:66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U9" s="13"/>
      <c r="AM9" s="10"/>
      <c r="AN9" s="17"/>
      <c r="AO9" s="17"/>
      <c r="AP9" s="17"/>
      <c r="AQ9" s="18"/>
      <c r="BD9" s="80"/>
      <c r="BE9" s="73"/>
      <c r="BG9" s="67"/>
      <c r="BH9" s="73"/>
      <c r="BK9" s="73"/>
      <c r="BN9" s="13"/>
    </row>
    <row r="10" spans="2:66" s="1" customFormat="1" ht="14.25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 t="shared" ref="S10" si="0">N10+1</f>
        <v>3</v>
      </c>
      <c r="T10" s="125"/>
      <c r="U10" s="125"/>
      <c r="V10" s="125"/>
      <c r="W10" s="140"/>
      <c r="X10" s="139">
        <f t="shared" ref="X10" si="1">S10+1</f>
        <v>4</v>
      </c>
      <c r="Y10" s="125"/>
      <c r="Z10" s="125"/>
      <c r="AA10" s="125"/>
      <c r="AB10" s="140"/>
      <c r="AC10" s="139">
        <f>X10+1</f>
        <v>5</v>
      </c>
      <c r="AD10" s="125"/>
      <c r="AE10" s="125"/>
      <c r="AF10" s="125"/>
      <c r="AG10" s="140"/>
      <c r="AH10" s="139">
        <f t="shared" ref="AH10" si="2">AC10+1</f>
        <v>6</v>
      </c>
      <c r="AI10" s="125"/>
      <c r="AJ10" s="125"/>
      <c r="AK10" s="125"/>
      <c r="AL10" s="140"/>
      <c r="AM10" s="139">
        <f t="shared" ref="AM10" si="3">AH10+1</f>
        <v>7</v>
      </c>
      <c r="AN10" s="125"/>
      <c r="AO10" s="125"/>
      <c r="AP10" s="125"/>
      <c r="AQ10" s="126"/>
      <c r="BD10" s="79"/>
      <c r="BE10" s="70"/>
      <c r="BG10" s="65"/>
      <c r="BH10" s="70"/>
      <c r="BK10" s="70"/>
      <c r="BN10" s="3"/>
    </row>
    <row r="11" spans="2:66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 t="s">
        <v>47</v>
      </c>
      <c r="J11" s="130"/>
      <c r="K11" s="130"/>
      <c r="L11" s="130"/>
      <c r="M11" s="131"/>
      <c r="N11" s="19"/>
      <c r="O11" s="130"/>
      <c r="P11" s="130"/>
      <c r="Q11" s="130"/>
      <c r="R11" s="131"/>
      <c r="S11" s="19"/>
      <c r="T11" s="130"/>
      <c r="U11" s="130"/>
      <c r="V11" s="130"/>
      <c r="W11" s="131"/>
      <c r="X11" s="19"/>
      <c r="Y11" s="130"/>
      <c r="Z11" s="130"/>
      <c r="AA11" s="130"/>
      <c r="AB11" s="131"/>
      <c r="AC11" s="19"/>
      <c r="AD11" s="130"/>
      <c r="AE11" s="130"/>
      <c r="AF11" s="130"/>
      <c r="AG11" s="131"/>
      <c r="AH11" s="19"/>
      <c r="AI11" s="130"/>
      <c r="AJ11" s="130"/>
      <c r="AK11" s="130"/>
      <c r="AL11" s="131"/>
      <c r="AM11" s="19"/>
      <c r="AN11" s="130"/>
      <c r="AO11" s="130"/>
      <c r="AP11" s="130"/>
      <c r="AQ11" s="280"/>
      <c r="AW11" s="3"/>
      <c r="AX11" s="3"/>
      <c r="BD11" s="79"/>
      <c r="BE11" s="70"/>
      <c r="BG11" s="65"/>
      <c r="BH11" s="70"/>
      <c r="BK11" s="70"/>
      <c r="BN11" s="3"/>
    </row>
    <row r="12" spans="2:66" s="1" customFormat="1" ht="15" customHeight="1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153"/>
      <c r="X12" s="151">
        <v>0</v>
      </c>
      <c r="Y12" s="152"/>
      <c r="Z12" s="152"/>
      <c r="AA12" s="152"/>
      <c r="AB12" s="153"/>
      <c r="AC12" s="151">
        <v>0</v>
      </c>
      <c r="AD12" s="152"/>
      <c r="AE12" s="152"/>
      <c r="AF12" s="152"/>
      <c r="AG12" s="153"/>
      <c r="AH12" s="151">
        <v>0</v>
      </c>
      <c r="AI12" s="152"/>
      <c r="AJ12" s="152"/>
      <c r="AK12" s="152"/>
      <c r="AL12" s="153"/>
      <c r="AM12" s="151">
        <v>0</v>
      </c>
      <c r="AN12" s="152"/>
      <c r="AO12" s="152"/>
      <c r="AP12" s="152"/>
      <c r="AQ12" s="276"/>
      <c r="BD12" s="79"/>
      <c r="BE12" s="70"/>
      <c r="BG12" s="65"/>
      <c r="BH12" s="70"/>
      <c r="BK12" s="70"/>
      <c r="BN12" s="3"/>
    </row>
    <row r="13" spans="2:66" s="1" customFormat="1" ht="36.75" customHeight="1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156"/>
      <c r="X13" s="154"/>
      <c r="Y13" s="155"/>
      <c r="Z13" s="155"/>
      <c r="AA13" s="155"/>
      <c r="AB13" s="156"/>
      <c r="AC13" s="154"/>
      <c r="AD13" s="155"/>
      <c r="AE13" s="155"/>
      <c r="AF13" s="155"/>
      <c r="AG13" s="156"/>
      <c r="AH13" s="154"/>
      <c r="AI13" s="155"/>
      <c r="AJ13" s="155"/>
      <c r="AK13" s="155"/>
      <c r="AL13" s="156"/>
      <c r="AM13" s="154"/>
      <c r="AN13" s="155"/>
      <c r="AO13" s="155"/>
      <c r="AP13" s="155"/>
      <c r="AQ13" s="277"/>
      <c r="BD13" s="79"/>
      <c r="BE13" s="70"/>
      <c r="BG13" s="65"/>
      <c r="BH13" s="70"/>
      <c r="BK13" s="70"/>
      <c r="BN13" s="3"/>
    </row>
    <row r="14" spans="2:66" s="1" customFormat="1" ht="15" customHeight="1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165"/>
      <c r="X14" s="164"/>
      <c r="Y14" s="128"/>
      <c r="Z14" s="128"/>
      <c r="AA14" s="128"/>
      <c r="AB14" s="165"/>
      <c r="AC14" s="164"/>
      <c r="AD14" s="128"/>
      <c r="AE14" s="128"/>
      <c r="AF14" s="128"/>
      <c r="AG14" s="165"/>
      <c r="AH14" s="164"/>
      <c r="AI14" s="128"/>
      <c r="AJ14" s="128"/>
      <c r="AK14" s="128"/>
      <c r="AL14" s="165"/>
      <c r="AM14" s="164"/>
      <c r="AN14" s="128"/>
      <c r="AO14" s="128"/>
      <c r="AP14" s="128"/>
      <c r="AQ14" s="278"/>
      <c r="BD14" s="79"/>
      <c r="BE14" s="70"/>
      <c r="BG14" s="65"/>
      <c r="BH14" s="70"/>
      <c r="BK14" s="70"/>
      <c r="BN14" s="3"/>
    </row>
    <row r="15" spans="2:66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170"/>
      <c r="X15" s="168" t="s">
        <v>47</v>
      </c>
      <c r="Y15" s="169"/>
      <c r="Z15" s="169"/>
      <c r="AA15" s="169"/>
      <c r="AB15" s="170"/>
      <c r="AC15" s="168" t="s">
        <v>47</v>
      </c>
      <c r="AD15" s="169"/>
      <c r="AE15" s="169"/>
      <c r="AF15" s="169"/>
      <c r="AG15" s="170"/>
      <c r="AH15" s="168" t="s">
        <v>47</v>
      </c>
      <c r="AI15" s="169"/>
      <c r="AJ15" s="169"/>
      <c r="AK15" s="169"/>
      <c r="AL15" s="170"/>
      <c r="AM15" s="168" t="s">
        <v>47</v>
      </c>
      <c r="AN15" s="169"/>
      <c r="AO15" s="169"/>
      <c r="AP15" s="169"/>
      <c r="AQ15" s="279"/>
      <c r="BD15" s="79"/>
      <c r="BE15" s="70"/>
      <c r="BG15" s="65"/>
      <c r="BH15" s="70"/>
      <c r="BK15" s="70"/>
      <c r="BN15" s="3"/>
    </row>
    <row r="16" spans="2:66" s="1" customFormat="1" ht="20.100000000000001" customHeight="1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74"/>
      <c r="X16" s="304"/>
      <c r="Y16" s="305"/>
      <c r="Z16" s="305"/>
      <c r="AA16" s="305"/>
      <c r="AB16" s="306"/>
      <c r="AC16" s="172"/>
      <c r="AD16" s="173"/>
      <c r="AE16" s="173"/>
      <c r="AF16" s="173"/>
      <c r="AG16" s="174"/>
      <c r="AH16" s="172"/>
      <c r="AI16" s="173"/>
      <c r="AJ16" s="173"/>
      <c r="AK16" s="173"/>
      <c r="AL16" s="174"/>
      <c r="AM16" s="172"/>
      <c r="AN16" s="173"/>
      <c r="AO16" s="173"/>
      <c r="AP16" s="173"/>
      <c r="AQ16" s="184"/>
      <c r="BD16" s="79"/>
      <c r="BE16" s="70"/>
      <c r="BG16" s="65"/>
      <c r="BH16" s="70"/>
      <c r="BK16" s="70"/>
      <c r="BN16" s="3"/>
    </row>
    <row r="17" spans="2:66" s="1" customFormat="1" ht="20.100000000000001" customHeight="1" x14ac:dyDescent="0.25">
      <c r="B17" s="270"/>
      <c r="C17" s="271"/>
      <c r="D17" s="271"/>
      <c r="E17" s="271"/>
      <c r="F17" s="114"/>
      <c r="G17" s="178" t="s">
        <v>15</v>
      </c>
      <c r="H17" s="178"/>
      <c r="I17" s="179"/>
      <c r="J17" s="180"/>
      <c r="K17" s="181"/>
      <c r="L17" s="181"/>
      <c r="M17" s="182"/>
      <c r="N17" s="179"/>
      <c r="O17" s="180"/>
      <c r="P17" s="181"/>
      <c r="Q17" s="181"/>
      <c r="R17" s="182"/>
      <c r="S17" s="179"/>
      <c r="T17" s="180"/>
      <c r="U17" s="181"/>
      <c r="V17" s="181"/>
      <c r="W17" s="182"/>
      <c r="X17" s="179"/>
      <c r="Y17" s="180"/>
      <c r="Z17" s="181"/>
      <c r="AA17" s="181"/>
      <c r="AB17" s="182"/>
      <c r="AC17" s="179"/>
      <c r="AD17" s="180"/>
      <c r="AE17" s="181"/>
      <c r="AF17" s="181"/>
      <c r="AG17" s="182"/>
      <c r="AH17" s="179"/>
      <c r="AI17" s="180"/>
      <c r="AJ17" s="181"/>
      <c r="AK17" s="181"/>
      <c r="AL17" s="182"/>
      <c r="AM17" s="179"/>
      <c r="AN17" s="180"/>
      <c r="AO17" s="181"/>
      <c r="AP17" s="181"/>
      <c r="AQ17" s="185"/>
      <c r="BD17" s="79"/>
      <c r="BE17" s="70"/>
      <c r="BG17" s="65"/>
      <c r="BH17" s="70"/>
      <c r="BK17" s="70"/>
      <c r="BN17" s="3"/>
    </row>
    <row r="18" spans="2:66" s="1" customFormat="1" ht="20.100000000000001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83"/>
      <c r="X18" s="175"/>
      <c r="Y18" s="176"/>
      <c r="Z18" s="176"/>
      <c r="AA18" s="176"/>
      <c r="AB18" s="183"/>
      <c r="AC18" s="175"/>
      <c r="AD18" s="176"/>
      <c r="AE18" s="176"/>
      <c r="AF18" s="176"/>
      <c r="AG18" s="183"/>
      <c r="AH18" s="175"/>
      <c r="AI18" s="176"/>
      <c r="AJ18" s="176"/>
      <c r="AK18" s="176"/>
      <c r="AL18" s="183"/>
      <c r="AM18" s="175"/>
      <c r="AN18" s="176"/>
      <c r="AO18" s="176"/>
      <c r="AP18" s="176"/>
      <c r="AQ18" s="177"/>
      <c r="AW18" s="22">
        <v>1</v>
      </c>
      <c r="AX18" s="22">
        <f>AW18+1</f>
        <v>2</v>
      </c>
      <c r="AY18" s="22">
        <f t="shared" ref="AY18:BC18" si="4">AX18+1</f>
        <v>3</v>
      </c>
      <c r="AZ18" s="22">
        <f t="shared" si="4"/>
        <v>4</v>
      </c>
      <c r="BA18" s="22">
        <f>AZ18+1</f>
        <v>5</v>
      </c>
      <c r="BB18" s="22">
        <f t="shared" si="4"/>
        <v>6</v>
      </c>
      <c r="BC18" s="22">
        <f t="shared" si="4"/>
        <v>7</v>
      </c>
      <c r="BD18" s="273" t="s">
        <v>17</v>
      </c>
      <c r="BE18" s="70"/>
      <c r="BG18" s="65"/>
      <c r="BH18" s="70"/>
      <c r="BK18" s="70"/>
      <c r="BN18" s="3"/>
    </row>
    <row r="19" spans="2:66" s="1" customFormat="1" ht="20.100000000000001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83"/>
      <c r="X19" s="175"/>
      <c r="Y19" s="176"/>
      <c r="Z19" s="176"/>
      <c r="AA19" s="176"/>
      <c r="AB19" s="183"/>
      <c r="AC19" s="175"/>
      <c r="AD19" s="176"/>
      <c r="AE19" s="176"/>
      <c r="AF19" s="176"/>
      <c r="AG19" s="183"/>
      <c r="AH19" s="175"/>
      <c r="AI19" s="176"/>
      <c r="AJ19" s="176"/>
      <c r="AK19" s="176"/>
      <c r="AL19" s="183"/>
      <c r="AM19" s="175"/>
      <c r="AN19" s="176"/>
      <c r="AO19" s="176"/>
      <c r="AP19" s="176"/>
      <c r="AQ19" s="177"/>
      <c r="AW19" s="200">
        <f>J11</f>
        <v>0</v>
      </c>
      <c r="AX19" s="200">
        <f>O11</f>
        <v>0</v>
      </c>
      <c r="AY19" s="200">
        <f>T11</f>
        <v>0</v>
      </c>
      <c r="AZ19" s="200">
        <f>Y11</f>
        <v>0</v>
      </c>
      <c r="BA19" s="200">
        <f>AD11</f>
        <v>0</v>
      </c>
      <c r="BB19" s="200">
        <f>AI11</f>
        <v>0</v>
      </c>
      <c r="BC19" s="200">
        <f>AN11</f>
        <v>0</v>
      </c>
      <c r="BD19" s="274"/>
      <c r="BN19" s="3"/>
    </row>
    <row r="20" spans="2:66" s="1" customFormat="1" ht="20.100000000000001" customHeight="1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8"/>
      <c r="X20" s="196"/>
      <c r="Y20" s="197"/>
      <c r="Z20" s="197"/>
      <c r="AA20" s="197"/>
      <c r="AB20" s="198"/>
      <c r="AC20" s="196"/>
      <c r="AD20" s="197"/>
      <c r="AE20" s="197"/>
      <c r="AF20" s="197"/>
      <c r="AG20" s="198"/>
      <c r="AH20" s="196"/>
      <c r="AI20" s="197"/>
      <c r="AJ20" s="197"/>
      <c r="AK20" s="197"/>
      <c r="AL20" s="198"/>
      <c r="AM20" s="196"/>
      <c r="AN20" s="197"/>
      <c r="AO20" s="197"/>
      <c r="AP20" s="197"/>
      <c r="AQ20" s="199"/>
      <c r="AR20" s="47"/>
      <c r="AS20" s="47"/>
      <c r="AW20" s="200"/>
      <c r="AX20" s="200"/>
      <c r="AY20" s="200"/>
      <c r="AZ20" s="200"/>
      <c r="BA20" s="200"/>
      <c r="BB20" s="200"/>
      <c r="BC20" s="200"/>
      <c r="BD20" s="274"/>
      <c r="BE20" s="70"/>
      <c r="BG20" s="65"/>
      <c r="BH20" s="70"/>
      <c r="BK20" s="70"/>
      <c r="BM20" s="272">
        <f>SUM(BM22:BM35)</f>
        <v>0</v>
      </c>
      <c r="BN20" s="176"/>
    </row>
    <row r="21" spans="2:66" s="37" customFormat="1" ht="15" customHeight="1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29" t="s">
        <v>25</v>
      </c>
      <c r="O21" s="27" t="s">
        <v>17</v>
      </c>
      <c r="P21" s="30" t="s">
        <v>26</v>
      </c>
      <c r="Q21" s="187" t="s">
        <v>27</v>
      </c>
      <c r="R21" s="190"/>
      <c r="S21" s="31" t="s">
        <v>25</v>
      </c>
      <c r="T21" s="27" t="s">
        <v>17</v>
      </c>
      <c r="U21" s="32" t="s">
        <v>26</v>
      </c>
      <c r="V21" s="187" t="s">
        <v>27</v>
      </c>
      <c r="W21" s="191"/>
      <c r="X21" s="29" t="s">
        <v>25</v>
      </c>
      <c r="Y21" s="27" t="s">
        <v>17</v>
      </c>
      <c r="Z21" s="30" t="s">
        <v>26</v>
      </c>
      <c r="AA21" s="302" t="s">
        <v>27</v>
      </c>
      <c r="AB21" s="303"/>
      <c r="AC21" s="33" t="s">
        <v>25</v>
      </c>
      <c r="AD21" s="27" t="s">
        <v>17</v>
      </c>
      <c r="AE21" s="32" t="s">
        <v>26</v>
      </c>
      <c r="AF21" s="187" t="s">
        <v>27</v>
      </c>
      <c r="AG21" s="191"/>
      <c r="AH21" s="33" t="s">
        <v>25</v>
      </c>
      <c r="AI21" s="27" t="s">
        <v>17</v>
      </c>
      <c r="AJ21" s="32" t="s">
        <v>26</v>
      </c>
      <c r="AK21" s="187" t="s">
        <v>27</v>
      </c>
      <c r="AL21" s="191"/>
      <c r="AM21" s="34" t="s">
        <v>25</v>
      </c>
      <c r="AN21" s="35" t="s">
        <v>17</v>
      </c>
      <c r="AO21" s="36" t="s">
        <v>26</v>
      </c>
      <c r="AP21" s="204" t="s">
        <v>27</v>
      </c>
      <c r="AQ21" s="205"/>
      <c r="AR21" s="37" t="s">
        <v>28</v>
      </c>
      <c r="AS21" s="37" t="s">
        <v>0</v>
      </c>
      <c r="AT21" s="37" t="s">
        <v>29</v>
      </c>
      <c r="AU21" s="37" t="s">
        <v>30</v>
      </c>
      <c r="AV21" s="111" t="s">
        <v>1</v>
      </c>
      <c r="AW21" s="200"/>
      <c r="AX21" s="200"/>
      <c r="AY21" s="200"/>
      <c r="AZ21" s="200"/>
      <c r="BA21" s="200"/>
      <c r="BB21" s="200"/>
      <c r="BC21" s="200"/>
      <c r="BD21" s="275"/>
      <c r="BE21" s="76" t="s">
        <v>31</v>
      </c>
      <c r="BF21" s="186" t="s">
        <v>32</v>
      </c>
      <c r="BG21" s="186"/>
      <c r="BH21" s="186"/>
      <c r="BI21" s="186" t="s">
        <v>33</v>
      </c>
      <c r="BJ21" s="186"/>
      <c r="BK21" s="186"/>
      <c r="BM21" s="281" t="s">
        <v>34</v>
      </c>
      <c r="BN21" s="282"/>
    </row>
    <row r="22" spans="2:66" s="1" customFormat="1" ht="61.5" customHeight="1" x14ac:dyDescent="0.25">
      <c r="B22" s="38">
        <v>1</v>
      </c>
      <c r="C22" s="210"/>
      <c r="D22" s="210"/>
      <c r="E22" s="210"/>
      <c r="F22" s="210"/>
      <c r="G22" s="39"/>
      <c r="H22" s="40"/>
      <c r="I22" s="41"/>
      <c r="J22" s="42" t="str">
        <f>IF($G22="","",$G22*I22)</f>
        <v/>
      </c>
      <c r="K22" s="90"/>
      <c r="L22" s="206" t="str">
        <f>IF($I22="","No Quote",IF($K22="","","No Comply"))</f>
        <v>No Quote</v>
      </c>
      <c r="M22" s="207"/>
      <c r="N22" s="41"/>
      <c r="O22" s="42" t="str">
        <f>IF($G22="","",$G22*N22)</f>
        <v/>
      </c>
      <c r="P22" s="90"/>
      <c r="Q22" s="206" t="str">
        <f>IF($N22="","No Quote",IF($P22="","","No Comply"))</f>
        <v>No Quote</v>
      </c>
      <c r="R22" s="207"/>
      <c r="S22" s="41"/>
      <c r="T22" s="42" t="str">
        <f>IF($G22="","",$G22*S22)</f>
        <v/>
      </c>
      <c r="U22" s="89"/>
      <c r="V22" s="206" t="str">
        <f>IF($S22="","No Quote",IF($U22="","","No Comply"))</f>
        <v>No Quote</v>
      </c>
      <c r="W22" s="207"/>
      <c r="X22" s="41"/>
      <c r="Y22" s="42" t="str">
        <f>IF($G22="","",$G22*X22)</f>
        <v/>
      </c>
      <c r="Z22" s="90"/>
      <c r="AA22" s="300" t="str">
        <f>IF($X22="","No Quote",IF($Z22="","","No Comply"))</f>
        <v>No Quote</v>
      </c>
      <c r="AB22" s="301"/>
      <c r="AC22" s="41"/>
      <c r="AD22" s="42" t="str">
        <f>IF($G22="","",$G22*AC22)</f>
        <v/>
      </c>
      <c r="AE22" s="89"/>
      <c r="AF22" s="206" t="str">
        <f>IF($AC22="","No Quote",IF($AE22="","","No Comply"))</f>
        <v>No Quote</v>
      </c>
      <c r="AG22" s="207"/>
      <c r="AH22" s="41"/>
      <c r="AI22" s="42" t="str">
        <f>IF($G22="","",$G22*AH22)</f>
        <v/>
      </c>
      <c r="AJ22" s="89"/>
      <c r="AK22" s="206" t="str">
        <f>IF($AH22="","No Quote",IF($AJ22="","","No Comply"))</f>
        <v>No Quote</v>
      </c>
      <c r="AL22" s="207"/>
      <c r="AM22" s="41"/>
      <c r="AN22" s="42" t="str">
        <f>IF($G22="","",$G22*AM22)</f>
        <v/>
      </c>
      <c r="AO22" s="89"/>
      <c r="AP22" s="208" t="str">
        <f>IF($AM22="","No Quote",IF($AO22="","","No Comply"))</f>
        <v>No Quote</v>
      </c>
      <c r="AQ22" s="209"/>
      <c r="AR22" s="87"/>
      <c r="AS22" s="93"/>
      <c r="AT22" s="63" t="str">
        <f>IF(AR22="","",$AR22*$G22)</f>
        <v/>
      </c>
      <c r="AU22" s="92"/>
      <c r="AV22" s="92"/>
      <c r="AW22" s="77" t="str">
        <f>IF(OR(K22="X",J22=""),"-",J22)</f>
        <v>-</v>
      </c>
      <c r="AX22" s="77" t="str">
        <f>IF(OR(P22="X",O22=""),"-",O22)</f>
        <v>-</v>
      </c>
      <c r="AY22" s="77" t="str">
        <f>IF(OR(U22="X",T22=""),"-",T22)</f>
        <v>-</v>
      </c>
      <c r="AZ22" s="77" t="str">
        <f>IF(OR(Z22="X",Y22=""),"-",Y22)</f>
        <v>-</v>
      </c>
      <c r="BA22" s="77" t="str">
        <f>IF(OR(AE22="X",AD22=""),"-",AD22)</f>
        <v>-</v>
      </c>
      <c r="BB22" s="77" t="str">
        <f>IF(OR(AJ22="X",AI22=""),"-",AI22)</f>
        <v>-</v>
      </c>
      <c r="BC22" s="77" t="str">
        <f>IF(OR(AO22="X",AN22=""),"-",AN22)</f>
        <v>-</v>
      </c>
      <c r="BD22" s="78" t="str">
        <f t="shared" ref="BD22:BD50" si="5">IFERROR(SMALL($AW22:$BC22,COUNTIF($AW22:$BC22,0)+1),"")</f>
        <v/>
      </c>
      <c r="BE22" s="74" t="str">
        <f t="shared" ref="BE22:BE49" si="6">IF(BD22=AW22,$AW$19,IF(BD22=AX22,$AX$19,IF(BD22=AY22,$AY$19,IF(BD22=AZ22,$AZ$19,IF(BD22=BA22,$BA$19,IF(BD22=BB22,$BB$19,IF(BD22=BC22,$BC$19,"")))))))</f>
        <v/>
      </c>
      <c r="BF22" s="72" t="str">
        <f t="shared" ref="BF22:BF50" si="7">IFERROR(SMALL($AW22:$BC22,2),"")</f>
        <v/>
      </c>
      <c r="BG22" s="71" t="str">
        <f>IFERROR(IF(($BF22-$BD22)/$BD22&lt;0%,"",($BF22-$BD22)/$BD22),"")</f>
        <v/>
      </c>
      <c r="BH22" s="74" t="str">
        <f t="shared" ref="BH22:BH49" si="8">IFERROR(IF(BF22="","",IF(BF22=AW22,$AW$19,IF(BF22=AX22,$AX$19,IF(BF22=AY22,$AY$19,IF(BF22=AZ22,$AZ$19,IF(BF22=BA22,$BA$19,IF(BF22=BB22,$BB$19,IF(BF22=BC22,$BC$19,"")))))))),"")</f>
        <v/>
      </c>
      <c r="BI22" s="72" t="str">
        <f t="shared" ref="BI22:BI50" si="9">IFERROR(SMALL($AW22:$BC22,3),"")</f>
        <v/>
      </c>
      <c r="BJ22" s="71" t="str">
        <f>IFERROR(IF((BI22-$BD22)/$BD22&lt;0%,"",(BI22-$BD22)/$BD22),"")</f>
        <v/>
      </c>
      <c r="BK22" s="74" t="str">
        <f t="shared" ref="BK22:BK49" si="10">IFERROR(IF(BI22="","",IF(BI22=AW22,$AW$19,IF(BI22=AX22,$AX$19,IF(BI22=AY22,$AY$19,IF(BI22=AZ22,$AZ$19,IF(BI22=BA22,$BA$19,IF(BI22=BB22,$BB$19,IF(BI22=BC22,$BC$19,"")))))))),"")</f>
        <v/>
      </c>
      <c r="BM22" s="99">
        <f t="shared" ref="BM22:BM49" si="11">SUMIFS($BD$22:$BD$49,$BE$22:$BE$49,BN22)</f>
        <v>0</v>
      </c>
      <c r="BN22" s="100" t="str" cm="1">
        <f t="array" ref="BN22">IFERROR(INDEX(_xlfn.UNIQUE(_xlfn._xlws.FILTER($BE$22:$BE$49,($BE$22:$BE$49&lt;&gt;"")*($BE$22:$BE$49&lt;&gt;"-"))),ROWS($BN22:BN$22)),"")</f>
        <v/>
      </c>
    </row>
    <row r="23" spans="2:66" s="1" customFormat="1" ht="61.5" customHeight="1" x14ac:dyDescent="0.25">
      <c r="B23" s="38">
        <f>B22+1</f>
        <v>2</v>
      </c>
      <c r="C23" s="210"/>
      <c r="D23" s="210"/>
      <c r="E23" s="210"/>
      <c r="F23" s="210"/>
      <c r="G23" s="39"/>
      <c r="H23" s="40"/>
      <c r="I23" s="41"/>
      <c r="J23" s="42" t="str">
        <f t="shared" ref="J23:J49" si="12">IF($G23="","",$G23*I23)</f>
        <v/>
      </c>
      <c r="K23" s="90"/>
      <c r="L23" s="206" t="str">
        <f t="shared" ref="L23:L49" si="13">IF($I23="","No Quote",IF($K23="","","No Comply"))</f>
        <v>No Quote</v>
      </c>
      <c r="M23" s="207"/>
      <c r="N23" s="41"/>
      <c r="O23" s="42" t="str">
        <f t="shared" ref="O23:O49" si="14">IF($G23="","",$G23*N23)</f>
        <v/>
      </c>
      <c r="P23" s="90"/>
      <c r="Q23" s="206" t="str">
        <f t="shared" ref="Q23:Q49" si="15">IF($N23="","No Quote",IF($P23="","","No Comply"))</f>
        <v>No Quote</v>
      </c>
      <c r="R23" s="207"/>
      <c r="S23" s="41"/>
      <c r="T23" s="42" t="str">
        <f t="shared" ref="T23:T49" si="16">IF($G23="","",$G23*S23)</f>
        <v/>
      </c>
      <c r="U23" s="89"/>
      <c r="V23" s="206" t="str">
        <f t="shared" ref="V23:V49" si="17">IF($S23="","No Quote",IF($U23="","","No Comply"))</f>
        <v>No Quote</v>
      </c>
      <c r="W23" s="207"/>
      <c r="X23" s="41"/>
      <c r="Y23" s="42" t="str">
        <f t="shared" ref="Y23:Y49" si="18">IF($G23="","",$G23*X23)</f>
        <v/>
      </c>
      <c r="Z23" s="90"/>
      <c r="AA23" s="208" t="str">
        <f t="shared" ref="AA23:AA49" si="19">IF($X23="","No Quote",IF($Z23="","","No Comply"))</f>
        <v>No Quote</v>
      </c>
      <c r="AB23" s="299"/>
      <c r="AC23" s="41"/>
      <c r="AD23" s="42" t="str">
        <f t="shared" ref="AD23:AD49" si="20">IF($G23="","",$G23*AC23)</f>
        <v/>
      </c>
      <c r="AE23" s="89"/>
      <c r="AF23" s="206" t="str">
        <f t="shared" ref="AF23:AF49" si="21">IF($AC23="","No Quote",IF($AE23="","","No Comply"))</f>
        <v>No Quote</v>
      </c>
      <c r="AG23" s="207"/>
      <c r="AH23" s="41"/>
      <c r="AI23" s="42" t="str">
        <f t="shared" ref="AI23:AI49" si="22">IF($G23="","",$G23*AH23)</f>
        <v/>
      </c>
      <c r="AJ23" s="89"/>
      <c r="AK23" s="206" t="str">
        <f t="shared" ref="AK23:AK49" si="23">IF($AH23="","No Quote",IF($AJ23="","","No Comply"))</f>
        <v>No Quote</v>
      </c>
      <c r="AL23" s="207"/>
      <c r="AM23" s="41"/>
      <c r="AN23" s="42" t="str">
        <f t="shared" ref="AN23:AN49" si="24">IF($G23="","",$G23*AM23)</f>
        <v/>
      </c>
      <c r="AO23" s="89"/>
      <c r="AP23" s="208" t="str">
        <f t="shared" ref="AP23:AP49" si="25">IF($AM23="","No Quote",IF($AO23="","","No Comply"))</f>
        <v>No Quote</v>
      </c>
      <c r="AQ23" s="209"/>
      <c r="AR23" s="87"/>
      <c r="AS23" s="93"/>
      <c r="AT23" s="63" t="str">
        <f t="shared" ref="AT23:AT49" si="26">IF(AR23="","",$AR23*$G23)</f>
        <v/>
      </c>
      <c r="AU23" s="92"/>
      <c r="AV23" s="92"/>
      <c r="AW23" s="77" t="str">
        <f t="shared" ref="AW23:AW49" si="27">IF(OR(K23="X",J23=""),"-",J23)</f>
        <v>-</v>
      </c>
      <c r="AX23" s="77" t="str">
        <f t="shared" ref="AX23:AX49" si="28">IF(OR(P23="X",O23=""),"-",O23)</f>
        <v>-</v>
      </c>
      <c r="AY23" s="77" t="str">
        <f t="shared" ref="AY23:AY49" si="29">IF(OR(U23="X",T23=""),"-",T23)</f>
        <v>-</v>
      </c>
      <c r="AZ23" s="77" t="str">
        <f t="shared" ref="AZ23:AZ49" si="30">IF(OR(Z23="X",Y23=""),"-",Y23)</f>
        <v>-</v>
      </c>
      <c r="BA23" s="77" t="str">
        <f t="shared" ref="BA23:BA49" si="31">IF(OR(AE23="X",AD23=""),"-",AD23)</f>
        <v>-</v>
      </c>
      <c r="BB23" s="77" t="str">
        <f t="shared" ref="BB23:BB49" si="32">IF(OR(AJ23="X",AI23=""),"-",AI23)</f>
        <v>-</v>
      </c>
      <c r="BC23" s="77" t="str">
        <f t="shared" ref="BC23:BC49" si="33">IF(OR(AO23="X",AN23=""),"-",AN23)</f>
        <v>-</v>
      </c>
      <c r="BD23" s="78" t="str">
        <f t="shared" si="5"/>
        <v/>
      </c>
      <c r="BE23" s="74" t="str">
        <f t="shared" si="6"/>
        <v/>
      </c>
      <c r="BF23" s="72" t="str">
        <f t="shared" si="7"/>
        <v/>
      </c>
      <c r="BG23" s="71" t="str">
        <f t="shared" ref="BG23:BG50" si="34">IFERROR(IF(($BF23-$BD23)/$BD23&lt;0%,"",($BF23-$BD23)/$BD23),"")</f>
        <v/>
      </c>
      <c r="BH23" s="74" t="str">
        <f t="shared" si="8"/>
        <v/>
      </c>
      <c r="BI23" s="72" t="str">
        <f t="shared" si="9"/>
        <v/>
      </c>
      <c r="BJ23" s="71" t="str">
        <f t="shared" ref="BJ23:BJ49" si="35">IFERROR(IF((BI23-$BD23)/$BD23&lt;0%,"",(BI23-$BD23)/$BD23),"")</f>
        <v/>
      </c>
      <c r="BK23" s="74" t="str">
        <f t="shared" si="10"/>
        <v/>
      </c>
      <c r="BM23" s="99">
        <f t="shared" si="11"/>
        <v>0</v>
      </c>
      <c r="BN23" s="100" t="str" cm="1">
        <f t="array" ref="BN23">IFERROR(INDEX(_xlfn.UNIQUE(_xlfn._xlws.FILTER($BE$22:$BE$49,($BE$22:$BE$49&lt;&gt;"")*($BE$22:$BE$49&lt;&gt;"-"))),ROWS($BN$22:BN23)),"")</f>
        <v/>
      </c>
    </row>
    <row r="24" spans="2:66" s="1" customFormat="1" ht="61.5" customHeight="1" x14ac:dyDescent="0.25">
      <c r="B24" s="38">
        <f t="shared" ref="B24:B49" si="36">B23+1</f>
        <v>3</v>
      </c>
      <c r="C24" s="210"/>
      <c r="D24" s="210"/>
      <c r="E24" s="210"/>
      <c r="F24" s="210"/>
      <c r="G24" s="39"/>
      <c r="H24" s="40"/>
      <c r="I24" s="41"/>
      <c r="J24" s="42" t="str">
        <f t="shared" si="12"/>
        <v/>
      </c>
      <c r="K24" s="90"/>
      <c r="L24" s="206" t="str">
        <f t="shared" si="13"/>
        <v>No Quote</v>
      </c>
      <c r="M24" s="207"/>
      <c r="N24" s="41"/>
      <c r="O24" s="42" t="str">
        <f t="shared" si="14"/>
        <v/>
      </c>
      <c r="P24" s="90"/>
      <c r="Q24" s="206" t="str">
        <f t="shared" si="15"/>
        <v>No Quote</v>
      </c>
      <c r="R24" s="207"/>
      <c r="S24" s="41"/>
      <c r="T24" s="42" t="str">
        <f t="shared" si="16"/>
        <v/>
      </c>
      <c r="U24" s="89"/>
      <c r="V24" s="206" t="str">
        <f t="shared" si="17"/>
        <v>No Quote</v>
      </c>
      <c r="W24" s="207"/>
      <c r="X24" s="41"/>
      <c r="Y24" s="42" t="str">
        <f t="shared" si="18"/>
        <v/>
      </c>
      <c r="Z24" s="90"/>
      <c r="AA24" s="208" t="str">
        <f t="shared" si="19"/>
        <v>No Quote</v>
      </c>
      <c r="AB24" s="299"/>
      <c r="AC24" s="41"/>
      <c r="AD24" s="42" t="str">
        <f t="shared" si="20"/>
        <v/>
      </c>
      <c r="AE24" s="89"/>
      <c r="AF24" s="206" t="str">
        <f t="shared" si="21"/>
        <v>No Quote</v>
      </c>
      <c r="AG24" s="207"/>
      <c r="AH24" s="41"/>
      <c r="AI24" s="42" t="str">
        <f t="shared" si="22"/>
        <v/>
      </c>
      <c r="AJ24" s="89"/>
      <c r="AK24" s="206" t="str">
        <f t="shared" si="23"/>
        <v>No Quote</v>
      </c>
      <c r="AL24" s="207"/>
      <c r="AM24" s="41"/>
      <c r="AN24" s="42" t="str">
        <f t="shared" si="24"/>
        <v/>
      </c>
      <c r="AO24" s="89"/>
      <c r="AP24" s="208" t="str">
        <f t="shared" si="25"/>
        <v>No Quote</v>
      </c>
      <c r="AQ24" s="209"/>
      <c r="AR24" s="87"/>
      <c r="AS24" s="93"/>
      <c r="AT24" s="63" t="str">
        <f t="shared" si="26"/>
        <v/>
      </c>
      <c r="AU24" s="92"/>
      <c r="AV24" s="92"/>
      <c r="AW24" s="77" t="str">
        <f t="shared" si="27"/>
        <v>-</v>
      </c>
      <c r="AX24" s="77" t="str">
        <f t="shared" si="28"/>
        <v>-</v>
      </c>
      <c r="AY24" s="77" t="str">
        <f t="shared" si="29"/>
        <v>-</v>
      </c>
      <c r="AZ24" s="77" t="str">
        <f t="shared" si="30"/>
        <v>-</v>
      </c>
      <c r="BA24" s="77" t="str">
        <f t="shared" si="31"/>
        <v>-</v>
      </c>
      <c r="BB24" s="77" t="str">
        <f t="shared" si="32"/>
        <v>-</v>
      </c>
      <c r="BC24" s="77" t="str">
        <f t="shared" si="33"/>
        <v>-</v>
      </c>
      <c r="BD24" s="78" t="str">
        <f t="shared" si="5"/>
        <v/>
      </c>
      <c r="BE24" s="74" t="str">
        <f t="shared" si="6"/>
        <v/>
      </c>
      <c r="BF24" s="72" t="str">
        <f t="shared" si="7"/>
        <v/>
      </c>
      <c r="BG24" s="71" t="str">
        <f t="shared" si="34"/>
        <v/>
      </c>
      <c r="BH24" s="74" t="str">
        <f t="shared" si="8"/>
        <v/>
      </c>
      <c r="BI24" s="72" t="str">
        <f t="shared" si="9"/>
        <v/>
      </c>
      <c r="BJ24" s="71" t="str">
        <f t="shared" si="35"/>
        <v/>
      </c>
      <c r="BK24" s="74" t="str">
        <f t="shared" si="10"/>
        <v/>
      </c>
      <c r="BM24" s="99">
        <f t="shared" si="11"/>
        <v>0</v>
      </c>
      <c r="BN24" s="100" t="str" cm="1">
        <f t="array" ref="BN24">IFERROR(INDEX(_xlfn.UNIQUE(_xlfn._xlws.FILTER($BE$22:$BE$49,($BE$22:$BE$49&lt;&gt;"")*($BE$22:$BE$49&lt;&gt;"-"))),ROWS($BN$22:BN24)),"")</f>
        <v/>
      </c>
    </row>
    <row r="25" spans="2:66" s="1" customFormat="1" ht="61.5" customHeight="1" x14ac:dyDescent="0.25">
      <c r="B25" s="38">
        <f t="shared" si="36"/>
        <v>4</v>
      </c>
      <c r="C25" s="210"/>
      <c r="D25" s="210"/>
      <c r="E25" s="210"/>
      <c r="F25" s="210"/>
      <c r="G25" s="39"/>
      <c r="H25" s="40"/>
      <c r="I25" s="41"/>
      <c r="J25" s="42" t="str">
        <f t="shared" si="12"/>
        <v/>
      </c>
      <c r="K25" s="90"/>
      <c r="L25" s="206" t="str">
        <f t="shared" si="13"/>
        <v>No Quote</v>
      </c>
      <c r="M25" s="207"/>
      <c r="N25" s="41"/>
      <c r="O25" s="42" t="str">
        <f t="shared" si="14"/>
        <v/>
      </c>
      <c r="P25" s="90"/>
      <c r="Q25" s="206" t="str">
        <f t="shared" si="15"/>
        <v>No Quote</v>
      </c>
      <c r="R25" s="207"/>
      <c r="S25" s="41"/>
      <c r="T25" s="42" t="str">
        <f t="shared" si="16"/>
        <v/>
      </c>
      <c r="U25" s="89"/>
      <c r="V25" s="206" t="str">
        <f t="shared" si="17"/>
        <v>No Quote</v>
      </c>
      <c r="W25" s="207"/>
      <c r="X25" s="41"/>
      <c r="Y25" s="42" t="str">
        <f t="shared" si="18"/>
        <v/>
      </c>
      <c r="Z25" s="90"/>
      <c r="AA25" s="208" t="str">
        <f t="shared" si="19"/>
        <v>No Quote</v>
      </c>
      <c r="AB25" s="299"/>
      <c r="AC25" s="41"/>
      <c r="AD25" s="42" t="str">
        <f t="shared" si="20"/>
        <v/>
      </c>
      <c r="AE25" s="89"/>
      <c r="AF25" s="206" t="str">
        <f t="shared" si="21"/>
        <v>No Quote</v>
      </c>
      <c r="AG25" s="207"/>
      <c r="AH25" s="41"/>
      <c r="AI25" s="42" t="str">
        <f t="shared" si="22"/>
        <v/>
      </c>
      <c r="AJ25" s="89"/>
      <c r="AK25" s="206" t="str">
        <f t="shared" si="23"/>
        <v>No Quote</v>
      </c>
      <c r="AL25" s="207"/>
      <c r="AM25" s="41"/>
      <c r="AN25" s="42" t="str">
        <f t="shared" si="24"/>
        <v/>
      </c>
      <c r="AO25" s="89"/>
      <c r="AP25" s="208" t="str">
        <f t="shared" si="25"/>
        <v>No Quote</v>
      </c>
      <c r="AQ25" s="209"/>
      <c r="AR25" s="87"/>
      <c r="AS25" s="93"/>
      <c r="AT25" s="63" t="str">
        <f t="shared" si="26"/>
        <v/>
      </c>
      <c r="AU25" s="92"/>
      <c r="AV25" s="92"/>
      <c r="AW25" s="77" t="str">
        <f t="shared" si="27"/>
        <v>-</v>
      </c>
      <c r="AX25" s="77" t="str">
        <f t="shared" si="28"/>
        <v>-</v>
      </c>
      <c r="AY25" s="77" t="str">
        <f t="shared" si="29"/>
        <v>-</v>
      </c>
      <c r="AZ25" s="77" t="str">
        <f t="shared" si="30"/>
        <v>-</v>
      </c>
      <c r="BA25" s="77" t="str">
        <f t="shared" si="31"/>
        <v>-</v>
      </c>
      <c r="BB25" s="77" t="str">
        <f t="shared" si="32"/>
        <v>-</v>
      </c>
      <c r="BC25" s="77" t="str">
        <f t="shared" si="33"/>
        <v>-</v>
      </c>
      <c r="BD25" s="78" t="str">
        <f t="shared" si="5"/>
        <v/>
      </c>
      <c r="BE25" s="74" t="str">
        <f t="shared" si="6"/>
        <v/>
      </c>
      <c r="BF25" s="72" t="str">
        <f t="shared" si="7"/>
        <v/>
      </c>
      <c r="BG25" s="71" t="str">
        <f t="shared" si="34"/>
        <v/>
      </c>
      <c r="BH25" s="74" t="str">
        <f t="shared" si="8"/>
        <v/>
      </c>
      <c r="BI25" s="72" t="str">
        <f t="shared" si="9"/>
        <v/>
      </c>
      <c r="BJ25" s="71" t="str">
        <f t="shared" si="35"/>
        <v/>
      </c>
      <c r="BK25" s="74" t="str">
        <f t="shared" si="10"/>
        <v/>
      </c>
      <c r="BM25" s="99">
        <f t="shared" si="11"/>
        <v>0</v>
      </c>
      <c r="BN25" s="100" t="str" cm="1">
        <f t="array" ref="BN25">IFERROR(INDEX(_xlfn.UNIQUE(_xlfn._xlws.FILTER($BE$22:$BE$49,($BE$22:$BE$49&lt;&gt;"")*($BE$22:$BE$49&lt;&gt;"-"))),ROWS($BN$22:BN25)),"")</f>
        <v/>
      </c>
    </row>
    <row r="26" spans="2:66" s="1" customFormat="1" ht="61.5" customHeight="1" x14ac:dyDescent="0.25">
      <c r="B26" s="38">
        <f t="shared" si="36"/>
        <v>5</v>
      </c>
      <c r="C26" s="210"/>
      <c r="D26" s="210"/>
      <c r="E26" s="210"/>
      <c r="F26" s="210"/>
      <c r="G26" s="39"/>
      <c r="H26" s="40"/>
      <c r="I26" s="41"/>
      <c r="J26" s="42" t="str">
        <f t="shared" si="12"/>
        <v/>
      </c>
      <c r="K26" s="90"/>
      <c r="L26" s="206" t="str">
        <f t="shared" si="13"/>
        <v>No Quote</v>
      </c>
      <c r="M26" s="207"/>
      <c r="N26" s="41"/>
      <c r="O26" s="42" t="str">
        <f t="shared" si="14"/>
        <v/>
      </c>
      <c r="P26" s="90"/>
      <c r="Q26" s="206" t="str">
        <f t="shared" si="15"/>
        <v>No Quote</v>
      </c>
      <c r="R26" s="207"/>
      <c r="S26" s="41"/>
      <c r="T26" s="42" t="str">
        <f t="shared" si="16"/>
        <v/>
      </c>
      <c r="U26" s="89"/>
      <c r="V26" s="206" t="str">
        <f t="shared" si="17"/>
        <v>No Quote</v>
      </c>
      <c r="W26" s="207"/>
      <c r="X26" s="41"/>
      <c r="Y26" s="42" t="str">
        <f t="shared" si="18"/>
        <v/>
      </c>
      <c r="Z26" s="90"/>
      <c r="AA26" s="208" t="str">
        <f t="shared" si="19"/>
        <v>No Quote</v>
      </c>
      <c r="AB26" s="299"/>
      <c r="AC26" s="41"/>
      <c r="AD26" s="42" t="str">
        <f t="shared" si="20"/>
        <v/>
      </c>
      <c r="AE26" s="89"/>
      <c r="AF26" s="206" t="str">
        <f t="shared" si="21"/>
        <v>No Quote</v>
      </c>
      <c r="AG26" s="207"/>
      <c r="AH26" s="41"/>
      <c r="AI26" s="42" t="str">
        <f t="shared" si="22"/>
        <v/>
      </c>
      <c r="AJ26" s="89"/>
      <c r="AK26" s="206" t="str">
        <f t="shared" si="23"/>
        <v>No Quote</v>
      </c>
      <c r="AL26" s="207"/>
      <c r="AM26" s="41"/>
      <c r="AN26" s="42" t="str">
        <f t="shared" si="24"/>
        <v/>
      </c>
      <c r="AO26" s="89"/>
      <c r="AP26" s="208" t="str">
        <f t="shared" si="25"/>
        <v>No Quote</v>
      </c>
      <c r="AQ26" s="209"/>
      <c r="AR26" s="87"/>
      <c r="AS26" s="93"/>
      <c r="AT26" s="63" t="str">
        <f t="shared" si="26"/>
        <v/>
      </c>
      <c r="AU26" s="92"/>
      <c r="AV26" s="92"/>
      <c r="AW26" s="77" t="str">
        <f t="shared" si="27"/>
        <v>-</v>
      </c>
      <c r="AX26" s="77" t="str">
        <f t="shared" si="28"/>
        <v>-</v>
      </c>
      <c r="AY26" s="77" t="str">
        <f t="shared" si="29"/>
        <v>-</v>
      </c>
      <c r="AZ26" s="77" t="str">
        <f t="shared" si="30"/>
        <v>-</v>
      </c>
      <c r="BA26" s="77" t="str">
        <f t="shared" si="31"/>
        <v>-</v>
      </c>
      <c r="BB26" s="77" t="str">
        <f t="shared" si="32"/>
        <v>-</v>
      </c>
      <c r="BC26" s="77" t="str">
        <f t="shared" si="33"/>
        <v>-</v>
      </c>
      <c r="BD26" s="78" t="str">
        <f t="shared" si="5"/>
        <v/>
      </c>
      <c r="BE26" s="74" t="str">
        <f t="shared" si="6"/>
        <v/>
      </c>
      <c r="BF26" s="72" t="str">
        <f t="shared" si="7"/>
        <v/>
      </c>
      <c r="BG26" s="71" t="str">
        <f t="shared" si="34"/>
        <v/>
      </c>
      <c r="BH26" s="74" t="str">
        <f t="shared" si="8"/>
        <v/>
      </c>
      <c r="BI26" s="72" t="str">
        <f t="shared" si="9"/>
        <v/>
      </c>
      <c r="BJ26" s="71" t="str">
        <f t="shared" si="35"/>
        <v/>
      </c>
      <c r="BK26" s="74" t="str">
        <f t="shared" si="10"/>
        <v/>
      </c>
      <c r="BM26" s="99">
        <f t="shared" si="11"/>
        <v>0</v>
      </c>
      <c r="BN26" s="100" t="str" cm="1">
        <f t="array" ref="BN26">IFERROR(INDEX(_xlfn.UNIQUE(_xlfn._xlws.FILTER($BE$22:$BE$49,($BE$22:$BE$49&lt;&gt;"")*($BE$22:$BE$49&lt;&gt;"-"))),ROWS($BN$22:BN26)),"")</f>
        <v/>
      </c>
    </row>
    <row r="27" spans="2:66" s="1" customFormat="1" ht="61.5" customHeight="1" outlineLevel="1" x14ac:dyDescent="0.25">
      <c r="B27" s="38">
        <f t="shared" si="36"/>
        <v>6</v>
      </c>
      <c r="C27" s="210"/>
      <c r="D27" s="210"/>
      <c r="E27" s="210"/>
      <c r="F27" s="210"/>
      <c r="G27" s="39"/>
      <c r="H27" s="40"/>
      <c r="I27" s="41"/>
      <c r="J27" s="42" t="str">
        <f t="shared" si="12"/>
        <v/>
      </c>
      <c r="K27" s="90"/>
      <c r="L27" s="206" t="str">
        <f t="shared" si="13"/>
        <v>No Quote</v>
      </c>
      <c r="M27" s="207"/>
      <c r="N27" s="41"/>
      <c r="O27" s="42" t="str">
        <f t="shared" si="14"/>
        <v/>
      </c>
      <c r="P27" s="90"/>
      <c r="Q27" s="206" t="str">
        <f t="shared" si="15"/>
        <v>No Quote</v>
      </c>
      <c r="R27" s="207"/>
      <c r="S27" s="41"/>
      <c r="T27" s="42" t="str">
        <f t="shared" si="16"/>
        <v/>
      </c>
      <c r="U27" s="89"/>
      <c r="V27" s="206" t="str">
        <f t="shared" si="17"/>
        <v>No Quote</v>
      </c>
      <c r="W27" s="207"/>
      <c r="X27" s="41"/>
      <c r="Y27" s="42" t="str">
        <f t="shared" si="18"/>
        <v/>
      </c>
      <c r="Z27" s="90"/>
      <c r="AA27" s="208" t="str">
        <f t="shared" si="19"/>
        <v>No Quote</v>
      </c>
      <c r="AB27" s="299"/>
      <c r="AC27" s="41"/>
      <c r="AD27" s="42" t="str">
        <f t="shared" si="20"/>
        <v/>
      </c>
      <c r="AE27" s="89"/>
      <c r="AF27" s="206" t="str">
        <f t="shared" si="21"/>
        <v>No Quote</v>
      </c>
      <c r="AG27" s="207"/>
      <c r="AH27" s="41"/>
      <c r="AI27" s="42" t="str">
        <f t="shared" si="22"/>
        <v/>
      </c>
      <c r="AJ27" s="89"/>
      <c r="AK27" s="206" t="str">
        <f t="shared" si="23"/>
        <v>No Quote</v>
      </c>
      <c r="AL27" s="207"/>
      <c r="AM27" s="41"/>
      <c r="AN27" s="42" t="str">
        <f t="shared" si="24"/>
        <v/>
      </c>
      <c r="AO27" s="89"/>
      <c r="AP27" s="208" t="str">
        <f t="shared" si="25"/>
        <v>No Quote</v>
      </c>
      <c r="AQ27" s="209"/>
      <c r="AR27" s="87"/>
      <c r="AS27" s="93"/>
      <c r="AT27" s="63" t="str">
        <f t="shared" si="26"/>
        <v/>
      </c>
      <c r="AU27" s="92"/>
      <c r="AV27" s="92"/>
      <c r="AW27" s="77" t="str">
        <f t="shared" si="27"/>
        <v>-</v>
      </c>
      <c r="AX27" s="77" t="str">
        <f t="shared" si="28"/>
        <v>-</v>
      </c>
      <c r="AY27" s="77" t="str">
        <f t="shared" si="29"/>
        <v>-</v>
      </c>
      <c r="AZ27" s="77" t="str">
        <f t="shared" si="30"/>
        <v>-</v>
      </c>
      <c r="BA27" s="77" t="str">
        <f t="shared" si="31"/>
        <v>-</v>
      </c>
      <c r="BB27" s="77" t="str">
        <f t="shared" si="32"/>
        <v>-</v>
      </c>
      <c r="BC27" s="77" t="str">
        <f t="shared" si="33"/>
        <v>-</v>
      </c>
      <c r="BD27" s="78" t="str">
        <f t="shared" si="5"/>
        <v/>
      </c>
      <c r="BE27" s="74" t="str">
        <f t="shared" si="6"/>
        <v/>
      </c>
      <c r="BF27" s="72" t="str">
        <f t="shared" si="7"/>
        <v/>
      </c>
      <c r="BG27" s="71" t="str">
        <f t="shared" si="34"/>
        <v/>
      </c>
      <c r="BH27" s="74" t="str">
        <f t="shared" si="8"/>
        <v/>
      </c>
      <c r="BI27" s="72" t="str">
        <f t="shared" si="9"/>
        <v/>
      </c>
      <c r="BJ27" s="71" t="str">
        <f t="shared" si="35"/>
        <v/>
      </c>
      <c r="BK27" s="74" t="str">
        <f t="shared" si="10"/>
        <v/>
      </c>
      <c r="BM27" s="99">
        <f t="shared" si="11"/>
        <v>0</v>
      </c>
      <c r="BN27" s="100" t="str" cm="1">
        <f t="array" ref="BN27">IFERROR(INDEX(_xlfn.UNIQUE(_xlfn._xlws.FILTER($BE$22:$BE$49,($BE$22:$BE$49&lt;&gt;"")*($BE$22:$BE$49&lt;&gt;"-"))),ROWS($BN$22:BN27)),"")</f>
        <v/>
      </c>
    </row>
    <row r="28" spans="2:66" s="1" customFormat="1" ht="61.5" customHeight="1" outlineLevel="1" x14ac:dyDescent="0.25">
      <c r="B28" s="38">
        <f t="shared" si="36"/>
        <v>7</v>
      </c>
      <c r="C28" s="210"/>
      <c r="D28" s="210"/>
      <c r="E28" s="210"/>
      <c r="F28" s="210"/>
      <c r="G28" s="39"/>
      <c r="H28" s="40"/>
      <c r="I28" s="41"/>
      <c r="J28" s="42" t="str">
        <f t="shared" si="12"/>
        <v/>
      </c>
      <c r="K28" s="90"/>
      <c r="L28" s="206" t="str">
        <f t="shared" si="13"/>
        <v>No Quote</v>
      </c>
      <c r="M28" s="207"/>
      <c r="N28" s="41"/>
      <c r="O28" s="42" t="str">
        <f t="shared" si="14"/>
        <v/>
      </c>
      <c r="P28" s="90"/>
      <c r="Q28" s="206" t="str">
        <f t="shared" si="15"/>
        <v>No Quote</v>
      </c>
      <c r="R28" s="207"/>
      <c r="S28" s="41"/>
      <c r="T28" s="42" t="str">
        <f t="shared" si="16"/>
        <v/>
      </c>
      <c r="U28" s="89"/>
      <c r="V28" s="206" t="str">
        <f t="shared" si="17"/>
        <v>No Quote</v>
      </c>
      <c r="W28" s="207"/>
      <c r="X28" s="41"/>
      <c r="Y28" s="42" t="str">
        <f t="shared" si="18"/>
        <v/>
      </c>
      <c r="Z28" s="90"/>
      <c r="AA28" s="208" t="str">
        <f t="shared" si="19"/>
        <v>No Quote</v>
      </c>
      <c r="AB28" s="299"/>
      <c r="AC28" s="41"/>
      <c r="AD28" s="42" t="str">
        <f t="shared" si="20"/>
        <v/>
      </c>
      <c r="AE28" s="89"/>
      <c r="AF28" s="206" t="str">
        <f t="shared" si="21"/>
        <v>No Quote</v>
      </c>
      <c r="AG28" s="207"/>
      <c r="AH28" s="41"/>
      <c r="AI28" s="42" t="str">
        <f t="shared" si="22"/>
        <v/>
      </c>
      <c r="AJ28" s="89"/>
      <c r="AK28" s="206" t="str">
        <f t="shared" si="23"/>
        <v>No Quote</v>
      </c>
      <c r="AL28" s="207"/>
      <c r="AM28" s="41"/>
      <c r="AN28" s="42" t="str">
        <f t="shared" si="24"/>
        <v/>
      </c>
      <c r="AO28" s="89"/>
      <c r="AP28" s="208" t="str">
        <f t="shared" si="25"/>
        <v>No Quote</v>
      </c>
      <c r="AQ28" s="209"/>
      <c r="AR28" s="87"/>
      <c r="AS28" s="93"/>
      <c r="AT28" s="63" t="str">
        <f t="shared" si="26"/>
        <v/>
      </c>
      <c r="AU28" s="92"/>
      <c r="AV28" s="92"/>
      <c r="AW28" s="77" t="str">
        <f t="shared" si="27"/>
        <v>-</v>
      </c>
      <c r="AX28" s="77" t="str">
        <f t="shared" si="28"/>
        <v>-</v>
      </c>
      <c r="AY28" s="77" t="str">
        <f t="shared" si="29"/>
        <v>-</v>
      </c>
      <c r="AZ28" s="77" t="str">
        <f t="shared" si="30"/>
        <v>-</v>
      </c>
      <c r="BA28" s="77" t="str">
        <f t="shared" si="31"/>
        <v>-</v>
      </c>
      <c r="BB28" s="77" t="str">
        <f t="shared" si="32"/>
        <v>-</v>
      </c>
      <c r="BC28" s="77" t="str">
        <f t="shared" si="33"/>
        <v>-</v>
      </c>
      <c r="BD28" s="78" t="str">
        <f t="shared" si="5"/>
        <v/>
      </c>
      <c r="BE28" s="74" t="str">
        <f t="shared" si="6"/>
        <v/>
      </c>
      <c r="BF28" s="72" t="str">
        <f t="shared" si="7"/>
        <v/>
      </c>
      <c r="BG28" s="71" t="str">
        <f t="shared" si="34"/>
        <v/>
      </c>
      <c r="BH28" s="74" t="str">
        <f t="shared" si="8"/>
        <v/>
      </c>
      <c r="BI28" s="72" t="str">
        <f t="shared" si="9"/>
        <v/>
      </c>
      <c r="BJ28" s="71" t="str">
        <f t="shared" si="35"/>
        <v/>
      </c>
      <c r="BK28" s="74" t="str">
        <f t="shared" si="10"/>
        <v/>
      </c>
      <c r="BM28" s="99">
        <f t="shared" si="11"/>
        <v>0</v>
      </c>
      <c r="BN28" s="100" t="str" cm="1">
        <f t="array" ref="BN28">IFERROR(INDEX(_xlfn.UNIQUE(_xlfn._xlws.FILTER($BE$22:$BE$49,($BE$22:$BE$49&lt;&gt;"")*($BE$22:$BE$49&lt;&gt;"-"))),ROWS($BN$22:BN28)),"")</f>
        <v/>
      </c>
    </row>
    <row r="29" spans="2:66" s="1" customFormat="1" ht="61.5" customHeight="1" outlineLevel="1" x14ac:dyDescent="0.25">
      <c r="B29" s="38">
        <f t="shared" si="36"/>
        <v>8</v>
      </c>
      <c r="C29" s="210"/>
      <c r="D29" s="210"/>
      <c r="E29" s="210"/>
      <c r="F29" s="210"/>
      <c r="G29" s="39"/>
      <c r="H29" s="40"/>
      <c r="I29" s="41"/>
      <c r="J29" s="42" t="str">
        <f t="shared" si="12"/>
        <v/>
      </c>
      <c r="K29" s="90"/>
      <c r="L29" s="206" t="str">
        <f t="shared" si="13"/>
        <v>No Quote</v>
      </c>
      <c r="M29" s="207"/>
      <c r="N29" s="41"/>
      <c r="O29" s="42" t="str">
        <f t="shared" si="14"/>
        <v/>
      </c>
      <c r="P29" s="90"/>
      <c r="Q29" s="206" t="str">
        <f t="shared" si="15"/>
        <v>No Quote</v>
      </c>
      <c r="R29" s="207"/>
      <c r="S29" s="41"/>
      <c r="T29" s="42" t="str">
        <f t="shared" si="16"/>
        <v/>
      </c>
      <c r="U29" s="89"/>
      <c r="V29" s="206" t="str">
        <f t="shared" si="17"/>
        <v>No Quote</v>
      </c>
      <c r="W29" s="207"/>
      <c r="X29" s="41"/>
      <c r="Y29" s="42" t="str">
        <f t="shared" si="18"/>
        <v/>
      </c>
      <c r="Z29" s="90"/>
      <c r="AA29" s="208" t="str">
        <f t="shared" si="19"/>
        <v>No Quote</v>
      </c>
      <c r="AB29" s="299"/>
      <c r="AC29" s="41"/>
      <c r="AD29" s="42" t="str">
        <f t="shared" si="20"/>
        <v/>
      </c>
      <c r="AE29" s="89"/>
      <c r="AF29" s="206" t="str">
        <f t="shared" si="21"/>
        <v>No Quote</v>
      </c>
      <c r="AG29" s="207"/>
      <c r="AH29" s="41"/>
      <c r="AI29" s="42" t="str">
        <f t="shared" si="22"/>
        <v/>
      </c>
      <c r="AJ29" s="89"/>
      <c r="AK29" s="206" t="str">
        <f t="shared" si="23"/>
        <v>No Quote</v>
      </c>
      <c r="AL29" s="207"/>
      <c r="AM29" s="41"/>
      <c r="AN29" s="42" t="str">
        <f t="shared" si="24"/>
        <v/>
      </c>
      <c r="AO29" s="89"/>
      <c r="AP29" s="208" t="str">
        <f t="shared" si="25"/>
        <v>No Quote</v>
      </c>
      <c r="AQ29" s="209"/>
      <c r="AR29" s="87"/>
      <c r="AS29" s="93"/>
      <c r="AT29" s="63" t="str">
        <f t="shared" si="26"/>
        <v/>
      </c>
      <c r="AU29" s="92"/>
      <c r="AV29" s="92"/>
      <c r="AW29" s="77" t="str">
        <f t="shared" si="27"/>
        <v>-</v>
      </c>
      <c r="AX29" s="77" t="str">
        <f t="shared" si="28"/>
        <v>-</v>
      </c>
      <c r="AY29" s="77" t="str">
        <f t="shared" si="29"/>
        <v>-</v>
      </c>
      <c r="AZ29" s="77" t="str">
        <f t="shared" si="30"/>
        <v>-</v>
      </c>
      <c r="BA29" s="77" t="str">
        <f t="shared" si="31"/>
        <v>-</v>
      </c>
      <c r="BB29" s="77" t="str">
        <f t="shared" si="32"/>
        <v>-</v>
      </c>
      <c r="BC29" s="77" t="str">
        <f t="shared" si="33"/>
        <v>-</v>
      </c>
      <c r="BD29" s="78" t="str">
        <f t="shared" si="5"/>
        <v/>
      </c>
      <c r="BE29" s="74" t="str">
        <f t="shared" si="6"/>
        <v/>
      </c>
      <c r="BF29" s="72" t="str">
        <f t="shared" si="7"/>
        <v/>
      </c>
      <c r="BG29" s="71" t="str">
        <f t="shared" si="34"/>
        <v/>
      </c>
      <c r="BH29" s="74" t="str">
        <f t="shared" si="8"/>
        <v/>
      </c>
      <c r="BI29" s="72" t="str">
        <f t="shared" si="9"/>
        <v/>
      </c>
      <c r="BJ29" s="71" t="str">
        <f t="shared" si="35"/>
        <v/>
      </c>
      <c r="BK29" s="74" t="str">
        <f t="shared" si="10"/>
        <v/>
      </c>
      <c r="BM29" s="99">
        <f t="shared" si="11"/>
        <v>0</v>
      </c>
      <c r="BN29" s="100" t="str" cm="1">
        <f t="array" ref="BN29">IFERROR(INDEX(_xlfn.UNIQUE(_xlfn._xlws.FILTER($BE$22:$BE$49,($BE$22:$BE$49&lt;&gt;"")*($BE$22:$BE$49&lt;&gt;"-"))),ROWS($BN$22:BN29)),"")</f>
        <v/>
      </c>
    </row>
    <row r="30" spans="2:66" s="1" customFormat="1" ht="61.5" customHeight="1" outlineLevel="1" x14ac:dyDescent="0.25">
      <c r="B30" s="38">
        <f t="shared" si="36"/>
        <v>9</v>
      </c>
      <c r="C30" s="210"/>
      <c r="D30" s="210"/>
      <c r="E30" s="210"/>
      <c r="F30" s="210"/>
      <c r="G30" s="39"/>
      <c r="H30" s="40"/>
      <c r="I30" s="41"/>
      <c r="J30" s="42" t="str">
        <f t="shared" si="12"/>
        <v/>
      </c>
      <c r="K30" s="90"/>
      <c r="L30" s="206" t="str">
        <f t="shared" si="13"/>
        <v>No Quote</v>
      </c>
      <c r="M30" s="207"/>
      <c r="N30" s="41"/>
      <c r="O30" s="42" t="str">
        <f t="shared" si="14"/>
        <v/>
      </c>
      <c r="P30" s="90"/>
      <c r="Q30" s="206" t="str">
        <f t="shared" si="15"/>
        <v>No Quote</v>
      </c>
      <c r="R30" s="207"/>
      <c r="S30" s="41"/>
      <c r="T30" s="42" t="str">
        <f t="shared" si="16"/>
        <v/>
      </c>
      <c r="U30" s="89"/>
      <c r="V30" s="206" t="str">
        <f t="shared" si="17"/>
        <v>No Quote</v>
      </c>
      <c r="W30" s="207"/>
      <c r="X30" s="41"/>
      <c r="Y30" s="42" t="str">
        <f t="shared" si="18"/>
        <v/>
      </c>
      <c r="Z30" s="90"/>
      <c r="AA30" s="208" t="str">
        <f t="shared" si="19"/>
        <v>No Quote</v>
      </c>
      <c r="AB30" s="299"/>
      <c r="AC30" s="41"/>
      <c r="AD30" s="42" t="str">
        <f t="shared" si="20"/>
        <v/>
      </c>
      <c r="AE30" s="89"/>
      <c r="AF30" s="206" t="str">
        <f t="shared" si="21"/>
        <v>No Quote</v>
      </c>
      <c r="AG30" s="207"/>
      <c r="AH30" s="41"/>
      <c r="AI30" s="42" t="str">
        <f t="shared" si="22"/>
        <v/>
      </c>
      <c r="AJ30" s="89"/>
      <c r="AK30" s="206" t="str">
        <f t="shared" si="23"/>
        <v>No Quote</v>
      </c>
      <c r="AL30" s="207"/>
      <c r="AM30" s="41"/>
      <c r="AN30" s="42" t="str">
        <f t="shared" si="24"/>
        <v/>
      </c>
      <c r="AO30" s="89"/>
      <c r="AP30" s="208" t="str">
        <f t="shared" si="25"/>
        <v>No Quote</v>
      </c>
      <c r="AQ30" s="209"/>
      <c r="AR30" s="87"/>
      <c r="AS30" s="93"/>
      <c r="AT30" s="63" t="str">
        <f t="shared" si="26"/>
        <v/>
      </c>
      <c r="AU30" s="92"/>
      <c r="AV30" s="92"/>
      <c r="AW30" s="77" t="str">
        <f t="shared" si="27"/>
        <v>-</v>
      </c>
      <c r="AX30" s="77" t="str">
        <f t="shared" si="28"/>
        <v>-</v>
      </c>
      <c r="AY30" s="77" t="str">
        <f t="shared" si="29"/>
        <v>-</v>
      </c>
      <c r="AZ30" s="77" t="str">
        <f t="shared" si="30"/>
        <v>-</v>
      </c>
      <c r="BA30" s="77" t="str">
        <f t="shared" si="31"/>
        <v>-</v>
      </c>
      <c r="BB30" s="77" t="str">
        <f t="shared" si="32"/>
        <v>-</v>
      </c>
      <c r="BC30" s="77" t="str">
        <f t="shared" si="33"/>
        <v>-</v>
      </c>
      <c r="BD30" s="78" t="str">
        <f t="shared" si="5"/>
        <v/>
      </c>
      <c r="BE30" s="74" t="str">
        <f t="shared" si="6"/>
        <v/>
      </c>
      <c r="BF30" s="72" t="str">
        <f t="shared" si="7"/>
        <v/>
      </c>
      <c r="BG30" s="71" t="str">
        <f t="shared" si="34"/>
        <v/>
      </c>
      <c r="BH30" s="74" t="str">
        <f t="shared" si="8"/>
        <v/>
      </c>
      <c r="BI30" s="72" t="str">
        <f t="shared" si="9"/>
        <v/>
      </c>
      <c r="BJ30" s="71" t="str">
        <f t="shared" si="35"/>
        <v/>
      </c>
      <c r="BK30" s="74" t="str">
        <f t="shared" si="10"/>
        <v/>
      </c>
      <c r="BM30" s="99">
        <f t="shared" si="11"/>
        <v>0</v>
      </c>
      <c r="BN30" s="100" t="str" cm="1">
        <f t="array" ref="BN30">IFERROR(INDEX(_xlfn.UNIQUE(_xlfn._xlws.FILTER($BE$22:$BE$49,($BE$22:$BE$49&lt;&gt;"")*($BE$22:$BE$49&lt;&gt;"-"))),ROWS($BN$22:BN30)),"")</f>
        <v/>
      </c>
    </row>
    <row r="31" spans="2:66" s="1" customFormat="1" ht="61.5" customHeight="1" outlineLevel="1" x14ac:dyDescent="0.25">
      <c r="B31" s="38">
        <f t="shared" si="36"/>
        <v>10</v>
      </c>
      <c r="C31" s="210"/>
      <c r="D31" s="210"/>
      <c r="E31" s="210"/>
      <c r="F31" s="210"/>
      <c r="G31" s="39"/>
      <c r="H31" s="40"/>
      <c r="I31" s="41"/>
      <c r="J31" s="42" t="str">
        <f t="shared" si="12"/>
        <v/>
      </c>
      <c r="K31" s="90"/>
      <c r="L31" s="206" t="str">
        <f t="shared" si="13"/>
        <v>No Quote</v>
      </c>
      <c r="M31" s="207"/>
      <c r="N31" s="41"/>
      <c r="O31" s="42" t="str">
        <f t="shared" si="14"/>
        <v/>
      </c>
      <c r="P31" s="90"/>
      <c r="Q31" s="206" t="str">
        <f t="shared" si="15"/>
        <v>No Quote</v>
      </c>
      <c r="R31" s="207"/>
      <c r="S31" s="41"/>
      <c r="T31" s="42" t="str">
        <f t="shared" si="16"/>
        <v/>
      </c>
      <c r="U31" s="89"/>
      <c r="V31" s="206" t="str">
        <f t="shared" si="17"/>
        <v>No Quote</v>
      </c>
      <c r="W31" s="207"/>
      <c r="X31" s="41"/>
      <c r="Y31" s="42" t="str">
        <f t="shared" si="18"/>
        <v/>
      </c>
      <c r="Z31" s="90"/>
      <c r="AA31" s="208" t="str">
        <f t="shared" si="19"/>
        <v>No Quote</v>
      </c>
      <c r="AB31" s="299"/>
      <c r="AC31" s="41"/>
      <c r="AD31" s="42" t="str">
        <f t="shared" si="20"/>
        <v/>
      </c>
      <c r="AE31" s="89"/>
      <c r="AF31" s="206" t="str">
        <f t="shared" si="21"/>
        <v>No Quote</v>
      </c>
      <c r="AG31" s="207"/>
      <c r="AH31" s="41"/>
      <c r="AI31" s="42" t="str">
        <f t="shared" si="22"/>
        <v/>
      </c>
      <c r="AJ31" s="89"/>
      <c r="AK31" s="206" t="str">
        <f t="shared" si="23"/>
        <v>No Quote</v>
      </c>
      <c r="AL31" s="207"/>
      <c r="AM31" s="41"/>
      <c r="AN31" s="42" t="str">
        <f t="shared" si="24"/>
        <v/>
      </c>
      <c r="AO31" s="89"/>
      <c r="AP31" s="208" t="str">
        <f t="shared" si="25"/>
        <v>No Quote</v>
      </c>
      <c r="AQ31" s="209"/>
      <c r="AR31" s="87"/>
      <c r="AS31" s="93"/>
      <c r="AT31" s="63" t="str">
        <f t="shared" si="26"/>
        <v/>
      </c>
      <c r="AU31" s="92"/>
      <c r="AV31" s="92"/>
      <c r="AW31" s="77" t="str">
        <f t="shared" si="27"/>
        <v>-</v>
      </c>
      <c r="AX31" s="77" t="str">
        <f t="shared" si="28"/>
        <v>-</v>
      </c>
      <c r="AY31" s="77" t="str">
        <f t="shared" si="29"/>
        <v>-</v>
      </c>
      <c r="AZ31" s="77" t="str">
        <f t="shared" si="30"/>
        <v>-</v>
      </c>
      <c r="BA31" s="77" t="str">
        <f t="shared" si="31"/>
        <v>-</v>
      </c>
      <c r="BB31" s="77" t="str">
        <f t="shared" si="32"/>
        <v>-</v>
      </c>
      <c r="BC31" s="77" t="str">
        <f t="shared" si="33"/>
        <v>-</v>
      </c>
      <c r="BD31" s="78" t="str">
        <f t="shared" si="5"/>
        <v/>
      </c>
      <c r="BE31" s="74" t="str">
        <f t="shared" si="6"/>
        <v/>
      </c>
      <c r="BF31" s="72" t="str">
        <f t="shared" si="7"/>
        <v/>
      </c>
      <c r="BG31" s="71" t="str">
        <f t="shared" si="34"/>
        <v/>
      </c>
      <c r="BH31" s="74" t="str">
        <f t="shared" si="8"/>
        <v/>
      </c>
      <c r="BI31" s="72" t="str">
        <f t="shared" si="9"/>
        <v/>
      </c>
      <c r="BJ31" s="71" t="str">
        <f t="shared" si="35"/>
        <v/>
      </c>
      <c r="BK31" s="74" t="str">
        <f t="shared" si="10"/>
        <v/>
      </c>
      <c r="BM31" s="99">
        <f t="shared" si="11"/>
        <v>0</v>
      </c>
      <c r="BN31" s="100" t="str" cm="1">
        <f t="array" ref="BN31">IFERROR(INDEX(_xlfn.UNIQUE(_xlfn._xlws.FILTER($BE$22:$BE$49,($BE$22:$BE$49&lt;&gt;"")*($BE$22:$BE$49&lt;&gt;"-"))),ROWS($BN$22:BN31)),"")</f>
        <v/>
      </c>
    </row>
    <row r="32" spans="2:66" s="1" customFormat="1" ht="61.5" customHeight="1" outlineLevel="1" x14ac:dyDescent="0.25">
      <c r="B32" s="38">
        <f t="shared" si="36"/>
        <v>11</v>
      </c>
      <c r="C32" s="210"/>
      <c r="D32" s="210"/>
      <c r="E32" s="210"/>
      <c r="F32" s="210"/>
      <c r="G32" s="39"/>
      <c r="H32" s="40"/>
      <c r="I32" s="41"/>
      <c r="J32" s="42" t="str">
        <f t="shared" si="12"/>
        <v/>
      </c>
      <c r="K32" s="90"/>
      <c r="L32" s="206" t="str">
        <f t="shared" si="13"/>
        <v>No Quote</v>
      </c>
      <c r="M32" s="207"/>
      <c r="N32" s="41"/>
      <c r="O32" s="42" t="str">
        <f t="shared" si="14"/>
        <v/>
      </c>
      <c r="P32" s="90"/>
      <c r="Q32" s="206" t="str">
        <f t="shared" si="15"/>
        <v>No Quote</v>
      </c>
      <c r="R32" s="207"/>
      <c r="S32" s="41"/>
      <c r="T32" s="42" t="str">
        <f t="shared" si="16"/>
        <v/>
      </c>
      <c r="U32" s="89"/>
      <c r="V32" s="206" t="str">
        <f t="shared" si="17"/>
        <v>No Quote</v>
      </c>
      <c r="W32" s="207"/>
      <c r="X32" s="41"/>
      <c r="Y32" s="42" t="str">
        <f t="shared" si="18"/>
        <v/>
      </c>
      <c r="Z32" s="90"/>
      <c r="AA32" s="208" t="str">
        <f t="shared" si="19"/>
        <v>No Quote</v>
      </c>
      <c r="AB32" s="299"/>
      <c r="AC32" s="41"/>
      <c r="AD32" s="42" t="str">
        <f t="shared" si="20"/>
        <v/>
      </c>
      <c r="AE32" s="89"/>
      <c r="AF32" s="206" t="str">
        <f t="shared" si="21"/>
        <v>No Quote</v>
      </c>
      <c r="AG32" s="207"/>
      <c r="AH32" s="41"/>
      <c r="AI32" s="42" t="str">
        <f t="shared" si="22"/>
        <v/>
      </c>
      <c r="AJ32" s="89"/>
      <c r="AK32" s="206" t="str">
        <f t="shared" si="23"/>
        <v>No Quote</v>
      </c>
      <c r="AL32" s="207"/>
      <c r="AM32" s="41"/>
      <c r="AN32" s="42" t="str">
        <f t="shared" si="24"/>
        <v/>
      </c>
      <c r="AO32" s="89"/>
      <c r="AP32" s="208" t="str">
        <f t="shared" si="25"/>
        <v>No Quote</v>
      </c>
      <c r="AQ32" s="209"/>
      <c r="AR32" s="87"/>
      <c r="AS32" s="93"/>
      <c r="AT32" s="63" t="str">
        <f t="shared" si="26"/>
        <v/>
      </c>
      <c r="AU32" s="92"/>
      <c r="AV32" s="92"/>
      <c r="AW32" s="77" t="str">
        <f t="shared" si="27"/>
        <v>-</v>
      </c>
      <c r="AX32" s="77" t="str">
        <f t="shared" si="28"/>
        <v>-</v>
      </c>
      <c r="AY32" s="77" t="str">
        <f t="shared" si="29"/>
        <v>-</v>
      </c>
      <c r="AZ32" s="77" t="str">
        <f t="shared" si="30"/>
        <v>-</v>
      </c>
      <c r="BA32" s="77" t="str">
        <f t="shared" si="31"/>
        <v>-</v>
      </c>
      <c r="BB32" s="77" t="str">
        <f t="shared" si="32"/>
        <v>-</v>
      </c>
      <c r="BC32" s="77" t="str">
        <f t="shared" si="33"/>
        <v>-</v>
      </c>
      <c r="BD32" s="78" t="str">
        <f t="shared" si="5"/>
        <v/>
      </c>
      <c r="BE32" s="74" t="str">
        <f t="shared" si="6"/>
        <v/>
      </c>
      <c r="BF32" s="72" t="str">
        <f t="shared" si="7"/>
        <v/>
      </c>
      <c r="BG32" s="71" t="str">
        <f t="shared" si="34"/>
        <v/>
      </c>
      <c r="BH32" s="74" t="str">
        <f t="shared" si="8"/>
        <v/>
      </c>
      <c r="BI32" s="72" t="str">
        <f t="shared" si="9"/>
        <v/>
      </c>
      <c r="BJ32" s="71" t="str">
        <f t="shared" si="35"/>
        <v/>
      </c>
      <c r="BK32" s="74" t="str">
        <f t="shared" si="10"/>
        <v/>
      </c>
      <c r="BM32" s="99">
        <f t="shared" si="11"/>
        <v>0</v>
      </c>
      <c r="BN32" s="100" t="str" cm="1">
        <f t="array" ref="BN32">IFERROR(INDEX(_xlfn.UNIQUE(_xlfn._xlws.FILTER($BE$22:$BE$49,($BE$22:$BE$49&lt;&gt;"")*($BE$22:$BE$49&lt;&gt;"-"))),ROWS($BN$22:BN32)),"")</f>
        <v/>
      </c>
    </row>
    <row r="33" spans="2:66" s="1" customFormat="1" ht="61.5" customHeight="1" outlineLevel="1" x14ac:dyDescent="0.25">
      <c r="B33" s="38">
        <f t="shared" si="36"/>
        <v>12</v>
      </c>
      <c r="C33" s="210"/>
      <c r="D33" s="210"/>
      <c r="E33" s="210"/>
      <c r="F33" s="210"/>
      <c r="G33" s="39"/>
      <c r="H33" s="40"/>
      <c r="I33" s="41"/>
      <c r="J33" s="42" t="str">
        <f t="shared" si="12"/>
        <v/>
      </c>
      <c r="K33" s="90"/>
      <c r="L33" s="206" t="str">
        <f t="shared" si="13"/>
        <v>No Quote</v>
      </c>
      <c r="M33" s="207"/>
      <c r="N33" s="41"/>
      <c r="O33" s="42" t="str">
        <f t="shared" si="14"/>
        <v/>
      </c>
      <c r="P33" s="90"/>
      <c r="Q33" s="206" t="str">
        <f t="shared" si="15"/>
        <v>No Quote</v>
      </c>
      <c r="R33" s="207"/>
      <c r="S33" s="41"/>
      <c r="T33" s="42" t="str">
        <f t="shared" si="16"/>
        <v/>
      </c>
      <c r="U33" s="89"/>
      <c r="V33" s="206" t="str">
        <f t="shared" si="17"/>
        <v>No Quote</v>
      </c>
      <c r="W33" s="207"/>
      <c r="X33" s="41"/>
      <c r="Y33" s="42" t="str">
        <f t="shared" si="18"/>
        <v/>
      </c>
      <c r="Z33" s="90"/>
      <c r="AA33" s="208" t="str">
        <f t="shared" si="19"/>
        <v>No Quote</v>
      </c>
      <c r="AB33" s="299"/>
      <c r="AC33" s="41"/>
      <c r="AD33" s="42" t="str">
        <f t="shared" si="20"/>
        <v/>
      </c>
      <c r="AE33" s="89"/>
      <c r="AF33" s="206" t="str">
        <f t="shared" si="21"/>
        <v>No Quote</v>
      </c>
      <c r="AG33" s="207"/>
      <c r="AH33" s="41"/>
      <c r="AI33" s="42" t="str">
        <f t="shared" si="22"/>
        <v/>
      </c>
      <c r="AJ33" s="89"/>
      <c r="AK33" s="206" t="str">
        <f t="shared" si="23"/>
        <v>No Quote</v>
      </c>
      <c r="AL33" s="207"/>
      <c r="AM33" s="41"/>
      <c r="AN33" s="42" t="str">
        <f t="shared" si="24"/>
        <v/>
      </c>
      <c r="AO33" s="89"/>
      <c r="AP33" s="208" t="str">
        <f t="shared" si="25"/>
        <v>No Quote</v>
      </c>
      <c r="AQ33" s="209"/>
      <c r="AR33" s="87"/>
      <c r="AS33" s="93"/>
      <c r="AT33" s="63" t="str">
        <f t="shared" si="26"/>
        <v/>
      </c>
      <c r="AU33" s="92"/>
      <c r="AV33" s="92"/>
      <c r="AW33" s="77" t="str">
        <f t="shared" si="27"/>
        <v>-</v>
      </c>
      <c r="AX33" s="77" t="str">
        <f t="shared" si="28"/>
        <v>-</v>
      </c>
      <c r="AY33" s="77" t="str">
        <f t="shared" si="29"/>
        <v>-</v>
      </c>
      <c r="AZ33" s="77" t="str">
        <f t="shared" si="30"/>
        <v>-</v>
      </c>
      <c r="BA33" s="77" t="str">
        <f t="shared" si="31"/>
        <v>-</v>
      </c>
      <c r="BB33" s="77" t="str">
        <f t="shared" si="32"/>
        <v>-</v>
      </c>
      <c r="BC33" s="77" t="str">
        <f t="shared" si="33"/>
        <v>-</v>
      </c>
      <c r="BD33" s="78" t="str">
        <f t="shared" si="5"/>
        <v/>
      </c>
      <c r="BE33" s="74" t="str">
        <f t="shared" si="6"/>
        <v/>
      </c>
      <c r="BF33" s="72" t="str">
        <f t="shared" si="7"/>
        <v/>
      </c>
      <c r="BG33" s="71" t="str">
        <f t="shared" si="34"/>
        <v/>
      </c>
      <c r="BH33" s="74" t="str">
        <f t="shared" si="8"/>
        <v/>
      </c>
      <c r="BI33" s="72" t="str">
        <f t="shared" si="9"/>
        <v/>
      </c>
      <c r="BJ33" s="71" t="str">
        <f t="shared" si="35"/>
        <v/>
      </c>
      <c r="BK33" s="74" t="str">
        <f t="shared" si="10"/>
        <v/>
      </c>
      <c r="BM33" s="99">
        <f t="shared" si="11"/>
        <v>0</v>
      </c>
      <c r="BN33" s="100" t="str" cm="1">
        <f t="array" ref="BN33">IFERROR(INDEX(_xlfn.UNIQUE(_xlfn._xlws.FILTER($BE$22:$BE$49,($BE$22:$BE$49&lt;&gt;"")*($BE$22:$BE$49&lt;&gt;"-"))),ROWS($BN$22:BN33)),"")</f>
        <v/>
      </c>
    </row>
    <row r="34" spans="2:66" s="1" customFormat="1" ht="61.5" customHeight="1" outlineLevel="1" x14ac:dyDescent="0.25">
      <c r="B34" s="38">
        <f t="shared" si="36"/>
        <v>13</v>
      </c>
      <c r="C34" s="210"/>
      <c r="D34" s="210"/>
      <c r="E34" s="210"/>
      <c r="F34" s="210"/>
      <c r="G34" s="39"/>
      <c r="H34" s="40"/>
      <c r="I34" s="41"/>
      <c r="J34" s="42" t="str">
        <f t="shared" si="12"/>
        <v/>
      </c>
      <c r="K34" s="90"/>
      <c r="L34" s="206" t="str">
        <f t="shared" si="13"/>
        <v>No Quote</v>
      </c>
      <c r="M34" s="207"/>
      <c r="N34" s="41"/>
      <c r="O34" s="42" t="str">
        <f t="shared" si="14"/>
        <v/>
      </c>
      <c r="P34" s="90"/>
      <c r="Q34" s="206" t="str">
        <f t="shared" si="15"/>
        <v>No Quote</v>
      </c>
      <c r="R34" s="207"/>
      <c r="S34" s="41"/>
      <c r="T34" s="42" t="str">
        <f t="shared" si="16"/>
        <v/>
      </c>
      <c r="U34" s="89"/>
      <c r="V34" s="206" t="str">
        <f t="shared" si="17"/>
        <v>No Quote</v>
      </c>
      <c r="W34" s="207"/>
      <c r="X34" s="41"/>
      <c r="Y34" s="42" t="str">
        <f t="shared" si="18"/>
        <v/>
      </c>
      <c r="Z34" s="90"/>
      <c r="AA34" s="208" t="str">
        <f t="shared" si="19"/>
        <v>No Quote</v>
      </c>
      <c r="AB34" s="299"/>
      <c r="AC34" s="41"/>
      <c r="AD34" s="42" t="str">
        <f t="shared" si="20"/>
        <v/>
      </c>
      <c r="AE34" s="89"/>
      <c r="AF34" s="206" t="str">
        <f t="shared" si="21"/>
        <v>No Quote</v>
      </c>
      <c r="AG34" s="207"/>
      <c r="AH34" s="41"/>
      <c r="AI34" s="42" t="str">
        <f t="shared" si="22"/>
        <v/>
      </c>
      <c r="AJ34" s="89"/>
      <c r="AK34" s="206" t="str">
        <f t="shared" si="23"/>
        <v>No Quote</v>
      </c>
      <c r="AL34" s="207"/>
      <c r="AM34" s="41"/>
      <c r="AN34" s="42" t="str">
        <f t="shared" si="24"/>
        <v/>
      </c>
      <c r="AO34" s="89"/>
      <c r="AP34" s="208" t="str">
        <f t="shared" si="25"/>
        <v>No Quote</v>
      </c>
      <c r="AQ34" s="209"/>
      <c r="AR34" s="87"/>
      <c r="AS34" s="93"/>
      <c r="AT34" s="63" t="str">
        <f t="shared" si="26"/>
        <v/>
      </c>
      <c r="AU34" s="92"/>
      <c r="AV34" s="92"/>
      <c r="AW34" s="77" t="str">
        <f t="shared" si="27"/>
        <v>-</v>
      </c>
      <c r="AX34" s="77" t="str">
        <f t="shared" si="28"/>
        <v>-</v>
      </c>
      <c r="AY34" s="77" t="str">
        <f t="shared" si="29"/>
        <v>-</v>
      </c>
      <c r="AZ34" s="77" t="str">
        <f t="shared" si="30"/>
        <v>-</v>
      </c>
      <c r="BA34" s="77" t="str">
        <f t="shared" si="31"/>
        <v>-</v>
      </c>
      <c r="BB34" s="77" t="str">
        <f t="shared" si="32"/>
        <v>-</v>
      </c>
      <c r="BC34" s="77" t="str">
        <f t="shared" si="33"/>
        <v>-</v>
      </c>
      <c r="BD34" s="78" t="str">
        <f t="shared" si="5"/>
        <v/>
      </c>
      <c r="BE34" s="74" t="str">
        <f t="shared" si="6"/>
        <v/>
      </c>
      <c r="BF34" s="72" t="str">
        <f t="shared" si="7"/>
        <v/>
      </c>
      <c r="BG34" s="71" t="str">
        <f t="shared" si="34"/>
        <v/>
      </c>
      <c r="BH34" s="74" t="str">
        <f t="shared" si="8"/>
        <v/>
      </c>
      <c r="BI34" s="72" t="str">
        <f t="shared" si="9"/>
        <v/>
      </c>
      <c r="BJ34" s="71" t="str">
        <f t="shared" si="35"/>
        <v/>
      </c>
      <c r="BK34" s="74" t="str">
        <f t="shared" si="10"/>
        <v/>
      </c>
      <c r="BM34" s="99">
        <f t="shared" si="11"/>
        <v>0</v>
      </c>
      <c r="BN34" s="100" t="str" cm="1">
        <f t="array" ref="BN34">IFERROR(INDEX(_xlfn.UNIQUE(_xlfn._xlws.FILTER($BE$22:$BE$49,($BE$22:$BE$49&lt;&gt;"")*($BE$22:$BE$49&lt;&gt;"-"))),ROWS($BN$22:BN34)),"")</f>
        <v/>
      </c>
    </row>
    <row r="35" spans="2:66" s="1" customFormat="1" ht="61.5" customHeight="1" outlineLevel="1" x14ac:dyDescent="0.25">
      <c r="B35" s="38">
        <f t="shared" si="36"/>
        <v>14</v>
      </c>
      <c r="C35" s="210"/>
      <c r="D35" s="210"/>
      <c r="E35" s="210"/>
      <c r="F35" s="210"/>
      <c r="G35" s="39"/>
      <c r="H35" s="40"/>
      <c r="I35" s="41"/>
      <c r="J35" s="42" t="str">
        <f t="shared" si="12"/>
        <v/>
      </c>
      <c r="K35" s="90"/>
      <c r="L35" s="206" t="str">
        <f t="shared" si="13"/>
        <v>No Quote</v>
      </c>
      <c r="M35" s="207"/>
      <c r="N35" s="41"/>
      <c r="O35" s="42" t="str">
        <f t="shared" si="14"/>
        <v/>
      </c>
      <c r="P35" s="90"/>
      <c r="Q35" s="206" t="str">
        <f t="shared" si="15"/>
        <v>No Quote</v>
      </c>
      <c r="R35" s="207"/>
      <c r="S35" s="41"/>
      <c r="T35" s="42" t="str">
        <f t="shared" si="16"/>
        <v/>
      </c>
      <c r="U35" s="89"/>
      <c r="V35" s="206" t="str">
        <f t="shared" si="17"/>
        <v>No Quote</v>
      </c>
      <c r="W35" s="207"/>
      <c r="X35" s="41"/>
      <c r="Y35" s="42" t="str">
        <f t="shared" si="18"/>
        <v/>
      </c>
      <c r="Z35" s="90"/>
      <c r="AA35" s="208" t="str">
        <f t="shared" si="19"/>
        <v>No Quote</v>
      </c>
      <c r="AB35" s="299"/>
      <c r="AC35" s="41"/>
      <c r="AD35" s="42" t="str">
        <f t="shared" si="20"/>
        <v/>
      </c>
      <c r="AE35" s="89"/>
      <c r="AF35" s="206" t="str">
        <f t="shared" si="21"/>
        <v>No Quote</v>
      </c>
      <c r="AG35" s="207"/>
      <c r="AH35" s="41"/>
      <c r="AI35" s="42" t="str">
        <f t="shared" si="22"/>
        <v/>
      </c>
      <c r="AJ35" s="89"/>
      <c r="AK35" s="206" t="str">
        <f t="shared" si="23"/>
        <v>No Quote</v>
      </c>
      <c r="AL35" s="207"/>
      <c r="AM35" s="41"/>
      <c r="AN35" s="42" t="str">
        <f t="shared" si="24"/>
        <v/>
      </c>
      <c r="AO35" s="89"/>
      <c r="AP35" s="208" t="str">
        <f t="shared" si="25"/>
        <v>No Quote</v>
      </c>
      <c r="AQ35" s="209"/>
      <c r="AR35" s="87"/>
      <c r="AS35" s="93"/>
      <c r="AT35" s="63" t="str">
        <f t="shared" si="26"/>
        <v/>
      </c>
      <c r="AU35" s="92"/>
      <c r="AV35" s="92"/>
      <c r="AW35" s="77" t="str">
        <f t="shared" si="27"/>
        <v>-</v>
      </c>
      <c r="AX35" s="77" t="str">
        <f t="shared" si="28"/>
        <v>-</v>
      </c>
      <c r="AY35" s="77" t="str">
        <f t="shared" si="29"/>
        <v>-</v>
      </c>
      <c r="AZ35" s="77" t="str">
        <f t="shared" si="30"/>
        <v>-</v>
      </c>
      <c r="BA35" s="77" t="str">
        <f t="shared" si="31"/>
        <v>-</v>
      </c>
      <c r="BB35" s="77" t="str">
        <f t="shared" si="32"/>
        <v>-</v>
      </c>
      <c r="BC35" s="77" t="str">
        <f t="shared" si="33"/>
        <v>-</v>
      </c>
      <c r="BD35" s="78" t="str">
        <f t="shared" si="5"/>
        <v/>
      </c>
      <c r="BE35" s="74" t="str">
        <f t="shared" si="6"/>
        <v/>
      </c>
      <c r="BF35" s="72" t="str">
        <f t="shared" si="7"/>
        <v/>
      </c>
      <c r="BG35" s="71" t="str">
        <f t="shared" si="34"/>
        <v/>
      </c>
      <c r="BH35" s="74" t="str">
        <f t="shared" si="8"/>
        <v/>
      </c>
      <c r="BI35" s="72" t="str">
        <f t="shared" si="9"/>
        <v/>
      </c>
      <c r="BJ35" s="71" t="str">
        <f t="shared" si="35"/>
        <v/>
      </c>
      <c r="BK35" s="74" t="str">
        <f t="shared" si="10"/>
        <v/>
      </c>
      <c r="BM35" s="99">
        <f t="shared" si="11"/>
        <v>0</v>
      </c>
      <c r="BN35" s="100" t="str" cm="1">
        <f t="array" ref="BN35">IFERROR(INDEX(_xlfn.UNIQUE(_xlfn._xlws.FILTER($BE$22:$BE$49,($BE$22:$BE$49&lt;&gt;"")*($BE$22:$BE$49&lt;&gt;"-"))),ROWS($BN$22:BN35)),"")</f>
        <v/>
      </c>
    </row>
    <row r="36" spans="2:66" s="1" customFormat="1" ht="61.5" customHeight="1" outlineLevel="1" x14ac:dyDescent="0.25">
      <c r="B36" s="38">
        <f t="shared" si="36"/>
        <v>15</v>
      </c>
      <c r="C36" s="210"/>
      <c r="D36" s="210"/>
      <c r="E36" s="210"/>
      <c r="F36" s="210"/>
      <c r="G36" s="39"/>
      <c r="H36" s="40"/>
      <c r="I36" s="41"/>
      <c r="J36" s="42" t="str">
        <f t="shared" si="12"/>
        <v/>
      </c>
      <c r="K36" s="90"/>
      <c r="L36" s="206" t="str">
        <f t="shared" si="13"/>
        <v>No Quote</v>
      </c>
      <c r="M36" s="207"/>
      <c r="N36" s="41"/>
      <c r="O36" s="42" t="str">
        <f t="shared" si="14"/>
        <v/>
      </c>
      <c r="P36" s="90"/>
      <c r="Q36" s="206" t="str">
        <f t="shared" si="15"/>
        <v>No Quote</v>
      </c>
      <c r="R36" s="207"/>
      <c r="S36" s="41"/>
      <c r="T36" s="42" t="str">
        <f t="shared" si="16"/>
        <v/>
      </c>
      <c r="U36" s="89"/>
      <c r="V36" s="206" t="str">
        <f t="shared" si="17"/>
        <v>No Quote</v>
      </c>
      <c r="W36" s="207"/>
      <c r="X36" s="41"/>
      <c r="Y36" s="42" t="str">
        <f t="shared" si="18"/>
        <v/>
      </c>
      <c r="Z36" s="90"/>
      <c r="AA36" s="208" t="str">
        <f t="shared" si="19"/>
        <v>No Quote</v>
      </c>
      <c r="AB36" s="299"/>
      <c r="AC36" s="41"/>
      <c r="AD36" s="42" t="str">
        <f t="shared" si="20"/>
        <v/>
      </c>
      <c r="AE36" s="89"/>
      <c r="AF36" s="206" t="str">
        <f t="shared" si="21"/>
        <v>No Quote</v>
      </c>
      <c r="AG36" s="207"/>
      <c r="AH36" s="41"/>
      <c r="AI36" s="42" t="str">
        <f t="shared" si="22"/>
        <v/>
      </c>
      <c r="AJ36" s="89"/>
      <c r="AK36" s="206" t="str">
        <f t="shared" si="23"/>
        <v>No Quote</v>
      </c>
      <c r="AL36" s="207"/>
      <c r="AM36" s="41"/>
      <c r="AN36" s="42" t="str">
        <f t="shared" si="24"/>
        <v/>
      </c>
      <c r="AO36" s="89"/>
      <c r="AP36" s="208" t="str">
        <f t="shared" si="25"/>
        <v>No Quote</v>
      </c>
      <c r="AQ36" s="209"/>
      <c r="AR36" s="87"/>
      <c r="AS36" s="93"/>
      <c r="AT36" s="63" t="str">
        <f t="shared" si="26"/>
        <v/>
      </c>
      <c r="AU36" s="92"/>
      <c r="AV36" s="92"/>
      <c r="AW36" s="77" t="str">
        <f t="shared" si="27"/>
        <v>-</v>
      </c>
      <c r="AX36" s="77" t="str">
        <f t="shared" si="28"/>
        <v>-</v>
      </c>
      <c r="AY36" s="77" t="str">
        <f t="shared" si="29"/>
        <v>-</v>
      </c>
      <c r="AZ36" s="77" t="str">
        <f t="shared" si="30"/>
        <v>-</v>
      </c>
      <c r="BA36" s="77" t="str">
        <f t="shared" si="31"/>
        <v>-</v>
      </c>
      <c r="BB36" s="77" t="str">
        <f t="shared" si="32"/>
        <v>-</v>
      </c>
      <c r="BC36" s="77" t="str">
        <f t="shared" si="33"/>
        <v>-</v>
      </c>
      <c r="BD36" s="78" t="str">
        <f t="shared" si="5"/>
        <v/>
      </c>
      <c r="BE36" s="74" t="str">
        <f t="shared" si="6"/>
        <v/>
      </c>
      <c r="BF36" s="72" t="str">
        <f t="shared" si="7"/>
        <v/>
      </c>
      <c r="BG36" s="71" t="str">
        <f t="shared" si="34"/>
        <v/>
      </c>
      <c r="BH36" s="74" t="str">
        <f t="shared" si="8"/>
        <v/>
      </c>
      <c r="BI36" s="72" t="str">
        <f t="shared" si="9"/>
        <v/>
      </c>
      <c r="BJ36" s="71" t="str">
        <f t="shared" si="35"/>
        <v/>
      </c>
      <c r="BK36" s="74" t="str">
        <f t="shared" si="10"/>
        <v/>
      </c>
      <c r="BM36" s="99">
        <f t="shared" si="11"/>
        <v>0</v>
      </c>
      <c r="BN36" s="100" t="str" cm="1">
        <f t="array" ref="BN36">IFERROR(INDEX(_xlfn.UNIQUE(_xlfn._xlws.FILTER($BE$22:$BE$49,($BE$22:$BE$49&lt;&gt;"")*($BE$22:$BE$49&lt;&gt;"-"))),ROWS($BN$22:BN36)),"")</f>
        <v/>
      </c>
    </row>
    <row r="37" spans="2:66" s="1" customFormat="1" ht="61.5" customHeight="1" outlineLevel="1" x14ac:dyDescent="0.25">
      <c r="B37" s="38">
        <f t="shared" si="36"/>
        <v>16</v>
      </c>
      <c r="C37" s="210"/>
      <c r="D37" s="210"/>
      <c r="E37" s="210"/>
      <c r="F37" s="210"/>
      <c r="G37" s="39"/>
      <c r="H37" s="40"/>
      <c r="I37" s="41"/>
      <c r="J37" s="42" t="str">
        <f t="shared" si="12"/>
        <v/>
      </c>
      <c r="K37" s="90"/>
      <c r="L37" s="206" t="str">
        <f t="shared" si="13"/>
        <v>No Quote</v>
      </c>
      <c r="M37" s="207"/>
      <c r="N37" s="41"/>
      <c r="O37" s="42" t="str">
        <f t="shared" si="14"/>
        <v/>
      </c>
      <c r="P37" s="90"/>
      <c r="Q37" s="206" t="str">
        <f t="shared" si="15"/>
        <v>No Quote</v>
      </c>
      <c r="R37" s="207"/>
      <c r="S37" s="41"/>
      <c r="T37" s="42" t="str">
        <f t="shared" si="16"/>
        <v/>
      </c>
      <c r="U37" s="89"/>
      <c r="V37" s="206" t="str">
        <f t="shared" si="17"/>
        <v>No Quote</v>
      </c>
      <c r="W37" s="207"/>
      <c r="X37" s="41"/>
      <c r="Y37" s="42" t="str">
        <f t="shared" si="18"/>
        <v/>
      </c>
      <c r="Z37" s="90"/>
      <c r="AA37" s="208" t="str">
        <f t="shared" si="19"/>
        <v>No Quote</v>
      </c>
      <c r="AB37" s="299"/>
      <c r="AC37" s="41"/>
      <c r="AD37" s="42" t="str">
        <f t="shared" si="20"/>
        <v/>
      </c>
      <c r="AE37" s="89"/>
      <c r="AF37" s="206" t="str">
        <f t="shared" si="21"/>
        <v>No Quote</v>
      </c>
      <c r="AG37" s="207"/>
      <c r="AH37" s="41"/>
      <c r="AI37" s="42" t="str">
        <f t="shared" si="22"/>
        <v/>
      </c>
      <c r="AJ37" s="89"/>
      <c r="AK37" s="206" t="str">
        <f t="shared" si="23"/>
        <v>No Quote</v>
      </c>
      <c r="AL37" s="207"/>
      <c r="AM37" s="41"/>
      <c r="AN37" s="42" t="str">
        <f t="shared" si="24"/>
        <v/>
      </c>
      <c r="AO37" s="89"/>
      <c r="AP37" s="208" t="str">
        <f t="shared" si="25"/>
        <v>No Quote</v>
      </c>
      <c r="AQ37" s="209"/>
      <c r="AR37" s="87"/>
      <c r="AS37" s="93"/>
      <c r="AT37" s="63" t="str">
        <f t="shared" si="26"/>
        <v/>
      </c>
      <c r="AU37" s="92"/>
      <c r="AV37" s="92"/>
      <c r="AW37" s="77" t="str">
        <f t="shared" si="27"/>
        <v>-</v>
      </c>
      <c r="AX37" s="77" t="str">
        <f t="shared" si="28"/>
        <v>-</v>
      </c>
      <c r="AY37" s="77" t="str">
        <f t="shared" si="29"/>
        <v>-</v>
      </c>
      <c r="AZ37" s="77" t="str">
        <f t="shared" si="30"/>
        <v>-</v>
      </c>
      <c r="BA37" s="77" t="str">
        <f t="shared" si="31"/>
        <v>-</v>
      </c>
      <c r="BB37" s="77" t="str">
        <f t="shared" si="32"/>
        <v>-</v>
      </c>
      <c r="BC37" s="77" t="str">
        <f t="shared" si="33"/>
        <v>-</v>
      </c>
      <c r="BD37" s="78" t="str">
        <f t="shared" si="5"/>
        <v/>
      </c>
      <c r="BE37" s="74" t="str">
        <f t="shared" si="6"/>
        <v/>
      </c>
      <c r="BF37" s="72" t="str">
        <f t="shared" si="7"/>
        <v/>
      </c>
      <c r="BG37" s="71" t="str">
        <f t="shared" si="34"/>
        <v/>
      </c>
      <c r="BH37" s="74" t="str">
        <f t="shared" si="8"/>
        <v/>
      </c>
      <c r="BI37" s="72" t="str">
        <f t="shared" si="9"/>
        <v/>
      </c>
      <c r="BJ37" s="71" t="str">
        <f t="shared" si="35"/>
        <v/>
      </c>
      <c r="BK37" s="74" t="str">
        <f t="shared" si="10"/>
        <v/>
      </c>
      <c r="BM37" s="99">
        <f t="shared" si="11"/>
        <v>0</v>
      </c>
      <c r="BN37" s="100" t="str" cm="1">
        <f t="array" ref="BN37">IFERROR(INDEX(_xlfn.UNIQUE(_xlfn._xlws.FILTER($BE$22:$BE$49,($BE$22:$BE$49&lt;&gt;"")*($BE$22:$BE$49&lt;&gt;"-"))),ROWS($BN$22:BN37)),"")</f>
        <v/>
      </c>
    </row>
    <row r="38" spans="2:66" s="1" customFormat="1" ht="61.5" customHeight="1" outlineLevel="1" x14ac:dyDescent="0.25">
      <c r="B38" s="38">
        <f t="shared" si="36"/>
        <v>17</v>
      </c>
      <c r="C38" s="210"/>
      <c r="D38" s="210"/>
      <c r="E38" s="210"/>
      <c r="F38" s="210"/>
      <c r="G38" s="39"/>
      <c r="H38" s="40"/>
      <c r="I38" s="41"/>
      <c r="J38" s="42" t="str">
        <f t="shared" si="12"/>
        <v/>
      </c>
      <c r="K38" s="90"/>
      <c r="L38" s="206" t="str">
        <f t="shared" si="13"/>
        <v>No Quote</v>
      </c>
      <c r="M38" s="207"/>
      <c r="N38" s="41"/>
      <c r="O38" s="42" t="str">
        <f t="shared" si="14"/>
        <v/>
      </c>
      <c r="P38" s="90"/>
      <c r="Q38" s="206" t="str">
        <f t="shared" si="15"/>
        <v>No Quote</v>
      </c>
      <c r="R38" s="207"/>
      <c r="S38" s="41"/>
      <c r="T38" s="42" t="str">
        <f t="shared" si="16"/>
        <v/>
      </c>
      <c r="U38" s="89"/>
      <c r="V38" s="206" t="str">
        <f t="shared" si="17"/>
        <v>No Quote</v>
      </c>
      <c r="W38" s="207"/>
      <c r="X38" s="41"/>
      <c r="Y38" s="42" t="str">
        <f t="shared" si="18"/>
        <v/>
      </c>
      <c r="Z38" s="90"/>
      <c r="AA38" s="208" t="str">
        <f t="shared" si="19"/>
        <v>No Quote</v>
      </c>
      <c r="AB38" s="299"/>
      <c r="AC38" s="41"/>
      <c r="AD38" s="42" t="str">
        <f t="shared" si="20"/>
        <v/>
      </c>
      <c r="AE38" s="89"/>
      <c r="AF38" s="206" t="str">
        <f t="shared" si="21"/>
        <v>No Quote</v>
      </c>
      <c r="AG38" s="207"/>
      <c r="AH38" s="41"/>
      <c r="AI38" s="42" t="str">
        <f t="shared" si="22"/>
        <v/>
      </c>
      <c r="AJ38" s="89"/>
      <c r="AK38" s="206" t="str">
        <f t="shared" si="23"/>
        <v>No Quote</v>
      </c>
      <c r="AL38" s="207"/>
      <c r="AM38" s="41"/>
      <c r="AN38" s="42" t="str">
        <f t="shared" si="24"/>
        <v/>
      </c>
      <c r="AO38" s="89"/>
      <c r="AP38" s="208" t="str">
        <f t="shared" si="25"/>
        <v>No Quote</v>
      </c>
      <c r="AQ38" s="209"/>
      <c r="AR38" s="87"/>
      <c r="AS38" s="93"/>
      <c r="AT38" s="63" t="str">
        <f t="shared" si="26"/>
        <v/>
      </c>
      <c r="AU38" s="92"/>
      <c r="AV38" s="92"/>
      <c r="AW38" s="77" t="str">
        <f t="shared" si="27"/>
        <v>-</v>
      </c>
      <c r="AX38" s="77" t="str">
        <f t="shared" si="28"/>
        <v>-</v>
      </c>
      <c r="AY38" s="77" t="str">
        <f t="shared" si="29"/>
        <v>-</v>
      </c>
      <c r="AZ38" s="77" t="str">
        <f t="shared" si="30"/>
        <v>-</v>
      </c>
      <c r="BA38" s="77" t="str">
        <f t="shared" si="31"/>
        <v>-</v>
      </c>
      <c r="BB38" s="77" t="str">
        <f t="shared" si="32"/>
        <v>-</v>
      </c>
      <c r="BC38" s="77" t="str">
        <f t="shared" si="33"/>
        <v>-</v>
      </c>
      <c r="BD38" s="78" t="str">
        <f t="shared" si="5"/>
        <v/>
      </c>
      <c r="BE38" s="74" t="str">
        <f t="shared" si="6"/>
        <v/>
      </c>
      <c r="BF38" s="72" t="str">
        <f t="shared" si="7"/>
        <v/>
      </c>
      <c r="BG38" s="71" t="str">
        <f t="shared" si="34"/>
        <v/>
      </c>
      <c r="BH38" s="74" t="str">
        <f t="shared" si="8"/>
        <v/>
      </c>
      <c r="BI38" s="72" t="str">
        <f t="shared" si="9"/>
        <v/>
      </c>
      <c r="BJ38" s="71" t="str">
        <f t="shared" si="35"/>
        <v/>
      </c>
      <c r="BK38" s="74" t="str">
        <f t="shared" si="10"/>
        <v/>
      </c>
      <c r="BM38" s="99">
        <f t="shared" si="11"/>
        <v>0</v>
      </c>
      <c r="BN38" s="100" t="str" cm="1">
        <f t="array" ref="BN38">IFERROR(INDEX(_xlfn.UNIQUE(_xlfn._xlws.FILTER($BE$22:$BE$49,($BE$22:$BE$49&lt;&gt;"")*($BE$22:$BE$49&lt;&gt;"-"))),ROWS($BN$22:BN38)),"")</f>
        <v/>
      </c>
    </row>
    <row r="39" spans="2:66" s="1" customFormat="1" ht="61.5" customHeight="1" outlineLevel="1" x14ac:dyDescent="0.25">
      <c r="B39" s="38">
        <f t="shared" si="36"/>
        <v>18</v>
      </c>
      <c r="C39" s="210"/>
      <c r="D39" s="210"/>
      <c r="E39" s="210"/>
      <c r="F39" s="210"/>
      <c r="G39" s="39"/>
      <c r="H39" s="40"/>
      <c r="I39" s="41"/>
      <c r="J39" s="42" t="str">
        <f t="shared" si="12"/>
        <v/>
      </c>
      <c r="K39" s="90"/>
      <c r="L39" s="206" t="str">
        <f t="shared" si="13"/>
        <v>No Quote</v>
      </c>
      <c r="M39" s="207"/>
      <c r="N39" s="41"/>
      <c r="O39" s="42" t="str">
        <f t="shared" si="14"/>
        <v/>
      </c>
      <c r="P39" s="90"/>
      <c r="Q39" s="206" t="str">
        <f t="shared" si="15"/>
        <v>No Quote</v>
      </c>
      <c r="R39" s="207"/>
      <c r="S39" s="41"/>
      <c r="T39" s="42" t="str">
        <f t="shared" si="16"/>
        <v/>
      </c>
      <c r="U39" s="89"/>
      <c r="V39" s="206" t="str">
        <f t="shared" si="17"/>
        <v>No Quote</v>
      </c>
      <c r="W39" s="207"/>
      <c r="X39" s="41"/>
      <c r="Y39" s="42" t="str">
        <f t="shared" si="18"/>
        <v/>
      </c>
      <c r="Z39" s="90"/>
      <c r="AA39" s="208" t="str">
        <f t="shared" si="19"/>
        <v>No Quote</v>
      </c>
      <c r="AB39" s="299"/>
      <c r="AC39" s="41"/>
      <c r="AD39" s="42" t="str">
        <f t="shared" si="20"/>
        <v/>
      </c>
      <c r="AE39" s="89"/>
      <c r="AF39" s="206" t="str">
        <f t="shared" si="21"/>
        <v>No Quote</v>
      </c>
      <c r="AG39" s="207"/>
      <c r="AH39" s="41"/>
      <c r="AI39" s="42" t="str">
        <f t="shared" si="22"/>
        <v/>
      </c>
      <c r="AJ39" s="89"/>
      <c r="AK39" s="206" t="str">
        <f t="shared" si="23"/>
        <v>No Quote</v>
      </c>
      <c r="AL39" s="207"/>
      <c r="AM39" s="41"/>
      <c r="AN39" s="42" t="str">
        <f t="shared" si="24"/>
        <v/>
      </c>
      <c r="AO39" s="89"/>
      <c r="AP39" s="208" t="str">
        <f t="shared" si="25"/>
        <v>No Quote</v>
      </c>
      <c r="AQ39" s="209"/>
      <c r="AR39" s="87"/>
      <c r="AS39" s="93"/>
      <c r="AT39" s="63" t="str">
        <f t="shared" si="26"/>
        <v/>
      </c>
      <c r="AU39" s="92"/>
      <c r="AV39" s="92"/>
      <c r="AW39" s="77" t="str">
        <f t="shared" si="27"/>
        <v>-</v>
      </c>
      <c r="AX39" s="77" t="str">
        <f t="shared" si="28"/>
        <v>-</v>
      </c>
      <c r="AY39" s="77" t="str">
        <f t="shared" si="29"/>
        <v>-</v>
      </c>
      <c r="AZ39" s="77" t="str">
        <f t="shared" si="30"/>
        <v>-</v>
      </c>
      <c r="BA39" s="77" t="str">
        <f t="shared" si="31"/>
        <v>-</v>
      </c>
      <c r="BB39" s="77" t="str">
        <f t="shared" si="32"/>
        <v>-</v>
      </c>
      <c r="BC39" s="77" t="str">
        <f t="shared" si="33"/>
        <v>-</v>
      </c>
      <c r="BD39" s="78" t="str">
        <f t="shared" si="5"/>
        <v/>
      </c>
      <c r="BE39" s="74" t="str">
        <f t="shared" si="6"/>
        <v/>
      </c>
      <c r="BF39" s="72" t="str">
        <f t="shared" si="7"/>
        <v/>
      </c>
      <c r="BG39" s="71" t="str">
        <f t="shared" si="34"/>
        <v/>
      </c>
      <c r="BH39" s="74" t="str">
        <f t="shared" si="8"/>
        <v/>
      </c>
      <c r="BI39" s="72" t="str">
        <f t="shared" si="9"/>
        <v/>
      </c>
      <c r="BJ39" s="71" t="str">
        <f t="shared" si="35"/>
        <v/>
      </c>
      <c r="BK39" s="74" t="str">
        <f t="shared" si="10"/>
        <v/>
      </c>
      <c r="BM39" s="99">
        <f t="shared" si="11"/>
        <v>0</v>
      </c>
      <c r="BN39" s="100" t="str" cm="1">
        <f t="array" ref="BN39">IFERROR(INDEX(_xlfn.UNIQUE(_xlfn._xlws.FILTER($BE$22:$BE$49,($BE$22:$BE$49&lt;&gt;"")*($BE$22:$BE$49&lt;&gt;"-"))),ROWS($BN$22:BN39)),"")</f>
        <v/>
      </c>
    </row>
    <row r="40" spans="2:66" s="1" customFormat="1" ht="61.5" customHeight="1" outlineLevel="1" x14ac:dyDescent="0.25">
      <c r="B40" s="38">
        <f t="shared" si="36"/>
        <v>19</v>
      </c>
      <c r="C40" s="210"/>
      <c r="D40" s="210"/>
      <c r="E40" s="210"/>
      <c r="F40" s="210"/>
      <c r="G40" s="39"/>
      <c r="H40" s="40"/>
      <c r="I40" s="41"/>
      <c r="J40" s="42" t="str">
        <f t="shared" si="12"/>
        <v/>
      </c>
      <c r="K40" s="90"/>
      <c r="L40" s="206" t="str">
        <f t="shared" si="13"/>
        <v>No Quote</v>
      </c>
      <c r="M40" s="207"/>
      <c r="N40" s="41"/>
      <c r="O40" s="42" t="str">
        <f t="shared" si="14"/>
        <v/>
      </c>
      <c r="P40" s="90"/>
      <c r="Q40" s="206" t="str">
        <f t="shared" si="15"/>
        <v>No Quote</v>
      </c>
      <c r="R40" s="207"/>
      <c r="S40" s="41"/>
      <c r="T40" s="42" t="str">
        <f t="shared" si="16"/>
        <v/>
      </c>
      <c r="U40" s="89"/>
      <c r="V40" s="206" t="str">
        <f t="shared" si="17"/>
        <v>No Quote</v>
      </c>
      <c r="W40" s="207"/>
      <c r="X40" s="41"/>
      <c r="Y40" s="42" t="str">
        <f t="shared" si="18"/>
        <v/>
      </c>
      <c r="Z40" s="90"/>
      <c r="AA40" s="208" t="str">
        <f t="shared" si="19"/>
        <v>No Quote</v>
      </c>
      <c r="AB40" s="299"/>
      <c r="AC40" s="41"/>
      <c r="AD40" s="42" t="str">
        <f t="shared" si="20"/>
        <v/>
      </c>
      <c r="AE40" s="89"/>
      <c r="AF40" s="206" t="str">
        <f t="shared" si="21"/>
        <v>No Quote</v>
      </c>
      <c r="AG40" s="207"/>
      <c r="AH40" s="41"/>
      <c r="AI40" s="42" t="str">
        <f t="shared" si="22"/>
        <v/>
      </c>
      <c r="AJ40" s="89"/>
      <c r="AK40" s="206" t="str">
        <f t="shared" si="23"/>
        <v>No Quote</v>
      </c>
      <c r="AL40" s="207"/>
      <c r="AM40" s="41"/>
      <c r="AN40" s="42" t="str">
        <f t="shared" si="24"/>
        <v/>
      </c>
      <c r="AO40" s="89"/>
      <c r="AP40" s="208" t="str">
        <f t="shared" si="25"/>
        <v>No Quote</v>
      </c>
      <c r="AQ40" s="209"/>
      <c r="AR40" s="87"/>
      <c r="AS40" s="93"/>
      <c r="AT40" s="63" t="str">
        <f t="shared" si="26"/>
        <v/>
      </c>
      <c r="AU40" s="92"/>
      <c r="AV40" s="92"/>
      <c r="AW40" s="77" t="str">
        <f t="shared" si="27"/>
        <v>-</v>
      </c>
      <c r="AX40" s="77" t="str">
        <f t="shared" si="28"/>
        <v>-</v>
      </c>
      <c r="AY40" s="77" t="str">
        <f t="shared" si="29"/>
        <v>-</v>
      </c>
      <c r="AZ40" s="77" t="str">
        <f t="shared" si="30"/>
        <v>-</v>
      </c>
      <c r="BA40" s="77" t="str">
        <f t="shared" si="31"/>
        <v>-</v>
      </c>
      <c r="BB40" s="77" t="str">
        <f t="shared" si="32"/>
        <v>-</v>
      </c>
      <c r="BC40" s="77" t="str">
        <f t="shared" si="33"/>
        <v>-</v>
      </c>
      <c r="BD40" s="78" t="str">
        <f t="shared" si="5"/>
        <v/>
      </c>
      <c r="BE40" s="74" t="str">
        <f t="shared" si="6"/>
        <v/>
      </c>
      <c r="BF40" s="72" t="str">
        <f t="shared" si="7"/>
        <v/>
      </c>
      <c r="BG40" s="71" t="str">
        <f t="shared" si="34"/>
        <v/>
      </c>
      <c r="BH40" s="74" t="str">
        <f t="shared" si="8"/>
        <v/>
      </c>
      <c r="BI40" s="72" t="str">
        <f t="shared" si="9"/>
        <v/>
      </c>
      <c r="BJ40" s="71" t="str">
        <f t="shared" si="35"/>
        <v/>
      </c>
      <c r="BK40" s="74" t="str">
        <f t="shared" si="10"/>
        <v/>
      </c>
      <c r="BM40" s="99">
        <f t="shared" si="11"/>
        <v>0</v>
      </c>
      <c r="BN40" s="100" t="str" cm="1">
        <f t="array" ref="BN40">IFERROR(INDEX(_xlfn.UNIQUE(_xlfn._xlws.FILTER($BE$22:$BE$49,($BE$22:$BE$49&lt;&gt;"")*($BE$22:$BE$49&lt;&gt;"-"))),ROWS($BN$22:BN40)),"")</f>
        <v/>
      </c>
    </row>
    <row r="41" spans="2:66" s="1" customFormat="1" ht="61.5" customHeight="1" outlineLevel="1" x14ac:dyDescent="0.25">
      <c r="B41" s="38">
        <f t="shared" si="36"/>
        <v>20</v>
      </c>
      <c r="C41" s="210"/>
      <c r="D41" s="210"/>
      <c r="E41" s="210"/>
      <c r="F41" s="210"/>
      <c r="G41" s="39"/>
      <c r="H41" s="40"/>
      <c r="I41" s="41"/>
      <c r="J41" s="42" t="str">
        <f t="shared" si="12"/>
        <v/>
      </c>
      <c r="K41" s="90"/>
      <c r="L41" s="206" t="str">
        <f t="shared" si="13"/>
        <v>No Quote</v>
      </c>
      <c r="M41" s="207"/>
      <c r="N41" s="41"/>
      <c r="O41" s="42" t="str">
        <f t="shared" si="14"/>
        <v/>
      </c>
      <c r="P41" s="90"/>
      <c r="Q41" s="206" t="str">
        <f t="shared" si="15"/>
        <v>No Quote</v>
      </c>
      <c r="R41" s="207"/>
      <c r="S41" s="41"/>
      <c r="T41" s="42" t="str">
        <f t="shared" si="16"/>
        <v/>
      </c>
      <c r="U41" s="89"/>
      <c r="V41" s="206" t="str">
        <f t="shared" si="17"/>
        <v>No Quote</v>
      </c>
      <c r="W41" s="207"/>
      <c r="X41" s="41"/>
      <c r="Y41" s="42" t="str">
        <f t="shared" si="18"/>
        <v/>
      </c>
      <c r="Z41" s="90"/>
      <c r="AA41" s="208" t="str">
        <f t="shared" si="19"/>
        <v>No Quote</v>
      </c>
      <c r="AB41" s="299"/>
      <c r="AC41" s="41"/>
      <c r="AD41" s="42" t="str">
        <f t="shared" si="20"/>
        <v/>
      </c>
      <c r="AE41" s="89"/>
      <c r="AF41" s="206" t="str">
        <f t="shared" si="21"/>
        <v>No Quote</v>
      </c>
      <c r="AG41" s="207"/>
      <c r="AH41" s="41"/>
      <c r="AI41" s="42" t="str">
        <f t="shared" si="22"/>
        <v/>
      </c>
      <c r="AJ41" s="89"/>
      <c r="AK41" s="206" t="str">
        <f t="shared" si="23"/>
        <v>No Quote</v>
      </c>
      <c r="AL41" s="207"/>
      <c r="AM41" s="41"/>
      <c r="AN41" s="42" t="str">
        <f t="shared" si="24"/>
        <v/>
      </c>
      <c r="AO41" s="89"/>
      <c r="AP41" s="208" t="str">
        <f t="shared" si="25"/>
        <v>No Quote</v>
      </c>
      <c r="AQ41" s="209"/>
      <c r="AR41" s="87"/>
      <c r="AS41" s="93"/>
      <c r="AT41" s="63" t="str">
        <f t="shared" si="26"/>
        <v/>
      </c>
      <c r="AU41" s="92"/>
      <c r="AV41" s="92"/>
      <c r="AW41" s="77" t="str">
        <f t="shared" si="27"/>
        <v>-</v>
      </c>
      <c r="AX41" s="77" t="str">
        <f t="shared" si="28"/>
        <v>-</v>
      </c>
      <c r="AY41" s="77" t="str">
        <f t="shared" si="29"/>
        <v>-</v>
      </c>
      <c r="AZ41" s="77" t="str">
        <f t="shared" si="30"/>
        <v>-</v>
      </c>
      <c r="BA41" s="77" t="str">
        <f t="shared" si="31"/>
        <v>-</v>
      </c>
      <c r="BB41" s="77" t="str">
        <f t="shared" si="32"/>
        <v>-</v>
      </c>
      <c r="BC41" s="77" t="str">
        <f t="shared" si="33"/>
        <v>-</v>
      </c>
      <c r="BD41" s="78" t="str">
        <f t="shared" si="5"/>
        <v/>
      </c>
      <c r="BE41" s="74" t="str">
        <f t="shared" si="6"/>
        <v/>
      </c>
      <c r="BF41" s="72" t="str">
        <f t="shared" si="7"/>
        <v/>
      </c>
      <c r="BG41" s="71" t="str">
        <f t="shared" si="34"/>
        <v/>
      </c>
      <c r="BH41" s="74" t="str">
        <f t="shared" si="8"/>
        <v/>
      </c>
      <c r="BI41" s="72" t="str">
        <f t="shared" si="9"/>
        <v/>
      </c>
      <c r="BJ41" s="71" t="str">
        <f t="shared" si="35"/>
        <v/>
      </c>
      <c r="BK41" s="74" t="str">
        <f t="shared" si="10"/>
        <v/>
      </c>
      <c r="BM41" s="99">
        <f t="shared" si="11"/>
        <v>0</v>
      </c>
      <c r="BN41" s="100" t="str" cm="1">
        <f t="array" ref="BN41">IFERROR(INDEX(_xlfn.UNIQUE(_xlfn._xlws.FILTER($BE$22:$BE$49,($BE$22:$BE$49&lt;&gt;"")*($BE$22:$BE$49&lt;&gt;"-"))),ROWS($BN$22:BN41)),"")</f>
        <v/>
      </c>
    </row>
    <row r="42" spans="2:66" s="1" customFormat="1" ht="61.5" customHeight="1" outlineLevel="1" x14ac:dyDescent="0.25">
      <c r="B42" s="38">
        <f t="shared" si="36"/>
        <v>21</v>
      </c>
      <c r="C42" s="210"/>
      <c r="D42" s="210"/>
      <c r="E42" s="210"/>
      <c r="F42" s="210"/>
      <c r="G42" s="39"/>
      <c r="H42" s="40"/>
      <c r="I42" s="41"/>
      <c r="J42" s="42" t="str">
        <f t="shared" si="12"/>
        <v/>
      </c>
      <c r="K42" s="90"/>
      <c r="L42" s="206" t="str">
        <f t="shared" si="13"/>
        <v>No Quote</v>
      </c>
      <c r="M42" s="207"/>
      <c r="N42" s="41"/>
      <c r="O42" s="42" t="str">
        <f t="shared" si="14"/>
        <v/>
      </c>
      <c r="P42" s="90"/>
      <c r="Q42" s="206" t="str">
        <f t="shared" si="15"/>
        <v>No Quote</v>
      </c>
      <c r="R42" s="207"/>
      <c r="S42" s="41"/>
      <c r="T42" s="42" t="str">
        <f t="shared" si="16"/>
        <v/>
      </c>
      <c r="U42" s="89"/>
      <c r="V42" s="206" t="str">
        <f t="shared" si="17"/>
        <v>No Quote</v>
      </c>
      <c r="W42" s="207"/>
      <c r="X42" s="41"/>
      <c r="Y42" s="42" t="str">
        <f t="shared" si="18"/>
        <v/>
      </c>
      <c r="Z42" s="90"/>
      <c r="AA42" s="208" t="str">
        <f t="shared" si="19"/>
        <v>No Quote</v>
      </c>
      <c r="AB42" s="299"/>
      <c r="AC42" s="41"/>
      <c r="AD42" s="42" t="str">
        <f t="shared" si="20"/>
        <v/>
      </c>
      <c r="AE42" s="89"/>
      <c r="AF42" s="206" t="str">
        <f t="shared" si="21"/>
        <v>No Quote</v>
      </c>
      <c r="AG42" s="207"/>
      <c r="AH42" s="41"/>
      <c r="AI42" s="42" t="str">
        <f t="shared" si="22"/>
        <v/>
      </c>
      <c r="AJ42" s="89"/>
      <c r="AK42" s="206" t="str">
        <f t="shared" si="23"/>
        <v>No Quote</v>
      </c>
      <c r="AL42" s="207"/>
      <c r="AM42" s="41"/>
      <c r="AN42" s="42" t="str">
        <f t="shared" si="24"/>
        <v/>
      </c>
      <c r="AO42" s="89"/>
      <c r="AP42" s="208" t="str">
        <f t="shared" si="25"/>
        <v>No Quote</v>
      </c>
      <c r="AQ42" s="209"/>
      <c r="AR42" s="87"/>
      <c r="AS42" s="93"/>
      <c r="AT42" s="63" t="str">
        <f t="shared" si="26"/>
        <v/>
      </c>
      <c r="AU42" s="92"/>
      <c r="AV42" s="92"/>
      <c r="AW42" s="77" t="str">
        <f t="shared" si="27"/>
        <v>-</v>
      </c>
      <c r="AX42" s="77" t="str">
        <f t="shared" si="28"/>
        <v>-</v>
      </c>
      <c r="AY42" s="77" t="str">
        <f t="shared" si="29"/>
        <v>-</v>
      </c>
      <c r="AZ42" s="77" t="str">
        <f t="shared" si="30"/>
        <v>-</v>
      </c>
      <c r="BA42" s="77" t="str">
        <f t="shared" si="31"/>
        <v>-</v>
      </c>
      <c r="BB42" s="77" t="str">
        <f t="shared" si="32"/>
        <v>-</v>
      </c>
      <c r="BC42" s="77" t="str">
        <f t="shared" si="33"/>
        <v>-</v>
      </c>
      <c r="BD42" s="78" t="str">
        <f t="shared" si="5"/>
        <v/>
      </c>
      <c r="BE42" s="74" t="str">
        <f t="shared" si="6"/>
        <v/>
      </c>
      <c r="BF42" s="72" t="str">
        <f t="shared" si="7"/>
        <v/>
      </c>
      <c r="BG42" s="71" t="str">
        <f t="shared" si="34"/>
        <v/>
      </c>
      <c r="BH42" s="74" t="str">
        <f t="shared" si="8"/>
        <v/>
      </c>
      <c r="BI42" s="72" t="str">
        <f t="shared" si="9"/>
        <v/>
      </c>
      <c r="BJ42" s="71" t="str">
        <f t="shared" si="35"/>
        <v/>
      </c>
      <c r="BK42" s="74" t="str">
        <f t="shared" si="10"/>
        <v/>
      </c>
      <c r="BM42" s="99">
        <f t="shared" si="11"/>
        <v>0</v>
      </c>
      <c r="BN42" s="100" t="str" cm="1">
        <f t="array" ref="BN42">IFERROR(INDEX(_xlfn.UNIQUE(_xlfn._xlws.FILTER($BE$22:$BE$49,($BE$22:$BE$49&lt;&gt;"")*($BE$22:$BE$49&lt;&gt;"-"))),ROWS($BN$22:BN42)),"")</f>
        <v/>
      </c>
    </row>
    <row r="43" spans="2:66" s="1" customFormat="1" ht="61.5" customHeight="1" outlineLevel="1" x14ac:dyDescent="0.25">
      <c r="B43" s="38">
        <f t="shared" si="36"/>
        <v>22</v>
      </c>
      <c r="C43" s="210"/>
      <c r="D43" s="210"/>
      <c r="E43" s="210"/>
      <c r="F43" s="210"/>
      <c r="G43" s="39"/>
      <c r="H43" s="40"/>
      <c r="I43" s="41"/>
      <c r="J43" s="42" t="str">
        <f t="shared" si="12"/>
        <v/>
      </c>
      <c r="K43" s="90"/>
      <c r="L43" s="206" t="str">
        <f t="shared" si="13"/>
        <v>No Quote</v>
      </c>
      <c r="M43" s="207"/>
      <c r="N43" s="41"/>
      <c r="O43" s="42" t="str">
        <f t="shared" si="14"/>
        <v/>
      </c>
      <c r="P43" s="90"/>
      <c r="Q43" s="206" t="str">
        <f t="shared" si="15"/>
        <v>No Quote</v>
      </c>
      <c r="R43" s="207"/>
      <c r="S43" s="41"/>
      <c r="T43" s="42" t="str">
        <f t="shared" si="16"/>
        <v/>
      </c>
      <c r="U43" s="89"/>
      <c r="V43" s="206" t="str">
        <f t="shared" si="17"/>
        <v>No Quote</v>
      </c>
      <c r="W43" s="207"/>
      <c r="X43" s="41"/>
      <c r="Y43" s="42" t="str">
        <f t="shared" si="18"/>
        <v/>
      </c>
      <c r="Z43" s="90"/>
      <c r="AA43" s="208" t="str">
        <f t="shared" si="19"/>
        <v>No Quote</v>
      </c>
      <c r="AB43" s="299"/>
      <c r="AC43" s="41"/>
      <c r="AD43" s="42" t="str">
        <f t="shared" si="20"/>
        <v/>
      </c>
      <c r="AE43" s="89"/>
      <c r="AF43" s="206" t="str">
        <f t="shared" si="21"/>
        <v>No Quote</v>
      </c>
      <c r="AG43" s="207"/>
      <c r="AH43" s="41"/>
      <c r="AI43" s="42" t="str">
        <f t="shared" si="22"/>
        <v/>
      </c>
      <c r="AJ43" s="89"/>
      <c r="AK43" s="206" t="str">
        <f t="shared" si="23"/>
        <v>No Quote</v>
      </c>
      <c r="AL43" s="207"/>
      <c r="AM43" s="41"/>
      <c r="AN43" s="42" t="str">
        <f t="shared" si="24"/>
        <v/>
      </c>
      <c r="AO43" s="89"/>
      <c r="AP43" s="208" t="str">
        <f t="shared" si="25"/>
        <v>No Quote</v>
      </c>
      <c r="AQ43" s="209"/>
      <c r="AR43" s="87"/>
      <c r="AS43" s="93"/>
      <c r="AT43" s="63" t="str">
        <f t="shared" si="26"/>
        <v/>
      </c>
      <c r="AU43" s="92"/>
      <c r="AV43" s="92"/>
      <c r="AW43" s="77" t="str">
        <f t="shared" si="27"/>
        <v>-</v>
      </c>
      <c r="AX43" s="77" t="str">
        <f t="shared" si="28"/>
        <v>-</v>
      </c>
      <c r="AY43" s="77" t="str">
        <f t="shared" si="29"/>
        <v>-</v>
      </c>
      <c r="AZ43" s="77" t="str">
        <f t="shared" si="30"/>
        <v>-</v>
      </c>
      <c r="BA43" s="77" t="str">
        <f t="shared" si="31"/>
        <v>-</v>
      </c>
      <c r="BB43" s="77" t="str">
        <f t="shared" si="32"/>
        <v>-</v>
      </c>
      <c r="BC43" s="77" t="str">
        <f t="shared" si="33"/>
        <v>-</v>
      </c>
      <c r="BD43" s="78" t="str">
        <f t="shared" si="5"/>
        <v/>
      </c>
      <c r="BE43" s="74" t="str">
        <f t="shared" si="6"/>
        <v/>
      </c>
      <c r="BF43" s="72" t="str">
        <f t="shared" si="7"/>
        <v/>
      </c>
      <c r="BG43" s="71" t="str">
        <f t="shared" si="34"/>
        <v/>
      </c>
      <c r="BH43" s="74" t="str">
        <f t="shared" si="8"/>
        <v/>
      </c>
      <c r="BI43" s="72" t="str">
        <f t="shared" si="9"/>
        <v/>
      </c>
      <c r="BJ43" s="71" t="str">
        <f t="shared" si="35"/>
        <v/>
      </c>
      <c r="BK43" s="74" t="str">
        <f t="shared" si="10"/>
        <v/>
      </c>
      <c r="BM43" s="99">
        <f t="shared" si="11"/>
        <v>0</v>
      </c>
      <c r="BN43" s="100" t="str" cm="1">
        <f t="array" ref="BN43">IFERROR(INDEX(_xlfn.UNIQUE(_xlfn._xlws.FILTER($BE$22:$BE$49,($BE$22:$BE$49&lt;&gt;"")*($BE$22:$BE$49&lt;&gt;"-"))),ROWS($BN$22:BN43)),"")</f>
        <v/>
      </c>
    </row>
    <row r="44" spans="2:66" s="1" customFormat="1" ht="61.5" customHeight="1" outlineLevel="1" x14ac:dyDescent="0.25">
      <c r="B44" s="38">
        <f t="shared" si="36"/>
        <v>23</v>
      </c>
      <c r="C44" s="210"/>
      <c r="D44" s="210"/>
      <c r="E44" s="210"/>
      <c r="F44" s="210"/>
      <c r="G44" s="39"/>
      <c r="H44" s="40"/>
      <c r="I44" s="41"/>
      <c r="J44" s="42" t="str">
        <f t="shared" si="12"/>
        <v/>
      </c>
      <c r="K44" s="90"/>
      <c r="L44" s="206" t="str">
        <f t="shared" si="13"/>
        <v>No Quote</v>
      </c>
      <c r="M44" s="207"/>
      <c r="N44" s="41"/>
      <c r="O44" s="42" t="str">
        <f t="shared" si="14"/>
        <v/>
      </c>
      <c r="P44" s="90"/>
      <c r="Q44" s="206" t="str">
        <f t="shared" si="15"/>
        <v>No Quote</v>
      </c>
      <c r="R44" s="207"/>
      <c r="S44" s="41"/>
      <c r="T44" s="42" t="str">
        <f t="shared" si="16"/>
        <v/>
      </c>
      <c r="U44" s="89"/>
      <c r="V44" s="206" t="str">
        <f t="shared" si="17"/>
        <v>No Quote</v>
      </c>
      <c r="W44" s="207"/>
      <c r="X44" s="41"/>
      <c r="Y44" s="42" t="str">
        <f t="shared" si="18"/>
        <v/>
      </c>
      <c r="Z44" s="90"/>
      <c r="AA44" s="208" t="str">
        <f t="shared" si="19"/>
        <v>No Quote</v>
      </c>
      <c r="AB44" s="299"/>
      <c r="AC44" s="41"/>
      <c r="AD44" s="42" t="str">
        <f t="shared" si="20"/>
        <v/>
      </c>
      <c r="AE44" s="89"/>
      <c r="AF44" s="206" t="str">
        <f t="shared" si="21"/>
        <v>No Quote</v>
      </c>
      <c r="AG44" s="207"/>
      <c r="AH44" s="41"/>
      <c r="AI44" s="42" t="str">
        <f t="shared" si="22"/>
        <v/>
      </c>
      <c r="AJ44" s="89"/>
      <c r="AK44" s="206" t="str">
        <f t="shared" si="23"/>
        <v>No Quote</v>
      </c>
      <c r="AL44" s="207"/>
      <c r="AM44" s="41"/>
      <c r="AN44" s="42" t="str">
        <f t="shared" si="24"/>
        <v/>
      </c>
      <c r="AO44" s="89"/>
      <c r="AP44" s="208" t="str">
        <f t="shared" si="25"/>
        <v>No Quote</v>
      </c>
      <c r="AQ44" s="209"/>
      <c r="AR44" s="87"/>
      <c r="AS44" s="93"/>
      <c r="AT44" s="63" t="str">
        <f t="shared" si="26"/>
        <v/>
      </c>
      <c r="AU44" s="92"/>
      <c r="AV44" s="92"/>
      <c r="AW44" s="77" t="str">
        <f t="shared" si="27"/>
        <v>-</v>
      </c>
      <c r="AX44" s="77" t="str">
        <f t="shared" si="28"/>
        <v>-</v>
      </c>
      <c r="AY44" s="77" t="str">
        <f t="shared" si="29"/>
        <v>-</v>
      </c>
      <c r="AZ44" s="77" t="str">
        <f t="shared" si="30"/>
        <v>-</v>
      </c>
      <c r="BA44" s="77" t="str">
        <f t="shared" si="31"/>
        <v>-</v>
      </c>
      <c r="BB44" s="77" t="str">
        <f t="shared" si="32"/>
        <v>-</v>
      </c>
      <c r="BC44" s="77" t="str">
        <f t="shared" si="33"/>
        <v>-</v>
      </c>
      <c r="BD44" s="78" t="str">
        <f t="shared" si="5"/>
        <v/>
      </c>
      <c r="BE44" s="74" t="str">
        <f t="shared" si="6"/>
        <v/>
      </c>
      <c r="BF44" s="72" t="str">
        <f t="shared" si="7"/>
        <v/>
      </c>
      <c r="BG44" s="71" t="str">
        <f t="shared" si="34"/>
        <v/>
      </c>
      <c r="BH44" s="74" t="str">
        <f t="shared" si="8"/>
        <v/>
      </c>
      <c r="BI44" s="72" t="str">
        <f t="shared" si="9"/>
        <v/>
      </c>
      <c r="BJ44" s="71" t="str">
        <f t="shared" si="35"/>
        <v/>
      </c>
      <c r="BK44" s="74" t="str">
        <f t="shared" si="10"/>
        <v/>
      </c>
      <c r="BM44" s="99">
        <f t="shared" si="11"/>
        <v>0</v>
      </c>
      <c r="BN44" s="100" t="str" cm="1">
        <f t="array" ref="BN44">IFERROR(INDEX(_xlfn.UNIQUE(_xlfn._xlws.FILTER($BE$22:$BE$49,($BE$22:$BE$49&lt;&gt;"")*($BE$22:$BE$49&lt;&gt;"-"))),ROWS($BN$22:BN44)),"")</f>
        <v/>
      </c>
    </row>
    <row r="45" spans="2:66" s="1" customFormat="1" ht="61.5" customHeight="1" outlineLevel="1" x14ac:dyDescent="0.25">
      <c r="B45" s="38">
        <f t="shared" si="36"/>
        <v>24</v>
      </c>
      <c r="C45" s="210"/>
      <c r="D45" s="210"/>
      <c r="E45" s="210"/>
      <c r="F45" s="210"/>
      <c r="G45" s="39"/>
      <c r="H45" s="40"/>
      <c r="I45" s="41"/>
      <c r="J45" s="42" t="str">
        <f t="shared" si="12"/>
        <v/>
      </c>
      <c r="K45" s="90"/>
      <c r="L45" s="206" t="str">
        <f t="shared" si="13"/>
        <v>No Quote</v>
      </c>
      <c r="M45" s="207"/>
      <c r="N45" s="41"/>
      <c r="O45" s="42" t="str">
        <f t="shared" si="14"/>
        <v/>
      </c>
      <c r="P45" s="90"/>
      <c r="Q45" s="206" t="str">
        <f t="shared" si="15"/>
        <v>No Quote</v>
      </c>
      <c r="R45" s="207"/>
      <c r="S45" s="41"/>
      <c r="T45" s="42" t="str">
        <f t="shared" si="16"/>
        <v/>
      </c>
      <c r="U45" s="89"/>
      <c r="V45" s="206" t="str">
        <f t="shared" si="17"/>
        <v>No Quote</v>
      </c>
      <c r="W45" s="207"/>
      <c r="X45" s="41"/>
      <c r="Y45" s="42" t="str">
        <f t="shared" si="18"/>
        <v/>
      </c>
      <c r="Z45" s="90"/>
      <c r="AA45" s="208" t="str">
        <f t="shared" si="19"/>
        <v>No Quote</v>
      </c>
      <c r="AB45" s="299"/>
      <c r="AC45" s="41"/>
      <c r="AD45" s="42" t="str">
        <f t="shared" si="20"/>
        <v/>
      </c>
      <c r="AE45" s="89"/>
      <c r="AF45" s="206" t="str">
        <f t="shared" si="21"/>
        <v>No Quote</v>
      </c>
      <c r="AG45" s="207"/>
      <c r="AH45" s="41"/>
      <c r="AI45" s="42" t="str">
        <f t="shared" si="22"/>
        <v/>
      </c>
      <c r="AJ45" s="89"/>
      <c r="AK45" s="206" t="str">
        <f t="shared" si="23"/>
        <v>No Quote</v>
      </c>
      <c r="AL45" s="207"/>
      <c r="AM45" s="41"/>
      <c r="AN45" s="42" t="str">
        <f t="shared" si="24"/>
        <v/>
      </c>
      <c r="AO45" s="89"/>
      <c r="AP45" s="208" t="str">
        <f t="shared" si="25"/>
        <v>No Quote</v>
      </c>
      <c r="AQ45" s="209"/>
      <c r="AR45" s="87"/>
      <c r="AS45" s="93"/>
      <c r="AT45" s="63" t="str">
        <f t="shared" si="26"/>
        <v/>
      </c>
      <c r="AU45" s="92"/>
      <c r="AV45" s="92"/>
      <c r="AW45" s="77" t="str">
        <f t="shared" si="27"/>
        <v>-</v>
      </c>
      <c r="AX45" s="77" t="str">
        <f t="shared" si="28"/>
        <v>-</v>
      </c>
      <c r="AY45" s="77" t="str">
        <f t="shared" si="29"/>
        <v>-</v>
      </c>
      <c r="AZ45" s="77" t="str">
        <f t="shared" si="30"/>
        <v>-</v>
      </c>
      <c r="BA45" s="77" t="str">
        <f t="shared" si="31"/>
        <v>-</v>
      </c>
      <c r="BB45" s="77" t="str">
        <f t="shared" si="32"/>
        <v>-</v>
      </c>
      <c r="BC45" s="77" t="str">
        <f t="shared" si="33"/>
        <v>-</v>
      </c>
      <c r="BD45" s="78" t="str">
        <f t="shared" si="5"/>
        <v/>
      </c>
      <c r="BE45" s="74" t="str">
        <f t="shared" si="6"/>
        <v/>
      </c>
      <c r="BF45" s="72" t="str">
        <f t="shared" si="7"/>
        <v/>
      </c>
      <c r="BG45" s="71" t="str">
        <f t="shared" si="34"/>
        <v/>
      </c>
      <c r="BH45" s="74" t="str">
        <f t="shared" si="8"/>
        <v/>
      </c>
      <c r="BI45" s="72" t="str">
        <f t="shared" si="9"/>
        <v/>
      </c>
      <c r="BJ45" s="71" t="str">
        <f t="shared" si="35"/>
        <v/>
      </c>
      <c r="BK45" s="74" t="str">
        <f t="shared" si="10"/>
        <v/>
      </c>
      <c r="BM45" s="99">
        <f t="shared" si="11"/>
        <v>0</v>
      </c>
      <c r="BN45" s="100" t="str" cm="1">
        <f t="array" ref="BN45">IFERROR(INDEX(_xlfn.UNIQUE(_xlfn._xlws.FILTER($BE$22:$BE$49,($BE$22:$BE$49&lt;&gt;"")*($BE$22:$BE$49&lt;&gt;"-"))),ROWS($BN$22:BN45)),"")</f>
        <v/>
      </c>
    </row>
    <row r="46" spans="2:66" s="1" customFormat="1" ht="61.5" customHeight="1" outlineLevel="1" x14ac:dyDescent="0.25">
      <c r="B46" s="38">
        <f t="shared" si="36"/>
        <v>25</v>
      </c>
      <c r="C46" s="210"/>
      <c r="D46" s="210"/>
      <c r="E46" s="210"/>
      <c r="F46" s="210"/>
      <c r="G46" s="39"/>
      <c r="H46" s="40"/>
      <c r="I46" s="41"/>
      <c r="J46" s="42" t="str">
        <f t="shared" si="12"/>
        <v/>
      </c>
      <c r="K46" s="90"/>
      <c r="L46" s="206" t="str">
        <f t="shared" si="13"/>
        <v>No Quote</v>
      </c>
      <c r="M46" s="207"/>
      <c r="N46" s="41"/>
      <c r="O46" s="42" t="str">
        <f t="shared" si="14"/>
        <v/>
      </c>
      <c r="P46" s="90"/>
      <c r="Q46" s="206" t="str">
        <f t="shared" si="15"/>
        <v>No Quote</v>
      </c>
      <c r="R46" s="207"/>
      <c r="S46" s="41"/>
      <c r="T46" s="42" t="str">
        <f t="shared" si="16"/>
        <v/>
      </c>
      <c r="U46" s="89"/>
      <c r="V46" s="206" t="str">
        <f t="shared" si="17"/>
        <v>No Quote</v>
      </c>
      <c r="W46" s="207"/>
      <c r="X46" s="41"/>
      <c r="Y46" s="42" t="str">
        <f t="shared" si="18"/>
        <v/>
      </c>
      <c r="Z46" s="90"/>
      <c r="AA46" s="208" t="str">
        <f t="shared" si="19"/>
        <v>No Quote</v>
      </c>
      <c r="AB46" s="299"/>
      <c r="AC46" s="41"/>
      <c r="AD46" s="42" t="str">
        <f t="shared" si="20"/>
        <v/>
      </c>
      <c r="AE46" s="89"/>
      <c r="AF46" s="206" t="str">
        <f t="shared" si="21"/>
        <v>No Quote</v>
      </c>
      <c r="AG46" s="207"/>
      <c r="AH46" s="41"/>
      <c r="AI46" s="42" t="str">
        <f t="shared" si="22"/>
        <v/>
      </c>
      <c r="AJ46" s="89"/>
      <c r="AK46" s="206" t="str">
        <f t="shared" si="23"/>
        <v>No Quote</v>
      </c>
      <c r="AL46" s="207"/>
      <c r="AM46" s="41"/>
      <c r="AN46" s="42" t="str">
        <f t="shared" si="24"/>
        <v/>
      </c>
      <c r="AO46" s="89"/>
      <c r="AP46" s="208" t="str">
        <f t="shared" si="25"/>
        <v>No Quote</v>
      </c>
      <c r="AQ46" s="209"/>
      <c r="AR46" s="87"/>
      <c r="AS46" s="93"/>
      <c r="AT46" s="63" t="str">
        <f t="shared" si="26"/>
        <v/>
      </c>
      <c r="AU46" s="92"/>
      <c r="AV46" s="92"/>
      <c r="AW46" s="77" t="str">
        <f t="shared" si="27"/>
        <v>-</v>
      </c>
      <c r="AX46" s="77" t="str">
        <f t="shared" si="28"/>
        <v>-</v>
      </c>
      <c r="AY46" s="77" t="str">
        <f t="shared" si="29"/>
        <v>-</v>
      </c>
      <c r="AZ46" s="77" t="str">
        <f t="shared" si="30"/>
        <v>-</v>
      </c>
      <c r="BA46" s="77" t="str">
        <f t="shared" si="31"/>
        <v>-</v>
      </c>
      <c r="BB46" s="77" t="str">
        <f t="shared" si="32"/>
        <v>-</v>
      </c>
      <c r="BC46" s="77" t="str">
        <f t="shared" si="33"/>
        <v>-</v>
      </c>
      <c r="BD46" s="78" t="str">
        <f t="shared" si="5"/>
        <v/>
      </c>
      <c r="BE46" s="74" t="str">
        <f t="shared" si="6"/>
        <v/>
      </c>
      <c r="BF46" s="72" t="str">
        <f t="shared" si="7"/>
        <v/>
      </c>
      <c r="BG46" s="71" t="str">
        <f t="shared" si="34"/>
        <v/>
      </c>
      <c r="BH46" s="74" t="str">
        <f t="shared" si="8"/>
        <v/>
      </c>
      <c r="BI46" s="72" t="str">
        <f t="shared" si="9"/>
        <v/>
      </c>
      <c r="BJ46" s="71" t="str">
        <f t="shared" si="35"/>
        <v/>
      </c>
      <c r="BK46" s="74" t="str">
        <f t="shared" si="10"/>
        <v/>
      </c>
      <c r="BM46" s="99">
        <f t="shared" si="11"/>
        <v>0</v>
      </c>
      <c r="BN46" s="100" t="str" cm="1">
        <f t="array" ref="BN46">IFERROR(INDEX(_xlfn.UNIQUE(_xlfn._xlws.FILTER($BE$22:$BE$49,($BE$22:$BE$49&lt;&gt;"")*($BE$22:$BE$49&lt;&gt;"-"))),ROWS($BN$22:BN46)),"")</f>
        <v/>
      </c>
    </row>
    <row r="47" spans="2:66" s="1" customFormat="1" ht="61.5" customHeight="1" outlineLevel="1" x14ac:dyDescent="0.25">
      <c r="B47" s="38">
        <f t="shared" si="36"/>
        <v>26</v>
      </c>
      <c r="C47" s="210"/>
      <c r="D47" s="210"/>
      <c r="E47" s="210"/>
      <c r="F47" s="210"/>
      <c r="G47" s="39"/>
      <c r="H47" s="40"/>
      <c r="I47" s="41"/>
      <c r="J47" s="42" t="str">
        <f t="shared" si="12"/>
        <v/>
      </c>
      <c r="K47" s="90"/>
      <c r="L47" s="206" t="str">
        <f t="shared" si="13"/>
        <v>No Quote</v>
      </c>
      <c r="M47" s="207"/>
      <c r="N47" s="41"/>
      <c r="O47" s="42" t="str">
        <f t="shared" si="14"/>
        <v/>
      </c>
      <c r="P47" s="90"/>
      <c r="Q47" s="206" t="str">
        <f t="shared" si="15"/>
        <v>No Quote</v>
      </c>
      <c r="R47" s="207"/>
      <c r="S47" s="41"/>
      <c r="T47" s="42" t="str">
        <f t="shared" si="16"/>
        <v/>
      </c>
      <c r="U47" s="89"/>
      <c r="V47" s="206" t="str">
        <f t="shared" si="17"/>
        <v>No Quote</v>
      </c>
      <c r="W47" s="207"/>
      <c r="X47" s="41"/>
      <c r="Y47" s="42" t="str">
        <f t="shared" si="18"/>
        <v/>
      </c>
      <c r="Z47" s="90"/>
      <c r="AA47" s="208" t="str">
        <f t="shared" si="19"/>
        <v>No Quote</v>
      </c>
      <c r="AB47" s="299"/>
      <c r="AC47" s="41"/>
      <c r="AD47" s="42" t="str">
        <f t="shared" si="20"/>
        <v/>
      </c>
      <c r="AE47" s="89"/>
      <c r="AF47" s="206" t="str">
        <f t="shared" si="21"/>
        <v>No Quote</v>
      </c>
      <c r="AG47" s="207"/>
      <c r="AH47" s="41"/>
      <c r="AI47" s="42" t="str">
        <f t="shared" si="22"/>
        <v/>
      </c>
      <c r="AJ47" s="89"/>
      <c r="AK47" s="206" t="str">
        <f t="shared" si="23"/>
        <v>No Quote</v>
      </c>
      <c r="AL47" s="207"/>
      <c r="AM47" s="41"/>
      <c r="AN47" s="42" t="str">
        <f t="shared" si="24"/>
        <v/>
      </c>
      <c r="AO47" s="89"/>
      <c r="AP47" s="208" t="str">
        <f t="shared" si="25"/>
        <v>No Quote</v>
      </c>
      <c r="AQ47" s="209"/>
      <c r="AR47" s="87"/>
      <c r="AS47" s="93"/>
      <c r="AT47" s="63" t="str">
        <f t="shared" si="26"/>
        <v/>
      </c>
      <c r="AU47" s="92"/>
      <c r="AV47" s="92"/>
      <c r="AW47" s="77" t="str">
        <f t="shared" si="27"/>
        <v>-</v>
      </c>
      <c r="AX47" s="77" t="str">
        <f t="shared" si="28"/>
        <v>-</v>
      </c>
      <c r="AY47" s="77" t="str">
        <f t="shared" si="29"/>
        <v>-</v>
      </c>
      <c r="AZ47" s="77" t="str">
        <f t="shared" si="30"/>
        <v>-</v>
      </c>
      <c r="BA47" s="77" t="str">
        <f t="shared" si="31"/>
        <v>-</v>
      </c>
      <c r="BB47" s="77" t="str">
        <f t="shared" si="32"/>
        <v>-</v>
      </c>
      <c r="BC47" s="77" t="str">
        <f t="shared" si="33"/>
        <v>-</v>
      </c>
      <c r="BD47" s="78" t="str">
        <f t="shared" si="5"/>
        <v/>
      </c>
      <c r="BE47" s="74" t="str">
        <f t="shared" si="6"/>
        <v/>
      </c>
      <c r="BF47" s="72" t="str">
        <f t="shared" si="7"/>
        <v/>
      </c>
      <c r="BG47" s="71" t="str">
        <f t="shared" si="34"/>
        <v/>
      </c>
      <c r="BH47" s="74" t="str">
        <f t="shared" si="8"/>
        <v/>
      </c>
      <c r="BI47" s="72" t="str">
        <f t="shared" si="9"/>
        <v/>
      </c>
      <c r="BJ47" s="71" t="str">
        <f t="shared" si="35"/>
        <v/>
      </c>
      <c r="BK47" s="74" t="str">
        <f t="shared" si="10"/>
        <v/>
      </c>
      <c r="BM47" s="99">
        <f t="shared" si="11"/>
        <v>0</v>
      </c>
      <c r="BN47" s="100" t="str" cm="1">
        <f t="array" ref="BN47">IFERROR(INDEX(_xlfn.UNIQUE(_xlfn._xlws.FILTER($BE$22:$BE$49,($BE$22:$BE$49&lt;&gt;"")*($BE$22:$BE$49&lt;&gt;"-"))),ROWS($BN$22:BN47)),"")</f>
        <v/>
      </c>
    </row>
    <row r="48" spans="2:66" s="1" customFormat="1" ht="61.5" customHeight="1" outlineLevel="1" x14ac:dyDescent="0.25">
      <c r="B48" s="38">
        <f t="shared" si="36"/>
        <v>27</v>
      </c>
      <c r="C48" s="210"/>
      <c r="D48" s="210"/>
      <c r="E48" s="210"/>
      <c r="F48" s="210"/>
      <c r="G48" s="39"/>
      <c r="H48" s="40"/>
      <c r="I48" s="41"/>
      <c r="J48" s="42" t="str">
        <f t="shared" si="12"/>
        <v/>
      </c>
      <c r="K48" s="90"/>
      <c r="L48" s="206" t="str">
        <f t="shared" si="13"/>
        <v>No Quote</v>
      </c>
      <c r="M48" s="207"/>
      <c r="N48" s="41"/>
      <c r="O48" s="42" t="str">
        <f t="shared" si="14"/>
        <v/>
      </c>
      <c r="P48" s="90"/>
      <c r="Q48" s="206" t="str">
        <f t="shared" si="15"/>
        <v>No Quote</v>
      </c>
      <c r="R48" s="207"/>
      <c r="S48" s="41"/>
      <c r="T48" s="42" t="str">
        <f t="shared" si="16"/>
        <v/>
      </c>
      <c r="U48" s="89"/>
      <c r="V48" s="206" t="str">
        <f t="shared" si="17"/>
        <v>No Quote</v>
      </c>
      <c r="W48" s="207"/>
      <c r="X48" s="41"/>
      <c r="Y48" s="42" t="str">
        <f t="shared" si="18"/>
        <v/>
      </c>
      <c r="Z48" s="90"/>
      <c r="AA48" s="208" t="str">
        <f t="shared" si="19"/>
        <v>No Quote</v>
      </c>
      <c r="AB48" s="299"/>
      <c r="AC48" s="41"/>
      <c r="AD48" s="42" t="str">
        <f t="shared" si="20"/>
        <v/>
      </c>
      <c r="AE48" s="89"/>
      <c r="AF48" s="206" t="str">
        <f t="shared" si="21"/>
        <v>No Quote</v>
      </c>
      <c r="AG48" s="207"/>
      <c r="AH48" s="41"/>
      <c r="AI48" s="42" t="str">
        <f t="shared" si="22"/>
        <v/>
      </c>
      <c r="AJ48" s="89"/>
      <c r="AK48" s="206" t="str">
        <f t="shared" si="23"/>
        <v>No Quote</v>
      </c>
      <c r="AL48" s="207"/>
      <c r="AM48" s="41"/>
      <c r="AN48" s="42" t="str">
        <f t="shared" si="24"/>
        <v/>
      </c>
      <c r="AO48" s="89"/>
      <c r="AP48" s="208" t="str">
        <f t="shared" si="25"/>
        <v>No Quote</v>
      </c>
      <c r="AQ48" s="209"/>
      <c r="AR48" s="87"/>
      <c r="AS48" s="93"/>
      <c r="AT48" s="63" t="str">
        <f t="shared" si="26"/>
        <v/>
      </c>
      <c r="AU48" s="92"/>
      <c r="AV48" s="92"/>
      <c r="AW48" s="77" t="str">
        <f t="shared" si="27"/>
        <v>-</v>
      </c>
      <c r="AX48" s="77" t="str">
        <f t="shared" si="28"/>
        <v>-</v>
      </c>
      <c r="AY48" s="77" t="str">
        <f t="shared" si="29"/>
        <v>-</v>
      </c>
      <c r="AZ48" s="77" t="str">
        <f t="shared" si="30"/>
        <v>-</v>
      </c>
      <c r="BA48" s="77" t="str">
        <f t="shared" si="31"/>
        <v>-</v>
      </c>
      <c r="BB48" s="77" t="str">
        <f t="shared" si="32"/>
        <v>-</v>
      </c>
      <c r="BC48" s="77" t="str">
        <f t="shared" si="33"/>
        <v>-</v>
      </c>
      <c r="BD48" s="78" t="str">
        <f t="shared" si="5"/>
        <v/>
      </c>
      <c r="BE48" s="74" t="str">
        <f t="shared" si="6"/>
        <v/>
      </c>
      <c r="BF48" s="72" t="str">
        <f t="shared" si="7"/>
        <v/>
      </c>
      <c r="BG48" s="71" t="str">
        <f t="shared" si="34"/>
        <v/>
      </c>
      <c r="BH48" s="74" t="str">
        <f t="shared" si="8"/>
        <v/>
      </c>
      <c r="BI48" s="72" t="str">
        <f t="shared" si="9"/>
        <v/>
      </c>
      <c r="BJ48" s="71" t="str">
        <f t="shared" si="35"/>
        <v/>
      </c>
      <c r="BK48" s="74" t="str">
        <f t="shared" si="10"/>
        <v/>
      </c>
      <c r="BM48" s="99">
        <f t="shared" si="11"/>
        <v>0</v>
      </c>
      <c r="BN48" s="100" t="str" cm="1">
        <f t="array" ref="BN48">IFERROR(INDEX(_xlfn.UNIQUE(_xlfn._xlws.FILTER($BE$22:$BE$49,($BE$22:$BE$49&lt;&gt;"")*($BE$22:$BE$49&lt;&gt;"-"))),ROWS($BN$22:BN48)),"")</f>
        <v/>
      </c>
    </row>
    <row r="49" spans="2:66" s="1" customFormat="1" ht="61.5" customHeight="1" outlineLevel="1" x14ac:dyDescent="0.25">
      <c r="B49" s="38">
        <f t="shared" si="36"/>
        <v>28</v>
      </c>
      <c r="C49" s="210"/>
      <c r="D49" s="210"/>
      <c r="E49" s="210"/>
      <c r="F49" s="210"/>
      <c r="G49" s="39"/>
      <c r="H49" s="40"/>
      <c r="I49" s="41"/>
      <c r="J49" s="42" t="str">
        <f t="shared" si="12"/>
        <v/>
      </c>
      <c r="K49" s="90"/>
      <c r="L49" s="206" t="str">
        <f t="shared" si="13"/>
        <v>No Quote</v>
      </c>
      <c r="M49" s="207"/>
      <c r="N49" s="41"/>
      <c r="O49" s="42" t="str">
        <f t="shared" si="14"/>
        <v/>
      </c>
      <c r="P49" s="90"/>
      <c r="Q49" s="206" t="str">
        <f t="shared" si="15"/>
        <v>No Quote</v>
      </c>
      <c r="R49" s="207"/>
      <c r="S49" s="41"/>
      <c r="T49" s="42" t="str">
        <f t="shared" si="16"/>
        <v/>
      </c>
      <c r="U49" s="89"/>
      <c r="V49" s="206" t="str">
        <f t="shared" si="17"/>
        <v>No Quote</v>
      </c>
      <c r="W49" s="207"/>
      <c r="X49" s="41"/>
      <c r="Y49" s="42" t="str">
        <f t="shared" si="18"/>
        <v/>
      </c>
      <c r="Z49" s="90"/>
      <c r="AA49" s="208" t="str">
        <f t="shared" si="19"/>
        <v>No Quote</v>
      </c>
      <c r="AB49" s="299"/>
      <c r="AC49" s="41"/>
      <c r="AD49" s="42" t="str">
        <f t="shared" si="20"/>
        <v/>
      </c>
      <c r="AE49" s="89"/>
      <c r="AF49" s="206" t="str">
        <f t="shared" si="21"/>
        <v>No Quote</v>
      </c>
      <c r="AG49" s="207"/>
      <c r="AH49" s="41"/>
      <c r="AI49" s="42" t="str">
        <f t="shared" si="22"/>
        <v/>
      </c>
      <c r="AJ49" s="89"/>
      <c r="AK49" s="206" t="str">
        <f t="shared" si="23"/>
        <v>No Quote</v>
      </c>
      <c r="AL49" s="207"/>
      <c r="AM49" s="41"/>
      <c r="AN49" s="42" t="str">
        <f t="shared" si="24"/>
        <v/>
      </c>
      <c r="AO49" s="89"/>
      <c r="AP49" s="208" t="str">
        <f t="shared" si="25"/>
        <v>No Quote</v>
      </c>
      <c r="AQ49" s="209"/>
      <c r="AR49" s="87"/>
      <c r="AS49" s="93"/>
      <c r="AT49" s="63" t="str">
        <f t="shared" si="26"/>
        <v/>
      </c>
      <c r="AU49" s="92"/>
      <c r="AV49" s="92"/>
      <c r="AW49" s="77" t="str">
        <f t="shared" si="27"/>
        <v>-</v>
      </c>
      <c r="AX49" s="77" t="str">
        <f t="shared" si="28"/>
        <v>-</v>
      </c>
      <c r="AY49" s="77" t="str">
        <f t="shared" si="29"/>
        <v>-</v>
      </c>
      <c r="AZ49" s="77" t="str">
        <f t="shared" si="30"/>
        <v>-</v>
      </c>
      <c r="BA49" s="77" t="str">
        <f t="shared" si="31"/>
        <v>-</v>
      </c>
      <c r="BB49" s="77" t="str">
        <f t="shared" si="32"/>
        <v>-</v>
      </c>
      <c r="BC49" s="77" t="str">
        <f t="shared" si="33"/>
        <v>-</v>
      </c>
      <c r="BD49" s="78" t="str">
        <f t="shared" si="5"/>
        <v/>
      </c>
      <c r="BE49" s="74" t="str">
        <f t="shared" si="6"/>
        <v/>
      </c>
      <c r="BF49" s="72" t="str">
        <f t="shared" si="7"/>
        <v/>
      </c>
      <c r="BG49" s="71" t="str">
        <f t="shared" si="34"/>
        <v/>
      </c>
      <c r="BH49" s="74" t="str">
        <f t="shared" si="8"/>
        <v/>
      </c>
      <c r="BI49" s="72" t="str">
        <f t="shared" si="9"/>
        <v/>
      </c>
      <c r="BJ49" s="71" t="str">
        <f t="shared" si="35"/>
        <v/>
      </c>
      <c r="BK49" s="74" t="str">
        <f t="shared" si="10"/>
        <v/>
      </c>
      <c r="BM49" s="99">
        <f t="shared" si="11"/>
        <v>0</v>
      </c>
      <c r="BN49" s="100" t="str" cm="1">
        <f t="array" ref="BN49">IFERROR(INDEX(_xlfn.UNIQUE(_xlfn._xlws.FILTER($BE$22:$BE$49,($BE$22:$BE$49&lt;&gt;"")*($BE$22:$BE$49&lt;&gt;"-"))),ROWS($BN$22:BN49)),"")</f>
        <v/>
      </c>
    </row>
    <row r="50" spans="2:66" s="44" customFormat="1" ht="35.1" customHeight="1" x14ac:dyDescent="0.25">
      <c r="B50" s="222" t="s">
        <v>17</v>
      </c>
      <c r="C50" s="223"/>
      <c r="D50" s="223"/>
      <c r="E50" s="223"/>
      <c r="F50" s="223"/>
      <c r="G50" s="226" t="s">
        <v>35</v>
      </c>
      <c r="H50" s="183"/>
      <c r="I50" s="211">
        <f>SUMIF(K22:K49,"&lt;&gt;x",J22:J49)</f>
        <v>0</v>
      </c>
      <c r="J50" s="212"/>
      <c r="K50" s="212"/>
      <c r="L50" s="212"/>
      <c r="M50" s="213"/>
      <c r="N50" s="211">
        <f>SUMIF(P22:P49,"&lt;&gt;x",O22:O49)</f>
        <v>0</v>
      </c>
      <c r="O50" s="212"/>
      <c r="P50" s="212"/>
      <c r="Q50" s="212"/>
      <c r="R50" s="213"/>
      <c r="S50" s="211">
        <f>SUMIF(U22:U49,"&lt;&gt;x",T22:T49)</f>
        <v>0</v>
      </c>
      <c r="T50" s="212"/>
      <c r="U50" s="212"/>
      <c r="V50" s="212"/>
      <c r="W50" s="213"/>
      <c r="X50" s="211">
        <f>SUMIF(Z22:Z49,"&lt;&gt;x",Y22:Y49)</f>
        <v>0</v>
      </c>
      <c r="Y50" s="212"/>
      <c r="Z50" s="212"/>
      <c r="AA50" s="212"/>
      <c r="AB50" s="213"/>
      <c r="AC50" s="211">
        <f>SUMIF(AE22:AE49,"&lt;&gt;x",AD22:AD49)</f>
        <v>0</v>
      </c>
      <c r="AD50" s="212"/>
      <c r="AE50" s="212"/>
      <c r="AF50" s="212"/>
      <c r="AG50" s="213"/>
      <c r="AH50" s="211">
        <f>SUMIF(AJ22:AJ49,"&lt;&gt;x",AI22:AI49)</f>
        <v>0</v>
      </c>
      <c r="AI50" s="212"/>
      <c r="AJ50" s="212"/>
      <c r="AK50" s="212"/>
      <c r="AL50" s="213"/>
      <c r="AM50" s="211">
        <f>SUMIF(AO22:AO49,"&lt;&gt;x",AN22:AN49)</f>
        <v>0</v>
      </c>
      <c r="AN50" s="212"/>
      <c r="AO50" s="212"/>
      <c r="AP50" s="212"/>
      <c r="AQ50" s="214"/>
      <c r="AW50" s="110">
        <f t="shared" ref="AW50:BC50" si="37">SUM(AW22:AW49)</f>
        <v>0</v>
      </c>
      <c r="AX50" s="110">
        <f t="shared" si="37"/>
        <v>0</v>
      </c>
      <c r="AY50" s="110">
        <f t="shared" si="37"/>
        <v>0</v>
      </c>
      <c r="AZ50" s="110">
        <f t="shared" si="37"/>
        <v>0</v>
      </c>
      <c r="BA50" s="110">
        <f t="shared" si="37"/>
        <v>0</v>
      </c>
      <c r="BB50" s="110">
        <f t="shared" si="37"/>
        <v>0</v>
      </c>
      <c r="BC50" s="110">
        <f t="shared" si="37"/>
        <v>0</v>
      </c>
      <c r="BD50" s="78" t="str">
        <f t="shared" si="5"/>
        <v/>
      </c>
      <c r="BE50" s="74" t="str">
        <f t="shared" ref="BE50" si="38">IF(BD50=AW50,$AW$19,IF(BD50=AX50,$AX$19,IF(BD50=AY50,$AY$19,IF(BD50=AZ50,$AZ$19,IF(BD50=BA50,$BA$19,IF(BD50=BB50,$BB$19,IF(BD50=BC50,$BC$19,"")))))))</f>
        <v/>
      </c>
      <c r="BF50" s="72">
        <f t="shared" si="7"/>
        <v>0</v>
      </c>
      <c r="BG50" s="71" t="str">
        <f t="shared" si="34"/>
        <v/>
      </c>
      <c r="BH50" s="74">
        <f t="shared" ref="BH50" si="39">IFERROR(IF(BF50="","",IF(BF50=AW50,$AW$19,IF(BF50=AX50,$AX$19,IF(BF50=AY50,$AY$19,IF(BF50=AZ50,$AZ$19,IF(BF50=BA50,$BA$19,IF(BF50=BB50,$BB$19,IF(BF50=BC50,$BC$19,"")))))))),"")</f>
        <v>0</v>
      </c>
      <c r="BI50" s="72">
        <f t="shared" si="9"/>
        <v>0</v>
      </c>
      <c r="BJ50" s="71" t="str">
        <f t="shared" ref="BJ50" si="40">IFERROR(IF((BI50-$BD50)/$BD50&lt;0%,"",(BI50-$BD50)/$BD50),"")</f>
        <v/>
      </c>
      <c r="BK50" s="74">
        <f t="shared" ref="BK50" si="41">IFERROR(IF(BI50="","",IF(BI50=AW50,$AW$19,IF(BI50=AX50,$AX$19,IF(BI50=AY50,$AY$19,IF(BI50=AZ50,$AZ$19,IF(BI50=BA50,$BA$19,IF(BI50=BB50,$BB$19,IF(BI50=BC50,$BC$19,"")))))))),"")</f>
        <v>0</v>
      </c>
      <c r="BN50" s="101"/>
    </row>
    <row r="51" spans="2:66" s="44" customFormat="1" ht="35.1" customHeight="1" outlineLevel="1" x14ac:dyDescent="0.25">
      <c r="B51" s="224"/>
      <c r="C51" s="225"/>
      <c r="D51" s="225"/>
      <c r="E51" s="225"/>
      <c r="F51" s="225"/>
      <c r="G51" s="226" t="s">
        <v>36</v>
      </c>
      <c r="H51" s="183"/>
      <c r="I51" s="211">
        <f>I50+(I50*11%)</f>
        <v>0</v>
      </c>
      <c r="J51" s="212"/>
      <c r="K51" s="212"/>
      <c r="L51" s="212"/>
      <c r="M51" s="213"/>
      <c r="N51" s="211">
        <f>N50+(N50*11%)</f>
        <v>0</v>
      </c>
      <c r="O51" s="212"/>
      <c r="P51" s="212"/>
      <c r="Q51" s="212"/>
      <c r="R51" s="213"/>
      <c r="S51" s="211">
        <f>S50+(S50*11%)</f>
        <v>0</v>
      </c>
      <c r="T51" s="212"/>
      <c r="U51" s="212"/>
      <c r="V51" s="212"/>
      <c r="W51" s="213"/>
      <c r="X51" s="211">
        <f>X50+(X50*11%)</f>
        <v>0</v>
      </c>
      <c r="Y51" s="212"/>
      <c r="Z51" s="212"/>
      <c r="AA51" s="212"/>
      <c r="AB51" s="213"/>
      <c r="AC51" s="211">
        <f>AC50+(AC50*11%)</f>
        <v>0</v>
      </c>
      <c r="AD51" s="212"/>
      <c r="AE51" s="212"/>
      <c r="AF51" s="212"/>
      <c r="AG51" s="213"/>
      <c r="AH51" s="211">
        <f>AH50+(AH50*11%)</f>
        <v>0</v>
      </c>
      <c r="AI51" s="212"/>
      <c r="AJ51" s="212"/>
      <c r="AK51" s="212"/>
      <c r="AL51" s="213"/>
      <c r="AM51" s="211">
        <f>AM50+(AM50*11%)</f>
        <v>0</v>
      </c>
      <c r="AN51" s="212"/>
      <c r="AO51" s="212"/>
      <c r="AP51" s="212"/>
      <c r="AQ51" s="214"/>
      <c r="AW51" s="11" t="str">
        <f t="shared" ref="AW51:BC51" si="42">IF(COUNTIF(AW22:AW49,"-")&gt;0,"No Full Item","Full Item")</f>
        <v>No Full Item</v>
      </c>
      <c r="AX51" s="11" t="str">
        <f t="shared" si="42"/>
        <v>No Full Item</v>
      </c>
      <c r="AY51" s="11" t="str">
        <f t="shared" si="42"/>
        <v>No Full Item</v>
      </c>
      <c r="AZ51" s="11" t="str">
        <f t="shared" si="42"/>
        <v>No Full Item</v>
      </c>
      <c r="BA51" s="11" t="str">
        <f t="shared" si="42"/>
        <v>No Full Item</v>
      </c>
      <c r="BB51" s="11" t="str">
        <f t="shared" si="42"/>
        <v>No Full Item</v>
      </c>
      <c r="BC51" s="11" t="str">
        <f t="shared" si="42"/>
        <v>No Full Item</v>
      </c>
      <c r="BD51" s="69"/>
      <c r="BE51" s="75"/>
      <c r="BG51" s="68"/>
      <c r="BH51" s="75"/>
      <c r="BK51" s="75"/>
      <c r="BN51" s="101"/>
    </row>
    <row r="52" spans="2:66" s="44" customFormat="1" ht="35.1" customHeight="1" x14ac:dyDescent="0.25">
      <c r="B52" s="224"/>
      <c r="C52" s="225"/>
      <c r="D52" s="225"/>
      <c r="E52" s="225"/>
      <c r="F52" s="225"/>
      <c r="G52" s="226" t="s">
        <v>37</v>
      </c>
      <c r="H52" s="183"/>
      <c r="I52" s="211"/>
      <c r="J52" s="212"/>
      <c r="K52" s="212"/>
      <c r="L52" s="212"/>
      <c r="M52" s="213"/>
      <c r="N52" s="211"/>
      <c r="O52" s="212"/>
      <c r="P52" s="212"/>
      <c r="Q52" s="212"/>
      <c r="R52" s="213"/>
      <c r="S52" s="211"/>
      <c r="T52" s="212"/>
      <c r="U52" s="212"/>
      <c r="V52" s="212"/>
      <c r="W52" s="213"/>
      <c r="X52" s="211"/>
      <c r="Y52" s="212"/>
      <c r="Z52" s="212"/>
      <c r="AA52" s="212"/>
      <c r="AB52" s="213"/>
      <c r="AC52" s="211"/>
      <c r="AD52" s="212"/>
      <c r="AE52" s="212"/>
      <c r="AF52" s="212"/>
      <c r="AG52" s="213"/>
      <c r="AH52" s="211"/>
      <c r="AI52" s="212"/>
      <c r="AJ52" s="212"/>
      <c r="AK52" s="212"/>
      <c r="AL52" s="213"/>
      <c r="AM52" s="211"/>
      <c r="AN52" s="212"/>
      <c r="AO52" s="212"/>
      <c r="AP52" s="212"/>
      <c r="AQ52" s="214"/>
      <c r="BD52" s="69"/>
      <c r="BE52" s="75"/>
      <c r="BG52" s="68"/>
      <c r="BH52" s="75"/>
      <c r="BK52" s="75"/>
      <c r="BN52" s="101"/>
    </row>
    <row r="53" spans="2:66" s="1" customFormat="1" ht="80.25" customHeight="1" x14ac:dyDescent="0.25">
      <c r="B53" s="215" t="s">
        <v>38</v>
      </c>
      <c r="C53" s="216"/>
      <c r="D53" s="216"/>
      <c r="E53" s="216"/>
      <c r="F53" s="216"/>
      <c r="G53" s="216"/>
      <c r="H53" s="217"/>
      <c r="I53" s="218"/>
      <c r="J53" s="219"/>
      <c r="K53" s="219"/>
      <c r="L53" s="219"/>
      <c r="M53" s="220"/>
      <c r="N53" s="221"/>
      <c r="O53" s="219"/>
      <c r="P53" s="219"/>
      <c r="Q53" s="219"/>
      <c r="R53" s="220"/>
      <c r="S53" s="221"/>
      <c r="T53" s="219"/>
      <c r="U53" s="219"/>
      <c r="V53" s="219"/>
      <c r="W53" s="220"/>
      <c r="X53" s="296"/>
      <c r="Y53" s="297"/>
      <c r="Z53" s="297"/>
      <c r="AA53" s="297"/>
      <c r="AB53" s="298"/>
      <c r="AC53" s="221"/>
      <c r="AD53" s="219"/>
      <c r="AE53" s="219"/>
      <c r="AF53" s="219"/>
      <c r="AG53" s="220"/>
      <c r="AH53" s="221"/>
      <c r="AI53" s="219"/>
      <c r="AJ53" s="219"/>
      <c r="AK53" s="219"/>
      <c r="AL53" s="220"/>
      <c r="AM53" s="221"/>
      <c r="AN53" s="219"/>
      <c r="AO53" s="219"/>
      <c r="AP53" s="219"/>
      <c r="AQ53" s="227"/>
      <c r="BD53" s="79"/>
      <c r="BE53" s="70"/>
      <c r="BG53" s="65"/>
      <c r="BH53" s="70"/>
      <c r="BK53" s="70"/>
      <c r="BN53" s="3"/>
    </row>
    <row r="54" spans="2:66" s="1" customFormat="1" ht="120" customHeight="1" x14ac:dyDescent="0.25">
      <c r="B54" s="228"/>
      <c r="C54" s="229"/>
      <c r="D54" s="229"/>
      <c r="E54" s="229"/>
      <c r="F54" s="229"/>
      <c r="G54" s="229"/>
      <c r="H54" s="229"/>
      <c r="I54" s="230" t="s">
        <v>39</v>
      </c>
      <c r="J54" s="231"/>
      <c r="K54" s="231"/>
      <c r="L54" s="231"/>
      <c r="M54" s="232"/>
      <c r="N54" s="230" t="s">
        <v>39</v>
      </c>
      <c r="O54" s="231"/>
      <c r="P54" s="231"/>
      <c r="Q54" s="231"/>
      <c r="R54" s="232"/>
      <c r="S54" s="230" t="s">
        <v>39</v>
      </c>
      <c r="T54" s="231"/>
      <c r="U54" s="231"/>
      <c r="V54" s="231"/>
      <c r="W54" s="232"/>
      <c r="X54" s="292" t="s">
        <v>39</v>
      </c>
      <c r="Y54" s="293"/>
      <c r="Z54" s="293"/>
      <c r="AA54" s="293"/>
      <c r="AB54" s="294"/>
      <c r="AC54" s="230" t="s">
        <v>39</v>
      </c>
      <c r="AD54" s="231"/>
      <c r="AE54" s="231"/>
      <c r="AF54" s="231"/>
      <c r="AG54" s="232"/>
      <c r="AH54" s="230" t="s">
        <v>39</v>
      </c>
      <c r="AI54" s="231"/>
      <c r="AJ54" s="231"/>
      <c r="AK54" s="231"/>
      <c r="AL54" s="232"/>
      <c r="AM54" s="246" t="s">
        <v>39</v>
      </c>
      <c r="AN54" s="247"/>
      <c r="AO54" s="247"/>
      <c r="AP54" s="247"/>
      <c r="AQ54" s="248"/>
      <c r="BD54" s="79"/>
      <c r="BE54" s="70"/>
      <c r="BG54" s="65"/>
      <c r="BH54" s="70"/>
      <c r="BK54" s="70"/>
      <c r="BN54" s="3"/>
    </row>
    <row r="55" spans="2:66" s="47" customFormat="1" ht="15" customHeight="1" x14ac:dyDescent="0.25">
      <c r="B55" s="249" t="s">
        <v>40</v>
      </c>
      <c r="C55" s="250"/>
      <c r="D55" s="250"/>
      <c r="E55" s="250"/>
      <c r="F55" s="250"/>
      <c r="G55" s="250"/>
      <c r="H55" s="251"/>
      <c r="I55" s="252" t="s">
        <v>41</v>
      </c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88"/>
      <c r="AC55" s="252" t="s">
        <v>51</v>
      </c>
      <c r="AD55" s="253"/>
      <c r="AE55" s="253"/>
      <c r="AF55" s="253"/>
      <c r="AG55" s="253"/>
      <c r="AH55" s="266" t="s">
        <v>42</v>
      </c>
      <c r="AI55" s="267"/>
      <c r="AJ55" s="267"/>
      <c r="AK55" s="267"/>
      <c r="AL55" s="267"/>
      <c r="AM55" s="267"/>
      <c r="AN55" s="267"/>
      <c r="AO55" s="267"/>
      <c r="AP55" s="267"/>
      <c r="AQ55" s="268"/>
      <c r="BD55" s="81"/>
      <c r="BE55" s="70"/>
      <c r="BF55" s="1"/>
      <c r="BG55" s="65"/>
      <c r="BH55" s="70"/>
      <c r="BK55" s="70"/>
      <c r="BN55" s="102"/>
    </row>
    <row r="56" spans="2:66" s="1" customFormat="1" ht="90" customHeight="1" x14ac:dyDescent="0.25">
      <c r="B56" s="258"/>
      <c r="C56" s="259"/>
      <c r="D56" s="259"/>
      <c r="E56" s="259"/>
      <c r="F56" s="259"/>
      <c r="G56" s="259"/>
      <c r="H56" s="260"/>
      <c r="I56" s="179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289"/>
      <c r="AC56" s="179"/>
      <c r="AD56" s="180"/>
      <c r="AE56" s="180"/>
      <c r="AF56" s="180"/>
      <c r="AG56" s="180"/>
      <c r="AH56" s="179"/>
      <c r="AI56" s="180"/>
      <c r="AJ56" s="180"/>
      <c r="AK56" s="180"/>
      <c r="AL56" s="180"/>
      <c r="AM56" s="180"/>
      <c r="AN56" s="180"/>
      <c r="AO56" s="180"/>
      <c r="AP56" s="180"/>
      <c r="AQ56" s="245"/>
      <c r="BD56" s="79"/>
      <c r="BE56" s="70"/>
      <c r="BG56" s="65"/>
      <c r="BH56" s="70"/>
      <c r="BK56" s="70"/>
      <c r="BN56" s="3"/>
    </row>
    <row r="57" spans="2:66" s="1" customFormat="1" ht="13.5" x14ac:dyDescent="0.25">
      <c r="B57" s="233" t="s">
        <v>47</v>
      </c>
      <c r="C57" s="234"/>
      <c r="D57" s="234"/>
      <c r="E57" s="234"/>
      <c r="F57" s="234"/>
      <c r="G57" s="234"/>
      <c r="H57" s="235"/>
      <c r="I57" s="236" t="s">
        <v>43</v>
      </c>
      <c r="J57" s="237"/>
      <c r="K57" s="237"/>
      <c r="L57" s="237"/>
      <c r="M57" s="237"/>
      <c r="N57" s="237" t="s">
        <v>52</v>
      </c>
      <c r="O57" s="237"/>
      <c r="P57" s="237"/>
      <c r="Q57" s="237"/>
      <c r="R57" s="237"/>
      <c r="S57" s="237"/>
      <c r="T57" s="237"/>
      <c r="U57" s="237"/>
      <c r="V57" s="237"/>
      <c r="W57" s="237"/>
      <c r="X57" s="237" t="s">
        <v>45</v>
      </c>
      <c r="Y57" s="237"/>
      <c r="Z57" s="237"/>
      <c r="AA57" s="237"/>
      <c r="AB57" s="287"/>
      <c r="AC57" s="261" t="s">
        <v>48</v>
      </c>
      <c r="AD57" s="262"/>
      <c r="AE57" s="262"/>
      <c r="AF57" s="262"/>
      <c r="AG57" s="262"/>
      <c r="AH57" s="236" t="str">
        <f>IF(OR($I$50&lt;200000000,$N$50&lt;200000000,$S$50&lt;200000000,$X$50&lt;200000000,$AC$50&lt;200000000,$AH$50&lt;200000000,$AM$50&lt;200000000),"Mochammad Rusfandy","Mochammad Rusfandy")</f>
        <v>Mochammad Rusfandy</v>
      </c>
      <c r="AI57" s="237"/>
      <c r="AJ57" s="237"/>
      <c r="AK57" s="237"/>
      <c r="AL57" s="237"/>
      <c r="AM57" s="237" t="str">
        <f>IF(OR($I$50="",$N$50="",$S$50="",$X$50="",$AC$50="",$AH$50="",$AM$50=""),"",IF(OR($I$50&gt;50000000,$N$50&gt;200000000,$S$50&gt;200000000,$X$50&gt;200000000,$AC$50&gt;200000000,$AH$50&gt;200000000,$AM$50&gt;200000000),"Heri Gunawan",""))</f>
        <v/>
      </c>
      <c r="AN57" s="237"/>
      <c r="AO57" s="237"/>
      <c r="AP57" s="237"/>
      <c r="AQ57" s="254"/>
      <c r="BD57" s="79"/>
      <c r="BE57" s="70"/>
      <c r="BG57" s="65"/>
      <c r="BH57" s="70"/>
      <c r="BK57" s="70"/>
      <c r="BN57" s="3"/>
    </row>
    <row r="58" spans="2:66" s="1" customFormat="1" ht="13.5" x14ac:dyDescent="0.25">
      <c r="B58" s="48" t="s">
        <v>46</v>
      </c>
      <c r="C58" s="49"/>
      <c r="D58" s="255">
        <f ca="1">AN8</f>
        <v>46314</v>
      </c>
      <c r="E58" s="255"/>
      <c r="F58" s="255"/>
      <c r="G58" s="255"/>
      <c r="H58" s="256"/>
      <c r="I58" s="242" t="str">
        <f>IF(I57="","","Date:")</f>
        <v>Date:</v>
      </c>
      <c r="J58" s="242"/>
      <c r="K58" s="242"/>
      <c r="L58" s="242"/>
      <c r="M58" s="242"/>
      <c r="N58" s="242" t="str">
        <f>IF(N57="","","Date:")</f>
        <v>Date:</v>
      </c>
      <c r="O58" s="242"/>
      <c r="P58" s="242"/>
      <c r="Q58" s="242"/>
      <c r="R58" s="242"/>
      <c r="S58" s="242"/>
      <c r="T58" s="242"/>
      <c r="U58" s="242"/>
      <c r="V58" s="242"/>
      <c r="W58" s="242"/>
      <c r="X58" s="242" t="str">
        <f>IF(X57="","","Date:")</f>
        <v>Date:</v>
      </c>
      <c r="Y58" s="242"/>
      <c r="Z58" s="242"/>
      <c r="AA58" s="242"/>
      <c r="AB58" s="286"/>
      <c r="AC58" s="263" t="s">
        <v>49</v>
      </c>
      <c r="AD58" s="264"/>
      <c r="AE58" s="264"/>
      <c r="AF58" s="264"/>
      <c r="AG58" s="264"/>
      <c r="AH58" s="241" t="str">
        <f>IF(AH57="","","Date:")</f>
        <v>Date:</v>
      </c>
      <c r="AI58" s="242"/>
      <c r="AJ58" s="242"/>
      <c r="AK58" s="242"/>
      <c r="AL58" s="242"/>
      <c r="AM58" s="242" t="str">
        <f>IF(AM57="","","Date:")</f>
        <v/>
      </c>
      <c r="AN58" s="242"/>
      <c r="AO58" s="242"/>
      <c r="AP58" s="242"/>
      <c r="AQ58" s="243"/>
      <c r="BD58" s="79"/>
      <c r="BE58" s="70"/>
      <c r="BG58" s="65"/>
      <c r="BH58" s="70"/>
      <c r="BK58" s="70"/>
      <c r="BN58" s="3"/>
    </row>
    <row r="59" spans="2:66" s="1" customFormat="1" ht="15.75" customHeight="1" thickBot="1" x14ac:dyDescent="0.3">
      <c r="B59" s="283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  <c r="AK59" s="284"/>
      <c r="AL59" s="284"/>
      <c r="AM59" s="284"/>
      <c r="AN59" s="284"/>
      <c r="AO59" s="284"/>
      <c r="AP59" s="284"/>
      <c r="AQ59" s="285"/>
      <c r="BD59" s="79"/>
      <c r="BE59" s="70"/>
      <c r="BG59" s="65"/>
      <c r="BH59" s="70"/>
      <c r="BK59" s="70"/>
      <c r="BN59" s="3"/>
    </row>
    <row r="60" spans="2:66" ht="17.25" hidden="1" thickTop="1" x14ac:dyDescent="0.25">
      <c r="L60" s="55"/>
      <c r="M60" s="55"/>
    </row>
    <row r="61" spans="2:66" ht="17.25" hidden="1" thickTop="1" x14ac:dyDescent="0.25">
      <c r="L61" s="55"/>
      <c r="M61" s="55"/>
    </row>
    <row r="62" spans="2:66" ht="17.25" hidden="1" thickTop="1" x14ac:dyDescent="0.25">
      <c r="J62" s="265"/>
      <c r="K62" s="244"/>
      <c r="L62" s="244"/>
      <c r="M62" s="244"/>
    </row>
    <row r="63" spans="2:66" ht="17.25" hidden="1" thickTop="1" x14ac:dyDescent="0.25">
      <c r="J63" s="265"/>
      <c r="K63" s="244"/>
      <c r="L63" s="244"/>
      <c r="M63" s="244"/>
    </row>
    <row r="64" spans="2:66" ht="17.25" hidden="1" thickTop="1" x14ac:dyDescent="0.25">
      <c r="J64" s="265"/>
      <c r="K64" s="244"/>
      <c r="L64" s="244"/>
      <c r="M64" s="244"/>
    </row>
    <row r="65" spans="4:16" ht="17.25" hidden="1" thickTop="1" x14ac:dyDescent="0.25">
      <c r="J65" s="265"/>
      <c r="K65" s="244"/>
      <c r="L65" s="244"/>
      <c r="M65" s="244"/>
      <c r="N65" s="265"/>
      <c r="O65" s="244"/>
      <c r="P65" s="244"/>
    </row>
    <row r="66" spans="4:16" ht="17.25" hidden="1" thickTop="1" x14ac:dyDescent="0.25">
      <c r="J66" s="265"/>
      <c r="K66" s="244"/>
      <c r="L66" s="244"/>
      <c r="M66" s="244"/>
    </row>
    <row r="67" spans="4:16" ht="17.25" hidden="1" thickTop="1" x14ac:dyDescent="0.25">
      <c r="J67" s="244"/>
      <c r="K67" s="244"/>
      <c r="L67" s="244"/>
      <c r="M67" s="244"/>
    </row>
    <row r="68" spans="4:16" ht="17.25" hidden="1" thickTop="1" x14ac:dyDescent="0.25">
      <c r="L68" s="55"/>
      <c r="M68" s="55"/>
    </row>
    <row r="69" spans="4:16" ht="17.25" hidden="1" thickTop="1" x14ac:dyDescent="0.25">
      <c r="L69" s="239"/>
      <c r="M69" s="239"/>
    </row>
    <row r="72" spans="4:16" ht="17.25" hidden="1" thickTop="1" x14ac:dyDescent="0.25">
      <c r="D72" s="56"/>
      <c r="E72" s="56"/>
      <c r="F72" s="56"/>
      <c r="G72" s="56"/>
      <c r="H72" s="56"/>
      <c r="I72" s="56"/>
    </row>
    <row r="73" spans="4:16" ht="17.25" hidden="1" thickTop="1" x14ac:dyDescent="0.25">
      <c r="D73" s="56"/>
      <c r="E73" s="56"/>
      <c r="F73" s="56"/>
      <c r="G73" s="56"/>
      <c r="H73" s="56"/>
      <c r="I73" s="56"/>
    </row>
    <row r="74" spans="4:16" ht="17.25" hidden="1" thickTop="1" x14ac:dyDescent="0.25">
      <c r="D74" s="56"/>
      <c r="E74" s="56"/>
      <c r="F74" s="56"/>
      <c r="G74" s="56"/>
      <c r="H74" s="56"/>
      <c r="I74" s="56"/>
    </row>
    <row r="75" spans="4:16" ht="17.25" hidden="1" thickTop="1" x14ac:dyDescent="0.25">
      <c r="D75" s="56"/>
      <c r="E75" s="56"/>
      <c r="F75" s="56"/>
      <c r="G75" s="56"/>
      <c r="H75" s="56"/>
      <c r="I75" s="56"/>
    </row>
    <row r="76" spans="4:16" ht="17.25" hidden="1" thickTop="1" x14ac:dyDescent="0.25">
      <c r="D76" s="56"/>
      <c r="E76" s="56"/>
      <c r="F76" s="57"/>
      <c r="G76" s="56"/>
      <c r="H76" s="56"/>
      <c r="I76" s="56"/>
    </row>
    <row r="77" spans="4:16" ht="15" hidden="1" customHeight="1" x14ac:dyDescent="0.25">
      <c r="D77" s="56"/>
      <c r="E77" s="56"/>
      <c r="F77" s="240"/>
      <c r="G77" s="240"/>
      <c r="H77" s="240"/>
      <c r="I77" s="56"/>
    </row>
    <row r="78" spans="4:16" ht="15" hidden="1" customHeight="1" x14ac:dyDescent="0.25">
      <c r="D78" s="56"/>
      <c r="E78" s="56"/>
      <c r="F78" s="240"/>
      <c r="G78" s="240"/>
      <c r="H78" s="240"/>
      <c r="I78" s="58"/>
      <c r="J78" s="59"/>
    </row>
    <row r="79" spans="4:16" ht="17.25" hidden="1" thickTop="1" x14ac:dyDescent="0.25">
      <c r="D79" s="56"/>
      <c r="E79" s="56"/>
      <c r="F79" s="56"/>
      <c r="G79" s="56"/>
      <c r="H79" s="56"/>
      <c r="I79" s="56"/>
    </row>
    <row r="80" spans="4:16" ht="17.25" hidden="1" thickTop="1" x14ac:dyDescent="0.25">
      <c r="D80" s="56"/>
      <c r="E80" s="56"/>
      <c r="F80" s="56"/>
      <c r="G80" s="56"/>
      <c r="H80" s="56"/>
      <c r="I80" s="56"/>
    </row>
    <row r="81" spans="4:9" ht="17.25" hidden="1" thickTop="1" x14ac:dyDescent="0.25">
      <c r="D81" s="56"/>
      <c r="E81" s="56"/>
      <c r="F81" s="56"/>
      <c r="G81" s="56"/>
      <c r="H81" s="56"/>
      <c r="I81" s="60"/>
    </row>
    <row r="82" spans="4:9" ht="17.25" hidden="1" thickTop="1" x14ac:dyDescent="0.25">
      <c r="D82" s="56"/>
      <c r="E82" s="56"/>
      <c r="F82" s="56"/>
      <c r="G82" s="56"/>
      <c r="H82" s="56"/>
      <c r="I82" s="56"/>
    </row>
    <row r="83" spans="4:9" ht="17.25" thickTop="1" x14ac:dyDescent="0.25"/>
    <row r="84" spans="4:9" x14ac:dyDescent="0.25"/>
  </sheetData>
  <mergeCells count="421">
    <mergeCell ref="B17:E17"/>
    <mergeCell ref="B59:AQ59"/>
    <mergeCell ref="F7:Q7"/>
    <mergeCell ref="F8:Q8"/>
    <mergeCell ref="F9:Q9"/>
    <mergeCell ref="X57:AB57"/>
    <mergeCell ref="X58:AB58"/>
    <mergeCell ref="AC55:AG55"/>
    <mergeCell ref="AC56:AG56"/>
    <mergeCell ref="B13:F15"/>
    <mergeCell ref="I15:M15"/>
    <mergeCell ref="N15:R15"/>
    <mergeCell ref="S15:W15"/>
    <mergeCell ref="X15:AB15"/>
    <mergeCell ref="AC15:AG15"/>
    <mergeCell ref="AH15:AL15"/>
    <mergeCell ref="I12:M13"/>
    <mergeCell ref="N12:R13"/>
    <mergeCell ref="S12:W13"/>
    <mergeCell ref="X12:AB13"/>
    <mergeCell ref="AC12:AG13"/>
    <mergeCell ref="AH12:AL13"/>
    <mergeCell ref="B12:F12"/>
    <mergeCell ref="G12:H13"/>
    <mergeCell ref="BM20:BN20"/>
    <mergeCell ref="BM21:BN21"/>
    <mergeCell ref="T11:W11"/>
    <mergeCell ref="Y11:AB11"/>
    <mergeCell ref="AD11:AG11"/>
    <mergeCell ref="AI11:AL11"/>
    <mergeCell ref="O11:R11"/>
    <mergeCell ref="G17:H17"/>
    <mergeCell ref="I17:J17"/>
    <mergeCell ref="K17:M17"/>
    <mergeCell ref="N17:O17"/>
    <mergeCell ref="P17:R17"/>
    <mergeCell ref="S17:T17"/>
    <mergeCell ref="U17:W17"/>
    <mergeCell ref="G16:H16"/>
    <mergeCell ref="I16:M16"/>
    <mergeCell ref="G14:H14"/>
    <mergeCell ref="I14:M14"/>
    <mergeCell ref="N14:R14"/>
    <mergeCell ref="S14:W14"/>
    <mergeCell ref="X14:AB14"/>
    <mergeCell ref="AC14:AG14"/>
    <mergeCell ref="AH14:AL14"/>
    <mergeCell ref="G15:H15"/>
    <mergeCell ref="B4:F6"/>
    <mergeCell ref="G4:AO6"/>
    <mergeCell ref="B7:D7"/>
    <mergeCell ref="AN7:AQ7"/>
    <mergeCell ref="B8:D8"/>
    <mergeCell ref="AN8:AQ8"/>
    <mergeCell ref="S10:W10"/>
    <mergeCell ref="X10:AB10"/>
    <mergeCell ref="AC10:AG10"/>
    <mergeCell ref="AH10:AL10"/>
    <mergeCell ref="AM10:AQ10"/>
    <mergeCell ref="B9:D9"/>
    <mergeCell ref="B10:F10"/>
    <mergeCell ref="G10:H11"/>
    <mergeCell ref="I10:M10"/>
    <mergeCell ref="N10:R10"/>
    <mergeCell ref="B11:F11"/>
    <mergeCell ref="J11:M11"/>
    <mergeCell ref="AN11:AQ11"/>
    <mergeCell ref="S18:W18"/>
    <mergeCell ref="X18:AB18"/>
    <mergeCell ref="X17:Y17"/>
    <mergeCell ref="Z17:AB17"/>
    <mergeCell ref="AC17:AD17"/>
    <mergeCell ref="AC18:AG18"/>
    <mergeCell ref="AC16:AG16"/>
    <mergeCell ref="AH16:AL16"/>
    <mergeCell ref="N16:R16"/>
    <mergeCell ref="S16:W16"/>
    <mergeCell ref="AM16:AQ16"/>
    <mergeCell ref="X16:AB16"/>
    <mergeCell ref="AH17:AI17"/>
    <mergeCell ref="AJ17:AL17"/>
    <mergeCell ref="AM17:AN17"/>
    <mergeCell ref="AO17:AQ17"/>
    <mergeCell ref="AE17:AG17"/>
    <mergeCell ref="AH18:AL18"/>
    <mergeCell ref="AM18:AQ18"/>
    <mergeCell ref="BA19:BA21"/>
    <mergeCell ref="BB19:BB21"/>
    <mergeCell ref="AC19:AG19"/>
    <mergeCell ref="AH19:AL19"/>
    <mergeCell ref="AM19:AQ19"/>
    <mergeCell ref="AW19:AW21"/>
    <mergeCell ref="AX19:AX21"/>
    <mergeCell ref="AC20:AG20"/>
    <mergeCell ref="AH20:AL20"/>
    <mergeCell ref="AM20:AQ20"/>
    <mergeCell ref="AF21:AG21"/>
    <mergeCell ref="AK21:AL21"/>
    <mergeCell ref="AP21:AQ21"/>
    <mergeCell ref="S19:W19"/>
    <mergeCell ref="X19:AB19"/>
    <mergeCell ref="G20:H20"/>
    <mergeCell ref="I20:M20"/>
    <mergeCell ref="N20:R20"/>
    <mergeCell ref="S20:W20"/>
    <mergeCell ref="X20:AB20"/>
    <mergeCell ref="AY19:AY21"/>
    <mergeCell ref="AZ19:AZ21"/>
    <mergeCell ref="BF21:BH21"/>
    <mergeCell ref="BI21:BK21"/>
    <mergeCell ref="C22:F22"/>
    <mergeCell ref="L22:M22"/>
    <mergeCell ref="Q22:R22"/>
    <mergeCell ref="V22:W22"/>
    <mergeCell ref="AA22:AB22"/>
    <mergeCell ref="C21:F21"/>
    <mergeCell ref="L21:M21"/>
    <mergeCell ref="Q21:R21"/>
    <mergeCell ref="V21:W21"/>
    <mergeCell ref="AA21:AB21"/>
    <mergeCell ref="BC19:BC21"/>
    <mergeCell ref="AF22:AG22"/>
    <mergeCell ref="AK22:AL22"/>
    <mergeCell ref="AP22:AQ22"/>
    <mergeCell ref="B18:F19"/>
    <mergeCell ref="G18:H18"/>
    <mergeCell ref="I18:M18"/>
    <mergeCell ref="N18:R18"/>
    <mergeCell ref="BD18:BD21"/>
    <mergeCell ref="G19:H19"/>
    <mergeCell ref="I19:M19"/>
    <mergeCell ref="N19:R19"/>
    <mergeCell ref="AK25:AL25"/>
    <mergeCell ref="AP25:AQ25"/>
    <mergeCell ref="AF26:AG26"/>
    <mergeCell ref="AK26:AL26"/>
    <mergeCell ref="AP26:AQ26"/>
    <mergeCell ref="C23:F23"/>
    <mergeCell ref="L23:M23"/>
    <mergeCell ref="Q23:R23"/>
    <mergeCell ref="V23:W23"/>
    <mergeCell ref="AA23:AB23"/>
    <mergeCell ref="AF23:AG23"/>
    <mergeCell ref="AK23:AL23"/>
    <mergeCell ref="AP23:AQ23"/>
    <mergeCell ref="C24:F24"/>
    <mergeCell ref="L24:M24"/>
    <mergeCell ref="Q24:R24"/>
    <mergeCell ref="V24:W24"/>
    <mergeCell ref="AA24:AB24"/>
    <mergeCell ref="AF24:AG24"/>
    <mergeCell ref="AK24:AL24"/>
    <mergeCell ref="AP24:AQ24"/>
    <mergeCell ref="C26:F26"/>
    <mergeCell ref="L26:M26"/>
    <mergeCell ref="Q26:R26"/>
    <mergeCell ref="V26:W26"/>
    <mergeCell ref="AA26:AB26"/>
    <mergeCell ref="C25:F25"/>
    <mergeCell ref="L25:M25"/>
    <mergeCell ref="Q25:R25"/>
    <mergeCell ref="V25:W25"/>
    <mergeCell ref="AA25:AB25"/>
    <mergeCell ref="AF29:AG29"/>
    <mergeCell ref="AF25:AG25"/>
    <mergeCell ref="AP29:AQ29"/>
    <mergeCell ref="AF30:AG30"/>
    <mergeCell ref="AK30:AL30"/>
    <mergeCell ref="AP30:AQ30"/>
    <mergeCell ref="AK27:AL27"/>
    <mergeCell ref="AP27:AQ27"/>
    <mergeCell ref="C28:F28"/>
    <mergeCell ref="L28:M28"/>
    <mergeCell ref="Q28:R28"/>
    <mergeCell ref="V28:W28"/>
    <mergeCell ref="AA28:AB28"/>
    <mergeCell ref="AF28:AG28"/>
    <mergeCell ref="AK28:AL28"/>
    <mergeCell ref="AP28:AQ28"/>
    <mergeCell ref="C27:F27"/>
    <mergeCell ref="L27:M27"/>
    <mergeCell ref="Q27:R27"/>
    <mergeCell ref="V27:W27"/>
    <mergeCell ref="AA27:AB27"/>
    <mergeCell ref="AF27:AG27"/>
    <mergeCell ref="C30:F30"/>
    <mergeCell ref="L30:M30"/>
    <mergeCell ref="Q30:R30"/>
    <mergeCell ref="V30:W30"/>
    <mergeCell ref="AA30:AB30"/>
    <mergeCell ref="C29:F29"/>
    <mergeCell ref="L29:M29"/>
    <mergeCell ref="Q29:R29"/>
    <mergeCell ref="V29:W29"/>
    <mergeCell ref="AA29:AB29"/>
    <mergeCell ref="AF33:AG33"/>
    <mergeCell ref="AK33:AL33"/>
    <mergeCell ref="AK29:AL29"/>
    <mergeCell ref="AK31:AL31"/>
    <mergeCell ref="AP31:AQ31"/>
    <mergeCell ref="C32:F32"/>
    <mergeCell ref="L32:M32"/>
    <mergeCell ref="Q32:R32"/>
    <mergeCell ref="V32:W32"/>
    <mergeCell ref="AA32:AB32"/>
    <mergeCell ref="AF32:AG32"/>
    <mergeCell ref="AK32:AL32"/>
    <mergeCell ref="AP32:AQ32"/>
    <mergeCell ref="C31:F31"/>
    <mergeCell ref="L31:M31"/>
    <mergeCell ref="Q31:R31"/>
    <mergeCell ref="V31:W31"/>
    <mergeCell ref="AA31:AB31"/>
    <mergeCell ref="AF31:AG31"/>
    <mergeCell ref="AA34:AB34"/>
    <mergeCell ref="C33:F33"/>
    <mergeCell ref="L33:M33"/>
    <mergeCell ref="Q33:R33"/>
    <mergeCell ref="V33:W33"/>
    <mergeCell ref="AA33:AB33"/>
    <mergeCell ref="AF37:AG37"/>
    <mergeCell ref="AK37:AL37"/>
    <mergeCell ref="AP37:AQ37"/>
    <mergeCell ref="C37:F37"/>
    <mergeCell ref="L37:M37"/>
    <mergeCell ref="Q37:R37"/>
    <mergeCell ref="V37:W37"/>
    <mergeCell ref="AA37:AB37"/>
    <mergeCell ref="AP33:AQ33"/>
    <mergeCell ref="AF34:AG34"/>
    <mergeCell ref="AK34:AL34"/>
    <mergeCell ref="AP34:AQ34"/>
    <mergeCell ref="C34:F34"/>
    <mergeCell ref="L34:M34"/>
    <mergeCell ref="Q34:R34"/>
    <mergeCell ref="V34:W34"/>
    <mergeCell ref="AF38:AG38"/>
    <mergeCell ref="AK38:AL38"/>
    <mergeCell ref="AP38:AQ38"/>
    <mergeCell ref="AK35:AL35"/>
    <mergeCell ref="AP35:AQ35"/>
    <mergeCell ref="C36:F36"/>
    <mergeCell ref="L36:M36"/>
    <mergeCell ref="Q36:R36"/>
    <mergeCell ref="V36:W36"/>
    <mergeCell ref="AA36:AB36"/>
    <mergeCell ref="AF36:AG36"/>
    <mergeCell ref="AK36:AL36"/>
    <mergeCell ref="AP36:AQ36"/>
    <mergeCell ref="C35:F35"/>
    <mergeCell ref="L35:M35"/>
    <mergeCell ref="Q35:R35"/>
    <mergeCell ref="V35:W35"/>
    <mergeCell ref="AA35:AB35"/>
    <mergeCell ref="AF35:AG35"/>
    <mergeCell ref="C38:F38"/>
    <mergeCell ref="L38:M38"/>
    <mergeCell ref="Q38:R38"/>
    <mergeCell ref="V38:W38"/>
    <mergeCell ref="AA38:AB38"/>
    <mergeCell ref="AK41:AL41"/>
    <mergeCell ref="AP41:AQ41"/>
    <mergeCell ref="AF42:AG42"/>
    <mergeCell ref="AK42:AL42"/>
    <mergeCell ref="AP42:AQ42"/>
    <mergeCell ref="AK39:AL39"/>
    <mergeCell ref="AP39:AQ39"/>
    <mergeCell ref="C40:F40"/>
    <mergeCell ref="L40:M40"/>
    <mergeCell ref="Q40:R40"/>
    <mergeCell ref="V40:W40"/>
    <mergeCell ref="AA40:AB40"/>
    <mergeCell ref="AF40:AG40"/>
    <mergeCell ref="AK40:AL40"/>
    <mergeCell ref="AP40:AQ40"/>
    <mergeCell ref="C39:F39"/>
    <mergeCell ref="L39:M39"/>
    <mergeCell ref="Q39:R39"/>
    <mergeCell ref="V39:W39"/>
    <mergeCell ref="AA39:AB39"/>
    <mergeCell ref="AF39:AG39"/>
    <mergeCell ref="C42:F42"/>
    <mergeCell ref="L42:M42"/>
    <mergeCell ref="Q42:R42"/>
    <mergeCell ref="V42:W42"/>
    <mergeCell ref="AA42:AB42"/>
    <mergeCell ref="C41:F41"/>
    <mergeCell ref="L41:M41"/>
    <mergeCell ref="Q41:R41"/>
    <mergeCell ref="V41:W41"/>
    <mergeCell ref="AA41:AB41"/>
    <mergeCell ref="AF45:AG45"/>
    <mergeCell ref="AF41:AG41"/>
    <mergeCell ref="AK43:AL43"/>
    <mergeCell ref="AP43:AQ43"/>
    <mergeCell ref="C44:F44"/>
    <mergeCell ref="L44:M44"/>
    <mergeCell ref="Q44:R44"/>
    <mergeCell ref="V44:W44"/>
    <mergeCell ref="AA44:AB44"/>
    <mergeCell ref="AF44:AG44"/>
    <mergeCell ref="AK44:AL44"/>
    <mergeCell ref="AP44:AQ44"/>
    <mergeCell ref="C43:F43"/>
    <mergeCell ref="L43:M43"/>
    <mergeCell ref="Q43:R43"/>
    <mergeCell ref="V43:W43"/>
    <mergeCell ref="AA43:AB43"/>
    <mergeCell ref="AF43:AG43"/>
    <mergeCell ref="V46:W46"/>
    <mergeCell ref="AA46:AB46"/>
    <mergeCell ref="C45:F45"/>
    <mergeCell ref="L45:M45"/>
    <mergeCell ref="Q45:R45"/>
    <mergeCell ref="V45:W45"/>
    <mergeCell ref="AA45:AB45"/>
    <mergeCell ref="AK47:AL47"/>
    <mergeCell ref="AP47:AQ47"/>
    <mergeCell ref="AK45:AL45"/>
    <mergeCell ref="AP45:AQ45"/>
    <mergeCell ref="AF46:AG46"/>
    <mergeCell ref="AK46:AL46"/>
    <mergeCell ref="AP46:AQ46"/>
    <mergeCell ref="C46:F46"/>
    <mergeCell ref="L46:M46"/>
    <mergeCell ref="Q46:R46"/>
    <mergeCell ref="C48:F48"/>
    <mergeCell ref="L48:M48"/>
    <mergeCell ref="Q48:R48"/>
    <mergeCell ref="V48:W48"/>
    <mergeCell ref="AA48:AB48"/>
    <mergeCell ref="AF48:AG48"/>
    <mergeCell ref="AK48:AL48"/>
    <mergeCell ref="AP48:AQ48"/>
    <mergeCell ref="C47:F47"/>
    <mergeCell ref="L47:M47"/>
    <mergeCell ref="Q47:R47"/>
    <mergeCell ref="V47:W47"/>
    <mergeCell ref="AA47:AB47"/>
    <mergeCell ref="AF47:AG47"/>
    <mergeCell ref="C49:F49"/>
    <mergeCell ref="L49:M49"/>
    <mergeCell ref="Q49:R49"/>
    <mergeCell ref="V49:W49"/>
    <mergeCell ref="AA49:AB49"/>
    <mergeCell ref="AF49:AG49"/>
    <mergeCell ref="AK49:AL49"/>
    <mergeCell ref="AP49:AQ49"/>
    <mergeCell ref="AM52:AQ52"/>
    <mergeCell ref="B50:F52"/>
    <mergeCell ref="G52:H52"/>
    <mergeCell ref="I52:M52"/>
    <mergeCell ref="N52:R52"/>
    <mergeCell ref="S52:W52"/>
    <mergeCell ref="X52:AB52"/>
    <mergeCell ref="AH50:AL50"/>
    <mergeCell ref="AM50:AQ50"/>
    <mergeCell ref="G51:H51"/>
    <mergeCell ref="I51:M51"/>
    <mergeCell ref="N51:R51"/>
    <mergeCell ref="S51:W51"/>
    <mergeCell ref="X51:AB51"/>
    <mergeCell ref="AC51:AG51"/>
    <mergeCell ref="AH51:AL51"/>
    <mergeCell ref="AM51:AQ51"/>
    <mergeCell ref="G50:H50"/>
    <mergeCell ref="I50:M50"/>
    <mergeCell ref="N50:R50"/>
    <mergeCell ref="S50:W50"/>
    <mergeCell ref="X50:AB50"/>
    <mergeCell ref="AC50:AG50"/>
    <mergeCell ref="AH56:AQ56"/>
    <mergeCell ref="B54:H54"/>
    <mergeCell ref="I54:M54"/>
    <mergeCell ref="N54:R54"/>
    <mergeCell ref="S54:W54"/>
    <mergeCell ref="X54:AB54"/>
    <mergeCell ref="B53:H53"/>
    <mergeCell ref="I53:M53"/>
    <mergeCell ref="N53:R53"/>
    <mergeCell ref="S53:W53"/>
    <mergeCell ref="X53:AB53"/>
    <mergeCell ref="AC53:AG53"/>
    <mergeCell ref="AH53:AL53"/>
    <mergeCell ref="AM53:AQ53"/>
    <mergeCell ref="AH55:AQ55"/>
    <mergeCell ref="I55:AB55"/>
    <mergeCell ref="I56:AB56"/>
    <mergeCell ref="J67:M67"/>
    <mergeCell ref="L69:M69"/>
    <mergeCell ref="F77:H78"/>
    <mergeCell ref="J62:M62"/>
    <mergeCell ref="J63:M63"/>
    <mergeCell ref="J64:M64"/>
    <mergeCell ref="J65:M65"/>
    <mergeCell ref="N65:P65"/>
    <mergeCell ref="J66:M66"/>
    <mergeCell ref="AM12:AQ13"/>
    <mergeCell ref="AM14:AQ14"/>
    <mergeCell ref="AM15:AQ15"/>
    <mergeCell ref="AH57:AL57"/>
    <mergeCell ref="AM57:AQ57"/>
    <mergeCell ref="D58:H58"/>
    <mergeCell ref="I58:M58"/>
    <mergeCell ref="N58:R58"/>
    <mergeCell ref="S58:W58"/>
    <mergeCell ref="AC58:AG58"/>
    <mergeCell ref="AH58:AL58"/>
    <mergeCell ref="AM58:AQ58"/>
    <mergeCell ref="B57:H57"/>
    <mergeCell ref="I57:M57"/>
    <mergeCell ref="N57:R57"/>
    <mergeCell ref="S57:W57"/>
    <mergeCell ref="AC57:AG57"/>
    <mergeCell ref="AC54:AG54"/>
    <mergeCell ref="AH54:AL54"/>
    <mergeCell ref="AM54:AQ54"/>
    <mergeCell ref="B55:H55"/>
    <mergeCell ref="B56:H56"/>
    <mergeCell ref="AC52:AG52"/>
    <mergeCell ref="AH52:AL52"/>
  </mergeCells>
  <conditionalFormatting sqref="I22:M49">
    <cfRule type="expression" dxfId="57" priority="1" stopIfTrue="1">
      <formula>$L22="No Quote"</formula>
    </cfRule>
  </conditionalFormatting>
  <conditionalFormatting sqref="N22:R49">
    <cfRule type="expression" dxfId="56" priority="34" stopIfTrue="1">
      <formula>$Q22="No Quote"</formula>
    </cfRule>
  </conditionalFormatting>
  <conditionalFormatting sqref="S22:W49">
    <cfRule type="expression" dxfId="55" priority="32" stopIfTrue="1">
      <formula>$V22="No Quote"</formula>
    </cfRule>
  </conditionalFormatting>
  <conditionalFormatting sqref="X22:AB49">
    <cfRule type="expression" dxfId="54" priority="18" stopIfTrue="1">
      <formula>$AA22="No Quote"</formula>
    </cfRule>
  </conditionalFormatting>
  <conditionalFormatting sqref="AC22:AG49">
    <cfRule type="expression" dxfId="53" priority="31" stopIfTrue="1">
      <formula>$AF22="No Quote"</formula>
    </cfRule>
  </conditionalFormatting>
  <conditionalFormatting sqref="AH22:AL49">
    <cfRule type="expression" dxfId="52" priority="30" stopIfTrue="1">
      <formula>$AK22="No Quote"</formula>
    </cfRule>
  </conditionalFormatting>
  <conditionalFormatting sqref="AM22:AQ49">
    <cfRule type="expression" dxfId="51" priority="29" stopIfTrue="1">
      <formula>$AP22="No Quote"</formula>
    </cfRule>
  </conditionalFormatting>
  <conditionalFormatting sqref="AT22:AU49">
    <cfRule type="expression" dxfId="50" priority="3" stopIfTrue="1">
      <formula>$AT22&gt;$BD22</formula>
    </cfRule>
  </conditionalFormatting>
  <conditionalFormatting sqref="AW22:AW49">
    <cfRule type="expression" dxfId="49" priority="145" stopIfTrue="1">
      <formula>$AW22=$BD22</formula>
    </cfRule>
  </conditionalFormatting>
  <conditionalFormatting sqref="AX22:AX49">
    <cfRule type="expression" dxfId="48" priority="143" stopIfTrue="1">
      <formula>$AX22=$BD22</formula>
    </cfRule>
  </conditionalFormatting>
  <conditionalFormatting sqref="AY22:AY49">
    <cfRule type="expression" dxfId="47" priority="2" stopIfTrue="1">
      <formula>$AY22=$BD22</formula>
    </cfRule>
  </conditionalFormatting>
  <conditionalFormatting sqref="AZ22:AZ49">
    <cfRule type="expression" dxfId="46" priority="147" stopIfTrue="1">
      <formula>$AZ22=$BD22</formula>
    </cfRule>
  </conditionalFormatting>
  <conditionalFormatting sqref="BA22:BA49">
    <cfRule type="expression" dxfId="45" priority="6" stopIfTrue="1">
      <formula>$BA22=$BD22</formula>
    </cfRule>
  </conditionalFormatting>
  <conditionalFormatting sqref="BB22:BB49">
    <cfRule type="expression" dxfId="44" priority="5" stopIfTrue="1">
      <formula>$BB22=$BD22</formula>
    </cfRule>
  </conditionalFormatting>
  <conditionalFormatting sqref="BC22:BC49">
    <cfRule type="expression" dxfId="43" priority="4" stopIfTrue="1">
      <formula>$BC22=$BD22</formula>
    </cfRule>
  </conditionalFormatting>
  <dataValidations count="1">
    <dataValidation type="list" allowBlank="1" showInputMessage="1" showErrorMessage="1" sqref="N57:R57" xr:uid="{50AE4648-F148-4D18-814C-7BE619FC9BA2}">
      <formula1>"Zulkifli Bastiandi, Teuku Syamsul Rizal, Nurhidayad Dawoed"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9" scale="2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8DA6-694A-4F96-8FD4-FCE07F81B382}">
  <sheetPr codeName="Sheet11">
    <pageSetUpPr fitToPage="1"/>
  </sheetPr>
  <dimension ref="A1:BH84"/>
  <sheetViews>
    <sheetView showGridLines="0" topLeftCell="AB1" zoomScale="55" zoomScaleNormal="55" zoomScaleSheetLayoutView="55" workbookViewId="0">
      <selection activeCell="BH49" sqref="BH49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0" width="10.7109375" style="4" customWidth="1"/>
    <col min="21" max="21" width="10.7109375" style="5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36" width="10.7109375" style="4" customWidth="1"/>
    <col min="37" max="49" width="15.7109375" style="4" customWidth="1"/>
    <col min="50" max="50" width="15.7109375" style="56" customWidth="1"/>
    <col min="51" max="51" width="22" style="55" bestFit="1" customWidth="1"/>
    <col min="52" max="52" width="12" style="4" customWidth="1" outlineLevel="1"/>
    <col min="53" max="53" width="4.7109375" style="66" customWidth="1" outlineLevel="1"/>
    <col min="54" max="54" width="22" style="55" customWidth="1" outlineLevel="1"/>
    <col min="55" max="55" width="9.7109375" style="4" customWidth="1" outlineLevel="1"/>
    <col min="56" max="56" width="4.7109375" style="4" customWidth="1" outlineLevel="1"/>
    <col min="57" max="57" width="22" style="55" bestFit="1" customWidth="1" outlineLevel="1"/>
    <col min="58" max="58" width="9.28515625" customWidth="1"/>
    <col min="59" max="59" width="9.28515625" style="4" customWidth="1"/>
    <col min="60" max="60" width="20.7109375" style="5" customWidth="1"/>
    <col min="61" max="16384" width="9.28515625" style="4" hidden="1"/>
  </cols>
  <sheetData>
    <row r="1" spans="2:60" s="1" customFormat="1" ht="13.5" x14ac:dyDescent="0.25">
      <c r="D1" s="2"/>
      <c r="U1" s="3"/>
      <c r="AX1" s="79"/>
      <c r="AY1" s="70"/>
      <c r="BA1" s="65"/>
      <c r="BB1" s="70"/>
      <c r="BE1" s="70"/>
      <c r="BH1" s="3"/>
    </row>
    <row r="2" spans="2:60" s="1" customFormat="1" ht="13.5" x14ac:dyDescent="0.25">
      <c r="D2" s="2"/>
      <c r="U2" s="3"/>
      <c r="AX2" s="79"/>
      <c r="AY2" s="70"/>
      <c r="BA2" s="65"/>
      <c r="BB2" s="70"/>
      <c r="BE2" s="70"/>
      <c r="BH2" s="3"/>
    </row>
    <row r="3" spans="2:60" ht="17.25" thickBot="1" x14ac:dyDescent="0.3"/>
    <row r="4" spans="2:60" ht="20.100000000000001" customHeight="1" thickTop="1" x14ac:dyDescent="0.25">
      <c r="B4" s="115" t="s">
        <v>2</v>
      </c>
      <c r="C4" s="116"/>
      <c r="D4" s="116"/>
      <c r="E4" s="116"/>
      <c r="F4" s="116"/>
      <c r="G4" s="119" t="s">
        <v>3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6"/>
      <c r="AL4" s="7"/>
    </row>
    <row r="5" spans="2:60" ht="20.100000000000001" customHeight="1" x14ac:dyDescent="0.25">
      <c r="B5" s="117"/>
      <c r="C5" s="118"/>
      <c r="D5" s="118"/>
      <c r="E5" s="118"/>
      <c r="F5" s="118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8"/>
      <c r="AL5" s="9"/>
    </row>
    <row r="6" spans="2:60" ht="20.100000000000001" customHeight="1" x14ac:dyDescent="0.25">
      <c r="B6" s="117"/>
      <c r="C6" s="118"/>
      <c r="D6" s="118"/>
      <c r="E6" s="118"/>
      <c r="F6" s="118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8"/>
      <c r="AL6" s="9"/>
    </row>
    <row r="7" spans="2:60" s="12" customFormat="1" ht="15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U7" s="13"/>
      <c r="AF7" s="14"/>
      <c r="AG7" s="15"/>
      <c r="AI7" s="123"/>
      <c r="AJ7" s="123"/>
      <c r="AK7" s="123"/>
      <c r="AL7" s="124"/>
      <c r="AX7" s="80"/>
      <c r="AY7" s="73"/>
      <c r="BA7" s="67"/>
      <c r="BB7" s="73"/>
      <c r="BE7" s="73"/>
      <c r="BH7" s="13"/>
    </row>
    <row r="8" spans="2:60" s="12" customFormat="1" ht="15" customHeight="1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U8" s="13"/>
      <c r="AF8" s="16"/>
      <c r="AG8" s="15"/>
      <c r="AI8" s="142">
        <f ca="1">TODAY()</f>
        <v>46314</v>
      </c>
      <c r="AJ8" s="142"/>
      <c r="AK8" s="142"/>
      <c r="AL8" s="143"/>
      <c r="AX8" s="80"/>
      <c r="AY8" s="73"/>
      <c r="BA8" s="67"/>
      <c r="BB8" s="73"/>
      <c r="BE8" s="73"/>
      <c r="BH8" s="13"/>
    </row>
    <row r="9" spans="2:60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U9" s="13"/>
      <c r="AH9" s="10"/>
      <c r="AI9" s="17"/>
      <c r="AJ9" s="17"/>
      <c r="AK9" s="17"/>
      <c r="AL9" s="18"/>
      <c r="AX9" s="80"/>
      <c r="AY9" s="73"/>
      <c r="BA9" s="67"/>
      <c r="BB9" s="73"/>
      <c r="BE9" s="73"/>
      <c r="BH9" s="13"/>
    </row>
    <row r="10" spans="2:60" s="1" customFormat="1" ht="14.25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 t="shared" ref="S10" si="0">N10+1</f>
        <v>3</v>
      </c>
      <c r="T10" s="125"/>
      <c r="U10" s="125"/>
      <c r="V10" s="125"/>
      <c r="W10" s="140"/>
      <c r="X10" s="139">
        <f>S10+1</f>
        <v>4</v>
      </c>
      <c r="Y10" s="125"/>
      <c r="Z10" s="125"/>
      <c r="AA10" s="125"/>
      <c r="AB10" s="140"/>
      <c r="AC10" s="139">
        <f t="shared" ref="AC10" si="1">X10+1</f>
        <v>5</v>
      </c>
      <c r="AD10" s="125"/>
      <c r="AE10" s="125"/>
      <c r="AF10" s="125"/>
      <c r="AG10" s="140"/>
      <c r="AH10" s="139">
        <f t="shared" ref="AH10" si="2">AC10+1</f>
        <v>6</v>
      </c>
      <c r="AI10" s="125"/>
      <c r="AJ10" s="125"/>
      <c r="AK10" s="125"/>
      <c r="AL10" s="126"/>
      <c r="AX10" s="79"/>
      <c r="AY10" s="70"/>
      <c r="BA10" s="65"/>
      <c r="BB10" s="70"/>
      <c r="BE10" s="70"/>
      <c r="BH10" s="3"/>
    </row>
    <row r="11" spans="2:60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 t="s">
        <v>47</v>
      </c>
      <c r="J11" s="130"/>
      <c r="K11" s="130"/>
      <c r="L11" s="130"/>
      <c r="M11" s="131"/>
      <c r="N11" s="19"/>
      <c r="O11" s="130"/>
      <c r="P11" s="130"/>
      <c r="Q11" s="130"/>
      <c r="R11" s="131"/>
      <c r="S11" s="19"/>
      <c r="T11" s="130"/>
      <c r="U11" s="130"/>
      <c r="V11" s="130"/>
      <c r="W11" s="131"/>
      <c r="X11" s="19"/>
      <c r="Y11" s="130"/>
      <c r="Z11" s="130"/>
      <c r="AA11" s="130"/>
      <c r="AB11" s="131"/>
      <c r="AC11" s="19"/>
      <c r="AD11" s="130"/>
      <c r="AE11" s="130"/>
      <c r="AF11" s="130"/>
      <c r="AG11" s="131"/>
      <c r="AH11" s="19"/>
      <c r="AI11" s="130"/>
      <c r="AJ11" s="130"/>
      <c r="AK11" s="130"/>
      <c r="AL11" s="280"/>
      <c r="AR11" s="3"/>
      <c r="AS11" s="3"/>
      <c r="AX11" s="79"/>
      <c r="AY11" s="70"/>
      <c r="BA11" s="65"/>
      <c r="BB11" s="70"/>
      <c r="BE11" s="70"/>
      <c r="BH11" s="3"/>
    </row>
    <row r="12" spans="2:60" s="1" customFormat="1" ht="15" customHeight="1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153"/>
      <c r="X12" s="151">
        <v>0</v>
      </c>
      <c r="Y12" s="152"/>
      <c r="Z12" s="152"/>
      <c r="AA12" s="152"/>
      <c r="AB12" s="153"/>
      <c r="AC12" s="151">
        <v>0</v>
      </c>
      <c r="AD12" s="152"/>
      <c r="AE12" s="152"/>
      <c r="AF12" s="152"/>
      <c r="AG12" s="153"/>
      <c r="AH12" s="151">
        <v>0</v>
      </c>
      <c r="AI12" s="152"/>
      <c r="AJ12" s="152"/>
      <c r="AK12" s="152"/>
      <c r="AL12" s="276"/>
      <c r="AR12" s="3"/>
      <c r="AS12" s="3"/>
      <c r="AT12" s="3"/>
      <c r="AX12" s="79"/>
      <c r="AY12" s="70"/>
      <c r="BA12" s="65"/>
      <c r="BB12" s="70"/>
      <c r="BE12" s="70"/>
      <c r="BH12" s="3"/>
    </row>
    <row r="13" spans="2:60" s="1" customFormat="1" ht="36.75" customHeight="1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156"/>
      <c r="X13" s="154"/>
      <c r="Y13" s="155"/>
      <c r="Z13" s="155"/>
      <c r="AA13" s="155"/>
      <c r="AB13" s="156"/>
      <c r="AC13" s="154"/>
      <c r="AD13" s="155"/>
      <c r="AE13" s="155"/>
      <c r="AF13" s="155"/>
      <c r="AG13" s="156"/>
      <c r="AH13" s="154"/>
      <c r="AI13" s="155"/>
      <c r="AJ13" s="155"/>
      <c r="AK13" s="155"/>
      <c r="AL13" s="277"/>
      <c r="AR13" s="3"/>
      <c r="AS13" s="3"/>
      <c r="AT13" s="3"/>
      <c r="AX13" s="79"/>
      <c r="AY13" s="70"/>
      <c r="BA13" s="65"/>
      <c r="BB13" s="70"/>
      <c r="BE13" s="70"/>
      <c r="BH13" s="3"/>
    </row>
    <row r="14" spans="2:60" s="1" customFormat="1" ht="15" customHeight="1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165"/>
      <c r="X14" s="164"/>
      <c r="Y14" s="128"/>
      <c r="Z14" s="128"/>
      <c r="AA14" s="128"/>
      <c r="AB14" s="165"/>
      <c r="AC14" s="164"/>
      <c r="AD14" s="128"/>
      <c r="AE14" s="128"/>
      <c r="AF14" s="128"/>
      <c r="AG14" s="165"/>
      <c r="AH14" s="164"/>
      <c r="AI14" s="128"/>
      <c r="AJ14" s="128"/>
      <c r="AK14" s="128"/>
      <c r="AL14" s="278"/>
      <c r="AR14" s="3"/>
      <c r="AS14" s="3"/>
      <c r="AT14" s="3"/>
      <c r="AX14" s="79"/>
      <c r="AY14" s="70"/>
      <c r="BA14" s="65"/>
      <c r="BB14" s="70"/>
      <c r="BE14" s="70"/>
      <c r="BH14" s="3"/>
    </row>
    <row r="15" spans="2:60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170"/>
      <c r="X15" s="168" t="s">
        <v>47</v>
      </c>
      <c r="Y15" s="169"/>
      <c r="Z15" s="169"/>
      <c r="AA15" s="169"/>
      <c r="AB15" s="170"/>
      <c r="AC15" s="168" t="s">
        <v>47</v>
      </c>
      <c r="AD15" s="169"/>
      <c r="AE15" s="169"/>
      <c r="AF15" s="169"/>
      <c r="AG15" s="170"/>
      <c r="AH15" s="168" t="s">
        <v>47</v>
      </c>
      <c r="AI15" s="169"/>
      <c r="AJ15" s="169"/>
      <c r="AK15" s="169"/>
      <c r="AL15" s="279"/>
      <c r="AX15" s="79"/>
      <c r="AY15" s="70"/>
      <c r="BA15" s="65"/>
      <c r="BB15" s="70"/>
      <c r="BE15" s="70"/>
      <c r="BH15" s="3"/>
    </row>
    <row r="16" spans="2:60" s="1" customFormat="1" ht="20.100000000000001" customHeight="1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74"/>
      <c r="X16" s="172"/>
      <c r="Y16" s="173"/>
      <c r="Z16" s="173"/>
      <c r="AA16" s="173"/>
      <c r="AB16" s="174"/>
      <c r="AC16" s="172"/>
      <c r="AD16" s="173"/>
      <c r="AE16" s="173"/>
      <c r="AF16" s="173"/>
      <c r="AG16" s="174"/>
      <c r="AH16" s="172"/>
      <c r="AI16" s="173"/>
      <c r="AJ16" s="173"/>
      <c r="AK16" s="173"/>
      <c r="AL16" s="184"/>
      <c r="AX16" s="79"/>
      <c r="AY16" s="70"/>
      <c r="BA16" s="65"/>
      <c r="BB16" s="70"/>
      <c r="BE16" s="70"/>
      <c r="BH16" s="3"/>
    </row>
    <row r="17" spans="2:60" s="1" customFormat="1" ht="20.100000000000001" customHeight="1" x14ac:dyDescent="0.25">
      <c r="B17" s="270"/>
      <c r="C17" s="271"/>
      <c r="D17" s="271"/>
      <c r="E17" s="271"/>
      <c r="F17" s="114"/>
      <c r="G17" s="178" t="s">
        <v>15</v>
      </c>
      <c r="H17" s="178"/>
      <c r="I17" s="179"/>
      <c r="J17" s="180"/>
      <c r="K17" s="181"/>
      <c r="L17" s="181"/>
      <c r="M17" s="182"/>
      <c r="N17" s="179"/>
      <c r="O17" s="180"/>
      <c r="P17" s="181"/>
      <c r="Q17" s="181"/>
      <c r="R17" s="182"/>
      <c r="S17" s="179"/>
      <c r="T17" s="180"/>
      <c r="U17" s="181"/>
      <c r="V17" s="181"/>
      <c r="W17" s="182"/>
      <c r="X17" s="179"/>
      <c r="Y17" s="180"/>
      <c r="Z17" s="181"/>
      <c r="AA17" s="181"/>
      <c r="AB17" s="182"/>
      <c r="AC17" s="179"/>
      <c r="AD17" s="180"/>
      <c r="AE17" s="181"/>
      <c r="AF17" s="181"/>
      <c r="AG17" s="182"/>
      <c r="AH17" s="179"/>
      <c r="AI17" s="180"/>
      <c r="AJ17" s="181"/>
      <c r="AK17" s="181"/>
      <c r="AL17" s="185"/>
      <c r="AX17" s="79"/>
      <c r="AY17" s="70"/>
      <c r="BA17" s="65"/>
      <c r="BB17" s="70"/>
      <c r="BE17" s="70"/>
      <c r="BH17" s="3"/>
    </row>
    <row r="18" spans="2:60" s="1" customFormat="1" ht="20.100000000000001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83"/>
      <c r="X18" s="175"/>
      <c r="Y18" s="176"/>
      <c r="Z18" s="176"/>
      <c r="AA18" s="176"/>
      <c r="AB18" s="183"/>
      <c r="AC18" s="175"/>
      <c r="AD18" s="176"/>
      <c r="AE18" s="176"/>
      <c r="AF18" s="176"/>
      <c r="AG18" s="183"/>
      <c r="AH18" s="175"/>
      <c r="AI18" s="176"/>
      <c r="AJ18" s="176"/>
      <c r="AK18" s="176"/>
      <c r="AL18" s="177"/>
      <c r="AR18" s="22">
        <v>1</v>
      </c>
      <c r="AS18" s="22">
        <f>AR18+1</f>
        <v>2</v>
      </c>
      <c r="AT18" s="22">
        <f t="shared" ref="AT18:AW18" si="3">AS18+1</f>
        <v>3</v>
      </c>
      <c r="AU18" s="22">
        <f>AT18+1</f>
        <v>4</v>
      </c>
      <c r="AV18" s="22">
        <f t="shared" si="3"/>
        <v>5</v>
      </c>
      <c r="AW18" s="22">
        <f t="shared" si="3"/>
        <v>6</v>
      </c>
      <c r="AX18" s="273" t="s">
        <v>17</v>
      </c>
      <c r="AY18" s="70"/>
      <c r="BA18" s="65"/>
      <c r="BB18" s="70"/>
      <c r="BE18" s="70"/>
      <c r="BH18" s="3"/>
    </row>
    <row r="19" spans="2:60" s="1" customFormat="1" ht="20.100000000000001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83"/>
      <c r="X19" s="175"/>
      <c r="Y19" s="176"/>
      <c r="Z19" s="176"/>
      <c r="AA19" s="176"/>
      <c r="AB19" s="183"/>
      <c r="AC19" s="175"/>
      <c r="AD19" s="176"/>
      <c r="AE19" s="176"/>
      <c r="AF19" s="176"/>
      <c r="AG19" s="183"/>
      <c r="AH19" s="175"/>
      <c r="AI19" s="176"/>
      <c r="AJ19" s="176"/>
      <c r="AK19" s="176"/>
      <c r="AL19" s="177"/>
      <c r="AR19" s="200">
        <f>J11</f>
        <v>0</v>
      </c>
      <c r="AS19" s="200">
        <f>O11</f>
        <v>0</v>
      </c>
      <c r="AT19" s="200">
        <f>T11</f>
        <v>0</v>
      </c>
      <c r="AU19" s="200">
        <f>Y11</f>
        <v>0</v>
      </c>
      <c r="AV19" s="200">
        <f>AD11</f>
        <v>0</v>
      </c>
      <c r="AW19" s="200">
        <f>AI11</f>
        <v>0</v>
      </c>
      <c r="AX19" s="274"/>
      <c r="BH19" s="3"/>
    </row>
    <row r="20" spans="2:60" s="1" customFormat="1" ht="20.100000000000001" customHeight="1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8"/>
      <c r="X20" s="196"/>
      <c r="Y20" s="197"/>
      <c r="Z20" s="197"/>
      <c r="AA20" s="197"/>
      <c r="AB20" s="198"/>
      <c r="AC20" s="196"/>
      <c r="AD20" s="197"/>
      <c r="AE20" s="197"/>
      <c r="AF20" s="197"/>
      <c r="AG20" s="198"/>
      <c r="AH20" s="196"/>
      <c r="AI20" s="197"/>
      <c r="AJ20" s="197"/>
      <c r="AK20" s="197"/>
      <c r="AL20" s="199"/>
      <c r="AM20" s="47"/>
      <c r="AN20" s="47"/>
      <c r="AR20" s="200"/>
      <c r="AS20" s="200"/>
      <c r="AT20" s="200"/>
      <c r="AU20" s="200"/>
      <c r="AV20" s="200"/>
      <c r="AW20" s="200"/>
      <c r="AX20" s="274"/>
      <c r="AY20" s="70"/>
      <c r="BA20" s="65"/>
      <c r="BB20" s="70"/>
      <c r="BE20" s="70"/>
      <c r="BG20" s="272">
        <f>SUM(BG22:BG33)</f>
        <v>0</v>
      </c>
      <c r="BH20" s="176"/>
    </row>
    <row r="21" spans="2:60" s="37" customFormat="1" ht="15" customHeight="1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29" t="s">
        <v>25</v>
      </c>
      <c r="O21" s="27" t="s">
        <v>17</v>
      </c>
      <c r="P21" s="30" t="s">
        <v>26</v>
      </c>
      <c r="Q21" s="187" t="s">
        <v>27</v>
      </c>
      <c r="R21" s="190"/>
      <c r="S21" s="31" t="s">
        <v>25</v>
      </c>
      <c r="T21" s="27" t="s">
        <v>17</v>
      </c>
      <c r="U21" s="32" t="s">
        <v>26</v>
      </c>
      <c r="V21" s="187" t="s">
        <v>27</v>
      </c>
      <c r="W21" s="191"/>
      <c r="X21" s="33" t="s">
        <v>25</v>
      </c>
      <c r="Y21" s="27" t="s">
        <v>17</v>
      </c>
      <c r="Z21" s="32" t="s">
        <v>26</v>
      </c>
      <c r="AA21" s="187" t="s">
        <v>27</v>
      </c>
      <c r="AB21" s="191"/>
      <c r="AC21" s="33" t="s">
        <v>25</v>
      </c>
      <c r="AD21" s="27" t="s">
        <v>17</v>
      </c>
      <c r="AE21" s="32" t="s">
        <v>26</v>
      </c>
      <c r="AF21" s="187" t="s">
        <v>27</v>
      </c>
      <c r="AG21" s="191"/>
      <c r="AH21" s="34" t="s">
        <v>25</v>
      </c>
      <c r="AI21" s="35" t="s">
        <v>17</v>
      </c>
      <c r="AJ21" s="36" t="s">
        <v>26</v>
      </c>
      <c r="AK21" s="204" t="s">
        <v>27</v>
      </c>
      <c r="AL21" s="205"/>
      <c r="AM21" s="37" t="s">
        <v>28</v>
      </c>
      <c r="AN21" s="37" t="s">
        <v>0</v>
      </c>
      <c r="AO21" s="37" t="s">
        <v>29</v>
      </c>
      <c r="AP21" s="37" t="s">
        <v>30</v>
      </c>
      <c r="AQ21" s="111" t="s">
        <v>1</v>
      </c>
      <c r="AR21" s="200"/>
      <c r="AS21" s="200"/>
      <c r="AT21" s="200"/>
      <c r="AU21" s="200"/>
      <c r="AV21" s="200"/>
      <c r="AW21" s="200"/>
      <c r="AX21" s="275"/>
      <c r="AY21" s="76" t="s">
        <v>31</v>
      </c>
      <c r="AZ21" s="186" t="s">
        <v>32</v>
      </c>
      <c r="BA21" s="186"/>
      <c r="BB21" s="186"/>
      <c r="BC21" s="186" t="s">
        <v>33</v>
      </c>
      <c r="BD21" s="186"/>
      <c r="BE21" s="186"/>
      <c r="BG21" s="281" t="s">
        <v>34</v>
      </c>
      <c r="BH21" s="282"/>
    </row>
    <row r="22" spans="2:60" s="1" customFormat="1" ht="61.5" customHeight="1" x14ac:dyDescent="0.25">
      <c r="B22" s="38">
        <v>1</v>
      </c>
      <c r="C22" s="210"/>
      <c r="D22" s="210"/>
      <c r="E22" s="210"/>
      <c r="F22" s="210"/>
      <c r="G22" s="39"/>
      <c r="H22" s="40"/>
      <c r="I22" s="41"/>
      <c r="J22" s="42" t="str">
        <f>IF($G22="","",$G22*I22)</f>
        <v/>
      </c>
      <c r="K22" s="90"/>
      <c r="L22" s="206" t="str">
        <f>IF($I22="","No Quote",IF($K22="","","No Comply"))</f>
        <v>No Quote</v>
      </c>
      <c r="M22" s="207"/>
      <c r="N22" s="41"/>
      <c r="O22" s="42" t="str">
        <f>IF($G22="","",$G22*N22)</f>
        <v/>
      </c>
      <c r="P22" s="90"/>
      <c r="Q22" s="206" t="str">
        <f>IF($N22="","No Quote",IF($P22="","","No Comply"))</f>
        <v>No Quote</v>
      </c>
      <c r="R22" s="207"/>
      <c r="S22" s="41"/>
      <c r="T22" s="42" t="str">
        <f>IF($G22="","",$G22*S22)</f>
        <v/>
      </c>
      <c r="U22" s="89"/>
      <c r="V22" s="206" t="str">
        <f>IF($S22="","No Quote",IF($U22="","","No Comply"))</f>
        <v>No Quote</v>
      </c>
      <c r="W22" s="207"/>
      <c r="X22" s="41"/>
      <c r="Y22" s="42" t="str">
        <f>IF($G22="","",$G22*X22)</f>
        <v/>
      </c>
      <c r="Z22" s="89"/>
      <c r="AA22" s="206" t="str">
        <f>IF($X22="","No Quote",IF($Z22="","","No Comply"))</f>
        <v>No Quote</v>
      </c>
      <c r="AB22" s="207"/>
      <c r="AC22" s="41"/>
      <c r="AD22" s="42" t="str">
        <f>IF($G22="","",$G22*AC22)</f>
        <v/>
      </c>
      <c r="AE22" s="89"/>
      <c r="AF22" s="206" t="str">
        <f>IF($AC22="","No Quote",IF($AE22="","","No Comply"))</f>
        <v>No Quote</v>
      </c>
      <c r="AG22" s="207"/>
      <c r="AH22" s="41"/>
      <c r="AI22" s="42" t="str">
        <f>IF($G22="","",$G22*AH22)</f>
        <v/>
      </c>
      <c r="AJ22" s="89"/>
      <c r="AK22" s="208" t="str">
        <f>IF($AH22="","No Quote",IF($AJ22="","","No Comply"))</f>
        <v>No Quote</v>
      </c>
      <c r="AL22" s="209"/>
      <c r="AM22" s="87"/>
      <c r="AN22" s="93"/>
      <c r="AO22" s="63" t="str">
        <f>IF(AM22="","",$AM22*$G22)</f>
        <v/>
      </c>
      <c r="AP22" s="92"/>
      <c r="AQ22" s="92"/>
      <c r="AR22" s="77" t="str">
        <f>IF(OR(K22="X",J22=""),"-",J22)</f>
        <v>-</v>
      </c>
      <c r="AS22" s="77" t="str">
        <f>IF(OR(P22="X",O22=""),"-",O22)</f>
        <v>-</v>
      </c>
      <c r="AT22" s="77" t="str">
        <f>IF(OR(U22="X",T22=""),"-",T22)</f>
        <v>-</v>
      </c>
      <c r="AU22" s="77" t="str">
        <f>IF(OR(Z22="X",Y22=""),"-",Y22)</f>
        <v>-</v>
      </c>
      <c r="AV22" s="77" t="str">
        <f>IF(OR(AE22="X",AD22=""),"-",AD22)</f>
        <v>-</v>
      </c>
      <c r="AW22" s="77" t="str">
        <f>IF(OR(AJ22="X",AI22=""),"-",AI22)</f>
        <v>-</v>
      </c>
      <c r="AX22" s="78" t="str">
        <f t="shared" ref="AX22:AX50" si="4">IFERROR(SMALL($AR22:$AW22,COUNTIF($AR22:$AW22,0)+1),"")</f>
        <v/>
      </c>
      <c r="AY22" s="74" t="str">
        <f t="shared" ref="AY22:AY49" si="5">IF(AX22=AR22,$AR$19,IF(AX22=AS22,$AS$19,IF(AX22=AT22,$AT$19,IF(AX22=AU22,$AU$19,IF(AX22=AV22,$AV$19,IF(AX22=AW22,$AW$19,""))))))</f>
        <v/>
      </c>
      <c r="AZ22" s="72" t="str">
        <f t="shared" ref="AZ22:AZ50" si="6">IFERROR(SMALL($AR22:$AW22,2),"")</f>
        <v/>
      </c>
      <c r="BA22" s="71" t="str">
        <f>IFERROR(IF(($AZ22-$AX22)/$AX22&lt;0%,"",($AZ22-$AX22)/$AX22),"")</f>
        <v/>
      </c>
      <c r="BB22" s="74" t="str">
        <f t="shared" ref="BB22:BB49" si="7">IFERROR(IF(AZ22="","",IF(AZ22=AR22,$AR$19,IF(AZ22=AS22,$AS$19,IF(AZ22=AT22,$AT$19,IF(AZ22=AU22,$AU$19,IF(AZ22=AV22,$AV$19,IF(AZ22=AW22,$AW$19,""))))))),"")</f>
        <v/>
      </c>
      <c r="BC22" s="72" t="str">
        <f t="shared" ref="BC22:BC50" si="8">IFERROR(SMALL($AR22:$AW22,3),"")</f>
        <v/>
      </c>
      <c r="BD22" s="71" t="str">
        <f>IFERROR(IF((BC22-$AX22)/$AX22&lt;0%,"",(BC22-$AX22)/$AX22),"")</f>
        <v/>
      </c>
      <c r="BE22" s="74" t="str">
        <f t="shared" ref="BE22:BE49" si="9">IFERROR(IF(BC22="","",IF(BC22=AR22,$AR$19,IF(BC22=AS22,$AS$19,IF(BC22=AT22,$AT$19,IF(BC22=AU22,$AU$19,IF(BC22=AV22,$AV$19,IF(BC22=AW22,$AW$19,""))))))),"")</f>
        <v/>
      </c>
      <c r="BG22" s="99">
        <f t="shared" ref="BG22:BG50" si="10">SUMIFS($AX$22:$AX$49,$AY$22:$AY$49,BH22)</f>
        <v>0</v>
      </c>
      <c r="BH22" s="100" t="str" cm="1">
        <f t="array" ref="BH22">IFERROR(INDEX(_xlfn.UNIQUE(_xlfn._xlws.FILTER($AY$22:$AY$49,($AY$22:$AY$49&lt;&gt;"")*($AY$22:$AY$49&lt;&gt;"-"))),ROWS($BH22:BH$22)),"")</f>
        <v/>
      </c>
    </row>
    <row r="23" spans="2:60" s="1" customFormat="1" ht="61.5" customHeight="1" x14ac:dyDescent="0.25">
      <c r="B23" s="38">
        <f>B22+1</f>
        <v>2</v>
      </c>
      <c r="C23" s="210"/>
      <c r="D23" s="210"/>
      <c r="E23" s="210"/>
      <c r="F23" s="210"/>
      <c r="G23" s="39"/>
      <c r="H23" s="40"/>
      <c r="I23" s="41"/>
      <c r="J23" s="42" t="str">
        <f t="shared" ref="J23:J49" si="11">IF($G23="","",$G23*I23)</f>
        <v/>
      </c>
      <c r="K23" s="90"/>
      <c r="L23" s="206" t="str">
        <f t="shared" ref="L23:L49" si="12">IF($I23="","No Quote",IF($K23="","","No Comply"))</f>
        <v>No Quote</v>
      </c>
      <c r="M23" s="207"/>
      <c r="N23" s="41"/>
      <c r="O23" s="42" t="str">
        <f t="shared" ref="O23:O49" si="13">IF($G23="","",$G23*N23)</f>
        <v/>
      </c>
      <c r="P23" s="90"/>
      <c r="Q23" s="206" t="str">
        <f t="shared" ref="Q23:Q49" si="14">IF($N23="","No Quote",IF($P23="","","No Comply"))</f>
        <v>No Quote</v>
      </c>
      <c r="R23" s="207"/>
      <c r="S23" s="41"/>
      <c r="T23" s="42" t="str">
        <f t="shared" ref="T23:T49" si="15">IF($G23="","",$G23*S23)</f>
        <v/>
      </c>
      <c r="U23" s="89"/>
      <c r="V23" s="206" t="str">
        <f t="shared" ref="V23:V49" si="16">IF($S23="","No Quote",IF($U23="","","No Comply"))</f>
        <v>No Quote</v>
      </c>
      <c r="W23" s="207"/>
      <c r="X23" s="41"/>
      <c r="Y23" s="42" t="str">
        <f t="shared" ref="Y23:Y49" si="17">IF($G23="","",$G23*X23)</f>
        <v/>
      </c>
      <c r="Z23" s="89"/>
      <c r="AA23" s="206" t="str">
        <f t="shared" ref="AA23:AA49" si="18">IF($X23="","No Quote",IF($Z23="","","No Comply"))</f>
        <v>No Quote</v>
      </c>
      <c r="AB23" s="207"/>
      <c r="AC23" s="41"/>
      <c r="AD23" s="42" t="str">
        <f t="shared" ref="AD23:AD49" si="19">IF($G23="","",$G23*AC23)</f>
        <v/>
      </c>
      <c r="AE23" s="89"/>
      <c r="AF23" s="206" t="str">
        <f t="shared" ref="AF23:AF49" si="20">IF($AC23="","No Quote",IF($AE23="","","No Comply"))</f>
        <v>No Quote</v>
      </c>
      <c r="AG23" s="207"/>
      <c r="AH23" s="41"/>
      <c r="AI23" s="42" t="str">
        <f t="shared" ref="AI23:AI49" si="21">IF($G23="","",$G23*AH23)</f>
        <v/>
      </c>
      <c r="AJ23" s="89"/>
      <c r="AK23" s="208" t="str">
        <f t="shared" ref="AK23:AK49" si="22">IF($AH23="","No Quote",IF($AJ23="","","No Comply"))</f>
        <v>No Quote</v>
      </c>
      <c r="AL23" s="209"/>
      <c r="AM23" s="87"/>
      <c r="AN23" s="93"/>
      <c r="AO23" s="63" t="str">
        <f t="shared" ref="AO23:AO49" si="23">IF(AM23="","",$AM23*$G23)</f>
        <v/>
      </c>
      <c r="AP23" s="92"/>
      <c r="AQ23" s="92"/>
      <c r="AR23" s="77" t="str">
        <f t="shared" ref="AR23:AR49" si="24">IF(OR(K23="X",J23=""),"-",J23)</f>
        <v>-</v>
      </c>
      <c r="AS23" s="77" t="str">
        <f t="shared" ref="AS23:AS49" si="25">IF(OR(P23="X",O23=""),"-",O23)</f>
        <v>-</v>
      </c>
      <c r="AT23" s="77" t="str">
        <f t="shared" ref="AT23:AT49" si="26">IF(OR(U23="X",T23=""),"-",T23)</f>
        <v>-</v>
      </c>
      <c r="AU23" s="77" t="str">
        <f t="shared" ref="AU23:AU49" si="27">IF(OR(Z23="X",Y23=""),"-",Y23)</f>
        <v>-</v>
      </c>
      <c r="AV23" s="77" t="str">
        <f t="shared" ref="AV23:AV49" si="28">IF(OR(AE23="X",AD23=""),"-",AD23)</f>
        <v>-</v>
      </c>
      <c r="AW23" s="77" t="str">
        <f t="shared" ref="AW23:AW49" si="29">IF(OR(AJ23="X",AI23=""),"-",AI23)</f>
        <v>-</v>
      </c>
      <c r="AX23" s="78" t="str">
        <f t="shared" si="4"/>
        <v/>
      </c>
      <c r="AY23" s="74" t="str">
        <f t="shared" si="5"/>
        <v/>
      </c>
      <c r="AZ23" s="72" t="str">
        <f t="shared" si="6"/>
        <v/>
      </c>
      <c r="BA23" s="71" t="str">
        <f t="shared" ref="BA23:BA50" si="30">IFERROR(IF(($AZ23-$AX23)/$AX23&lt;0%,"",($AZ23-$AX23)/$AX23),"")</f>
        <v/>
      </c>
      <c r="BB23" s="74" t="str">
        <f t="shared" si="7"/>
        <v/>
      </c>
      <c r="BC23" s="72" t="str">
        <f t="shared" si="8"/>
        <v/>
      </c>
      <c r="BD23" s="71" t="str">
        <f t="shared" ref="BD23:BD49" si="31">IFERROR(IF((BC23-$AX23)/$AX23&lt;0%,"",(BC23-$AX23)/$AX23),"")</f>
        <v/>
      </c>
      <c r="BE23" s="74" t="str">
        <f t="shared" si="9"/>
        <v/>
      </c>
      <c r="BG23" s="99">
        <f t="shared" si="10"/>
        <v>0</v>
      </c>
      <c r="BH23" s="100" t="str" cm="1">
        <f t="array" ref="BH23">IFERROR(INDEX(_xlfn.UNIQUE(_xlfn._xlws.FILTER($AY$22:$AY$49,($AY$22:$AY$49&lt;&gt;"")*($AY$22:$AY$49&lt;&gt;"-"))),ROWS($BH$22:BH23)),"")</f>
        <v/>
      </c>
    </row>
    <row r="24" spans="2:60" s="1" customFormat="1" ht="61.5" customHeight="1" x14ac:dyDescent="0.25">
      <c r="B24" s="38">
        <f t="shared" ref="B24:B49" si="32">B23+1</f>
        <v>3</v>
      </c>
      <c r="C24" s="210"/>
      <c r="D24" s="210"/>
      <c r="E24" s="210"/>
      <c r="F24" s="210"/>
      <c r="G24" s="39"/>
      <c r="H24" s="40"/>
      <c r="I24" s="41"/>
      <c r="J24" s="42" t="str">
        <f t="shared" si="11"/>
        <v/>
      </c>
      <c r="K24" s="90"/>
      <c r="L24" s="206" t="str">
        <f t="shared" si="12"/>
        <v>No Quote</v>
      </c>
      <c r="M24" s="207"/>
      <c r="N24" s="41"/>
      <c r="O24" s="42" t="str">
        <f t="shared" si="13"/>
        <v/>
      </c>
      <c r="P24" s="90"/>
      <c r="Q24" s="206" t="str">
        <f t="shared" si="14"/>
        <v>No Quote</v>
      </c>
      <c r="R24" s="207"/>
      <c r="S24" s="41"/>
      <c r="T24" s="42" t="str">
        <f t="shared" si="15"/>
        <v/>
      </c>
      <c r="U24" s="89"/>
      <c r="V24" s="206" t="str">
        <f t="shared" si="16"/>
        <v>No Quote</v>
      </c>
      <c r="W24" s="207"/>
      <c r="X24" s="41"/>
      <c r="Y24" s="42" t="str">
        <f t="shared" si="17"/>
        <v/>
      </c>
      <c r="Z24" s="89"/>
      <c r="AA24" s="206" t="str">
        <f t="shared" si="18"/>
        <v>No Quote</v>
      </c>
      <c r="AB24" s="207"/>
      <c r="AC24" s="41"/>
      <c r="AD24" s="42" t="str">
        <f t="shared" si="19"/>
        <v/>
      </c>
      <c r="AE24" s="89"/>
      <c r="AF24" s="206" t="str">
        <f t="shared" si="20"/>
        <v>No Quote</v>
      </c>
      <c r="AG24" s="207"/>
      <c r="AH24" s="41"/>
      <c r="AI24" s="42" t="str">
        <f t="shared" si="21"/>
        <v/>
      </c>
      <c r="AJ24" s="89"/>
      <c r="AK24" s="208" t="str">
        <f t="shared" si="22"/>
        <v>No Quote</v>
      </c>
      <c r="AL24" s="209"/>
      <c r="AM24" s="87"/>
      <c r="AN24" s="93"/>
      <c r="AO24" s="63" t="str">
        <f t="shared" si="23"/>
        <v/>
      </c>
      <c r="AP24" s="92"/>
      <c r="AQ24" s="92"/>
      <c r="AR24" s="77" t="str">
        <f t="shared" si="24"/>
        <v>-</v>
      </c>
      <c r="AS24" s="77" t="str">
        <f t="shared" si="25"/>
        <v>-</v>
      </c>
      <c r="AT24" s="77" t="str">
        <f t="shared" si="26"/>
        <v>-</v>
      </c>
      <c r="AU24" s="77" t="str">
        <f t="shared" si="27"/>
        <v>-</v>
      </c>
      <c r="AV24" s="77" t="str">
        <f t="shared" si="28"/>
        <v>-</v>
      </c>
      <c r="AW24" s="77" t="str">
        <f t="shared" si="29"/>
        <v>-</v>
      </c>
      <c r="AX24" s="78" t="str">
        <f t="shared" si="4"/>
        <v/>
      </c>
      <c r="AY24" s="74" t="str">
        <f t="shared" si="5"/>
        <v/>
      </c>
      <c r="AZ24" s="72" t="str">
        <f t="shared" si="6"/>
        <v/>
      </c>
      <c r="BA24" s="71" t="str">
        <f t="shared" si="30"/>
        <v/>
      </c>
      <c r="BB24" s="74" t="str">
        <f t="shared" si="7"/>
        <v/>
      </c>
      <c r="BC24" s="72" t="str">
        <f t="shared" si="8"/>
        <v/>
      </c>
      <c r="BD24" s="71" t="str">
        <f t="shared" si="31"/>
        <v/>
      </c>
      <c r="BE24" s="74" t="str">
        <f t="shared" si="9"/>
        <v/>
      </c>
      <c r="BG24" s="99">
        <f t="shared" si="10"/>
        <v>0</v>
      </c>
      <c r="BH24" s="100" t="str" cm="1">
        <f t="array" ref="BH24">IFERROR(INDEX(_xlfn.UNIQUE(_xlfn._xlws.FILTER($AY$22:$AY$49,($AY$22:$AY$49&lt;&gt;"")*($AY$22:$AY$49&lt;&gt;"-"))),ROWS($BH$22:BH24)),"")</f>
        <v/>
      </c>
    </row>
    <row r="25" spans="2:60" s="1" customFormat="1" ht="61.5" customHeight="1" x14ac:dyDescent="0.25">
      <c r="B25" s="38">
        <f t="shared" si="32"/>
        <v>4</v>
      </c>
      <c r="C25" s="210"/>
      <c r="D25" s="210"/>
      <c r="E25" s="210"/>
      <c r="F25" s="210"/>
      <c r="G25" s="39"/>
      <c r="H25" s="40"/>
      <c r="I25" s="41"/>
      <c r="J25" s="42" t="str">
        <f t="shared" si="11"/>
        <v/>
      </c>
      <c r="K25" s="90"/>
      <c r="L25" s="206" t="str">
        <f t="shared" si="12"/>
        <v>No Quote</v>
      </c>
      <c r="M25" s="207"/>
      <c r="N25" s="41"/>
      <c r="O25" s="42" t="str">
        <f t="shared" si="13"/>
        <v/>
      </c>
      <c r="P25" s="90"/>
      <c r="Q25" s="206" t="str">
        <f t="shared" si="14"/>
        <v>No Quote</v>
      </c>
      <c r="R25" s="207"/>
      <c r="S25" s="41"/>
      <c r="T25" s="42" t="str">
        <f t="shared" si="15"/>
        <v/>
      </c>
      <c r="U25" s="89"/>
      <c r="V25" s="206" t="str">
        <f t="shared" si="16"/>
        <v>No Quote</v>
      </c>
      <c r="W25" s="207"/>
      <c r="X25" s="41"/>
      <c r="Y25" s="42" t="str">
        <f t="shared" si="17"/>
        <v/>
      </c>
      <c r="Z25" s="89"/>
      <c r="AA25" s="206" t="str">
        <f t="shared" si="18"/>
        <v>No Quote</v>
      </c>
      <c r="AB25" s="207"/>
      <c r="AC25" s="41"/>
      <c r="AD25" s="42" t="str">
        <f t="shared" si="19"/>
        <v/>
      </c>
      <c r="AE25" s="89"/>
      <c r="AF25" s="206" t="str">
        <f t="shared" si="20"/>
        <v>No Quote</v>
      </c>
      <c r="AG25" s="207"/>
      <c r="AH25" s="41"/>
      <c r="AI25" s="42" t="str">
        <f t="shared" si="21"/>
        <v/>
      </c>
      <c r="AJ25" s="89"/>
      <c r="AK25" s="208" t="str">
        <f t="shared" si="22"/>
        <v>No Quote</v>
      </c>
      <c r="AL25" s="209"/>
      <c r="AM25" s="87"/>
      <c r="AN25" s="93"/>
      <c r="AO25" s="63" t="str">
        <f t="shared" si="23"/>
        <v/>
      </c>
      <c r="AP25" s="92"/>
      <c r="AQ25" s="92"/>
      <c r="AR25" s="77" t="str">
        <f t="shared" si="24"/>
        <v>-</v>
      </c>
      <c r="AS25" s="77" t="str">
        <f t="shared" si="25"/>
        <v>-</v>
      </c>
      <c r="AT25" s="77" t="str">
        <f t="shared" si="26"/>
        <v>-</v>
      </c>
      <c r="AU25" s="77" t="str">
        <f t="shared" si="27"/>
        <v>-</v>
      </c>
      <c r="AV25" s="77" t="str">
        <f t="shared" si="28"/>
        <v>-</v>
      </c>
      <c r="AW25" s="77" t="str">
        <f t="shared" si="29"/>
        <v>-</v>
      </c>
      <c r="AX25" s="78" t="str">
        <f t="shared" si="4"/>
        <v/>
      </c>
      <c r="AY25" s="74" t="str">
        <f t="shared" si="5"/>
        <v/>
      </c>
      <c r="AZ25" s="72" t="str">
        <f t="shared" si="6"/>
        <v/>
      </c>
      <c r="BA25" s="71" t="str">
        <f t="shared" si="30"/>
        <v/>
      </c>
      <c r="BB25" s="74" t="str">
        <f t="shared" si="7"/>
        <v/>
      </c>
      <c r="BC25" s="72" t="str">
        <f t="shared" si="8"/>
        <v/>
      </c>
      <c r="BD25" s="71" t="str">
        <f t="shared" si="31"/>
        <v/>
      </c>
      <c r="BE25" s="74" t="str">
        <f t="shared" si="9"/>
        <v/>
      </c>
      <c r="BG25" s="99">
        <f t="shared" si="10"/>
        <v>0</v>
      </c>
      <c r="BH25" s="100" t="str" cm="1">
        <f t="array" ref="BH25">IFERROR(INDEX(_xlfn.UNIQUE(_xlfn._xlws.FILTER($AY$22:$AY$49,($AY$22:$AY$49&lt;&gt;"")*($AY$22:$AY$49&lt;&gt;"-"))),ROWS($BH$22:BH25)),"")</f>
        <v/>
      </c>
    </row>
    <row r="26" spans="2:60" s="1" customFormat="1" ht="61.5" customHeight="1" x14ac:dyDescent="0.25">
      <c r="B26" s="38">
        <f t="shared" si="32"/>
        <v>5</v>
      </c>
      <c r="C26" s="210"/>
      <c r="D26" s="210"/>
      <c r="E26" s="210"/>
      <c r="F26" s="210"/>
      <c r="G26" s="39"/>
      <c r="H26" s="40"/>
      <c r="I26" s="41"/>
      <c r="J26" s="42" t="str">
        <f t="shared" si="11"/>
        <v/>
      </c>
      <c r="K26" s="90"/>
      <c r="L26" s="206" t="str">
        <f t="shared" si="12"/>
        <v>No Quote</v>
      </c>
      <c r="M26" s="207"/>
      <c r="N26" s="41"/>
      <c r="O26" s="42" t="str">
        <f t="shared" si="13"/>
        <v/>
      </c>
      <c r="P26" s="90"/>
      <c r="Q26" s="206" t="str">
        <f t="shared" si="14"/>
        <v>No Quote</v>
      </c>
      <c r="R26" s="207"/>
      <c r="S26" s="41"/>
      <c r="T26" s="42" t="str">
        <f t="shared" si="15"/>
        <v/>
      </c>
      <c r="U26" s="89"/>
      <c r="V26" s="206" t="str">
        <f t="shared" si="16"/>
        <v>No Quote</v>
      </c>
      <c r="W26" s="207"/>
      <c r="X26" s="41"/>
      <c r="Y26" s="42" t="str">
        <f t="shared" si="17"/>
        <v/>
      </c>
      <c r="Z26" s="89"/>
      <c r="AA26" s="206" t="str">
        <f t="shared" si="18"/>
        <v>No Quote</v>
      </c>
      <c r="AB26" s="207"/>
      <c r="AC26" s="41"/>
      <c r="AD26" s="42" t="str">
        <f t="shared" si="19"/>
        <v/>
      </c>
      <c r="AE26" s="89"/>
      <c r="AF26" s="206" t="str">
        <f t="shared" si="20"/>
        <v>No Quote</v>
      </c>
      <c r="AG26" s="207"/>
      <c r="AH26" s="41"/>
      <c r="AI26" s="42" t="str">
        <f t="shared" si="21"/>
        <v/>
      </c>
      <c r="AJ26" s="89"/>
      <c r="AK26" s="208" t="str">
        <f t="shared" si="22"/>
        <v>No Quote</v>
      </c>
      <c r="AL26" s="209"/>
      <c r="AM26" s="87"/>
      <c r="AN26" s="93"/>
      <c r="AO26" s="63" t="str">
        <f t="shared" si="23"/>
        <v/>
      </c>
      <c r="AP26" s="92"/>
      <c r="AQ26" s="92"/>
      <c r="AR26" s="77" t="str">
        <f t="shared" si="24"/>
        <v>-</v>
      </c>
      <c r="AS26" s="77" t="str">
        <f t="shared" si="25"/>
        <v>-</v>
      </c>
      <c r="AT26" s="77" t="str">
        <f t="shared" si="26"/>
        <v>-</v>
      </c>
      <c r="AU26" s="77" t="str">
        <f t="shared" si="27"/>
        <v>-</v>
      </c>
      <c r="AV26" s="77" t="str">
        <f t="shared" si="28"/>
        <v>-</v>
      </c>
      <c r="AW26" s="77" t="str">
        <f t="shared" si="29"/>
        <v>-</v>
      </c>
      <c r="AX26" s="78" t="str">
        <f t="shared" si="4"/>
        <v/>
      </c>
      <c r="AY26" s="74" t="str">
        <f t="shared" si="5"/>
        <v/>
      </c>
      <c r="AZ26" s="72" t="str">
        <f t="shared" si="6"/>
        <v/>
      </c>
      <c r="BA26" s="71" t="str">
        <f t="shared" si="30"/>
        <v/>
      </c>
      <c r="BB26" s="74" t="str">
        <f t="shared" si="7"/>
        <v/>
      </c>
      <c r="BC26" s="72" t="str">
        <f t="shared" si="8"/>
        <v/>
      </c>
      <c r="BD26" s="71" t="str">
        <f t="shared" si="31"/>
        <v/>
      </c>
      <c r="BE26" s="74" t="str">
        <f t="shared" si="9"/>
        <v/>
      </c>
      <c r="BG26" s="99">
        <f t="shared" si="10"/>
        <v>0</v>
      </c>
      <c r="BH26" s="100" t="str" cm="1">
        <f t="array" ref="BH26">IFERROR(INDEX(_xlfn.UNIQUE(_xlfn._xlws.FILTER($AY$22:$AY$49,($AY$22:$AY$49&lt;&gt;"")*($AY$22:$AY$49&lt;&gt;"-"))),ROWS($BH$22:BH26)),"")</f>
        <v/>
      </c>
    </row>
    <row r="27" spans="2:60" s="1" customFormat="1" ht="61.5" customHeight="1" outlineLevel="1" x14ac:dyDescent="0.25">
      <c r="B27" s="38">
        <f t="shared" si="32"/>
        <v>6</v>
      </c>
      <c r="C27" s="210"/>
      <c r="D27" s="210"/>
      <c r="E27" s="210"/>
      <c r="F27" s="210"/>
      <c r="G27" s="39"/>
      <c r="H27" s="40"/>
      <c r="I27" s="41"/>
      <c r="J27" s="42" t="str">
        <f t="shared" si="11"/>
        <v/>
      </c>
      <c r="K27" s="90"/>
      <c r="L27" s="206" t="str">
        <f t="shared" si="12"/>
        <v>No Quote</v>
      </c>
      <c r="M27" s="207"/>
      <c r="N27" s="41"/>
      <c r="O27" s="42" t="str">
        <f t="shared" si="13"/>
        <v/>
      </c>
      <c r="P27" s="90"/>
      <c r="Q27" s="206" t="str">
        <f t="shared" si="14"/>
        <v>No Quote</v>
      </c>
      <c r="R27" s="207"/>
      <c r="S27" s="41"/>
      <c r="T27" s="42" t="str">
        <f t="shared" si="15"/>
        <v/>
      </c>
      <c r="U27" s="89"/>
      <c r="V27" s="206" t="str">
        <f t="shared" si="16"/>
        <v>No Quote</v>
      </c>
      <c r="W27" s="207"/>
      <c r="X27" s="41"/>
      <c r="Y27" s="42" t="str">
        <f t="shared" si="17"/>
        <v/>
      </c>
      <c r="Z27" s="89"/>
      <c r="AA27" s="206" t="str">
        <f t="shared" si="18"/>
        <v>No Quote</v>
      </c>
      <c r="AB27" s="207"/>
      <c r="AC27" s="41"/>
      <c r="AD27" s="42" t="str">
        <f t="shared" si="19"/>
        <v/>
      </c>
      <c r="AE27" s="89"/>
      <c r="AF27" s="206" t="str">
        <f t="shared" si="20"/>
        <v>No Quote</v>
      </c>
      <c r="AG27" s="207"/>
      <c r="AH27" s="41"/>
      <c r="AI27" s="42" t="str">
        <f t="shared" si="21"/>
        <v/>
      </c>
      <c r="AJ27" s="89"/>
      <c r="AK27" s="208" t="str">
        <f t="shared" si="22"/>
        <v>No Quote</v>
      </c>
      <c r="AL27" s="209"/>
      <c r="AM27" s="87"/>
      <c r="AN27" s="93"/>
      <c r="AO27" s="63" t="str">
        <f t="shared" si="23"/>
        <v/>
      </c>
      <c r="AP27" s="92"/>
      <c r="AQ27" s="92"/>
      <c r="AR27" s="77" t="str">
        <f t="shared" si="24"/>
        <v>-</v>
      </c>
      <c r="AS27" s="77" t="str">
        <f t="shared" si="25"/>
        <v>-</v>
      </c>
      <c r="AT27" s="77" t="str">
        <f t="shared" si="26"/>
        <v>-</v>
      </c>
      <c r="AU27" s="77" t="str">
        <f t="shared" si="27"/>
        <v>-</v>
      </c>
      <c r="AV27" s="77" t="str">
        <f t="shared" si="28"/>
        <v>-</v>
      </c>
      <c r="AW27" s="77" t="str">
        <f t="shared" si="29"/>
        <v>-</v>
      </c>
      <c r="AX27" s="78" t="str">
        <f t="shared" si="4"/>
        <v/>
      </c>
      <c r="AY27" s="74" t="str">
        <f t="shared" si="5"/>
        <v/>
      </c>
      <c r="AZ27" s="72" t="str">
        <f t="shared" si="6"/>
        <v/>
      </c>
      <c r="BA27" s="71" t="str">
        <f t="shared" si="30"/>
        <v/>
      </c>
      <c r="BB27" s="74" t="str">
        <f t="shared" si="7"/>
        <v/>
      </c>
      <c r="BC27" s="72" t="str">
        <f t="shared" si="8"/>
        <v/>
      </c>
      <c r="BD27" s="71" t="str">
        <f t="shared" si="31"/>
        <v/>
      </c>
      <c r="BE27" s="74" t="str">
        <f t="shared" si="9"/>
        <v/>
      </c>
      <c r="BG27" s="99">
        <f t="shared" si="10"/>
        <v>0</v>
      </c>
      <c r="BH27" s="100" t="str" cm="1">
        <f t="array" ref="BH27">IFERROR(INDEX(_xlfn.UNIQUE(_xlfn._xlws.FILTER($AY$22:$AY$49,($AY$22:$AY$49&lt;&gt;"")*($AY$22:$AY$49&lt;&gt;"-"))),ROWS($BH$22:BH27)),"")</f>
        <v/>
      </c>
    </row>
    <row r="28" spans="2:60" s="1" customFormat="1" ht="61.5" customHeight="1" outlineLevel="1" x14ac:dyDescent="0.25">
      <c r="B28" s="38">
        <f t="shared" si="32"/>
        <v>7</v>
      </c>
      <c r="C28" s="210"/>
      <c r="D28" s="210"/>
      <c r="E28" s="210"/>
      <c r="F28" s="210"/>
      <c r="G28" s="39"/>
      <c r="H28" s="40"/>
      <c r="I28" s="41"/>
      <c r="J28" s="42" t="str">
        <f t="shared" si="11"/>
        <v/>
      </c>
      <c r="K28" s="90"/>
      <c r="L28" s="206" t="str">
        <f t="shared" si="12"/>
        <v>No Quote</v>
      </c>
      <c r="M28" s="207"/>
      <c r="N28" s="41"/>
      <c r="O28" s="42" t="str">
        <f t="shared" si="13"/>
        <v/>
      </c>
      <c r="P28" s="90"/>
      <c r="Q28" s="206" t="str">
        <f t="shared" si="14"/>
        <v>No Quote</v>
      </c>
      <c r="R28" s="207"/>
      <c r="S28" s="41"/>
      <c r="T28" s="42" t="str">
        <f t="shared" si="15"/>
        <v/>
      </c>
      <c r="U28" s="89"/>
      <c r="V28" s="206" t="str">
        <f t="shared" si="16"/>
        <v>No Quote</v>
      </c>
      <c r="W28" s="207"/>
      <c r="X28" s="41"/>
      <c r="Y28" s="42" t="str">
        <f t="shared" si="17"/>
        <v/>
      </c>
      <c r="Z28" s="89"/>
      <c r="AA28" s="206" t="str">
        <f t="shared" si="18"/>
        <v>No Quote</v>
      </c>
      <c r="AB28" s="207"/>
      <c r="AC28" s="41"/>
      <c r="AD28" s="42" t="str">
        <f t="shared" si="19"/>
        <v/>
      </c>
      <c r="AE28" s="89"/>
      <c r="AF28" s="206" t="str">
        <f t="shared" si="20"/>
        <v>No Quote</v>
      </c>
      <c r="AG28" s="207"/>
      <c r="AH28" s="41"/>
      <c r="AI28" s="42" t="str">
        <f t="shared" si="21"/>
        <v/>
      </c>
      <c r="AJ28" s="89"/>
      <c r="AK28" s="208" t="str">
        <f t="shared" si="22"/>
        <v>No Quote</v>
      </c>
      <c r="AL28" s="209"/>
      <c r="AM28" s="87"/>
      <c r="AN28" s="93"/>
      <c r="AO28" s="63" t="str">
        <f t="shared" si="23"/>
        <v/>
      </c>
      <c r="AP28" s="92"/>
      <c r="AQ28" s="92"/>
      <c r="AR28" s="77" t="str">
        <f t="shared" si="24"/>
        <v>-</v>
      </c>
      <c r="AS28" s="77" t="str">
        <f t="shared" si="25"/>
        <v>-</v>
      </c>
      <c r="AT28" s="77" t="str">
        <f t="shared" si="26"/>
        <v>-</v>
      </c>
      <c r="AU28" s="77" t="str">
        <f t="shared" si="27"/>
        <v>-</v>
      </c>
      <c r="AV28" s="77" t="str">
        <f t="shared" si="28"/>
        <v>-</v>
      </c>
      <c r="AW28" s="77" t="str">
        <f t="shared" si="29"/>
        <v>-</v>
      </c>
      <c r="AX28" s="78" t="str">
        <f t="shared" si="4"/>
        <v/>
      </c>
      <c r="AY28" s="74" t="str">
        <f t="shared" si="5"/>
        <v/>
      </c>
      <c r="AZ28" s="72" t="str">
        <f t="shared" si="6"/>
        <v/>
      </c>
      <c r="BA28" s="71" t="str">
        <f t="shared" si="30"/>
        <v/>
      </c>
      <c r="BB28" s="74" t="str">
        <f t="shared" si="7"/>
        <v/>
      </c>
      <c r="BC28" s="72" t="str">
        <f t="shared" si="8"/>
        <v/>
      </c>
      <c r="BD28" s="71" t="str">
        <f t="shared" si="31"/>
        <v/>
      </c>
      <c r="BE28" s="74" t="str">
        <f t="shared" si="9"/>
        <v/>
      </c>
      <c r="BG28" s="99">
        <f t="shared" si="10"/>
        <v>0</v>
      </c>
      <c r="BH28" s="100" t="str" cm="1">
        <f t="array" ref="BH28">IFERROR(INDEX(_xlfn.UNIQUE(_xlfn._xlws.FILTER($AY$22:$AY$49,($AY$22:$AY$49&lt;&gt;"")*($AY$22:$AY$49&lt;&gt;"-"))),ROWS($BH$22:BH28)),"")</f>
        <v/>
      </c>
    </row>
    <row r="29" spans="2:60" s="1" customFormat="1" ht="61.5" customHeight="1" outlineLevel="1" x14ac:dyDescent="0.25">
      <c r="B29" s="38">
        <f t="shared" si="32"/>
        <v>8</v>
      </c>
      <c r="C29" s="210"/>
      <c r="D29" s="210"/>
      <c r="E29" s="210"/>
      <c r="F29" s="210"/>
      <c r="G29" s="39"/>
      <c r="H29" s="40"/>
      <c r="I29" s="41"/>
      <c r="J29" s="42" t="str">
        <f t="shared" si="11"/>
        <v/>
      </c>
      <c r="K29" s="90"/>
      <c r="L29" s="206" t="str">
        <f t="shared" si="12"/>
        <v>No Quote</v>
      </c>
      <c r="M29" s="207"/>
      <c r="N29" s="41"/>
      <c r="O29" s="42" t="str">
        <f t="shared" si="13"/>
        <v/>
      </c>
      <c r="P29" s="90"/>
      <c r="Q29" s="206" t="str">
        <f t="shared" si="14"/>
        <v>No Quote</v>
      </c>
      <c r="R29" s="207"/>
      <c r="S29" s="41"/>
      <c r="T29" s="42" t="str">
        <f t="shared" si="15"/>
        <v/>
      </c>
      <c r="U29" s="89"/>
      <c r="V29" s="206" t="str">
        <f t="shared" si="16"/>
        <v>No Quote</v>
      </c>
      <c r="W29" s="207"/>
      <c r="X29" s="41"/>
      <c r="Y29" s="42" t="str">
        <f t="shared" si="17"/>
        <v/>
      </c>
      <c r="Z29" s="89"/>
      <c r="AA29" s="206" t="str">
        <f t="shared" si="18"/>
        <v>No Quote</v>
      </c>
      <c r="AB29" s="207"/>
      <c r="AC29" s="41"/>
      <c r="AD29" s="42" t="str">
        <f t="shared" si="19"/>
        <v/>
      </c>
      <c r="AE29" s="89"/>
      <c r="AF29" s="206" t="str">
        <f t="shared" si="20"/>
        <v>No Quote</v>
      </c>
      <c r="AG29" s="207"/>
      <c r="AH29" s="41"/>
      <c r="AI29" s="42" t="str">
        <f t="shared" si="21"/>
        <v/>
      </c>
      <c r="AJ29" s="89"/>
      <c r="AK29" s="208" t="str">
        <f t="shared" si="22"/>
        <v>No Quote</v>
      </c>
      <c r="AL29" s="209"/>
      <c r="AM29" s="87"/>
      <c r="AN29" s="93"/>
      <c r="AO29" s="63" t="str">
        <f t="shared" si="23"/>
        <v/>
      </c>
      <c r="AP29" s="92"/>
      <c r="AQ29" s="92"/>
      <c r="AR29" s="77" t="str">
        <f t="shared" si="24"/>
        <v>-</v>
      </c>
      <c r="AS29" s="77" t="str">
        <f t="shared" si="25"/>
        <v>-</v>
      </c>
      <c r="AT29" s="77" t="str">
        <f t="shared" si="26"/>
        <v>-</v>
      </c>
      <c r="AU29" s="77" t="str">
        <f t="shared" si="27"/>
        <v>-</v>
      </c>
      <c r="AV29" s="77" t="str">
        <f t="shared" si="28"/>
        <v>-</v>
      </c>
      <c r="AW29" s="77" t="str">
        <f t="shared" si="29"/>
        <v>-</v>
      </c>
      <c r="AX29" s="78" t="str">
        <f t="shared" si="4"/>
        <v/>
      </c>
      <c r="AY29" s="74" t="str">
        <f t="shared" si="5"/>
        <v/>
      </c>
      <c r="AZ29" s="72" t="str">
        <f t="shared" si="6"/>
        <v/>
      </c>
      <c r="BA29" s="71" t="str">
        <f t="shared" si="30"/>
        <v/>
      </c>
      <c r="BB29" s="74" t="str">
        <f t="shared" si="7"/>
        <v/>
      </c>
      <c r="BC29" s="72" t="str">
        <f t="shared" si="8"/>
        <v/>
      </c>
      <c r="BD29" s="71" t="str">
        <f t="shared" si="31"/>
        <v/>
      </c>
      <c r="BE29" s="74" t="str">
        <f t="shared" si="9"/>
        <v/>
      </c>
      <c r="BG29" s="99">
        <f t="shared" si="10"/>
        <v>0</v>
      </c>
      <c r="BH29" s="100" t="str" cm="1">
        <f t="array" ref="BH29">IFERROR(INDEX(_xlfn.UNIQUE(_xlfn._xlws.FILTER($AY$22:$AY$49,($AY$22:$AY$49&lt;&gt;"")*($AY$22:$AY$49&lt;&gt;"-"))),ROWS($BH$22:BH29)),"")</f>
        <v/>
      </c>
    </row>
    <row r="30" spans="2:60" s="1" customFormat="1" ht="61.5" customHeight="1" outlineLevel="1" x14ac:dyDescent="0.25">
      <c r="B30" s="38">
        <f t="shared" si="32"/>
        <v>9</v>
      </c>
      <c r="C30" s="210"/>
      <c r="D30" s="210"/>
      <c r="E30" s="210"/>
      <c r="F30" s="210"/>
      <c r="G30" s="39"/>
      <c r="H30" s="40"/>
      <c r="I30" s="41"/>
      <c r="J30" s="42" t="str">
        <f t="shared" si="11"/>
        <v/>
      </c>
      <c r="K30" s="90"/>
      <c r="L30" s="206" t="str">
        <f t="shared" si="12"/>
        <v>No Quote</v>
      </c>
      <c r="M30" s="207"/>
      <c r="N30" s="41"/>
      <c r="O30" s="42" t="str">
        <f t="shared" si="13"/>
        <v/>
      </c>
      <c r="P30" s="90"/>
      <c r="Q30" s="206" t="str">
        <f t="shared" si="14"/>
        <v>No Quote</v>
      </c>
      <c r="R30" s="207"/>
      <c r="S30" s="41"/>
      <c r="T30" s="42" t="str">
        <f t="shared" si="15"/>
        <v/>
      </c>
      <c r="U30" s="89"/>
      <c r="V30" s="206" t="str">
        <f t="shared" si="16"/>
        <v>No Quote</v>
      </c>
      <c r="W30" s="207"/>
      <c r="X30" s="41"/>
      <c r="Y30" s="42" t="str">
        <f t="shared" si="17"/>
        <v/>
      </c>
      <c r="Z30" s="89"/>
      <c r="AA30" s="206" t="str">
        <f t="shared" si="18"/>
        <v>No Quote</v>
      </c>
      <c r="AB30" s="207"/>
      <c r="AC30" s="41"/>
      <c r="AD30" s="42" t="str">
        <f t="shared" si="19"/>
        <v/>
      </c>
      <c r="AE30" s="89"/>
      <c r="AF30" s="206" t="str">
        <f t="shared" si="20"/>
        <v>No Quote</v>
      </c>
      <c r="AG30" s="207"/>
      <c r="AH30" s="41"/>
      <c r="AI30" s="42" t="str">
        <f t="shared" si="21"/>
        <v/>
      </c>
      <c r="AJ30" s="89"/>
      <c r="AK30" s="208" t="str">
        <f t="shared" si="22"/>
        <v>No Quote</v>
      </c>
      <c r="AL30" s="209"/>
      <c r="AM30" s="87"/>
      <c r="AN30" s="93"/>
      <c r="AO30" s="63" t="str">
        <f t="shared" si="23"/>
        <v/>
      </c>
      <c r="AP30" s="92"/>
      <c r="AQ30" s="92"/>
      <c r="AR30" s="77" t="str">
        <f t="shared" si="24"/>
        <v>-</v>
      </c>
      <c r="AS30" s="77" t="str">
        <f t="shared" si="25"/>
        <v>-</v>
      </c>
      <c r="AT30" s="77" t="str">
        <f t="shared" si="26"/>
        <v>-</v>
      </c>
      <c r="AU30" s="77" t="str">
        <f t="shared" si="27"/>
        <v>-</v>
      </c>
      <c r="AV30" s="77" t="str">
        <f t="shared" si="28"/>
        <v>-</v>
      </c>
      <c r="AW30" s="77" t="str">
        <f t="shared" si="29"/>
        <v>-</v>
      </c>
      <c r="AX30" s="78" t="str">
        <f t="shared" si="4"/>
        <v/>
      </c>
      <c r="AY30" s="74" t="str">
        <f t="shared" si="5"/>
        <v/>
      </c>
      <c r="AZ30" s="72" t="str">
        <f t="shared" si="6"/>
        <v/>
      </c>
      <c r="BA30" s="71" t="str">
        <f t="shared" si="30"/>
        <v/>
      </c>
      <c r="BB30" s="74" t="str">
        <f t="shared" si="7"/>
        <v/>
      </c>
      <c r="BC30" s="72" t="str">
        <f t="shared" si="8"/>
        <v/>
      </c>
      <c r="BD30" s="71" t="str">
        <f t="shared" si="31"/>
        <v/>
      </c>
      <c r="BE30" s="74" t="str">
        <f t="shared" si="9"/>
        <v/>
      </c>
      <c r="BG30" s="99">
        <f t="shared" si="10"/>
        <v>0</v>
      </c>
      <c r="BH30" s="100" t="str" cm="1">
        <f t="array" ref="BH30">IFERROR(INDEX(_xlfn.UNIQUE(_xlfn._xlws.FILTER($AY$22:$AY$49,($AY$22:$AY$49&lt;&gt;"")*($AY$22:$AY$49&lt;&gt;"-"))),ROWS($BH$22:BH30)),"")</f>
        <v/>
      </c>
    </row>
    <row r="31" spans="2:60" s="1" customFormat="1" ht="61.5" customHeight="1" outlineLevel="1" x14ac:dyDescent="0.25">
      <c r="B31" s="38">
        <f t="shared" si="32"/>
        <v>10</v>
      </c>
      <c r="C31" s="210"/>
      <c r="D31" s="210"/>
      <c r="E31" s="210"/>
      <c r="F31" s="210"/>
      <c r="G31" s="39"/>
      <c r="H31" s="40"/>
      <c r="I31" s="41"/>
      <c r="J31" s="42" t="str">
        <f t="shared" si="11"/>
        <v/>
      </c>
      <c r="K31" s="90"/>
      <c r="L31" s="206" t="str">
        <f t="shared" si="12"/>
        <v>No Quote</v>
      </c>
      <c r="M31" s="207"/>
      <c r="N31" s="41"/>
      <c r="O31" s="42" t="str">
        <f t="shared" si="13"/>
        <v/>
      </c>
      <c r="P31" s="90"/>
      <c r="Q31" s="206" t="str">
        <f t="shared" si="14"/>
        <v>No Quote</v>
      </c>
      <c r="R31" s="207"/>
      <c r="S31" s="41"/>
      <c r="T31" s="42" t="str">
        <f t="shared" si="15"/>
        <v/>
      </c>
      <c r="U31" s="89"/>
      <c r="V31" s="206" t="str">
        <f t="shared" si="16"/>
        <v>No Quote</v>
      </c>
      <c r="W31" s="207"/>
      <c r="X31" s="41"/>
      <c r="Y31" s="42" t="str">
        <f t="shared" si="17"/>
        <v/>
      </c>
      <c r="Z31" s="89"/>
      <c r="AA31" s="206" t="str">
        <f t="shared" si="18"/>
        <v>No Quote</v>
      </c>
      <c r="AB31" s="207"/>
      <c r="AC31" s="41"/>
      <c r="AD31" s="42" t="str">
        <f t="shared" si="19"/>
        <v/>
      </c>
      <c r="AE31" s="89"/>
      <c r="AF31" s="206" t="str">
        <f t="shared" si="20"/>
        <v>No Quote</v>
      </c>
      <c r="AG31" s="207"/>
      <c r="AH31" s="41"/>
      <c r="AI31" s="42" t="str">
        <f t="shared" si="21"/>
        <v/>
      </c>
      <c r="AJ31" s="89"/>
      <c r="AK31" s="208" t="str">
        <f t="shared" si="22"/>
        <v>No Quote</v>
      </c>
      <c r="AL31" s="209"/>
      <c r="AM31" s="87"/>
      <c r="AN31" s="93"/>
      <c r="AO31" s="63" t="str">
        <f t="shared" si="23"/>
        <v/>
      </c>
      <c r="AP31" s="92"/>
      <c r="AQ31" s="92"/>
      <c r="AR31" s="77" t="str">
        <f t="shared" si="24"/>
        <v>-</v>
      </c>
      <c r="AS31" s="77" t="str">
        <f t="shared" si="25"/>
        <v>-</v>
      </c>
      <c r="AT31" s="77" t="str">
        <f t="shared" si="26"/>
        <v>-</v>
      </c>
      <c r="AU31" s="77" t="str">
        <f t="shared" si="27"/>
        <v>-</v>
      </c>
      <c r="AV31" s="77" t="str">
        <f t="shared" si="28"/>
        <v>-</v>
      </c>
      <c r="AW31" s="77" t="str">
        <f t="shared" si="29"/>
        <v>-</v>
      </c>
      <c r="AX31" s="78" t="str">
        <f t="shared" si="4"/>
        <v/>
      </c>
      <c r="AY31" s="74" t="str">
        <f t="shared" si="5"/>
        <v/>
      </c>
      <c r="AZ31" s="72" t="str">
        <f t="shared" si="6"/>
        <v/>
      </c>
      <c r="BA31" s="71" t="str">
        <f t="shared" si="30"/>
        <v/>
      </c>
      <c r="BB31" s="74" t="str">
        <f t="shared" si="7"/>
        <v/>
      </c>
      <c r="BC31" s="72" t="str">
        <f t="shared" si="8"/>
        <v/>
      </c>
      <c r="BD31" s="71" t="str">
        <f t="shared" si="31"/>
        <v/>
      </c>
      <c r="BE31" s="74" t="str">
        <f t="shared" si="9"/>
        <v/>
      </c>
      <c r="BG31" s="99">
        <f t="shared" si="10"/>
        <v>0</v>
      </c>
      <c r="BH31" s="100" t="str" cm="1">
        <f t="array" ref="BH31">IFERROR(INDEX(_xlfn.UNIQUE(_xlfn._xlws.FILTER($AY$22:$AY$49,($AY$22:$AY$49&lt;&gt;"")*($AY$22:$AY$49&lt;&gt;"-"))),ROWS($BH$22:BH31)),"")</f>
        <v/>
      </c>
    </row>
    <row r="32" spans="2:60" s="1" customFormat="1" ht="61.5" customHeight="1" outlineLevel="1" x14ac:dyDescent="0.25">
      <c r="B32" s="38">
        <f t="shared" si="32"/>
        <v>11</v>
      </c>
      <c r="C32" s="210"/>
      <c r="D32" s="210"/>
      <c r="E32" s="210"/>
      <c r="F32" s="210"/>
      <c r="G32" s="39"/>
      <c r="H32" s="40"/>
      <c r="I32" s="41"/>
      <c r="J32" s="42" t="str">
        <f t="shared" si="11"/>
        <v/>
      </c>
      <c r="K32" s="90"/>
      <c r="L32" s="206" t="str">
        <f t="shared" si="12"/>
        <v>No Quote</v>
      </c>
      <c r="M32" s="207"/>
      <c r="N32" s="41"/>
      <c r="O32" s="42" t="str">
        <f t="shared" si="13"/>
        <v/>
      </c>
      <c r="P32" s="90"/>
      <c r="Q32" s="206" t="str">
        <f t="shared" si="14"/>
        <v>No Quote</v>
      </c>
      <c r="R32" s="207"/>
      <c r="S32" s="41"/>
      <c r="T32" s="42" t="str">
        <f t="shared" si="15"/>
        <v/>
      </c>
      <c r="U32" s="89"/>
      <c r="V32" s="206" t="str">
        <f t="shared" si="16"/>
        <v>No Quote</v>
      </c>
      <c r="W32" s="207"/>
      <c r="X32" s="41"/>
      <c r="Y32" s="42" t="str">
        <f t="shared" si="17"/>
        <v/>
      </c>
      <c r="Z32" s="89"/>
      <c r="AA32" s="206" t="str">
        <f t="shared" si="18"/>
        <v>No Quote</v>
      </c>
      <c r="AB32" s="207"/>
      <c r="AC32" s="41"/>
      <c r="AD32" s="42" t="str">
        <f t="shared" si="19"/>
        <v/>
      </c>
      <c r="AE32" s="89"/>
      <c r="AF32" s="206" t="str">
        <f t="shared" si="20"/>
        <v>No Quote</v>
      </c>
      <c r="AG32" s="207"/>
      <c r="AH32" s="41"/>
      <c r="AI32" s="42" t="str">
        <f t="shared" si="21"/>
        <v/>
      </c>
      <c r="AJ32" s="89"/>
      <c r="AK32" s="208" t="str">
        <f t="shared" si="22"/>
        <v>No Quote</v>
      </c>
      <c r="AL32" s="209"/>
      <c r="AM32" s="87"/>
      <c r="AN32" s="93"/>
      <c r="AO32" s="63" t="str">
        <f t="shared" si="23"/>
        <v/>
      </c>
      <c r="AP32" s="92"/>
      <c r="AQ32" s="92"/>
      <c r="AR32" s="77" t="str">
        <f t="shared" si="24"/>
        <v>-</v>
      </c>
      <c r="AS32" s="77" t="str">
        <f t="shared" si="25"/>
        <v>-</v>
      </c>
      <c r="AT32" s="77" t="str">
        <f t="shared" si="26"/>
        <v>-</v>
      </c>
      <c r="AU32" s="77" t="str">
        <f t="shared" si="27"/>
        <v>-</v>
      </c>
      <c r="AV32" s="77" t="str">
        <f t="shared" si="28"/>
        <v>-</v>
      </c>
      <c r="AW32" s="77" t="str">
        <f t="shared" si="29"/>
        <v>-</v>
      </c>
      <c r="AX32" s="78" t="str">
        <f t="shared" si="4"/>
        <v/>
      </c>
      <c r="AY32" s="74" t="str">
        <f t="shared" si="5"/>
        <v/>
      </c>
      <c r="AZ32" s="72" t="str">
        <f t="shared" si="6"/>
        <v/>
      </c>
      <c r="BA32" s="71" t="str">
        <f t="shared" si="30"/>
        <v/>
      </c>
      <c r="BB32" s="74" t="str">
        <f t="shared" si="7"/>
        <v/>
      </c>
      <c r="BC32" s="72" t="str">
        <f t="shared" si="8"/>
        <v/>
      </c>
      <c r="BD32" s="71" t="str">
        <f t="shared" si="31"/>
        <v/>
      </c>
      <c r="BE32" s="74" t="str">
        <f t="shared" si="9"/>
        <v/>
      </c>
      <c r="BG32" s="99">
        <f t="shared" si="10"/>
        <v>0</v>
      </c>
      <c r="BH32" s="100" t="str" cm="1">
        <f t="array" ref="BH32">IFERROR(INDEX(_xlfn.UNIQUE(_xlfn._xlws.FILTER($AY$22:$AY$49,($AY$22:$AY$49&lt;&gt;"")*($AY$22:$AY$49&lt;&gt;"-"))),ROWS($BH$22:BH32)),"")</f>
        <v/>
      </c>
    </row>
    <row r="33" spans="2:60" s="1" customFormat="1" ht="61.5" customHeight="1" outlineLevel="1" x14ac:dyDescent="0.25">
      <c r="B33" s="38">
        <f t="shared" si="32"/>
        <v>12</v>
      </c>
      <c r="C33" s="210"/>
      <c r="D33" s="210"/>
      <c r="E33" s="210"/>
      <c r="F33" s="210"/>
      <c r="G33" s="39"/>
      <c r="H33" s="40"/>
      <c r="I33" s="41"/>
      <c r="J33" s="42" t="str">
        <f t="shared" si="11"/>
        <v/>
      </c>
      <c r="K33" s="90"/>
      <c r="L33" s="206" t="str">
        <f t="shared" si="12"/>
        <v>No Quote</v>
      </c>
      <c r="M33" s="207"/>
      <c r="N33" s="41"/>
      <c r="O33" s="42" t="str">
        <f t="shared" si="13"/>
        <v/>
      </c>
      <c r="P33" s="90"/>
      <c r="Q33" s="206" t="str">
        <f t="shared" si="14"/>
        <v>No Quote</v>
      </c>
      <c r="R33" s="207"/>
      <c r="S33" s="41"/>
      <c r="T33" s="42" t="str">
        <f t="shared" si="15"/>
        <v/>
      </c>
      <c r="U33" s="89"/>
      <c r="V33" s="206" t="str">
        <f t="shared" si="16"/>
        <v>No Quote</v>
      </c>
      <c r="W33" s="207"/>
      <c r="X33" s="41"/>
      <c r="Y33" s="42" t="str">
        <f t="shared" si="17"/>
        <v/>
      </c>
      <c r="Z33" s="89"/>
      <c r="AA33" s="206" t="str">
        <f t="shared" si="18"/>
        <v>No Quote</v>
      </c>
      <c r="AB33" s="207"/>
      <c r="AC33" s="41"/>
      <c r="AD33" s="42" t="str">
        <f t="shared" si="19"/>
        <v/>
      </c>
      <c r="AE33" s="89"/>
      <c r="AF33" s="206" t="str">
        <f t="shared" si="20"/>
        <v>No Quote</v>
      </c>
      <c r="AG33" s="207"/>
      <c r="AH33" s="41"/>
      <c r="AI33" s="42" t="str">
        <f t="shared" si="21"/>
        <v/>
      </c>
      <c r="AJ33" s="89"/>
      <c r="AK33" s="208" t="str">
        <f t="shared" si="22"/>
        <v>No Quote</v>
      </c>
      <c r="AL33" s="209"/>
      <c r="AM33" s="87"/>
      <c r="AN33" s="93"/>
      <c r="AO33" s="63" t="str">
        <f t="shared" si="23"/>
        <v/>
      </c>
      <c r="AP33" s="92"/>
      <c r="AQ33" s="92"/>
      <c r="AR33" s="77" t="str">
        <f t="shared" si="24"/>
        <v>-</v>
      </c>
      <c r="AS33" s="77" t="str">
        <f t="shared" si="25"/>
        <v>-</v>
      </c>
      <c r="AT33" s="77" t="str">
        <f t="shared" si="26"/>
        <v>-</v>
      </c>
      <c r="AU33" s="77" t="str">
        <f t="shared" si="27"/>
        <v>-</v>
      </c>
      <c r="AV33" s="77" t="str">
        <f t="shared" si="28"/>
        <v>-</v>
      </c>
      <c r="AW33" s="77" t="str">
        <f t="shared" si="29"/>
        <v>-</v>
      </c>
      <c r="AX33" s="78" t="str">
        <f t="shared" si="4"/>
        <v/>
      </c>
      <c r="AY33" s="74" t="str">
        <f t="shared" si="5"/>
        <v/>
      </c>
      <c r="AZ33" s="72" t="str">
        <f t="shared" si="6"/>
        <v/>
      </c>
      <c r="BA33" s="71" t="str">
        <f t="shared" si="30"/>
        <v/>
      </c>
      <c r="BB33" s="74" t="str">
        <f t="shared" si="7"/>
        <v/>
      </c>
      <c r="BC33" s="72" t="str">
        <f t="shared" si="8"/>
        <v/>
      </c>
      <c r="BD33" s="71" t="str">
        <f t="shared" si="31"/>
        <v/>
      </c>
      <c r="BE33" s="74" t="str">
        <f t="shared" si="9"/>
        <v/>
      </c>
      <c r="BG33" s="99">
        <f t="shared" si="10"/>
        <v>0</v>
      </c>
      <c r="BH33" s="100" t="str" cm="1">
        <f t="array" ref="BH33">IFERROR(INDEX(_xlfn.UNIQUE(_xlfn._xlws.FILTER($AY$22:$AY$49,($AY$22:$AY$49&lt;&gt;"")*($AY$22:$AY$49&lt;&gt;"-"))),ROWS($BH$22:BH33)),"")</f>
        <v/>
      </c>
    </row>
    <row r="34" spans="2:60" s="1" customFormat="1" ht="61.5" customHeight="1" outlineLevel="1" x14ac:dyDescent="0.25">
      <c r="B34" s="38">
        <f t="shared" si="32"/>
        <v>13</v>
      </c>
      <c r="C34" s="210"/>
      <c r="D34" s="210"/>
      <c r="E34" s="210"/>
      <c r="F34" s="210"/>
      <c r="G34" s="39"/>
      <c r="H34" s="40"/>
      <c r="I34" s="41"/>
      <c r="J34" s="42" t="str">
        <f t="shared" si="11"/>
        <v/>
      </c>
      <c r="K34" s="90"/>
      <c r="L34" s="206" t="str">
        <f t="shared" si="12"/>
        <v>No Quote</v>
      </c>
      <c r="M34" s="207"/>
      <c r="N34" s="41"/>
      <c r="O34" s="42" t="str">
        <f t="shared" si="13"/>
        <v/>
      </c>
      <c r="P34" s="90"/>
      <c r="Q34" s="206" t="str">
        <f t="shared" si="14"/>
        <v>No Quote</v>
      </c>
      <c r="R34" s="207"/>
      <c r="S34" s="41"/>
      <c r="T34" s="42" t="str">
        <f t="shared" si="15"/>
        <v/>
      </c>
      <c r="U34" s="89"/>
      <c r="V34" s="206" t="str">
        <f t="shared" si="16"/>
        <v>No Quote</v>
      </c>
      <c r="W34" s="207"/>
      <c r="X34" s="41"/>
      <c r="Y34" s="42" t="str">
        <f t="shared" si="17"/>
        <v/>
      </c>
      <c r="Z34" s="89"/>
      <c r="AA34" s="206" t="str">
        <f t="shared" si="18"/>
        <v>No Quote</v>
      </c>
      <c r="AB34" s="207"/>
      <c r="AC34" s="41"/>
      <c r="AD34" s="42" t="str">
        <f t="shared" si="19"/>
        <v/>
      </c>
      <c r="AE34" s="89"/>
      <c r="AF34" s="206" t="str">
        <f t="shared" si="20"/>
        <v>No Quote</v>
      </c>
      <c r="AG34" s="207"/>
      <c r="AH34" s="41"/>
      <c r="AI34" s="42" t="str">
        <f t="shared" si="21"/>
        <v/>
      </c>
      <c r="AJ34" s="89"/>
      <c r="AK34" s="208" t="str">
        <f t="shared" si="22"/>
        <v>No Quote</v>
      </c>
      <c r="AL34" s="209"/>
      <c r="AM34" s="87"/>
      <c r="AN34" s="93"/>
      <c r="AO34" s="63" t="str">
        <f t="shared" si="23"/>
        <v/>
      </c>
      <c r="AP34" s="92"/>
      <c r="AQ34" s="92"/>
      <c r="AR34" s="77" t="str">
        <f t="shared" si="24"/>
        <v>-</v>
      </c>
      <c r="AS34" s="77" t="str">
        <f t="shared" si="25"/>
        <v>-</v>
      </c>
      <c r="AT34" s="77" t="str">
        <f t="shared" si="26"/>
        <v>-</v>
      </c>
      <c r="AU34" s="77" t="str">
        <f t="shared" si="27"/>
        <v>-</v>
      </c>
      <c r="AV34" s="77" t="str">
        <f t="shared" si="28"/>
        <v>-</v>
      </c>
      <c r="AW34" s="77" t="str">
        <f t="shared" si="29"/>
        <v>-</v>
      </c>
      <c r="AX34" s="78" t="str">
        <f t="shared" si="4"/>
        <v/>
      </c>
      <c r="AY34" s="74" t="str">
        <f t="shared" si="5"/>
        <v/>
      </c>
      <c r="AZ34" s="72" t="str">
        <f t="shared" si="6"/>
        <v/>
      </c>
      <c r="BA34" s="71" t="str">
        <f t="shared" si="30"/>
        <v/>
      </c>
      <c r="BB34" s="74" t="str">
        <f t="shared" si="7"/>
        <v/>
      </c>
      <c r="BC34" s="72" t="str">
        <f t="shared" si="8"/>
        <v/>
      </c>
      <c r="BD34" s="71" t="str">
        <f t="shared" si="31"/>
        <v/>
      </c>
      <c r="BE34" s="74" t="str">
        <f t="shared" si="9"/>
        <v/>
      </c>
      <c r="BG34" s="99">
        <f t="shared" si="10"/>
        <v>0</v>
      </c>
      <c r="BH34" s="100" t="str" cm="1">
        <f t="array" ref="BH34">IFERROR(INDEX(_xlfn.UNIQUE(_xlfn._xlws.FILTER($AY$22:$AY$49,($AY$22:$AY$49&lt;&gt;"")*($AY$22:$AY$49&lt;&gt;"-"))),ROWS($BH$22:BH34)),"")</f>
        <v/>
      </c>
    </row>
    <row r="35" spans="2:60" s="1" customFormat="1" ht="61.5" customHeight="1" outlineLevel="1" x14ac:dyDescent="0.25">
      <c r="B35" s="38">
        <f t="shared" si="32"/>
        <v>14</v>
      </c>
      <c r="C35" s="210"/>
      <c r="D35" s="210"/>
      <c r="E35" s="210"/>
      <c r="F35" s="210"/>
      <c r="G35" s="39"/>
      <c r="H35" s="40"/>
      <c r="I35" s="41"/>
      <c r="J35" s="42" t="str">
        <f t="shared" si="11"/>
        <v/>
      </c>
      <c r="K35" s="90"/>
      <c r="L35" s="206" t="str">
        <f t="shared" si="12"/>
        <v>No Quote</v>
      </c>
      <c r="M35" s="207"/>
      <c r="N35" s="41"/>
      <c r="O35" s="42" t="str">
        <f t="shared" si="13"/>
        <v/>
      </c>
      <c r="P35" s="90"/>
      <c r="Q35" s="206" t="str">
        <f t="shared" si="14"/>
        <v>No Quote</v>
      </c>
      <c r="R35" s="207"/>
      <c r="S35" s="41"/>
      <c r="T35" s="42" t="str">
        <f t="shared" si="15"/>
        <v/>
      </c>
      <c r="U35" s="89"/>
      <c r="V35" s="206" t="str">
        <f t="shared" si="16"/>
        <v>No Quote</v>
      </c>
      <c r="W35" s="207"/>
      <c r="X35" s="41"/>
      <c r="Y35" s="42" t="str">
        <f t="shared" si="17"/>
        <v/>
      </c>
      <c r="Z35" s="89"/>
      <c r="AA35" s="206" t="str">
        <f t="shared" si="18"/>
        <v>No Quote</v>
      </c>
      <c r="AB35" s="207"/>
      <c r="AC35" s="41"/>
      <c r="AD35" s="42" t="str">
        <f t="shared" si="19"/>
        <v/>
      </c>
      <c r="AE35" s="89"/>
      <c r="AF35" s="206" t="str">
        <f t="shared" si="20"/>
        <v>No Quote</v>
      </c>
      <c r="AG35" s="207"/>
      <c r="AH35" s="41"/>
      <c r="AI35" s="42" t="str">
        <f t="shared" si="21"/>
        <v/>
      </c>
      <c r="AJ35" s="89"/>
      <c r="AK35" s="208" t="str">
        <f t="shared" si="22"/>
        <v>No Quote</v>
      </c>
      <c r="AL35" s="209"/>
      <c r="AM35" s="87"/>
      <c r="AN35" s="93"/>
      <c r="AO35" s="63" t="str">
        <f t="shared" si="23"/>
        <v/>
      </c>
      <c r="AP35" s="92"/>
      <c r="AQ35" s="92"/>
      <c r="AR35" s="77" t="str">
        <f t="shared" si="24"/>
        <v>-</v>
      </c>
      <c r="AS35" s="77" t="str">
        <f t="shared" si="25"/>
        <v>-</v>
      </c>
      <c r="AT35" s="77" t="str">
        <f t="shared" si="26"/>
        <v>-</v>
      </c>
      <c r="AU35" s="77" t="str">
        <f t="shared" si="27"/>
        <v>-</v>
      </c>
      <c r="AV35" s="77" t="str">
        <f t="shared" si="28"/>
        <v>-</v>
      </c>
      <c r="AW35" s="77" t="str">
        <f t="shared" si="29"/>
        <v>-</v>
      </c>
      <c r="AX35" s="78" t="str">
        <f t="shared" si="4"/>
        <v/>
      </c>
      <c r="AY35" s="74" t="str">
        <f t="shared" si="5"/>
        <v/>
      </c>
      <c r="AZ35" s="72" t="str">
        <f t="shared" si="6"/>
        <v/>
      </c>
      <c r="BA35" s="71" t="str">
        <f t="shared" si="30"/>
        <v/>
      </c>
      <c r="BB35" s="74" t="str">
        <f t="shared" si="7"/>
        <v/>
      </c>
      <c r="BC35" s="72" t="str">
        <f t="shared" si="8"/>
        <v/>
      </c>
      <c r="BD35" s="71" t="str">
        <f t="shared" si="31"/>
        <v/>
      </c>
      <c r="BE35" s="74" t="str">
        <f t="shared" si="9"/>
        <v/>
      </c>
      <c r="BG35" s="99">
        <f t="shared" si="10"/>
        <v>0</v>
      </c>
      <c r="BH35" s="100" t="str" cm="1">
        <f t="array" ref="BH35">IFERROR(INDEX(_xlfn.UNIQUE(_xlfn._xlws.FILTER($AY$22:$AY$49,($AY$22:$AY$49&lt;&gt;"")*($AY$22:$AY$49&lt;&gt;"-"))),ROWS($BH$22:BH35)),"")</f>
        <v/>
      </c>
    </row>
    <row r="36" spans="2:60" s="1" customFormat="1" ht="61.5" customHeight="1" outlineLevel="1" x14ac:dyDescent="0.25">
      <c r="B36" s="38">
        <f t="shared" si="32"/>
        <v>15</v>
      </c>
      <c r="C36" s="210"/>
      <c r="D36" s="210"/>
      <c r="E36" s="210"/>
      <c r="F36" s="210"/>
      <c r="G36" s="39"/>
      <c r="H36" s="40"/>
      <c r="I36" s="41"/>
      <c r="J36" s="42" t="str">
        <f t="shared" si="11"/>
        <v/>
      </c>
      <c r="K36" s="90"/>
      <c r="L36" s="206" t="str">
        <f t="shared" si="12"/>
        <v>No Quote</v>
      </c>
      <c r="M36" s="207"/>
      <c r="N36" s="41"/>
      <c r="O36" s="42" t="str">
        <f t="shared" si="13"/>
        <v/>
      </c>
      <c r="P36" s="90"/>
      <c r="Q36" s="206" t="str">
        <f t="shared" si="14"/>
        <v>No Quote</v>
      </c>
      <c r="R36" s="207"/>
      <c r="S36" s="41"/>
      <c r="T36" s="42" t="str">
        <f t="shared" si="15"/>
        <v/>
      </c>
      <c r="U36" s="89"/>
      <c r="V36" s="206" t="str">
        <f t="shared" si="16"/>
        <v>No Quote</v>
      </c>
      <c r="W36" s="207"/>
      <c r="X36" s="41"/>
      <c r="Y36" s="42" t="str">
        <f t="shared" si="17"/>
        <v/>
      </c>
      <c r="Z36" s="89"/>
      <c r="AA36" s="206" t="str">
        <f t="shared" si="18"/>
        <v>No Quote</v>
      </c>
      <c r="AB36" s="207"/>
      <c r="AC36" s="41"/>
      <c r="AD36" s="42" t="str">
        <f t="shared" si="19"/>
        <v/>
      </c>
      <c r="AE36" s="89"/>
      <c r="AF36" s="206" t="str">
        <f t="shared" si="20"/>
        <v>No Quote</v>
      </c>
      <c r="AG36" s="207"/>
      <c r="AH36" s="41"/>
      <c r="AI36" s="42" t="str">
        <f t="shared" si="21"/>
        <v/>
      </c>
      <c r="AJ36" s="89"/>
      <c r="AK36" s="208" t="str">
        <f t="shared" si="22"/>
        <v>No Quote</v>
      </c>
      <c r="AL36" s="209"/>
      <c r="AM36" s="87"/>
      <c r="AN36" s="93"/>
      <c r="AO36" s="63" t="str">
        <f t="shared" si="23"/>
        <v/>
      </c>
      <c r="AP36" s="92"/>
      <c r="AQ36" s="92"/>
      <c r="AR36" s="77" t="str">
        <f t="shared" si="24"/>
        <v>-</v>
      </c>
      <c r="AS36" s="77" t="str">
        <f t="shared" si="25"/>
        <v>-</v>
      </c>
      <c r="AT36" s="77" t="str">
        <f t="shared" si="26"/>
        <v>-</v>
      </c>
      <c r="AU36" s="77" t="str">
        <f t="shared" si="27"/>
        <v>-</v>
      </c>
      <c r="AV36" s="77" t="str">
        <f t="shared" si="28"/>
        <v>-</v>
      </c>
      <c r="AW36" s="77" t="str">
        <f t="shared" si="29"/>
        <v>-</v>
      </c>
      <c r="AX36" s="78" t="str">
        <f t="shared" si="4"/>
        <v/>
      </c>
      <c r="AY36" s="74" t="str">
        <f t="shared" si="5"/>
        <v/>
      </c>
      <c r="AZ36" s="72" t="str">
        <f t="shared" si="6"/>
        <v/>
      </c>
      <c r="BA36" s="71" t="str">
        <f t="shared" si="30"/>
        <v/>
      </c>
      <c r="BB36" s="74" t="str">
        <f t="shared" si="7"/>
        <v/>
      </c>
      <c r="BC36" s="72" t="str">
        <f t="shared" si="8"/>
        <v/>
      </c>
      <c r="BD36" s="71" t="str">
        <f t="shared" si="31"/>
        <v/>
      </c>
      <c r="BE36" s="74" t="str">
        <f t="shared" si="9"/>
        <v/>
      </c>
      <c r="BG36" s="99">
        <f t="shared" si="10"/>
        <v>0</v>
      </c>
      <c r="BH36" s="100" t="str" cm="1">
        <f t="array" ref="BH36">IFERROR(INDEX(_xlfn.UNIQUE(_xlfn._xlws.FILTER($AY$22:$AY$49,($AY$22:$AY$49&lt;&gt;"")*($AY$22:$AY$49&lt;&gt;"-"))),ROWS($BH$22:BH36)),"")</f>
        <v/>
      </c>
    </row>
    <row r="37" spans="2:60" s="1" customFormat="1" ht="61.5" customHeight="1" outlineLevel="1" x14ac:dyDescent="0.25">
      <c r="B37" s="38">
        <f t="shared" si="32"/>
        <v>16</v>
      </c>
      <c r="C37" s="210"/>
      <c r="D37" s="210"/>
      <c r="E37" s="210"/>
      <c r="F37" s="210"/>
      <c r="G37" s="39"/>
      <c r="H37" s="40"/>
      <c r="I37" s="41"/>
      <c r="J37" s="42" t="str">
        <f t="shared" si="11"/>
        <v/>
      </c>
      <c r="K37" s="90"/>
      <c r="L37" s="206" t="str">
        <f t="shared" si="12"/>
        <v>No Quote</v>
      </c>
      <c r="M37" s="207"/>
      <c r="N37" s="41"/>
      <c r="O37" s="42" t="str">
        <f t="shared" si="13"/>
        <v/>
      </c>
      <c r="P37" s="90"/>
      <c r="Q37" s="206" t="str">
        <f t="shared" si="14"/>
        <v>No Quote</v>
      </c>
      <c r="R37" s="207"/>
      <c r="S37" s="41"/>
      <c r="T37" s="42" t="str">
        <f t="shared" si="15"/>
        <v/>
      </c>
      <c r="U37" s="89"/>
      <c r="V37" s="206" t="str">
        <f t="shared" si="16"/>
        <v>No Quote</v>
      </c>
      <c r="W37" s="207"/>
      <c r="X37" s="41"/>
      <c r="Y37" s="42" t="str">
        <f t="shared" si="17"/>
        <v/>
      </c>
      <c r="Z37" s="89"/>
      <c r="AA37" s="206" t="str">
        <f t="shared" si="18"/>
        <v>No Quote</v>
      </c>
      <c r="AB37" s="207"/>
      <c r="AC37" s="41"/>
      <c r="AD37" s="42" t="str">
        <f t="shared" si="19"/>
        <v/>
      </c>
      <c r="AE37" s="89"/>
      <c r="AF37" s="206" t="str">
        <f t="shared" si="20"/>
        <v>No Quote</v>
      </c>
      <c r="AG37" s="207"/>
      <c r="AH37" s="41"/>
      <c r="AI37" s="42" t="str">
        <f t="shared" si="21"/>
        <v/>
      </c>
      <c r="AJ37" s="89"/>
      <c r="AK37" s="208" t="str">
        <f t="shared" si="22"/>
        <v>No Quote</v>
      </c>
      <c r="AL37" s="209"/>
      <c r="AM37" s="87"/>
      <c r="AN37" s="93"/>
      <c r="AO37" s="63" t="str">
        <f t="shared" si="23"/>
        <v/>
      </c>
      <c r="AP37" s="92"/>
      <c r="AQ37" s="92"/>
      <c r="AR37" s="77" t="str">
        <f t="shared" si="24"/>
        <v>-</v>
      </c>
      <c r="AS37" s="77" t="str">
        <f t="shared" si="25"/>
        <v>-</v>
      </c>
      <c r="AT37" s="77" t="str">
        <f t="shared" si="26"/>
        <v>-</v>
      </c>
      <c r="AU37" s="77" t="str">
        <f t="shared" si="27"/>
        <v>-</v>
      </c>
      <c r="AV37" s="77" t="str">
        <f t="shared" si="28"/>
        <v>-</v>
      </c>
      <c r="AW37" s="77" t="str">
        <f t="shared" si="29"/>
        <v>-</v>
      </c>
      <c r="AX37" s="78" t="str">
        <f t="shared" si="4"/>
        <v/>
      </c>
      <c r="AY37" s="74" t="str">
        <f t="shared" si="5"/>
        <v/>
      </c>
      <c r="AZ37" s="72" t="str">
        <f t="shared" si="6"/>
        <v/>
      </c>
      <c r="BA37" s="71" t="str">
        <f t="shared" si="30"/>
        <v/>
      </c>
      <c r="BB37" s="74" t="str">
        <f t="shared" si="7"/>
        <v/>
      </c>
      <c r="BC37" s="72" t="str">
        <f t="shared" si="8"/>
        <v/>
      </c>
      <c r="BD37" s="71" t="str">
        <f t="shared" si="31"/>
        <v/>
      </c>
      <c r="BE37" s="74" t="str">
        <f t="shared" si="9"/>
        <v/>
      </c>
      <c r="BG37" s="99">
        <f t="shared" si="10"/>
        <v>0</v>
      </c>
      <c r="BH37" s="100" t="str" cm="1">
        <f t="array" ref="BH37">IFERROR(INDEX(_xlfn.UNIQUE(_xlfn._xlws.FILTER($AY$22:$AY$49,($AY$22:$AY$49&lt;&gt;"")*($AY$22:$AY$49&lt;&gt;"-"))),ROWS($BH$22:BH37)),"")</f>
        <v/>
      </c>
    </row>
    <row r="38" spans="2:60" s="1" customFormat="1" ht="61.5" customHeight="1" outlineLevel="1" x14ac:dyDescent="0.25">
      <c r="B38" s="38">
        <f t="shared" si="32"/>
        <v>17</v>
      </c>
      <c r="C38" s="210"/>
      <c r="D38" s="210"/>
      <c r="E38" s="210"/>
      <c r="F38" s="210"/>
      <c r="G38" s="39"/>
      <c r="H38" s="40"/>
      <c r="I38" s="41"/>
      <c r="J38" s="42" t="str">
        <f t="shared" si="11"/>
        <v/>
      </c>
      <c r="K38" s="90"/>
      <c r="L38" s="206" t="str">
        <f t="shared" si="12"/>
        <v>No Quote</v>
      </c>
      <c r="M38" s="207"/>
      <c r="N38" s="41"/>
      <c r="O38" s="42" t="str">
        <f t="shared" si="13"/>
        <v/>
      </c>
      <c r="P38" s="90"/>
      <c r="Q38" s="206" t="str">
        <f t="shared" si="14"/>
        <v>No Quote</v>
      </c>
      <c r="R38" s="207"/>
      <c r="S38" s="41"/>
      <c r="T38" s="42" t="str">
        <f t="shared" si="15"/>
        <v/>
      </c>
      <c r="U38" s="89"/>
      <c r="V38" s="206" t="str">
        <f t="shared" si="16"/>
        <v>No Quote</v>
      </c>
      <c r="W38" s="207"/>
      <c r="X38" s="41"/>
      <c r="Y38" s="42" t="str">
        <f t="shared" si="17"/>
        <v/>
      </c>
      <c r="Z38" s="89"/>
      <c r="AA38" s="206" t="str">
        <f t="shared" si="18"/>
        <v>No Quote</v>
      </c>
      <c r="AB38" s="207"/>
      <c r="AC38" s="41"/>
      <c r="AD38" s="42" t="str">
        <f t="shared" si="19"/>
        <v/>
      </c>
      <c r="AE38" s="89"/>
      <c r="AF38" s="206" t="str">
        <f t="shared" si="20"/>
        <v>No Quote</v>
      </c>
      <c r="AG38" s="207"/>
      <c r="AH38" s="41"/>
      <c r="AI38" s="42" t="str">
        <f t="shared" si="21"/>
        <v/>
      </c>
      <c r="AJ38" s="89"/>
      <c r="AK38" s="208" t="str">
        <f t="shared" si="22"/>
        <v>No Quote</v>
      </c>
      <c r="AL38" s="209"/>
      <c r="AM38" s="87"/>
      <c r="AN38" s="93"/>
      <c r="AO38" s="63" t="str">
        <f t="shared" si="23"/>
        <v/>
      </c>
      <c r="AP38" s="92"/>
      <c r="AQ38" s="92"/>
      <c r="AR38" s="77" t="str">
        <f t="shared" si="24"/>
        <v>-</v>
      </c>
      <c r="AS38" s="77" t="str">
        <f t="shared" si="25"/>
        <v>-</v>
      </c>
      <c r="AT38" s="77" t="str">
        <f t="shared" si="26"/>
        <v>-</v>
      </c>
      <c r="AU38" s="77" t="str">
        <f t="shared" si="27"/>
        <v>-</v>
      </c>
      <c r="AV38" s="77" t="str">
        <f t="shared" si="28"/>
        <v>-</v>
      </c>
      <c r="AW38" s="77" t="str">
        <f t="shared" si="29"/>
        <v>-</v>
      </c>
      <c r="AX38" s="78" t="str">
        <f t="shared" si="4"/>
        <v/>
      </c>
      <c r="AY38" s="74" t="str">
        <f t="shared" si="5"/>
        <v/>
      </c>
      <c r="AZ38" s="72" t="str">
        <f t="shared" si="6"/>
        <v/>
      </c>
      <c r="BA38" s="71" t="str">
        <f t="shared" si="30"/>
        <v/>
      </c>
      <c r="BB38" s="74" t="str">
        <f t="shared" si="7"/>
        <v/>
      </c>
      <c r="BC38" s="72" t="str">
        <f t="shared" si="8"/>
        <v/>
      </c>
      <c r="BD38" s="71" t="str">
        <f t="shared" si="31"/>
        <v/>
      </c>
      <c r="BE38" s="74" t="str">
        <f t="shared" si="9"/>
        <v/>
      </c>
      <c r="BG38" s="99">
        <f t="shared" si="10"/>
        <v>0</v>
      </c>
      <c r="BH38" s="100" t="str" cm="1">
        <f t="array" ref="BH38">IFERROR(INDEX(_xlfn.UNIQUE(_xlfn._xlws.FILTER($AY$22:$AY$49,($AY$22:$AY$49&lt;&gt;"")*($AY$22:$AY$49&lt;&gt;"-"))),ROWS($BH$22:BH38)),"")</f>
        <v/>
      </c>
    </row>
    <row r="39" spans="2:60" s="1" customFormat="1" ht="61.5" customHeight="1" outlineLevel="1" x14ac:dyDescent="0.25">
      <c r="B39" s="38">
        <f t="shared" si="32"/>
        <v>18</v>
      </c>
      <c r="C39" s="210"/>
      <c r="D39" s="210"/>
      <c r="E39" s="210"/>
      <c r="F39" s="210"/>
      <c r="G39" s="39"/>
      <c r="H39" s="40"/>
      <c r="I39" s="41"/>
      <c r="J39" s="42" t="str">
        <f t="shared" si="11"/>
        <v/>
      </c>
      <c r="K39" s="90"/>
      <c r="L39" s="206" t="str">
        <f t="shared" si="12"/>
        <v>No Quote</v>
      </c>
      <c r="M39" s="207"/>
      <c r="N39" s="41"/>
      <c r="O39" s="42" t="str">
        <f t="shared" si="13"/>
        <v/>
      </c>
      <c r="P39" s="90"/>
      <c r="Q39" s="206" t="str">
        <f t="shared" si="14"/>
        <v>No Quote</v>
      </c>
      <c r="R39" s="207"/>
      <c r="S39" s="41"/>
      <c r="T39" s="42" t="str">
        <f t="shared" si="15"/>
        <v/>
      </c>
      <c r="U39" s="89"/>
      <c r="V39" s="206" t="str">
        <f t="shared" si="16"/>
        <v>No Quote</v>
      </c>
      <c r="W39" s="207"/>
      <c r="X39" s="41"/>
      <c r="Y39" s="42" t="str">
        <f t="shared" si="17"/>
        <v/>
      </c>
      <c r="Z39" s="89"/>
      <c r="AA39" s="206" t="str">
        <f t="shared" si="18"/>
        <v>No Quote</v>
      </c>
      <c r="AB39" s="207"/>
      <c r="AC39" s="41"/>
      <c r="AD39" s="42" t="str">
        <f t="shared" si="19"/>
        <v/>
      </c>
      <c r="AE39" s="89"/>
      <c r="AF39" s="206" t="str">
        <f t="shared" si="20"/>
        <v>No Quote</v>
      </c>
      <c r="AG39" s="207"/>
      <c r="AH39" s="41"/>
      <c r="AI39" s="42" t="str">
        <f t="shared" si="21"/>
        <v/>
      </c>
      <c r="AJ39" s="89"/>
      <c r="AK39" s="208" t="str">
        <f t="shared" si="22"/>
        <v>No Quote</v>
      </c>
      <c r="AL39" s="209"/>
      <c r="AM39" s="87"/>
      <c r="AN39" s="93"/>
      <c r="AO39" s="63" t="str">
        <f t="shared" si="23"/>
        <v/>
      </c>
      <c r="AP39" s="92"/>
      <c r="AQ39" s="92"/>
      <c r="AR39" s="77" t="str">
        <f t="shared" si="24"/>
        <v>-</v>
      </c>
      <c r="AS39" s="77" t="str">
        <f t="shared" si="25"/>
        <v>-</v>
      </c>
      <c r="AT39" s="77" t="str">
        <f t="shared" si="26"/>
        <v>-</v>
      </c>
      <c r="AU39" s="77" t="str">
        <f t="shared" si="27"/>
        <v>-</v>
      </c>
      <c r="AV39" s="77" t="str">
        <f t="shared" si="28"/>
        <v>-</v>
      </c>
      <c r="AW39" s="77" t="str">
        <f t="shared" si="29"/>
        <v>-</v>
      </c>
      <c r="AX39" s="78" t="str">
        <f t="shared" si="4"/>
        <v/>
      </c>
      <c r="AY39" s="74" t="str">
        <f t="shared" si="5"/>
        <v/>
      </c>
      <c r="AZ39" s="72" t="str">
        <f t="shared" si="6"/>
        <v/>
      </c>
      <c r="BA39" s="71" t="str">
        <f t="shared" si="30"/>
        <v/>
      </c>
      <c r="BB39" s="74" t="str">
        <f t="shared" si="7"/>
        <v/>
      </c>
      <c r="BC39" s="72" t="str">
        <f t="shared" si="8"/>
        <v/>
      </c>
      <c r="BD39" s="71" t="str">
        <f t="shared" si="31"/>
        <v/>
      </c>
      <c r="BE39" s="74" t="str">
        <f t="shared" si="9"/>
        <v/>
      </c>
      <c r="BG39" s="99">
        <f t="shared" si="10"/>
        <v>0</v>
      </c>
      <c r="BH39" s="100" t="str" cm="1">
        <f t="array" ref="BH39">IFERROR(INDEX(_xlfn.UNIQUE(_xlfn._xlws.FILTER($AY$22:$AY$49,($AY$22:$AY$49&lt;&gt;"")*($AY$22:$AY$49&lt;&gt;"-"))),ROWS($BH$22:BH39)),"")</f>
        <v/>
      </c>
    </row>
    <row r="40" spans="2:60" s="1" customFormat="1" ht="61.5" customHeight="1" outlineLevel="1" x14ac:dyDescent="0.25">
      <c r="B40" s="38">
        <f t="shared" si="32"/>
        <v>19</v>
      </c>
      <c r="C40" s="210"/>
      <c r="D40" s="210"/>
      <c r="E40" s="210"/>
      <c r="F40" s="210"/>
      <c r="G40" s="39"/>
      <c r="H40" s="40"/>
      <c r="I40" s="41"/>
      <c r="J40" s="42" t="str">
        <f t="shared" si="11"/>
        <v/>
      </c>
      <c r="K40" s="90"/>
      <c r="L40" s="206" t="str">
        <f t="shared" si="12"/>
        <v>No Quote</v>
      </c>
      <c r="M40" s="207"/>
      <c r="N40" s="41"/>
      <c r="O40" s="42" t="str">
        <f t="shared" si="13"/>
        <v/>
      </c>
      <c r="P40" s="90"/>
      <c r="Q40" s="206" t="str">
        <f t="shared" si="14"/>
        <v>No Quote</v>
      </c>
      <c r="R40" s="207"/>
      <c r="S40" s="41"/>
      <c r="T40" s="42" t="str">
        <f t="shared" si="15"/>
        <v/>
      </c>
      <c r="U40" s="89"/>
      <c r="V40" s="206" t="str">
        <f t="shared" si="16"/>
        <v>No Quote</v>
      </c>
      <c r="W40" s="207"/>
      <c r="X40" s="41"/>
      <c r="Y40" s="42" t="str">
        <f t="shared" si="17"/>
        <v/>
      </c>
      <c r="Z40" s="89"/>
      <c r="AA40" s="206" t="str">
        <f t="shared" si="18"/>
        <v>No Quote</v>
      </c>
      <c r="AB40" s="207"/>
      <c r="AC40" s="41"/>
      <c r="AD40" s="42" t="str">
        <f t="shared" si="19"/>
        <v/>
      </c>
      <c r="AE40" s="89"/>
      <c r="AF40" s="206" t="str">
        <f t="shared" si="20"/>
        <v>No Quote</v>
      </c>
      <c r="AG40" s="207"/>
      <c r="AH40" s="41"/>
      <c r="AI40" s="42" t="str">
        <f t="shared" si="21"/>
        <v/>
      </c>
      <c r="AJ40" s="89"/>
      <c r="AK40" s="208" t="str">
        <f t="shared" si="22"/>
        <v>No Quote</v>
      </c>
      <c r="AL40" s="209"/>
      <c r="AM40" s="87"/>
      <c r="AN40" s="93"/>
      <c r="AO40" s="63" t="str">
        <f t="shared" si="23"/>
        <v/>
      </c>
      <c r="AP40" s="92"/>
      <c r="AQ40" s="92"/>
      <c r="AR40" s="77" t="str">
        <f t="shared" si="24"/>
        <v>-</v>
      </c>
      <c r="AS40" s="77" t="str">
        <f t="shared" si="25"/>
        <v>-</v>
      </c>
      <c r="AT40" s="77" t="str">
        <f t="shared" si="26"/>
        <v>-</v>
      </c>
      <c r="AU40" s="77" t="str">
        <f t="shared" si="27"/>
        <v>-</v>
      </c>
      <c r="AV40" s="77" t="str">
        <f t="shared" si="28"/>
        <v>-</v>
      </c>
      <c r="AW40" s="77" t="str">
        <f t="shared" si="29"/>
        <v>-</v>
      </c>
      <c r="AX40" s="78" t="str">
        <f t="shared" si="4"/>
        <v/>
      </c>
      <c r="AY40" s="74" t="str">
        <f t="shared" si="5"/>
        <v/>
      </c>
      <c r="AZ40" s="72" t="str">
        <f t="shared" si="6"/>
        <v/>
      </c>
      <c r="BA40" s="71" t="str">
        <f t="shared" si="30"/>
        <v/>
      </c>
      <c r="BB40" s="74" t="str">
        <f t="shared" si="7"/>
        <v/>
      </c>
      <c r="BC40" s="72" t="str">
        <f t="shared" si="8"/>
        <v/>
      </c>
      <c r="BD40" s="71" t="str">
        <f t="shared" si="31"/>
        <v/>
      </c>
      <c r="BE40" s="74" t="str">
        <f t="shared" si="9"/>
        <v/>
      </c>
      <c r="BG40" s="99">
        <f t="shared" si="10"/>
        <v>0</v>
      </c>
      <c r="BH40" s="100" t="str" cm="1">
        <f t="array" ref="BH40">IFERROR(INDEX(_xlfn.UNIQUE(_xlfn._xlws.FILTER($AY$22:$AY$49,($AY$22:$AY$49&lt;&gt;"")*($AY$22:$AY$49&lt;&gt;"-"))),ROWS($BH$22:BH40)),"")</f>
        <v/>
      </c>
    </row>
    <row r="41" spans="2:60" s="1" customFormat="1" ht="61.5" customHeight="1" outlineLevel="1" x14ac:dyDescent="0.25">
      <c r="B41" s="38">
        <f t="shared" si="32"/>
        <v>20</v>
      </c>
      <c r="C41" s="210"/>
      <c r="D41" s="210"/>
      <c r="E41" s="210"/>
      <c r="F41" s="210"/>
      <c r="G41" s="39"/>
      <c r="H41" s="40"/>
      <c r="I41" s="41"/>
      <c r="J41" s="42" t="str">
        <f t="shared" si="11"/>
        <v/>
      </c>
      <c r="K41" s="90"/>
      <c r="L41" s="206" t="str">
        <f t="shared" si="12"/>
        <v>No Quote</v>
      </c>
      <c r="M41" s="207"/>
      <c r="N41" s="41"/>
      <c r="O41" s="42" t="str">
        <f t="shared" si="13"/>
        <v/>
      </c>
      <c r="P41" s="90"/>
      <c r="Q41" s="206" t="str">
        <f t="shared" si="14"/>
        <v>No Quote</v>
      </c>
      <c r="R41" s="207"/>
      <c r="S41" s="41"/>
      <c r="T41" s="42" t="str">
        <f t="shared" si="15"/>
        <v/>
      </c>
      <c r="U41" s="89"/>
      <c r="V41" s="206" t="str">
        <f t="shared" si="16"/>
        <v>No Quote</v>
      </c>
      <c r="W41" s="207"/>
      <c r="X41" s="41"/>
      <c r="Y41" s="42" t="str">
        <f t="shared" si="17"/>
        <v/>
      </c>
      <c r="Z41" s="89"/>
      <c r="AA41" s="206" t="str">
        <f t="shared" si="18"/>
        <v>No Quote</v>
      </c>
      <c r="AB41" s="207"/>
      <c r="AC41" s="41"/>
      <c r="AD41" s="42" t="str">
        <f t="shared" si="19"/>
        <v/>
      </c>
      <c r="AE41" s="89"/>
      <c r="AF41" s="206" t="str">
        <f t="shared" si="20"/>
        <v>No Quote</v>
      </c>
      <c r="AG41" s="207"/>
      <c r="AH41" s="41"/>
      <c r="AI41" s="42" t="str">
        <f t="shared" si="21"/>
        <v/>
      </c>
      <c r="AJ41" s="89"/>
      <c r="AK41" s="208" t="str">
        <f t="shared" si="22"/>
        <v>No Quote</v>
      </c>
      <c r="AL41" s="209"/>
      <c r="AM41" s="87"/>
      <c r="AN41" s="93"/>
      <c r="AO41" s="63" t="str">
        <f t="shared" si="23"/>
        <v/>
      </c>
      <c r="AP41" s="92"/>
      <c r="AQ41" s="92"/>
      <c r="AR41" s="77" t="str">
        <f t="shared" si="24"/>
        <v>-</v>
      </c>
      <c r="AS41" s="77" t="str">
        <f t="shared" si="25"/>
        <v>-</v>
      </c>
      <c r="AT41" s="77" t="str">
        <f t="shared" si="26"/>
        <v>-</v>
      </c>
      <c r="AU41" s="77" t="str">
        <f t="shared" si="27"/>
        <v>-</v>
      </c>
      <c r="AV41" s="77" t="str">
        <f t="shared" si="28"/>
        <v>-</v>
      </c>
      <c r="AW41" s="77" t="str">
        <f t="shared" si="29"/>
        <v>-</v>
      </c>
      <c r="AX41" s="78" t="str">
        <f t="shared" si="4"/>
        <v/>
      </c>
      <c r="AY41" s="74" t="str">
        <f t="shared" si="5"/>
        <v/>
      </c>
      <c r="AZ41" s="72" t="str">
        <f t="shared" si="6"/>
        <v/>
      </c>
      <c r="BA41" s="71" t="str">
        <f t="shared" si="30"/>
        <v/>
      </c>
      <c r="BB41" s="74" t="str">
        <f t="shared" si="7"/>
        <v/>
      </c>
      <c r="BC41" s="72" t="str">
        <f t="shared" si="8"/>
        <v/>
      </c>
      <c r="BD41" s="71" t="str">
        <f t="shared" si="31"/>
        <v/>
      </c>
      <c r="BE41" s="74" t="str">
        <f t="shared" si="9"/>
        <v/>
      </c>
      <c r="BG41" s="99">
        <f t="shared" si="10"/>
        <v>0</v>
      </c>
      <c r="BH41" s="100" t="str" cm="1">
        <f t="array" ref="BH41">IFERROR(INDEX(_xlfn.UNIQUE(_xlfn._xlws.FILTER($AY$22:$AY$49,($AY$22:$AY$49&lt;&gt;"")*($AY$22:$AY$49&lt;&gt;"-"))),ROWS($BH$22:BH41)),"")</f>
        <v/>
      </c>
    </row>
    <row r="42" spans="2:60" s="1" customFormat="1" ht="61.5" customHeight="1" outlineLevel="1" x14ac:dyDescent="0.25">
      <c r="B42" s="38">
        <f t="shared" si="32"/>
        <v>21</v>
      </c>
      <c r="C42" s="210"/>
      <c r="D42" s="210"/>
      <c r="E42" s="210"/>
      <c r="F42" s="210"/>
      <c r="G42" s="39"/>
      <c r="H42" s="40"/>
      <c r="I42" s="41"/>
      <c r="J42" s="42" t="str">
        <f t="shared" si="11"/>
        <v/>
      </c>
      <c r="K42" s="90"/>
      <c r="L42" s="206" t="str">
        <f t="shared" si="12"/>
        <v>No Quote</v>
      </c>
      <c r="M42" s="207"/>
      <c r="N42" s="41"/>
      <c r="O42" s="42" t="str">
        <f t="shared" si="13"/>
        <v/>
      </c>
      <c r="P42" s="90"/>
      <c r="Q42" s="206" t="str">
        <f t="shared" si="14"/>
        <v>No Quote</v>
      </c>
      <c r="R42" s="207"/>
      <c r="S42" s="41"/>
      <c r="T42" s="42" t="str">
        <f t="shared" si="15"/>
        <v/>
      </c>
      <c r="U42" s="89"/>
      <c r="V42" s="206" t="str">
        <f t="shared" si="16"/>
        <v>No Quote</v>
      </c>
      <c r="W42" s="207"/>
      <c r="X42" s="41"/>
      <c r="Y42" s="42" t="str">
        <f t="shared" si="17"/>
        <v/>
      </c>
      <c r="Z42" s="89"/>
      <c r="AA42" s="206" t="str">
        <f t="shared" si="18"/>
        <v>No Quote</v>
      </c>
      <c r="AB42" s="207"/>
      <c r="AC42" s="41"/>
      <c r="AD42" s="42" t="str">
        <f t="shared" si="19"/>
        <v/>
      </c>
      <c r="AE42" s="89"/>
      <c r="AF42" s="206" t="str">
        <f t="shared" si="20"/>
        <v>No Quote</v>
      </c>
      <c r="AG42" s="207"/>
      <c r="AH42" s="41"/>
      <c r="AI42" s="42" t="str">
        <f t="shared" si="21"/>
        <v/>
      </c>
      <c r="AJ42" s="89"/>
      <c r="AK42" s="208" t="str">
        <f t="shared" si="22"/>
        <v>No Quote</v>
      </c>
      <c r="AL42" s="209"/>
      <c r="AM42" s="87"/>
      <c r="AN42" s="93"/>
      <c r="AO42" s="63" t="str">
        <f t="shared" si="23"/>
        <v/>
      </c>
      <c r="AP42" s="92"/>
      <c r="AQ42" s="92"/>
      <c r="AR42" s="77" t="str">
        <f t="shared" si="24"/>
        <v>-</v>
      </c>
      <c r="AS42" s="77" t="str">
        <f t="shared" si="25"/>
        <v>-</v>
      </c>
      <c r="AT42" s="77" t="str">
        <f t="shared" si="26"/>
        <v>-</v>
      </c>
      <c r="AU42" s="77" t="str">
        <f t="shared" si="27"/>
        <v>-</v>
      </c>
      <c r="AV42" s="77" t="str">
        <f t="shared" si="28"/>
        <v>-</v>
      </c>
      <c r="AW42" s="77" t="str">
        <f t="shared" si="29"/>
        <v>-</v>
      </c>
      <c r="AX42" s="78" t="str">
        <f t="shared" si="4"/>
        <v/>
      </c>
      <c r="AY42" s="74" t="str">
        <f t="shared" si="5"/>
        <v/>
      </c>
      <c r="AZ42" s="72" t="str">
        <f t="shared" si="6"/>
        <v/>
      </c>
      <c r="BA42" s="71" t="str">
        <f t="shared" si="30"/>
        <v/>
      </c>
      <c r="BB42" s="74" t="str">
        <f t="shared" si="7"/>
        <v/>
      </c>
      <c r="BC42" s="72" t="str">
        <f t="shared" si="8"/>
        <v/>
      </c>
      <c r="BD42" s="71" t="str">
        <f t="shared" si="31"/>
        <v/>
      </c>
      <c r="BE42" s="74" t="str">
        <f t="shared" si="9"/>
        <v/>
      </c>
      <c r="BG42" s="99">
        <f t="shared" si="10"/>
        <v>0</v>
      </c>
      <c r="BH42" s="100" t="str" cm="1">
        <f t="array" ref="BH42">IFERROR(INDEX(_xlfn.UNIQUE(_xlfn._xlws.FILTER($AY$22:$AY$49,($AY$22:$AY$49&lt;&gt;"")*($AY$22:$AY$49&lt;&gt;"-"))),ROWS($BH$22:BH42)),"")</f>
        <v/>
      </c>
    </row>
    <row r="43" spans="2:60" s="1" customFormat="1" ht="61.5" customHeight="1" outlineLevel="1" x14ac:dyDescent="0.25">
      <c r="B43" s="38">
        <f t="shared" si="32"/>
        <v>22</v>
      </c>
      <c r="C43" s="210"/>
      <c r="D43" s="210"/>
      <c r="E43" s="210"/>
      <c r="F43" s="210"/>
      <c r="G43" s="39"/>
      <c r="H43" s="40"/>
      <c r="I43" s="41"/>
      <c r="J43" s="42" t="str">
        <f t="shared" si="11"/>
        <v/>
      </c>
      <c r="K43" s="90"/>
      <c r="L43" s="206" t="str">
        <f t="shared" si="12"/>
        <v>No Quote</v>
      </c>
      <c r="M43" s="207"/>
      <c r="N43" s="41"/>
      <c r="O43" s="42" t="str">
        <f t="shared" si="13"/>
        <v/>
      </c>
      <c r="P43" s="90"/>
      <c r="Q43" s="206" t="str">
        <f t="shared" si="14"/>
        <v>No Quote</v>
      </c>
      <c r="R43" s="207"/>
      <c r="S43" s="41"/>
      <c r="T43" s="42" t="str">
        <f t="shared" si="15"/>
        <v/>
      </c>
      <c r="U43" s="89"/>
      <c r="V43" s="206" t="str">
        <f t="shared" si="16"/>
        <v>No Quote</v>
      </c>
      <c r="W43" s="207"/>
      <c r="X43" s="41"/>
      <c r="Y43" s="42" t="str">
        <f t="shared" si="17"/>
        <v/>
      </c>
      <c r="Z43" s="89"/>
      <c r="AA43" s="206" t="str">
        <f t="shared" si="18"/>
        <v>No Quote</v>
      </c>
      <c r="AB43" s="207"/>
      <c r="AC43" s="41"/>
      <c r="AD43" s="42" t="str">
        <f t="shared" si="19"/>
        <v/>
      </c>
      <c r="AE43" s="89"/>
      <c r="AF43" s="206" t="str">
        <f t="shared" si="20"/>
        <v>No Quote</v>
      </c>
      <c r="AG43" s="207"/>
      <c r="AH43" s="41"/>
      <c r="AI43" s="42" t="str">
        <f t="shared" si="21"/>
        <v/>
      </c>
      <c r="AJ43" s="89"/>
      <c r="AK43" s="208" t="str">
        <f t="shared" si="22"/>
        <v>No Quote</v>
      </c>
      <c r="AL43" s="209"/>
      <c r="AM43" s="87"/>
      <c r="AN43" s="93"/>
      <c r="AO43" s="63" t="str">
        <f t="shared" si="23"/>
        <v/>
      </c>
      <c r="AP43" s="92"/>
      <c r="AQ43" s="92"/>
      <c r="AR43" s="77" t="str">
        <f t="shared" si="24"/>
        <v>-</v>
      </c>
      <c r="AS43" s="77" t="str">
        <f t="shared" si="25"/>
        <v>-</v>
      </c>
      <c r="AT43" s="77" t="str">
        <f t="shared" si="26"/>
        <v>-</v>
      </c>
      <c r="AU43" s="77" t="str">
        <f t="shared" si="27"/>
        <v>-</v>
      </c>
      <c r="AV43" s="77" t="str">
        <f t="shared" si="28"/>
        <v>-</v>
      </c>
      <c r="AW43" s="77" t="str">
        <f t="shared" si="29"/>
        <v>-</v>
      </c>
      <c r="AX43" s="78" t="str">
        <f t="shared" si="4"/>
        <v/>
      </c>
      <c r="AY43" s="74" t="str">
        <f t="shared" si="5"/>
        <v/>
      </c>
      <c r="AZ43" s="72" t="str">
        <f t="shared" si="6"/>
        <v/>
      </c>
      <c r="BA43" s="71" t="str">
        <f t="shared" si="30"/>
        <v/>
      </c>
      <c r="BB43" s="74" t="str">
        <f t="shared" si="7"/>
        <v/>
      </c>
      <c r="BC43" s="72" t="str">
        <f t="shared" si="8"/>
        <v/>
      </c>
      <c r="BD43" s="71" t="str">
        <f t="shared" si="31"/>
        <v/>
      </c>
      <c r="BE43" s="74" t="str">
        <f t="shared" si="9"/>
        <v/>
      </c>
      <c r="BG43" s="99">
        <f t="shared" si="10"/>
        <v>0</v>
      </c>
      <c r="BH43" s="100" t="str" cm="1">
        <f t="array" ref="BH43">IFERROR(INDEX(_xlfn.UNIQUE(_xlfn._xlws.FILTER($AY$22:$AY$49,($AY$22:$AY$49&lt;&gt;"")*($AY$22:$AY$49&lt;&gt;"-"))),ROWS($BH$22:BH43)),"")</f>
        <v/>
      </c>
    </row>
    <row r="44" spans="2:60" s="1" customFormat="1" ht="61.5" customHeight="1" outlineLevel="1" x14ac:dyDescent="0.25">
      <c r="B44" s="38">
        <f t="shared" si="32"/>
        <v>23</v>
      </c>
      <c r="C44" s="210"/>
      <c r="D44" s="210"/>
      <c r="E44" s="210"/>
      <c r="F44" s="210"/>
      <c r="G44" s="39"/>
      <c r="H44" s="40"/>
      <c r="I44" s="41"/>
      <c r="J44" s="42" t="str">
        <f t="shared" si="11"/>
        <v/>
      </c>
      <c r="K44" s="90"/>
      <c r="L44" s="206" t="str">
        <f t="shared" si="12"/>
        <v>No Quote</v>
      </c>
      <c r="M44" s="207"/>
      <c r="N44" s="41"/>
      <c r="O44" s="42" t="str">
        <f t="shared" si="13"/>
        <v/>
      </c>
      <c r="P44" s="90"/>
      <c r="Q44" s="206" t="str">
        <f t="shared" si="14"/>
        <v>No Quote</v>
      </c>
      <c r="R44" s="207"/>
      <c r="S44" s="41"/>
      <c r="T44" s="42" t="str">
        <f t="shared" si="15"/>
        <v/>
      </c>
      <c r="U44" s="89"/>
      <c r="V44" s="206" t="str">
        <f t="shared" si="16"/>
        <v>No Quote</v>
      </c>
      <c r="W44" s="207"/>
      <c r="X44" s="41"/>
      <c r="Y44" s="42" t="str">
        <f t="shared" si="17"/>
        <v/>
      </c>
      <c r="Z44" s="89"/>
      <c r="AA44" s="206" t="str">
        <f t="shared" si="18"/>
        <v>No Quote</v>
      </c>
      <c r="AB44" s="207"/>
      <c r="AC44" s="41"/>
      <c r="AD44" s="42" t="str">
        <f t="shared" si="19"/>
        <v/>
      </c>
      <c r="AE44" s="89"/>
      <c r="AF44" s="206" t="str">
        <f t="shared" si="20"/>
        <v>No Quote</v>
      </c>
      <c r="AG44" s="207"/>
      <c r="AH44" s="41"/>
      <c r="AI44" s="42" t="str">
        <f t="shared" si="21"/>
        <v/>
      </c>
      <c r="AJ44" s="89"/>
      <c r="AK44" s="208" t="str">
        <f t="shared" si="22"/>
        <v>No Quote</v>
      </c>
      <c r="AL44" s="209"/>
      <c r="AM44" s="87"/>
      <c r="AN44" s="93"/>
      <c r="AO44" s="63" t="str">
        <f t="shared" si="23"/>
        <v/>
      </c>
      <c r="AP44" s="92"/>
      <c r="AQ44" s="92"/>
      <c r="AR44" s="77" t="str">
        <f t="shared" si="24"/>
        <v>-</v>
      </c>
      <c r="AS44" s="77" t="str">
        <f t="shared" si="25"/>
        <v>-</v>
      </c>
      <c r="AT44" s="77" t="str">
        <f t="shared" si="26"/>
        <v>-</v>
      </c>
      <c r="AU44" s="77" t="str">
        <f t="shared" si="27"/>
        <v>-</v>
      </c>
      <c r="AV44" s="77" t="str">
        <f t="shared" si="28"/>
        <v>-</v>
      </c>
      <c r="AW44" s="77" t="str">
        <f t="shared" si="29"/>
        <v>-</v>
      </c>
      <c r="AX44" s="78" t="str">
        <f t="shared" si="4"/>
        <v/>
      </c>
      <c r="AY44" s="74" t="str">
        <f t="shared" si="5"/>
        <v/>
      </c>
      <c r="AZ44" s="72" t="str">
        <f t="shared" si="6"/>
        <v/>
      </c>
      <c r="BA44" s="71" t="str">
        <f t="shared" si="30"/>
        <v/>
      </c>
      <c r="BB44" s="74" t="str">
        <f t="shared" si="7"/>
        <v/>
      </c>
      <c r="BC44" s="72" t="str">
        <f t="shared" si="8"/>
        <v/>
      </c>
      <c r="BD44" s="71" t="str">
        <f t="shared" si="31"/>
        <v/>
      </c>
      <c r="BE44" s="74" t="str">
        <f t="shared" si="9"/>
        <v/>
      </c>
      <c r="BG44" s="99">
        <f t="shared" si="10"/>
        <v>0</v>
      </c>
      <c r="BH44" s="100" t="str" cm="1">
        <f t="array" ref="BH44">IFERROR(INDEX(_xlfn.UNIQUE(_xlfn._xlws.FILTER($AY$22:$AY$49,($AY$22:$AY$49&lt;&gt;"")*($AY$22:$AY$49&lt;&gt;"-"))),ROWS($BH$22:BH44)),"")</f>
        <v/>
      </c>
    </row>
    <row r="45" spans="2:60" s="1" customFormat="1" ht="61.5" customHeight="1" outlineLevel="1" x14ac:dyDescent="0.25">
      <c r="B45" s="38">
        <f t="shared" si="32"/>
        <v>24</v>
      </c>
      <c r="C45" s="210"/>
      <c r="D45" s="210"/>
      <c r="E45" s="210"/>
      <c r="F45" s="210"/>
      <c r="G45" s="39"/>
      <c r="H45" s="40"/>
      <c r="I45" s="41"/>
      <c r="J45" s="42" t="str">
        <f t="shared" si="11"/>
        <v/>
      </c>
      <c r="K45" s="90"/>
      <c r="L45" s="206" t="str">
        <f t="shared" si="12"/>
        <v>No Quote</v>
      </c>
      <c r="M45" s="207"/>
      <c r="N45" s="41"/>
      <c r="O45" s="42" t="str">
        <f t="shared" si="13"/>
        <v/>
      </c>
      <c r="P45" s="90"/>
      <c r="Q45" s="206" t="str">
        <f t="shared" si="14"/>
        <v>No Quote</v>
      </c>
      <c r="R45" s="207"/>
      <c r="S45" s="41"/>
      <c r="T45" s="42" t="str">
        <f t="shared" si="15"/>
        <v/>
      </c>
      <c r="U45" s="89"/>
      <c r="V45" s="206" t="str">
        <f t="shared" si="16"/>
        <v>No Quote</v>
      </c>
      <c r="W45" s="207"/>
      <c r="X45" s="41"/>
      <c r="Y45" s="42" t="str">
        <f t="shared" si="17"/>
        <v/>
      </c>
      <c r="Z45" s="89"/>
      <c r="AA45" s="206" t="str">
        <f t="shared" si="18"/>
        <v>No Quote</v>
      </c>
      <c r="AB45" s="207"/>
      <c r="AC45" s="41"/>
      <c r="AD45" s="42" t="str">
        <f t="shared" si="19"/>
        <v/>
      </c>
      <c r="AE45" s="89"/>
      <c r="AF45" s="206" t="str">
        <f t="shared" si="20"/>
        <v>No Quote</v>
      </c>
      <c r="AG45" s="207"/>
      <c r="AH45" s="41"/>
      <c r="AI45" s="42" t="str">
        <f t="shared" si="21"/>
        <v/>
      </c>
      <c r="AJ45" s="89"/>
      <c r="AK45" s="208" t="str">
        <f t="shared" si="22"/>
        <v>No Quote</v>
      </c>
      <c r="AL45" s="209"/>
      <c r="AM45" s="87"/>
      <c r="AN45" s="93"/>
      <c r="AO45" s="63" t="str">
        <f t="shared" si="23"/>
        <v/>
      </c>
      <c r="AP45" s="92"/>
      <c r="AQ45" s="92"/>
      <c r="AR45" s="77" t="str">
        <f t="shared" si="24"/>
        <v>-</v>
      </c>
      <c r="AS45" s="77" t="str">
        <f t="shared" si="25"/>
        <v>-</v>
      </c>
      <c r="AT45" s="77" t="str">
        <f t="shared" si="26"/>
        <v>-</v>
      </c>
      <c r="AU45" s="77" t="str">
        <f t="shared" si="27"/>
        <v>-</v>
      </c>
      <c r="AV45" s="77" t="str">
        <f t="shared" si="28"/>
        <v>-</v>
      </c>
      <c r="AW45" s="77" t="str">
        <f t="shared" si="29"/>
        <v>-</v>
      </c>
      <c r="AX45" s="78" t="str">
        <f t="shared" si="4"/>
        <v/>
      </c>
      <c r="AY45" s="74" t="str">
        <f t="shared" si="5"/>
        <v/>
      </c>
      <c r="AZ45" s="72" t="str">
        <f t="shared" si="6"/>
        <v/>
      </c>
      <c r="BA45" s="71" t="str">
        <f t="shared" si="30"/>
        <v/>
      </c>
      <c r="BB45" s="74" t="str">
        <f t="shared" si="7"/>
        <v/>
      </c>
      <c r="BC45" s="72" t="str">
        <f t="shared" si="8"/>
        <v/>
      </c>
      <c r="BD45" s="71" t="str">
        <f t="shared" si="31"/>
        <v/>
      </c>
      <c r="BE45" s="74" t="str">
        <f t="shared" si="9"/>
        <v/>
      </c>
      <c r="BG45" s="99">
        <f t="shared" si="10"/>
        <v>0</v>
      </c>
      <c r="BH45" s="100" t="str" cm="1">
        <f t="array" ref="BH45">IFERROR(INDEX(_xlfn.UNIQUE(_xlfn._xlws.FILTER($AY$22:$AY$49,($AY$22:$AY$49&lt;&gt;"")*($AY$22:$AY$49&lt;&gt;"-"))),ROWS($BH$22:BH45)),"")</f>
        <v/>
      </c>
    </row>
    <row r="46" spans="2:60" s="1" customFormat="1" ht="61.5" customHeight="1" outlineLevel="1" x14ac:dyDescent="0.25">
      <c r="B46" s="38">
        <f t="shared" si="32"/>
        <v>25</v>
      </c>
      <c r="C46" s="210"/>
      <c r="D46" s="210"/>
      <c r="E46" s="210"/>
      <c r="F46" s="210"/>
      <c r="G46" s="39"/>
      <c r="H46" s="40"/>
      <c r="I46" s="41"/>
      <c r="J46" s="42" t="str">
        <f t="shared" si="11"/>
        <v/>
      </c>
      <c r="K46" s="90"/>
      <c r="L46" s="206" t="str">
        <f t="shared" si="12"/>
        <v>No Quote</v>
      </c>
      <c r="M46" s="207"/>
      <c r="N46" s="41"/>
      <c r="O46" s="42" t="str">
        <f t="shared" si="13"/>
        <v/>
      </c>
      <c r="P46" s="90"/>
      <c r="Q46" s="206" t="str">
        <f t="shared" si="14"/>
        <v>No Quote</v>
      </c>
      <c r="R46" s="207"/>
      <c r="S46" s="41"/>
      <c r="T46" s="42" t="str">
        <f t="shared" si="15"/>
        <v/>
      </c>
      <c r="U46" s="89"/>
      <c r="V46" s="206" t="str">
        <f t="shared" si="16"/>
        <v>No Quote</v>
      </c>
      <c r="W46" s="207"/>
      <c r="X46" s="41"/>
      <c r="Y46" s="42" t="str">
        <f t="shared" si="17"/>
        <v/>
      </c>
      <c r="Z46" s="89"/>
      <c r="AA46" s="206" t="str">
        <f t="shared" si="18"/>
        <v>No Quote</v>
      </c>
      <c r="AB46" s="207"/>
      <c r="AC46" s="41"/>
      <c r="AD46" s="42" t="str">
        <f t="shared" si="19"/>
        <v/>
      </c>
      <c r="AE46" s="89"/>
      <c r="AF46" s="206" t="str">
        <f t="shared" si="20"/>
        <v>No Quote</v>
      </c>
      <c r="AG46" s="207"/>
      <c r="AH46" s="41"/>
      <c r="AI46" s="42" t="str">
        <f t="shared" si="21"/>
        <v/>
      </c>
      <c r="AJ46" s="89"/>
      <c r="AK46" s="208" t="str">
        <f t="shared" si="22"/>
        <v>No Quote</v>
      </c>
      <c r="AL46" s="209"/>
      <c r="AM46" s="87"/>
      <c r="AN46" s="93"/>
      <c r="AO46" s="63" t="str">
        <f t="shared" si="23"/>
        <v/>
      </c>
      <c r="AP46" s="92"/>
      <c r="AQ46" s="92"/>
      <c r="AR46" s="77" t="str">
        <f t="shared" si="24"/>
        <v>-</v>
      </c>
      <c r="AS46" s="77" t="str">
        <f t="shared" si="25"/>
        <v>-</v>
      </c>
      <c r="AT46" s="77" t="str">
        <f t="shared" si="26"/>
        <v>-</v>
      </c>
      <c r="AU46" s="77" t="str">
        <f t="shared" si="27"/>
        <v>-</v>
      </c>
      <c r="AV46" s="77" t="str">
        <f t="shared" si="28"/>
        <v>-</v>
      </c>
      <c r="AW46" s="77" t="str">
        <f t="shared" si="29"/>
        <v>-</v>
      </c>
      <c r="AX46" s="78" t="str">
        <f t="shared" si="4"/>
        <v/>
      </c>
      <c r="AY46" s="74" t="str">
        <f t="shared" si="5"/>
        <v/>
      </c>
      <c r="AZ46" s="72" t="str">
        <f t="shared" si="6"/>
        <v/>
      </c>
      <c r="BA46" s="71" t="str">
        <f t="shared" si="30"/>
        <v/>
      </c>
      <c r="BB46" s="74" t="str">
        <f t="shared" si="7"/>
        <v/>
      </c>
      <c r="BC46" s="72" t="str">
        <f t="shared" si="8"/>
        <v/>
      </c>
      <c r="BD46" s="71" t="str">
        <f t="shared" si="31"/>
        <v/>
      </c>
      <c r="BE46" s="74" t="str">
        <f t="shared" si="9"/>
        <v/>
      </c>
      <c r="BG46" s="99">
        <f t="shared" si="10"/>
        <v>0</v>
      </c>
      <c r="BH46" s="100" t="str" cm="1">
        <f t="array" ref="BH46">IFERROR(INDEX(_xlfn.UNIQUE(_xlfn._xlws.FILTER($AY$22:$AY$49,($AY$22:$AY$49&lt;&gt;"")*($AY$22:$AY$49&lt;&gt;"-"))),ROWS($BH$22:BH46)),"")</f>
        <v/>
      </c>
    </row>
    <row r="47" spans="2:60" s="1" customFormat="1" ht="61.5" customHeight="1" outlineLevel="1" x14ac:dyDescent="0.25">
      <c r="B47" s="38">
        <f t="shared" si="32"/>
        <v>26</v>
      </c>
      <c r="C47" s="210"/>
      <c r="D47" s="210"/>
      <c r="E47" s="210"/>
      <c r="F47" s="210"/>
      <c r="G47" s="39"/>
      <c r="H47" s="40"/>
      <c r="I47" s="41"/>
      <c r="J47" s="42" t="str">
        <f t="shared" si="11"/>
        <v/>
      </c>
      <c r="K47" s="90"/>
      <c r="L47" s="206" t="str">
        <f t="shared" si="12"/>
        <v>No Quote</v>
      </c>
      <c r="M47" s="207"/>
      <c r="N47" s="41"/>
      <c r="O47" s="42" t="str">
        <f t="shared" si="13"/>
        <v/>
      </c>
      <c r="P47" s="90"/>
      <c r="Q47" s="206" t="str">
        <f t="shared" si="14"/>
        <v>No Quote</v>
      </c>
      <c r="R47" s="207"/>
      <c r="S47" s="41"/>
      <c r="T47" s="42" t="str">
        <f t="shared" si="15"/>
        <v/>
      </c>
      <c r="U47" s="89"/>
      <c r="V47" s="206" t="str">
        <f t="shared" si="16"/>
        <v>No Quote</v>
      </c>
      <c r="W47" s="207"/>
      <c r="X47" s="41"/>
      <c r="Y47" s="42" t="str">
        <f t="shared" si="17"/>
        <v/>
      </c>
      <c r="Z47" s="89"/>
      <c r="AA47" s="206" t="str">
        <f t="shared" si="18"/>
        <v>No Quote</v>
      </c>
      <c r="AB47" s="207"/>
      <c r="AC47" s="41"/>
      <c r="AD47" s="42" t="str">
        <f t="shared" si="19"/>
        <v/>
      </c>
      <c r="AE47" s="89"/>
      <c r="AF47" s="206" t="str">
        <f t="shared" si="20"/>
        <v>No Quote</v>
      </c>
      <c r="AG47" s="207"/>
      <c r="AH47" s="41"/>
      <c r="AI47" s="42" t="str">
        <f t="shared" si="21"/>
        <v/>
      </c>
      <c r="AJ47" s="89"/>
      <c r="AK47" s="208" t="str">
        <f t="shared" si="22"/>
        <v>No Quote</v>
      </c>
      <c r="AL47" s="209"/>
      <c r="AM47" s="87"/>
      <c r="AN47" s="93"/>
      <c r="AO47" s="63" t="str">
        <f t="shared" si="23"/>
        <v/>
      </c>
      <c r="AP47" s="92"/>
      <c r="AQ47" s="92"/>
      <c r="AR47" s="77" t="str">
        <f t="shared" si="24"/>
        <v>-</v>
      </c>
      <c r="AS47" s="77" t="str">
        <f t="shared" si="25"/>
        <v>-</v>
      </c>
      <c r="AT47" s="77" t="str">
        <f t="shared" si="26"/>
        <v>-</v>
      </c>
      <c r="AU47" s="77" t="str">
        <f t="shared" si="27"/>
        <v>-</v>
      </c>
      <c r="AV47" s="77" t="str">
        <f t="shared" si="28"/>
        <v>-</v>
      </c>
      <c r="AW47" s="77" t="str">
        <f t="shared" si="29"/>
        <v>-</v>
      </c>
      <c r="AX47" s="78" t="str">
        <f t="shared" si="4"/>
        <v/>
      </c>
      <c r="AY47" s="74" t="str">
        <f t="shared" si="5"/>
        <v/>
      </c>
      <c r="AZ47" s="72" t="str">
        <f t="shared" si="6"/>
        <v/>
      </c>
      <c r="BA47" s="71" t="str">
        <f t="shared" si="30"/>
        <v/>
      </c>
      <c r="BB47" s="74" t="str">
        <f t="shared" si="7"/>
        <v/>
      </c>
      <c r="BC47" s="72" t="str">
        <f t="shared" si="8"/>
        <v/>
      </c>
      <c r="BD47" s="71" t="str">
        <f t="shared" si="31"/>
        <v/>
      </c>
      <c r="BE47" s="74" t="str">
        <f t="shared" si="9"/>
        <v/>
      </c>
      <c r="BG47" s="99">
        <f t="shared" si="10"/>
        <v>0</v>
      </c>
      <c r="BH47" s="100" t="str" cm="1">
        <f t="array" ref="BH47">IFERROR(INDEX(_xlfn.UNIQUE(_xlfn._xlws.FILTER($AY$22:$AY$49,($AY$22:$AY$49&lt;&gt;"")*($AY$22:$AY$49&lt;&gt;"-"))),ROWS($BH$22:BH47)),"")</f>
        <v/>
      </c>
    </row>
    <row r="48" spans="2:60" s="1" customFormat="1" ht="61.5" customHeight="1" outlineLevel="1" x14ac:dyDescent="0.25">
      <c r="B48" s="38">
        <f t="shared" si="32"/>
        <v>27</v>
      </c>
      <c r="C48" s="210"/>
      <c r="D48" s="210"/>
      <c r="E48" s="210"/>
      <c r="F48" s="210"/>
      <c r="G48" s="39"/>
      <c r="H48" s="40"/>
      <c r="I48" s="41"/>
      <c r="J48" s="42" t="str">
        <f t="shared" si="11"/>
        <v/>
      </c>
      <c r="K48" s="90"/>
      <c r="L48" s="206" t="str">
        <f t="shared" si="12"/>
        <v>No Quote</v>
      </c>
      <c r="M48" s="207"/>
      <c r="N48" s="41"/>
      <c r="O48" s="42" t="str">
        <f t="shared" si="13"/>
        <v/>
      </c>
      <c r="P48" s="90"/>
      <c r="Q48" s="206" t="str">
        <f t="shared" si="14"/>
        <v>No Quote</v>
      </c>
      <c r="R48" s="207"/>
      <c r="S48" s="41"/>
      <c r="T48" s="42" t="str">
        <f t="shared" si="15"/>
        <v/>
      </c>
      <c r="U48" s="89"/>
      <c r="V48" s="206" t="str">
        <f t="shared" si="16"/>
        <v>No Quote</v>
      </c>
      <c r="W48" s="207"/>
      <c r="X48" s="41"/>
      <c r="Y48" s="42" t="str">
        <f t="shared" si="17"/>
        <v/>
      </c>
      <c r="Z48" s="89"/>
      <c r="AA48" s="206" t="str">
        <f t="shared" si="18"/>
        <v>No Quote</v>
      </c>
      <c r="AB48" s="207"/>
      <c r="AC48" s="41"/>
      <c r="AD48" s="42" t="str">
        <f t="shared" si="19"/>
        <v/>
      </c>
      <c r="AE48" s="89"/>
      <c r="AF48" s="206" t="str">
        <f t="shared" si="20"/>
        <v>No Quote</v>
      </c>
      <c r="AG48" s="207"/>
      <c r="AH48" s="41"/>
      <c r="AI48" s="42" t="str">
        <f t="shared" si="21"/>
        <v/>
      </c>
      <c r="AJ48" s="89"/>
      <c r="AK48" s="208" t="str">
        <f t="shared" si="22"/>
        <v>No Quote</v>
      </c>
      <c r="AL48" s="209"/>
      <c r="AM48" s="87"/>
      <c r="AN48" s="93"/>
      <c r="AO48" s="63" t="str">
        <f t="shared" si="23"/>
        <v/>
      </c>
      <c r="AP48" s="92"/>
      <c r="AQ48" s="92"/>
      <c r="AR48" s="77" t="str">
        <f t="shared" si="24"/>
        <v>-</v>
      </c>
      <c r="AS48" s="77" t="str">
        <f t="shared" si="25"/>
        <v>-</v>
      </c>
      <c r="AT48" s="77" t="str">
        <f t="shared" si="26"/>
        <v>-</v>
      </c>
      <c r="AU48" s="77" t="str">
        <f t="shared" si="27"/>
        <v>-</v>
      </c>
      <c r="AV48" s="77" t="str">
        <f t="shared" si="28"/>
        <v>-</v>
      </c>
      <c r="AW48" s="77" t="str">
        <f t="shared" si="29"/>
        <v>-</v>
      </c>
      <c r="AX48" s="78" t="str">
        <f t="shared" si="4"/>
        <v/>
      </c>
      <c r="AY48" s="74" t="str">
        <f t="shared" si="5"/>
        <v/>
      </c>
      <c r="AZ48" s="72" t="str">
        <f t="shared" si="6"/>
        <v/>
      </c>
      <c r="BA48" s="71" t="str">
        <f t="shared" si="30"/>
        <v/>
      </c>
      <c r="BB48" s="74" t="str">
        <f t="shared" si="7"/>
        <v/>
      </c>
      <c r="BC48" s="72" t="str">
        <f t="shared" si="8"/>
        <v/>
      </c>
      <c r="BD48" s="71" t="str">
        <f t="shared" si="31"/>
        <v/>
      </c>
      <c r="BE48" s="74" t="str">
        <f t="shared" si="9"/>
        <v/>
      </c>
      <c r="BG48" s="99">
        <f t="shared" si="10"/>
        <v>0</v>
      </c>
      <c r="BH48" s="100" t="str" cm="1">
        <f t="array" ref="BH48">IFERROR(INDEX(_xlfn.UNIQUE(_xlfn._xlws.FILTER($AY$22:$AY$49,($AY$22:$AY$49&lt;&gt;"")*($AY$22:$AY$49&lt;&gt;"-"))),ROWS($BH$22:BH48)),"")</f>
        <v/>
      </c>
    </row>
    <row r="49" spans="2:60" s="1" customFormat="1" ht="61.5" customHeight="1" outlineLevel="1" x14ac:dyDescent="0.25">
      <c r="B49" s="38">
        <f t="shared" si="32"/>
        <v>28</v>
      </c>
      <c r="C49" s="210"/>
      <c r="D49" s="210"/>
      <c r="E49" s="210"/>
      <c r="F49" s="210"/>
      <c r="G49" s="39"/>
      <c r="H49" s="40"/>
      <c r="I49" s="41"/>
      <c r="J49" s="42" t="str">
        <f t="shared" si="11"/>
        <v/>
      </c>
      <c r="K49" s="90"/>
      <c r="L49" s="206" t="str">
        <f t="shared" si="12"/>
        <v>No Quote</v>
      </c>
      <c r="M49" s="207"/>
      <c r="N49" s="41"/>
      <c r="O49" s="42" t="str">
        <f t="shared" si="13"/>
        <v/>
      </c>
      <c r="P49" s="90"/>
      <c r="Q49" s="206" t="str">
        <f t="shared" si="14"/>
        <v>No Quote</v>
      </c>
      <c r="R49" s="207"/>
      <c r="S49" s="41"/>
      <c r="T49" s="42" t="str">
        <f t="shared" si="15"/>
        <v/>
      </c>
      <c r="U49" s="89"/>
      <c r="V49" s="206" t="str">
        <f t="shared" si="16"/>
        <v>No Quote</v>
      </c>
      <c r="W49" s="207"/>
      <c r="X49" s="41"/>
      <c r="Y49" s="42" t="str">
        <f t="shared" si="17"/>
        <v/>
      </c>
      <c r="Z49" s="89"/>
      <c r="AA49" s="206" t="str">
        <f t="shared" si="18"/>
        <v>No Quote</v>
      </c>
      <c r="AB49" s="207"/>
      <c r="AC49" s="41"/>
      <c r="AD49" s="42" t="str">
        <f t="shared" si="19"/>
        <v/>
      </c>
      <c r="AE49" s="89"/>
      <c r="AF49" s="206" t="str">
        <f t="shared" si="20"/>
        <v>No Quote</v>
      </c>
      <c r="AG49" s="207"/>
      <c r="AH49" s="41"/>
      <c r="AI49" s="42" t="str">
        <f t="shared" si="21"/>
        <v/>
      </c>
      <c r="AJ49" s="89"/>
      <c r="AK49" s="208" t="str">
        <f t="shared" si="22"/>
        <v>No Quote</v>
      </c>
      <c r="AL49" s="209"/>
      <c r="AM49" s="87"/>
      <c r="AN49" s="93"/>
      <c r="AO49" s="63" t="str">
        <f t="shared" si="23"/>
        <v/>
      </c>
      <c r="AP49" s="92"/>
      <c r="AQ49" s="92"/>
      <c r="AR49" s="77" t="str">
        <f t="shared" si="24"/>
        <v>-</v>
      </c>
      <c r="AS49" s="77" t="str">
        <f t="shared" si="25"/>
        <v>-</v>
      </c>
      <c r="AT49" s="77" t="str">
        <f t="shared" si="26"/>
        <v>-</v>
      </c>
      <c r="AU49" s="77" t="str">
        <f t="shared" si="27"/>
        <v>-</v>
      </c>
      <c r="AV49" s="77" t="str">
        <f t="shared" si="28"/>
        <v>-</v>
      </c>
      <c r="AW49" s="77" t="str">
        <f t="shared" si="29"/>
        <v>-</v>
      </c>
      <c r="AX49" s="78" t="str">
        <f t="shared" si="4"/>
        <v/>
      </c>
      <c r="AY49" s="74" t="str">
        <f t="shared" si="5"/>
        <v/>
      </c>
      <c r="AZ49" s="72" t="str">
        <f t="shared" si="6"/>
        <v/>
      </c>
      <c r="BA49" s="71" t="str">
        <f t="shared" si="30"/>
        <v/>
      </c>
      <c r="BB49" s="74" t="str">
        <f t="shared" si="7"/>
        <v/>
      </c>
      <c r="BC49" s="72" t="str">
        <f t="shared" si="8"/>
        <v/>
      </c>
      <c r="BD49" s="71" t="str">
        <f t="shared" si="31"/>
        <v/>
      </c>
      <c r="BE49" s="74" t="str">
        <f t="shared" si="9"/>
        <v/>
      </c>
      <c r="BG49" s="99">
        <f t="shared" si="10"/>
        <v>0</v>
      </c>
      <c r="BH49" s="100" t="str" cm="1">
        <f t="array" ref="BH49">IFERROR(INDEX(_xlfn.UNIQUE(_xlfn._xlws.FILTER($AY$22:$AY$49,($AY$22:$AY$49&lt;&gt;"")*($AY$22:$AY$49&lt;&gt;"-"))),ROWS($BH$22:BH49)),"")</f>
        <v/>
      </c>
    </row>
    <row r="50" spans="2:60" s="44" customFormat="1" ht="35.1" customHeight="1" x14ac:dyDescent="0.25">
      <c r="B50" s="222" t="s">
        <v>17</v>
      </c>
      <c r="C50" s="223"/>
      <c r="D50" s="223"/>
      <c r="E50" s="223"/>
      <c r="F50" s="223"/>
      <c r="G50" s="226" t="s">
        <v>35</v>
      </c>
      <c r="H50" s="183"/>
      <c r="I50" s="211">
        <f>SUMIF(K22:K49,"&lt;&gt;x",J22:J49)</f>
        <v>0</v>
      </c>
      <c r="J50" s="212"/>
      <c r="K50" s="212"/>
      <c r="L50" s="212"/>
      <c r="M50" s="213"/>
      <c r="N50" s="211">
        <f>SUMIF(P22:P49,"&lt;&gt;x",O22:O49)</f>
        <v>0</v>
      </c>
      <c r="O50" s="212"/>
      <c r="P50" s="212"/>
      <c r="Q50" s="212"/>
      <c r="R50" s="213"/>
      <c r="S50" s="211">
        <f>SUMIF(U22:U49,"&lt;&gt;x",T22:T49)</f>
        <v>0</v>
      </c>
      <c r="T50" s="212"/>
      <c r="U50" s="212"/>
      <c r="V50" s="212"/>
      <c r="W50" s="213"/>
      <c r="X50" s="211">
        <f>SUMIF(Z22:Z49,"&lt;&gt;x",Y22:Y49)</f>
        <v>0</v>
      </c>
      <c r="Y50" s="212"/>
      <c r="Z50" s="212"/>
      <c r="AA50" s="212"/>
      <c r="AB50" s="213"/>
      <c r="AC50" s="211">
        <f>SUMIF(AE22:AE49,"&lt;&gt;x",AD22:AD49)</f>
        <v>0</v>
      </c>
      <c r="AD50" s="212"/>
      <c r="AE50" s="212"/>
      <c r="AF50" s="212"/>
      <c r="AG50" s="213"/>
      <c r="AH50" s="211">
        <f>SUMIF(AJ22:AJ49,"&lt;&gt;x",AI22:AI49)</f>
        <v>0</v>
      </c>
      <c r="AI50" s="212"/>
      <c r="AJ50" s="212"/>
      <c r="AK50" s="212"/>
      <c r="AL50" s="214"/>
      <c r="AR50" s="110">
        <f t="shared" ref="AR50:AW50" si="33">SUM(AR22:AR49)</f>
        <v>0</v>
      </c>
      <c r="AS50" s="110">
        <f t="shared" si="33"/>
        <v>0</v>
      </c>
      <c r="AT50" s="110">
        <f t="shared" si="33"/>
        <v>0</v>
      </c>
      <c r="AU50" s="110">
        <f t="shared" si="33"/>
        <v>0</v>
      </c>
      <c r="AV50" s="110">
        <f t="shared" si="33"/>
        <v>0</v>
      </c>
      <c r="AW50" s="110">
        <f t="shared" si="33"/>
        <v>0</v>
      </c>
      <c r="AX50" s="78" t="str">
        <f t="shared" si="4"/>
        <v/>
      </c>
      <c r="AY50" s="74" t="str">
        <f t="shared" ref="AY50" si="34">IF(AX50=AR50,$AR$19,IF(AX50=AS50,$AS$19,IF(AX50=AT50,$AT$19,IF(AX50=AU50,$AU$19,IF(AX50=AV50,$AV$19,IF(AX50=AW50,$AW$19,""))))))</f>
        <v/>
      </c>
      <c r="AZ50" s="72">
        <f t="shared" si="6"/>
        <v>0</v>
      </c>
      <c r="BA50" s="71" t="str">
        <f t="shared" si="30"/>
        <v/>
      </c>
      <c r="BB50" s="74">
        <f t="shared" ref="BB50" si="35">IFERROR(IF(AZ50="","",IF(AZ50=AR50,$AR$19,IF(AZ50=AS50,$AS$19,IF(AZ50=AT50,$AT$19,IF(AZ50=AU50,$AU$19,IF(AZ50=AV50,$AV$19,IF(AZ50=AW50,$AW$19,""))))))),"")</f>
        <v>0</v>
      </c>
      <c r="BC50" s="72">
        <f t="shared" si="8"/>
        <v>0</v>
      </c>
      <c r="BD50" s="71" t="str">
        <f t="shared" ref="BD50" si="36">IFERROR(IF((BC50-$AX50)/$AX50&lt;0%,"",(BC50-$AX50)/$AX50),"")</f>
        <v/>
      </c>
      <c r="BE50" s="74">
        <f t="shared" ref="BE50" si="37">IFERROR(IF(BC50="","",IF(BC50=AR50,$AR$19,IF(BC50=AS50,$AS$19,IF(BC50=AT50,$AT$19,IF(BC50=AU50,$AU$19,IF(BC50=AV50,$AV$19,IF(BC50=AW50,$AW$19,""))))))),"")</f>
        <v>0</v>
      </c>
      <c r="BH50" s="101"/>
    </row>
    <row r="51" spans="2:60" s="44" customFormat="1" ht="35.1" customHeight="1" outlineLevel="1" x14ac:dyDescent="0.25">
      <c r="B51" s="224"/>
      <c r="C51" s="225"/>
      <c r="D51" s="225"/>
      <c r="E51" s="225"/>
      <c r="F51" s="225"/>
      <c r="G51" s="226" t="s">
        <v>36</v>
      </c>
      <c r="H51" s="183"/>
      <c r="I51" s="211">
        <f>I50+(I50*11%)</f>
        <v>0</v>
      </c>
      <c r="J51" s="212"/>
      <c r="K51" s="212"/>
      <c r="L51" s="212"/>
      <c r="M51" s="213"/>
      <c r="N51" s="211">
        <f>N50+(N50*11%)</f>
        <v>0</v>
      </c>
      <c r="O51" s="212"/>
      <c r="P51" s="212"/>
      <c r="Q51" s="212"/>
      <c r="R51" s="213"/>
      <c r="S51" s="211">
        <f>S50+(S50*11%)</f>
        <v>0</v>
      </c>
      <c r="T51" s="212"/>
      <c r="U51" s="212"/>
      <c r="V51" s="212"/>
      <c r="W51" s="213"/>
      <c r="X51" s="211">
        <f>X50+(X50*11%)</f>
        <v>0</v>
      </c>
      <c r="Y51" s="212"/>
      <c r="Z51" s="212"/>
      <c r="AA51" s="212"/>
      <c r="AB51" s="213"/>
      <c r="AC51" s="211">
        <f>AC50+(AC50*11%)</f>
        <v>0</v>
      </c>
      <c r="AD51" s="212"/>
      <c r="AE51" s="212"/>
      <c r="AF51" s="212"/>
      <c r="AG51" s="213"/>
      <c r="AH51" s="211">
        <f>AH50+(AH50*11%)</f>
        <v>0</v>
      </c>
      <c r="AI51" s="212"/>
      <c r="AJ51" s="212"/>
      <c r="AK51" s="212"/>
      <c r="AL51" s="214"/>
      <c r="AR51" s="11" t="str">
        <f t="shared" ref="AR51:AW51" si="38">IF(COUNTIF(AR22:AR49,"-")&gt;0,"No Full Item","Full Item")</f>
        <v>No Full Item</v>
      </c>
      <c r="AS51" s="11" t="str">
        <f t="shared" si="38"/>
        <v>No Full Item</v>
      </c>
      <c r="AT51" s="11" t="str">
        <f t="shared" si="38"/>
        <v>No Full Item</v>
      </c>
      <c r="AU51" s="11" t="str">
        <f t="shared" si="38"/>
        <v>No Full Item</v>
      </c>
      <c r="AV51" s="11" t="str">
        <f t="shared" si="38"/>
        <v>No Full Item</v>
      </c>
      <c r="AW51" s="11" t="str">
        <f t="shared" si="38"/>
        <v>No Full Item</v>
      </c>
      <c r="AX51" s="69"/>
      <c r="AY51" s="75"/>
      <c r="BA51" s="68"/>
      <c r="BB51" s="75"/>
      <c r="BE51" s="75"/>
      <c r="BH51" s="101"/>
    </row>
    <row r="52" spans="2:60" s="44" customFormat="1" ht="35.1" customHeight="1" x14ac:dyDescent="0.25">
      <c r="B52" s="224"/>
      <c r="C52" s="225"/>
      <c r="D52" s="225"/>
      <c r="E52" s="225"/>
      <c r="F52" s="225"/>
      <c r="G52" s="226" t="s">
        <v>37</v>
      </c>
      <c r="H52" s="183"/>
      <c r="I52" s="211"/>
      <c r="J52" s="212"/>
      <c r="K52" s="212"/>
      <c r="L52" s="212"/>
      <c r="M52" s="213"/>
      <c r="N52" s="211"/>
      <c r="O52" s="212"/>
      <c r="P52" s="212"/>
      <c r="Q52" s="212"/>
      <c r="R52" s="213"/>
      <c r="S52" s="211"/>
      <c r="T52" s="212"/>
      <c r="U52" s="212"/>
      <c r="V52" s="212"/>
      <c r="W52" s="213"/>
      <c r="X52" s="211"/>
      <c r="Y52" s="212"/>
      <c r="Z52" s="212"/>
      <c r="AA52" s="212"/>
      <c r="AB52" s="213"/>
      <c r="AC52" s="211"/>
      <c r="AD52" s="212"/>
      <c r="AE52" s="212"/>
      <c r="AF52" s="212"/>
      <c r="AG52" s="213"/>
      <c r="AH52" s="211"/>
      <c r="AI52" s="212"/>
      <c r="AJ52" s="212"/>
      <c r="AK52" s="212"/>
      <c r="AL52" s="214"/>
      <c r="AX52" s="69"/>
      <c r="AY52" s="75"/>
      <c r="BA52" s="68"/>
      <c r="BB52" s="75"/>
      <c r="BE52" s="75"/>
      <c r="BH52" s="101"/>
    </row>
    <row r="53" spans="2:60" s="1" customFormat="1" ht="80.25" customHeight="1" x14ac:dyDescent="0.25">
      <c r="B53" s="215" t="s">
        <v>38</v>
      </c>
      <c r="C53" s="216"/>
      <c r="D53" s="216"/>
      <c r="E53" s="216"/>
      <c r="F53" s="216"/>
      <c r="G53" s="216"/>
      <c r="H53" s="217"/>
      <c r="I53" s="218"/>
      <c r="J53" s="219"/>
      <c r="K53" s="219"/>
      <c r="L53" s="219"/>
      <c r="M53" s="220"/>
      <c r="N53" s="221"/>
      <c r="O53" s="219"/>
      <c r="P53" s="219"/>
      <c r="Q53" s="219"/>
      <c r="R53" s="220"/>
      <c r="S53" s="221"/>
      <c r="T53" s="219"/>
      <c r="U53" s="219"/>
      <c r="V53" s="219"/>
      <c r="W53" s="220"/>
      <c r="X53" s="221"/>
      <c r="Y53" s="219"/>
      <c r="Z53" s="219"/>
      <c r="AA53" s="219"/>
      <c r="AB53" s="220"/>
      <c r="AC53" s="221"/>
      <c r="AD53" s="219"/>
      <c r="AE53" s="219"/>
      <c r="AF53" s="219"/>
      <c r="AG53" s="220"/>
      <c r="AH53" s="221"/>
      <c r="AI53" s="219"/>
      <c r="AJ53" s="219"/>
      <c r="AK53" s="219"/>
      <c r="AL53" s="227"/>
      <c r="AX53" s="79"/>
      <c r="AY53" s="70"/>
      <c r="BA53" s="65"/>
      <c r="BB53" s="70"/>
      <c r="BE53" s="70"/>
      <c r="BH53" s="3"/>
    </row>
    <row r="54" spans="2:60" s="1" customFormat="1" ht="120" customHeight="1" x14ac:dyDescent="0.25">
      <c r="B54" s="228"/>
      <c r="C54" s="229"/>
      <c r="D54" s="229"/>
      <c r="E54" s="229"/>
      <c r="F54" s="229"/>
      <c r="G54" s="229"/>
      <c r="H54" s="229"/>
      <c r="I54" s="230" t="s">
        <v>39</v>
      </c>
      <c r="J54" s="231"/>
      <c r="K54" s="231"/>
      <c r="L54" s="231"/>
      <c r="M54" s="232"/>
      <c r="N54" s="230" t="s">
        <v>39</v>
      </c>
      <c r="O54" s="231"/>
      <c r="P54" s="231"/>
      <c r="Q54" s="231"/>
      <c r="R54" s="232"/>
      <c r="S54" s="230" t="s">
        <v>39</v>
      </c>
      <c r="T54" s="231"/>
      <c r="U54" s="231"/>
      <c r="V54" s="231"/>
      <c r="W54" s="232"/>
      <c r="X54" s="230" t="s">
        <v>39</v>
      </c>
      <c r="Y54" s="231"/>
      <c r="Z54" s="231"/>
      <c r="AA54" s="231"/>
      <c r="AB54" s="232"/>
      <c r="AC54" s="230" t="s">
        <v>39</v>
      </c>
      <c r="AD54" s="231"/>
      <c r="AE54" s="231"/>
      <c r="AF54" s="231"/>
      <c r="AG54" s="232"/>
      <c r="AH54" s="246" t="s">
        <v>39</v>
      </c>
      <c r="AI54" s="247"/>
      <c r="AJ54" s="247"/>
      <c r="AK54" s="247"/>
      <c r="AL54" s="248"/>
      <c r="AX54" s="79"/>
      <c r="AY54" s="70"/>
      <c r="BA54" s="65"/>
      <c r="BB54" s="70"/>
      <c r="BE54" s="70"/>
      <c r="BH54" s="3"/>
    </row>
    <row r="55" spans="2:60" s="47" customFormat="1" ht="15" customHeight="1" x14ac:dyDescent="0.25">
      <c r="B55" s="249" t="s">
        <v>40</v>
      </c>
      <c r="C55" s="250"/>
      <c r="D55" s="250"/>
      <c r="E55" s="250"/>
      <c r="F55" s="250"/>
      <c r="G55" s="250"/>
      <c r="H55" s="251"/>
      <c r="I55" s="252" t="s">
        <v>41</v>
      </c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88"/>
      <c r="X55" s="252" t="s">
        <v>51</v>
      </c>
      <c r="Y55" s="253"/>
      <c r="Z55" s="253"/>
      <c r="AA55" s="253"/>
      <c r="AB55" s="253"/>
      <c r="AC55" s="266" t="s">
        <v>42</v>
      </c>
      <c r="AD55" s="267"/>
      <c r="AE55" s="267"/>
      <c r="AF55" s="267"/>
      <c r="AG55" s="267"/>
      <c r="AH55" s="267"/>
      <c r="AI55" s="267"/>
      <c r="AJ55" s="267"/>
      <c r="AK55" s="267"/>
      <c r="AL55" s="268"/>
      <c r="AX55" s="81"/>
      <c r="AY55" s="70"/>
      <c r="AZ55" s="1"/>
      <c r="BA55" s="65"/>
      <c r="BB55" s="70"/>
      <c r="BE55" s="70"/>
      <c r="BH55" s="102"/>
    </row>
    <row r="56" spans="2:60" s="1" customFormat="1" ht="90" customHeight="1" x14ac:dyDescent="0.25">
      <c r="B56" s="258"/>
      <c r="C56" s="259"/>
      <c r="D56" s="259"/>
      <c r="E56" s="259"/>
      <c r="F56" s="259"/>
      <c r="G56" s="259"/>
      <c r="H56" s="260"/>
      <c r="I56" s="179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289"/>
      <c r="X56" s="179"/>
      <c r="Y56" s="180"/>
      <c r="Z56" s="180"/>
      <c r="AA56" s="180"/>
      <c r="AB56" s="180"/>
      <c r="AC56" s="179"/>
      <c r="AD56" s="180"/>
      <c r="AE56" s="180"/>
      <c r="AF56" s="180"/>
      <c r="AG56" s="180"/>
      <c r="AH56" s="180"/>
      <c r="AI56" s="180"/>
      <c r="AJ56" s="180"/>
      <c r="AK56" s="180"/>
      <c r="AL56" s="245"/>
      <c r="AX56" s="79"/>
      <c r="AY56" s="70"/>
      <c r="BA56" s="65"/>
      <c r="BB56" s="70"/>
      <c r="BE56" s="70"/>
      <c r="BH56" s="3"/>
    </row>
    <row r="57" spans="2:60" s="1" customFormat="1" ht="13.5" x14ac:dyDescent="0.25">
      <c r="B57" s="233" t="s">
        <v>47</v>
      </c>
      <c r="C57" s="234"/>
      <c r="D57" s="234"/>
      <c r="E57" s="234"/>
      <c r="F57" s="234"/>
      <c r="G57" s="234"/>
      <c r="H57" s="235"/>
      <c r="I57" s="236" t="s">
        <v>43</v>
      </c>
      <c r="J57" s="237"/>
      <c r="K57" s="237"/>
      <c r="L57" s="237"/>
      <c r="M57" s="237"/>
      <c r="N57" s="237" t="s">
        <v>52</v>
      </c>
      <c r="O57" s="237"/>
      <c r="P57" s="237"/>
      <c r="Q57" s="237"/>
      <c r="R57" s="237"/>
      <c r="S57" s="237" t="s">
        <v>45</v>
      </c>
      <c r="T57" s="237"/>
      <c r="U57" s="237"/>
      <c r="V57" s="237"/>
      <c r="W57" s="287"/>
      <c r="X57" s="261" t="s">
        <v>48</v>
      </c>
      <c r="Y57" s="262"/>
      <c r="Z57" s="262"/>
      <c r="AA57" s="262"/>
      <c r="AB57" s="262"/>
      <c r="AC57" s="236" t="str">
        <f>IF(OR($I$50&lt;200000000,$N$50&lt;200000000,$S$50&lt;200000000,$X$50&lt;200000000,$AC$50&lt;200000000,$AH$50&lt;200000000),"Mochammad Rusfandy","Mochammad Rusfandy")</f>
        <v>Mochammad Rusfandy</v>
      </c>
      <c r="AD57" s="237"/>
      <c r="AE57" s="237"/>
      <c r="AF57" s="237"/>
      <c r="AG57" s="237"/>
      <c r="AH57" s="237" t="str">
        <f>IF(OR($I$50="",$N$50="",$S$50="",$X$50="",$AC$50="",$AH$50=""),"",IF(OR($I$50&gt;50000000,$N$50&gt;200000000,$S$50&gt;200000000,$X$50&gt;200000000,$AC$50&gt;200000000,$AH$50&gt;200000000),"Heri Gunawan",""))</f>
        <v/>
      </c>
      <c r="AI57" s="237"/>
      <c r="AJ57" s="237"/>
      <c r="AK57" s="237"/>
      <c r="AL57" s="254"/>
      <c r="AX57" s="79"/>
      <c r="AY57" s="70"/>
      <c r="BA57" s="65"/>
      <c r="BB57" s="70"/>
      <c r="BE57" s="70"/>
      <c r="BH57" s="3"/>
    </row>
    <row r="58" spans="2:60" s="1" customFormat="1" ht="13.5" x14ac:dyDescent="0.25">
      <c r="B58" s="48" t="s">
        <v>46</v>
      </c>
      <c r="C58" s="49"/>
      <c r="D58" s="255">
        <f ca="1">AI8</f>
        <v>46314</v>
      </c>
      <c r="E58" s="255"/>
      <c r="F58" s="255"/>
      <c r="G58" s="255"/>
      <c r="H58" s="256"/>
      <c r="I58" s="242" t="str">
        <f>IF(I57="","","Date:")</f>
        <v>Date:</v>
      </c>
      <c r="J58" s="242"/>
      <c r="K58" s="242"/>
      <c r="L58" s="242"/>
      <c r="M58" s="242"/>
      <c r="N58" s="242" t="str">
        <f>IF(N57="","","Date:")</f>
        <v>Date:</v>
      </c>
      <c r="O58" s="242"/>
      <c r="P58" s="242"/>
      <c r="Q58" s="242"/>
      <c r="R58" s="242"/>
      <c r="S58" s="242" t="str">
        <f>IF(S57="","","Date:")</f>
        <v>Date:</v>
      </c>
      <c r="T58" s="242"/>
      <c r="U58" s="242"/>
      <c r="V58" s="242"/>
      <c r="W58" s="286"/>
      <c r="X58" s="263" t="s">
        <v>49</v>
      </c>
      <c r="Y58" s="264"/>
      <c r="Z58" s="264"/>
      <c r="AA58" s="264"/>
      <c r="AB58" s="264"/>
      <c r="AC58" s="241" t="str">
        <f>IF(AC57="","","Date:")</f>
        <v>Date:</v>
      </c>
      <c r="AD58" s="242"/>
      <c r="AE58" s="242"/>
      <c r="AF58" s="242"/>
      <c r="AG58" s="242"/>
      <c r="AH58" s="242" t="str">
        <f>IF(AH57="","","Date:")</f>
        <v/>
      </c>
      <c r="AI58" s="242"/>
      <c r="AJ58" s="242"/>
      <c r="AK58" s="242"/>
      <c r="AL58" s="243"/>
      <c r="AX58" s="79"/>
      <c r="AY58" s="70"/>
      <c r="BA58" s="65"/>
      <c r="BB58" s="70"/>
      <c r="BE58" s="70"/>
      <c r="BH58" s="3"/>
    </row>
    <row r="59" spans="2:60" s="1" customFormat="1" ht="15.75" customHeight="1" thickBot="1" x14ac:dyDescent="0.3">
      <c r="B59" s="283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  <c r="AK59" s="284"/>
      <c r="AL59" s="285"/>
      <c r="AX59" s="79"/>
      <c r="AY59" s="70"/>
      <c r="BA59" s="65"/>
      <c r="BB59" s="70"/>
      <c r="BE59" s="70"/>
      <c r="BH59" s="3"/>
    </row>
    <row r="60" spans="2:60" ht="17.25" hidden="1" thickTop="1" x14ac:dyDescent="0.25">
      <c r="L60" s="55"/>
      <c r="M60" s="55"/>
    </row>
    <row r="61" spans="2:60" ht="17.25" hidden="1" thickTop="1" x14ac:dyDescent="0.25">
      <c r="L61" s="55"/>
      <c r="M61" s="55"/>
    </row>
    <row r="62" spans="2:60" ht="17.25" hidden="1" thickTop="1" x14ac:dyDescent="0.25">
      <c r="J62" s="265"/>
      <c r="K62" s="244"/>
      <c r="L62" s="244"/>
      <c r="M62" s="244"/>
    </row>
    <row r="63" spans="2:60" ht="17.25" hidden="1" thickTop="1" x14ac:dyDescent="0.25">
      <c r="J63" s="265"/>
      <c r="K63" s="244"/>
      <c r="L63" s="244"/>
      <c r="M63" s="244"/>
    </row>
    <row r="64" spans="2:60" ht="17.25" hidden="1" thickTop="1" x14ac:dyDescent="0.25">
      <c r="J64" s="265"/>
      <c r="K64" s="244"/>
      <c r="L64" s="244"/>
      <c r="M64" s="244"/>
    </row>
    <row r="65" spans="4:16" ht="17.25" hidden="1" thickTop="1" x14ac:dyDescent="0.25">
      <c r="J65" s="265"/>
      <c r="K65" s="244"/>
      <c r="L65" s="244"/>
      <c r="M65" s="244"/>
      <c r="N65" s="265"/>
      <c r="O65" s="244"/>
      <c r="P65" s="244"/>
    </row>
    <row r="66" spans="4:16" ht="17.25" hidden="1" thickTop="1" x14ac:dyDescent="0.25">
      <c r="J66" s="265"/>
      <c r="K66" s="244"/>
      <c r="L66" s="244"/>
      <c r="M66" s="244"/>
    </row>
    <row r="67" spans="4:16" ht="17.25" hidden="1" thickTop="1" x14ac:dyDescent="0.25">
      <c r="J67" s="244"/>
      <c r="K67" s="244"/>
      <c r="L67" s="244"/>
      <c r="M67" s="244"/>
    </row>
    <row r="68" spans="4:16" ht="17.25" hidden="1" thickTop="1" x14ac:dyDescent="0.25">
      <c r="L68" s="55"/>
      <c r="M68" s="55"/>
    </row>
    <row r="69" spans="4:16" ht="17.25" hidden="1" thickTop="1" x14ac:dyDescent="0.25">
      <c r="L69" s="239"/>
      <c r="M69" s="239"/>
    </row>
    <row r="72" spans="4:16" ht="17.25" hidden="1" thickTop="1" x14ac:dyDescent="0.25">
      <c r="D72" s="56"/>
      <c r="E72" s="56"/>
      <c r="F72" s="56"/>
      <c r="G72" s="56"/>
      <c r="H72" s="56"/>
      <c r="I72" s="56"/>
    </row>
    <row r="73" spans="4:16" ht="17.25" hidden="1" thickTop="1" x14ac:dyDescent="0.25">
      <c r="D73" s="56"/>
      <c r="E73" s="56"/>
      <c r="F73" s="56"/>
      <c r="G73" s="56"/>
      <c r="H73" s="56"/>
      <c r="I73" s="56"/>
    </row>
    <row r="74" spans="4:16" ht="17.25" hidden="1" thickTop="1" x14ac:dyDescent="0.25">
      <c r="D74" s="56"/>
      <c r="E74" s="56"/>
      <c r="F74" s="56"/>
      <c r="G74" s="56"/>
      <c r="H74" s="56"/>
      <c r="I74" s="56"/>
    </row>
    <row r="75" spans="4:16" ht="17.25" hidden="1" thickTop="1" x14ac:dyDescent="0.25">
      <c r="D75" s="56"/>
      <c r="E75" s="56"/>
      <c r="F75" s="56"/>
      <c r="G75" s="56"/>
      <c r="H75" s="56"/>
      <c r="I75" s="56"/>
    </row>
    <row r="76" spans="4:16" ht="17.25" hidden="1" thickTop="1" x14ac:dyDescent="0.25">
      <c r="D76" s="56"/>
      <c r="E76" s="56"/>
      <c r="F76" s="57"/>
      <c r="G76" s="56"/>
      <c r="H76" s="56"/>
      <c r="I76" s="56"/>
    </row>
    <row r="77" spans="4:16" ht="15" hidden="1" customHeight="1" x14ac:dyDescent="0.25">
      <c r="D77" s="56"/>
      <c r="E77" s="56"/>
      <c r="F77" s="240"/>
      <c r="G77" s="240"/>
      <c r="H77" s="240"/>
      <c r="I77" s="56"/>
    </row>
    <row r="78" spans="4:16" ht="15" hidden="1" customHeight="1" x14ac:dyDescent="0.25">
      <c r="D78" s="56"/>
      <c r="E78" s="56"/>
      <c r="F78" s="240"/>
      <c r="G78" s="240"/>
      <c r="H78" s="240"/>
      <c r="I78" s="58"/>
      <c r="J78" s="59"/>
    </row>
    <row r="79" spans="4:16" ht="17.25" hidden="1" thickTop="1" x14ac:dyDescent="0.25">
      <c r="D79" s="56"/>
      <c r="E79" s="56"/>
      <c r="F79" s="56"/>
      <c r="G79" s="56"/>
      <c r="H79" s="56"/>
      <c r="I79" s="56"/>
    </row>
    <row r="80" spans="4:16" ht="17.25" hidden="1" thickTop="1" x14ac:dyDescent="0.25">
      <c r="D80" s="56"/>
      <c r="E80" s="56"/>
      <c r="F80" s="56"/>
      <c r="G80" s="56"/>
      <c r="H80" s="56"/>
      <c r="I80" s="56"/>
    </row>
    <row r="81" spans="4:9" ht="17.25" hidden="1" thickTop="1" x14ac:dyDescent="0.25">
      <c r="D81" s="56"/>
      <c r="E81" s="56"/>
      <c r="F81" s="56"/>
      <c r="G81" s="56"/>
      <c r="H81" s="56"/>
      <c r="I81" s="60"/>
    </row>
    <row r="82" spans="4:9" ht="17.25" hidden="1" thickTop="1" x14ac:dyDescent="0.25">
      <c r="D82" s="56"/>
      <c r="E82" s="56"/>
      <c r="F82" s="56"/>
      <c r="G82" s="56"/>
      <c r="H82" s="56"/>
      <c r="I82" s="56"/>
    </row>
    <row r="83" spans="4:9" ht="17.25" thickTop="1" x14ac:dyDescent="0.25"/>
    <row r="84" spans="4:9" x14ac:dyDescent="0.25"/>
  </sheetData>
  <mergeCells count="373">
    <mergeCell ref="F7:Q7"/>
    <mergeCell ref="F8:Q8"/>
    <mergeCell ref="F9:Q9"/>
    <mergeCell ref="BG20:BH20"/>
    <mergeCell ref="BG21:BH21"/>
    <mergeCell ref="B9:D9"/>
    <mergeCell ref="B10:F10"/>
    <mergeCell ref="G10:H11"/>
    <mergeCell ref="I10:M10"/>
    <mergeCell ref="N10:R10"/>
    <mergeCell ref="G16:H16"/>
    <mergeCell ref="I16:M16"/>
    <mergeCell ref="N16:R16"/>
    <mergeCell ref="S16:W16"/>
    <mergeCell ref="X16:AB16"/>
    <mergeCell ref="AJ17:AL17"/>
    <mergeCell ref="X12:AB13"/>
    <mergeCell ref="S10:W10"/>
    <mergeCell ref="X10:AB10"/>
    <mergeCell ref="AC10:AG10"/>
    <mergeCell ref="X14:AB14"/>
    <mergeCell ref="AC14:AG14"/>
    <mergeCell ref="Y11:AB11"/>
    <mergeCell ref="AD11:AG11"/>
    <mergeCell ref="AH12:AL13"/>
    <mergeCell ref="AH14:AL14"/>
    <mergeCell ref="AH15:AL15"/>
    <mergeCell ref="AC16:AG16"/>
    <mergeCell ref="AH16:AL16"/>
    <mergeCell ref="S12:W13"/>
    <mergeCell ref="B4:F6"/>
    <mergeCell ref="G4:AJ6"/>
    <mergeCell ref="B7:D7"/>
    <mergeCell ref="AI7:AL7"/>
    <mergeCell ref="B8:D8"/>
    <mergeCell ref="AI8:AL8"/>
    <mergeCell ref="AI11:AL11"/>
    <mergeCell ref="AH10:AL10"/>
    <mergeCell ref="B12:F12"/>
    <mergeCell ref="G12:H13"/>
    <mergeCell ref="I12:M13"/>
    <mergeCell ref="B11:F11"/>
    <mergeCell ref="J11:M11"/>
    <mergeCell ref="O11:R11"/>
    <mergeCell ref="T11:W11"/>
    <mergeCell ref="B13:F15"/>
    <mergeCell ref="G14:H14"/>
    <mergeCell ref="I14:M14"/>
    <mergeCell ref="N12:R13"/>
    <mergeCell ref="B18:F19"/>
    <mergeCell ref="G18:H18"/>
    <mergeCell ref="I18:M18"/>
    <mergeCell ref="N18:R18"/>
    <mergeCell ref="S18:W18"/>
    <mergeCell ref="X18:AB18"/>
    <mergeCell ref="AC18:AG18"/>
    <mergeCell ref="B17:E17"/>
    <mergeCell ref="X15:AB15"/>
    <mergeCell ref="AC15:AG15"/>
    <mergeCell ref="AC12:AG13"/>
    <mergeCell ref="N14:R14"/>
    <mergeCell ref="S14:W14"/>
    <mergeCell ref="G15:H15"/>
    <mergeCell ref="I15:M15"/>
    <mergeCell ref="N15:R15"/>
    <mergeCell ref="S15:W15"/>
    <mergeCell ref="AH18:AL18"/>
    <mergeCell ref="X17:Y17"/>
    <mergeCell ref="Z17:AB17"/>
    <mergeCell ref="AC17:AD17"/>
    <mergeCell ref="AE17:AG17"/>
    <mergeCell ref="AH17:AI17"/>
    <mergeCell ref="G17:H17"/>
    <mergeCell ref="I17:J17"/>
    <mergeCell ref="K17:M17"/>
    <mergeCell ref="N17:O17"/>
    <mergeCell ref="P17:R17"/>
    <mergeCell ref="S17:T17"/>
    <mergeCell ref="U17:W17"/>
    <mergeCell ref="AH20:AL20"/>
    <mergeCell ref="C21:F21"/>
    <mergeCell ref="L21:M21"/>
    <mergeCell ref="Q21:R21"/>
    <mergeCell ref="V21:W21"/>
    <mergeCell ref="AA21:AB21"/>
    <mergeCell ref="AF21:AG21"/>
    <mergeCell ref="AK21:AL21"/>
    <mergeCell ref="G20:H20"/>
    <mergeCell ref="I20:M20"/>
    <mergeCell ref="N20:R20"/>
    <mergeCell ref="S20:W20"/>
    <mergeCell ref="X20:AB20"/>
    <mergeCell ref="AZ21:BB21"/>
    <mergeCell ref="BC21:BE21"/>
    <mergeCell ref="C22:F22"/>
    <mergeCell ref="L22:M22"/>
    <mergeCell ref="Q22:R22"/>
    <mergeCell ref="V22:W22"/>
    <mergeCell ref="AA22:AB22"/>
    <mergeCell ref="AF22:AG22"/>
    <mergeCell ref="AK22:AL22"/>
    <mergeCell ref="AS19:AS21"/>
    <mergeCell ref="AT19:AT21"/>
    <mergeCell ref="AU19:AU21"/>
    <mergeCell ref="AV19:AV21"/>
    <mergeCell ref="AW19:AW21"/>
    <mergeCell ref="AX18:AX21"/>
    <mergeCell ref="G19:H19"/>
    <mergeCell ref="I19:M19"/>
    <mergeCell ref="N19:R19"/>
    <mergeCell ref="S19:W19"/>
    <mergeCell ref="X19:AB19"/>
    <mergeCell ref="AC19:AG19"/>
    <mergeCell ref="AH19:AL19"/>
    <mergeCell ref="AR19:AR21"/>
    <mergeCell ref="AC20:AG20"/>
    <mergeCell ref="AF23:AG23"/>
    <mergeCell ref="AK23:AL23"/>
    <mergeCell ref="C24:F24"/>
    <mergeCell ref="L24:M24"/>
    <mergeCell ref="Q24:R24"/>
    <mergeCell ref="V24:W24"/>
    <mergeCell ref="AA24:AB24"/>
    <mergeCell ref="AF24:AG24"/>
    <mergeCell ref="AK24:AL24"/>
    <mergeCell ref="C23:F23"/>
    <mergeCell ref="L23:M23"/>
    <mergeCell ref="Q23:R23"/>
    <mergeCell ref="V23:W23"/>
    <mergeCell ref="AA23:AB23"/>
    <mergeCell ref="AF25:AG25"/>
    <mergeCell ref="AK25:AL25"/>
    <mergeCell ref="C26:F26"/>
    <mergeCell ref="L26:M26"/>
    <mergeCell ref="Q26:R26"/>
    <mergeCell ref="V26:W26"/>
    <mergeCell ref="AA26:AB26"/>
    <mergeCell ref="AF26:AG26"/>
    <mergeCell ref="AK26:AL26"/>
    <mergeCell ref="C25:F25"/>
    <mergeCell ref="L25:M25"/>
    <mergeCell ref="Q25:R25"/>
    <mergeCell ref="V25:W25"/>
    <mergeCell ref="AA25:AB25"/>
    <mergeCell ref="AF27:AG27"/>
    <mergeCell ref="AK27:AL27"/>
    <mergeCell ref="C28:F28"/>
    <mergeCell ref="L28:M28"/>
    <mergeCell ref="Q28:R28"/>
    <mergeCell ref="V28:W28"/>
    <mergeCell ref="AA28:AB28"/>
    <mergeCell ref="AF28:AG28"/>
    <mergeCell ref="AK28:AL28"/>
    <mergeCell ref="C27:F27"/>
    <mergeCell ref="L27:M27"/>
    <mergeCell ref="Q27:R27"/>
    <mergeCell ref="V27:W27"/>
    <mergeCell ref="AA27:AB27"/>
    <mergeCell ref="AF29:AG29"/>
    <mergeCell ref="AK29:AL29"/>
    <mergeCell ref="C30:F30"/>
    <mergeCell ref="L30:M30"/>
    <mergeCell ref="Q30:R30"/>
    <mergeCell ref="V30:W30"/>
    <mergeCell ref="AA30:AB30"/>
    <mergeCell ref="AF30:AG30"/>
    <mergeCell ref="AK30:AL30"/>
    <mergeCell ref="C29:F29"/>
    <mergeCell ref="L29:M29"/>
    <mergeCell ref="Q29:R29"/>
    <mergeCell ref="V29:W29"/>
    <mergeCell ref="AA29:AB29"/>
    <mergeCell ref="AF31:AG31"/>
    <mergeCell ref="AK31:AL31"/>
    <mergeCell ref="C32:F32"/>
    <mergeCell ref="L32:M32"/>
    <mergeCell ref="Q32:R32"/>
    <mergeCell ref="V32:W32"/>
    <mergeCell ref="AA32:AB32"/>
    <mergeCell ref="AF32:AG32"/>
    <mergeCell ref="AK32:AL32"/>
    <mergeCell ref="C31:F31"/>
    <mergeCell ref="L31:M31"/>
    <mergeCell ref="Q31:R31"/>
    <mergeCell ref="V31:W31"/>
    <mergeCell ref="AA31:AB31"/>
    <mergeCell ref="AF33:AG33"/>
    <mergeCell ref="AK33:AL33"/>
    <mergeCell ref="C34:F34"/>
    <mergeCell ref="L34:M34"/>
    <mergeCell ref="Q34:R34"/>
    <mergeCell ref="V34:W34"/>
    <mergeCell ref="AA34:AB34"/>
    <mergeCell ref="AF34:AG34"/>
    <mergeCell ref="AK34:AL34"/>
    <mergeCell ref="C33:F33"/>
    <mergeCell ref="L33:M33"/>
    <mergeCell ref="Q33:R33"/>
    <mergeCell ref="V33:W33"/>
    <mergeCell ref="AA33:AB33"/>
    <mergeCell ref="AF35:AG35"/>
    <mergeCell ref="AK35:AL35"/>
    <mergeCell ref="C36:F36"/>
    <mergeCell ref="L36:M36"/>
    <mergeCell ref="Q36:R36"/>
    <mergeCell ref="V36:W36"/>
    <mergeCell ref="AA36:AB36"/>
    <mergeCell ref="AF36:AG36"/>
    <mergeCell ref="AK36:AL36"/>
    <mergeCell ref="C35:F35"/>
    <mergeCell ref="L35:M35"/>
    <mergeCell ref="Q35:R35"/>
    <mergeCell ref="V35:W35"/>
    <mergeCell ref="AA35:AB35"/>
    <mergeCell ref="AF37:AG37"/>
    <mergeCell ref="AK37:AL37"/>
    <mergeCell ref="C38:F38"/>
    <mergeCell ref="L38:M38"/>
    <mergeCell ref="Q38:R38"/>
    <mergeCell ref="V38:W38"/>
    <mergeCell ref="AA38:AB38"/>
    <mergeCell ref="AF38:AG38"/>
    <mergeCell ref="AK38:AL38"/>
    <mergeCell ref="C37:F37"/>
    <mergeCell ref="L37:M37"/>
    <mergeCell ref="Q37:R37"/>
    <mergeCell ref="V37:W37"/>
    <mergeCell ref="AA37:AB37"/>
    <mergeCell ref="AF39:AG39"/>
    <mergeCell ref="AK39:AL39"/>
    <mergeCell ref="C40:F40"/>
    <mergeCell ref="L40:M40"/>
    <mergeCell ref="Q40:R40"/>
    <mergeCell ref="V40:W40"/>
    <mergeCell ref="AA40:AB40"/>
    <mergeCell ref="AF40:AG40"/>
    <mergeCell ref="AK40:AL40"/>
    <mergeCell ref="C39:F39"/>
    <mergeCell ref="L39:M39"/>
    <mergeCell ref="Q39:R39"/>
    <mergeCell ref="V39:W39"/>
    <mergeCell ref="AA39:AB39"/>
    <mergeCell ref="AF41:AG41"/>
    <mergeCell ref="AK41:AL41"/>
    <mergeCell ref="C42:F42"/>
    <mergeCell ref="L42:M42"/>
    <mergeCell ref="Q42:R42"/>
    <mergeCell ref="V42:W42"/>
    <mergeCell ref="AA42:AB42"/>
    <mergeCell ref="AF42:AG42"/>
    <mergeCell ref="AK42:AL42"/>
    <mergeCell ref="C41:F41"/>
    <mergeCell ref="L41:M41"/>
    <mergeCell ref="Q41:R41"/>
    <mergeCell ref="V41:W41"/>
    <mergeCell ref="AA41:AB41"/>
    <mergeCell ref="AF43:AG43"/>
    <mergeCell ref="AK43:AL43"/>
    <mergeCell ref="C44:F44"/>
    <mergeCell ref="L44:M44"/>
    <mergeCell ref="Q44:R44"/>
    <mergeCell ref="V44:W44"/>
    <mergeCell ref="AA44:AB44"/>
    <mergeCell ref="AF44:AG44"/>
    <mergeCell ref="AK44:AL44"/>
    <mergeCell ref="C43:F43"/>
    <mergeCell ref="L43:M43"/>
    <mergeCell ref="Q43:R43"/>
    <mergeCell ref="V43:W43"/>
    <mergeCell ref="AA43:AB43"/>
    <mergeCell ref="AF45:AG45"/>
    <mergeCell ref="AK45:AL45"/>
    <mergeCell ref="C46:F46"/>
    <mergeCell ref="L46:M46"/>
    <mergeCell ref="Q46:R46"/>
    <mergeCell ref="V46:W46"/>
    <mergeCell ref="AA46:AB46"/>
    <mergeCell ref="AF46:AG46"/>
    <mergeCell ref="AK46:AL46"/>
    <mergeCell ref="C45:F45"/>
    <mergeCell ref="L45:M45"/>
    <mergeCell ref="Q45:R45"/>
    <mergeCell ref="V45:W45"/>
    <mergeCell ref="AA45:AB45"/>
    <mergeCell ref="AF47:AG47"/>
    <mergeCell ref="AK47:AL47"/>
    <mergeCell ref="C48:F48"/>
    <mergeCell ref="L48:M48"/>
    <mergeCell ref="Q48:R48"/>
    <mergeCell ref="V48:W48"/>
    <mergeCell ref="AA48:AB48"/>
    <mergeCell ref="AF48:AG48"/>
    <mergeCell ref="AK48:AL48"/>
    <mergeCell ref="C47:F47"/>
    <mergeCell ref="L47:M47"/>
    <mergeCell ref="Q47:R47"/>
    <mergeCell ref="V47:W47"/>
    <mergeCell ref="AA47:AB47"/>
    <mergeCell ref="AF49:AG49"/>
    <mergeCell ref="AK49:AL49"/>
    <mergeCell ref="C49:F49"/>
    <mergeCell ref="L49:M49"/>
    <mergeCell ref="Q49:R49"/>
    <mergeCell ref="V49:W49"/>
    <mergeCell ref="AA49:AB49"/>
    <mergeCell ref="AH51:AL51"/>
    <mergeCell ref="G52:H52"/>
    <mergeCell ref="I52:M52"/>
    <mergeCell ref="N52:R52"/>
    <mergeCell ref="S52:W52"/>
    <mergeCell ref="X52:AB52"/>
    <mergeCell ref="AC52:AG52"/>
    <mergeCell ref="AH52:AL52"/>
    <mergeCell ref="X50:AB50"/>
    <mergeCell ref="AC50:AG50"/>
    <mergeCell ref="AH50:AL50"/>
    <mergeCell ref="G51:H51"/>
    <mergeCell ref="I51:M51"/>
    <mergeCell ref="N51:R51"/>
    <mergeCell ref="S51:W51"/>
    <mergeCell ref="X51:AB51"/>
    <mergeCell ref="AC51:AG51"/>
    <mergeCell ref="AC53:AG53"/>
    <mergeCell ref="AH53:AL53"/>
    <mergeCell ref="B54:H54"/>
    <mergeCell ref="I54:M54"/>
    <mergeCell ref="N54:R54"/>
    <mergeCell ref="S54:W54"/>
    <mergeCell ref="X54:AB54"/>
    <mergeCell ref="AC54:AG54"/>
    <mergeCell ref="AH54:AL54"/>
    <mergeCell ref="B53:H53"/>
    <mergeCell ref="I53:M53"/>
    <mergeCell ref="N53:R53"/>
    <mergeCell ref="S53:W53"/>
    <mergeCell ref="X53:AB53"/>
    <mergeCell ref="B50:F52"/>
    <mergeCell ref="G50:H50"/>
    <mergeCell ref="I50:M50"/>
    <mergeCell ref="N50:R50"/>
    <mergeCell ref="S50:W50"/>
    <mergeCell ref="F77:H78"/>
    <mergeCell ref="J62:M62"/>
    <mergeCell ref="J63:M63"/>
    <mergeCell ref="J64:M64"/>
    <mergeCell ref="J65:M65"/>
    <mergeCell ref="N65:P65"/>
    <mergeCell ref="J66:M66"/>
    <mergeCell ref="D58:H58"/>
    <mergeCell ref="I58:M58"/>
    <mergeCell ref="N58:R58"/>
    <mergeCell ref="B59:AL59"/>
    <mergeCell ref="S58:W58"/>
    <mergeCell ref="X58:AB58"/>
    <mergeCell ref="AC58:AG58"/>
    <mergeCell ref="AH58:AL58"/>
    <mergeCell ref="J67:M67"/>
    <mergeCell ref="L69:M69"/>
    <mergeCell ref="B55:H55"/>
    <mergeCell ref="B56:H56"/>
    <mergeCell ref="AC56:AL56"/>
    <mergeCell ref="B57:H57"/>
    <mergeCell ref="I57:M57"/>
    <mergeCell ref="N57:R57"/>
    <mergeCell ref="S57:W57"/>
    <mergeCell ref="X57:AB57"/>
    <mergeCell ref="AC57:AG57"/>
    <mergeCell ref="AH57:AL57"/>
    <mergeCell ref="X55:AB55"/>
    <mergeCell ref="X56:AB56"/>
    <mergeCell ref="I55:W55"/>
    <mergeCell ref="I56:W56"/>
    <mergeCell ref="AC55:AL55"/>
  </mergeCells>
  <conditionalFormatting sqref="I22:M49">
    <cfRule type="expression" dxfId="42" priority="1" stopIfTrue="1">
      <formula>$L22="No Quote"</formula>
    </cfRule>
  </conditionalFormatting>
  <conditionalFormatting sqref="N22:R49">
    <cfRule type="expression" dxfId="41" priority="29" stopIfTrue="1">
      <formula>$Q22="No Quote"</formula>
    </cfRule>
  </conditionalFormatting>
  <conditionalFormatting sqref="S22:W49">
    <cfRule type="expression" dxfId="40" priority="28" stopIfTrue="1">
      <formula>$V22="No Quote"</formula>
    </cfRule>
  </conditionalFormatting>
  <conditionalFormatting sqref="X22:AB49">
    <cfRule type="expression" dxfId="39" priority="27" stopIfTrue="1">
      <formula>$AA22="No Quote"</formula>
    </cfRule>
  </conditionalFormatting>
  <conditionalFormatting sqref="AC22:AG49">
    <cfRule type="expression" dxfId="38" priority="26" stopIfTrue="1">
      <formula>$AF22="No Quote"</formula>
    </cfRule>
  </conditionalFormatting>
  <conditionalFormatting sqref="AH22:AL49">
    <cfRule type="expression" dxfId="37" priority="25" stopIfTrue="1">
      <formula>$AK22="No Quote"</formula>
    </cfRule>
  </conditionalFormatting>
  <conditionalFormatting sqref="AO22:AP49">
    <cfRule type="expression" dxfId="36" priority="11" stopIfTrue="1">
      <formula>$AO22&gt;$AX22</formula>
    </cfRule>
  </conditionalFormatting>
  <conditionalFormatting sqref="AR22:AR49">
    <cfRule type="expression" dxfId="35" priority="7" stopIfTrue="1">
      <formula>$AR22=$AX22</formula>
    </cfRule>
  </conditionalFormatting>
  <conditionalFormatting sqref="AR23:AW49">
    <cfRule type="expression" dxfId="34" priority="8" stopIfTrue="1">
      <formula>$AA23=$AD23</formula>
    </cfRule>
  </conditionalFormatting>
  <conditionalFormatting sqref="AS22:AS49">
    <cfRule type="expression" dxfId="33" priority="6" stopIfTrue="1">
      <formula>$AS22=$AX22</formula>
    </cfRule>
  </conditionalFormatting>
  <conditionalFormatting sqref="AT22:AT49">
    <cfRule type="expression" dxfId="32" priority="5" stopIfTrue="1">
      <formula>$AT22=$AX22</formula>
    </cfRule>
  </conditionalFormatting>
  <conditionalFormatting sqref="AU22:AU49">
    <cfRule type="expression" dxfId="31" priority="4" stopIfTrue="1">
      <formula>$AU22=$AX22</formula>
    </cfRule>
  </conditionalFormatting>
  <conditionalFormatting sqref="AV22:AV49">
    <cfRule type="expression" dxfId="30" priority="3" stopIfTrue="1">
      <formula>$AV22=$AX22</formula>
    </cfRule>
  </conditionalFormatting>
  <conditionalFormatting sqref="AW22:AW49">
    <cfRule type="expression" dxfId="29" priority="2" stopIfTrue="1">
      <formula>$AW22=$AX22</formula>
    </cfRule>
  </conditionalFormatting>
  <dataValidations count="1">
    <dataValidation type="list" allowBlank="1" showInputMessage="1" showErrorMessage="1" sqref="N57:R57" xr:uid="{0E8E4E27-BC84-4BC1-92D4-9E5B4E8ABF5C}">
      <formula1>"Zulkifli Bastiandi, Teuku Syamsul Rizal, Nurhidayad Dawoed"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9" scale="3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8D10-A1ED-497A-91AC-902871AF404F}">
  <sheetPr codeName="Sheet12">
    <pageSetUpPr fitToPage="1"/>
  </sheetPr>
  <dimension ref="A1:BB85"/>
  <sheetViews>
    <sheetView showGridLines="0" topLeftCell="AO11" zoomScale="50" zoomScaleNormal="50" zoomScaleSheetLayoutView="40" workbookViewId="0">
      <selection activeCell="BB34" sqref="BB34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1" width="10.7109375" style="4" customWidth="1"/>
    <col min="22" max="23" width="15.7109375" style="4" customWidth="1"/>
    <col min="24" max="26" width="10.7109375" style="4" customWidth="1"/>
    <col min="27" max="28" width="15.7109375" style="4" customWidth="1"/>
    <col min="29" max="31" width="10.7109375" style="4" customWidth="1"/>
    <col min="32" max="33" width="15.7109375" style="4" customWidth="1"/>
    <col min="34" max="43" width="15.7109375" style="4" customWidth="1" outlineLevel="1"/>
    <col min="44" max="44" width="15.7109375" style="56" customWidth="1" outlineLevel="1"/>
    <col min="45" max="45" width="22" style="55" customWidth="1" outlineLevel="1"/>
    <col min="46" max="46" width="12" style="4" customWidth="1" outlineLevel="1"/>
    <col min="47" max="47" width="4.7109375" style="66" customWidth="1" outlineLevel="1"/>
    <col min="48" max="48" width="22" style="55" customWidth="1" outlineLevel="1"/>
    <col min="49" max="49" width="9.7109375" style="4" customWidth="1" outlineLevel="1"/>
    <col min="50" max="50" width="4.7109375" style="4" customWidth="1" outlineLevel="1"/>
    <col min="51" max="51" width="22" style="55" customWidth="1" outlineLevel="1"/>
    <col min="52" max="52" width="9.28515625" customWidth="1"/>
    <col min="53" max="53" width="9.28515625" style="4" customWidth="1"/>
    <col min="54" max="54" width="20.7109375" style="4" customWidth="1"/>
    <col min="55" max="16384" width="9.28515625" style="4" hidden="1"/>
  </cols>
  <sheetData>
    <row r="1" spans="2:51" s="1" customFormat="1" ht="13.5" x14ac:dyDescent="0.25">
      <c r="D1" s="2"/>
      <c r="AR1" s="79"/>
      <c r="AS1" s="70"/>
      <c r="AU1" s="65"/>
      <c r="AV1" s="70"/>
      <c r="AY1" s="70"/>
    </row>
    <row r="2" spans="2:51" s="1" customFormat="1" ht="13.5" x14ac:dyDescent="0.25">
      <c r="D2" s="2"/>
      <c r="AR2" s="79"/>
      <c r="AS2" s="70"/>
      <c r="AU2" s="65"/>
      <c r="AV2" s="70"/>
      <c r="AY2" s="70"/>
    </row>
    <row r="3" spans="2:51" ht="17.25" thickBot="1" x14ac:dyDescent="0.3"/>
    <row r="4" spans="2:51" ht="20.100000000000001" customHeight="1" thickTop="1" x14ac:dyDescent="0.25">
      <c r="B4" s="115" t="s">
        <v>2</v>
      </c>
      <c r="C4" s="116"/>
      <c r="D4" s="116"/>
      <c r="E4" s="116"/>
      <c r="F4" s="116"/>
      <c r="G4" s="119" t="s">
        <v>3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6"/>
      <c r="AG4" s="7"/>
    </row>
    <row r="5" spans="2:51" ht="20.100000000000001" customHeight="1" x14ac:dyDescent="0.25">
      <c r="B5" s="117"/>
      <c r="C5" s="118"/>
      <c r="D5" s="118"/>
      <c r="E5" s="118"/>
      <c r="F5" s="118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8"/>
      <c r="AG5" s="9"/>
    </row>
    <row r="6" spans="2:51" ht="20.100000000000001" customHeight="1" x14ac:dyDescent="0.25">
      <c r="B6" s="117"/>
      <c r="C6" s="118"/>
      <c r="D6" s="118"/>
      <c r="E6" s="118"/>
      <c r="F6" s="118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8"/>
      <c r="AG6" s="9"/>
    </row>
    <row r="7" spans="2:51" s="12" customFormat="1" ht="15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AA7" s="14"/>
      <c r="AB7" s="15"/>
      <c r="AD7" s="123"/>
      <c r="AE7" s="123"/>
      <c r="AF7" s="123"/>
      <c r="AG7" s="124"/>
      <c r="AR7" s="80"/>
      <c r="AS7" s="73"/>
      <c r="AU7" s="67"/>
      <c r="AV7" s="73"/>
      <c r="AY7" s="73"/>
    </row>
    <row r="8" spans="2:51" s="12" customFormat="1" ht="15" customHeight="1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AA8" s="16"/>
      <c r="AB8" s="15"/>
      <c r="AD8" s="142">
        <f ca="1">TODAY()</f>
        <v>46314</v>
      </c>
      <c r="AE8" s="142"/>
      <c r="AF8" s="142"/>
      <c r="AG8" s="143"/>
      <c r="AR8" s="80"/>
      <c r="AS8" s="73"/>
      <c r="AU8" s="67"/>
      <c r="AV8" s="73"/>
      <c r="AY8" s="73"/>
    </row>
    <row r="9" spans="2:51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AC9" s="10"/>
      <c r="AD9" s="17"/>
      <c r="AE9" s="17"/>
      <c r="AF9" s="17"/>
      <c r="AG9" s="18"/>
      <c r="AR9" s="80"/>
      <c r="AS9" s="73"/>
      <c r="AU9" s="67"/>
      <c r="AV9" s="73"/>
      <c r="AY9" s="73"/>
    </row>
    <row r="10" spans="2:51" s="1" customFormat="1" ht="14.25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>N10+1</f>
        <v>3</v>
      </c>
      <c r="T10" s="125"/>
      <c r="U10" s="125"/>
      <c r="V10" s="125"/>
      <c r="W10" s="140"/>
      <c r="X10" s="139">
        <f t="shared" ref="X10" si="0">S10+1</f>
        <v>4</v>
      </c>
      <c r="Y10" s="125"/>
      <c r="Z10" s="125"/>
      <c r="AA10" s="125"/>
      <c r="AB10" s="140"/>
      <c r="AC10" s="139">
        <f t="shared" ref="AC10" si="1">X10+1</f>
        <v>5</v>
      </c>
      <c r="AD10" s="125"/>
      <c r="AE10" s="125"/>
      <c r="AF10" s="125"/>
      <c r="AG10" s="126"/>
      <c r="AR10" s="79"/>
      <c r="AS10" s="70"/>
      <c r="AU10" s="65"/>
      <c r="AV10" s="70"/>
      <c r="AY10" s="70"/>
    </row>
    <row r="11" spans="2:51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/>
      <c r="J11" s="130"/>
      <c r="K11" s="130"/>
      <c r="L11" s="130"/>
      <c r="M11" s="131"/>
      <c r="N11" s="19"/>
      <c r="O11" s="130"/>
      <c r="P11" s="130"/>
      <c r="Q11" s="130"/>
      <c r="R11" s="131"/>
      <c r="S11" s="19"/>
      <c r="T11" s="130"/>
      <c r="U11" s="130"/>
      <c r="V11" s="130"/>
      <c r="W11" s="131"/>
      <c r="X11" s="19"/>
      <c r="Y11" s="130"/>
      <c r="Z11" s="130"/>
      <c r="AA11" s="130"/>
      <c r="AB11" s="131"/>
      <c r="AC11" s="19"/>
      <c r="AD11" s="130"/>
      <c r="AE11" s="130"/>
      <c r="AF11" s="130"/>
      <c r="AG11" s="280"/>
      <c r="AM11" s="3"/>
      <c r="AN11" s="3"/>
      <c r="AR11" s="79"/>
      <c r="AS11" s="70"/>
      <c r="AU11" s="65"/>
      <c r="AV11" s="70"/>
      <c r="AY11" s="70"/>
    </row>
    <row r="12" spans="2:51" s="1" customFormat="1" ht="15" customHeight="1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153"/>
      <c r="X12" s="151">
        <v>0</v>
      </c>
      <c r="Y12" s="152"/>
      <c r="Z12" s="152"/>
      <c r="AA12" s="152"/>
      <c r="AB12" s="153"/>
      <c r="AC12" s="151">
        <v>0</v>
      </c>
      <c r="AD12" s="152"/>
      <c r="AE12" s="152"/>
      <c r="AF12" s="152"/>
      <c r="AG12" s="276"/>
      <c r="AM12" s="12"/>
      <c r="AN12" s="12"/>
      <c r="AO12" s="12"/>
      <c r="AR12" s="79"/>
      <c r="AS12" s="70"/>
      <c r="AU12" s="65"/>
      <c r="AV12" s="70"/>
      <c r="AY12" s="70"/>
    </row>
    <row r="13" spans="2:51" s="1" customFormat="1" ht="36.75" customHeight="1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156"/>
      <c r="X13" s="154"/>
      <c r="Y13" s="155"/>
      <c r="Z13" s="155"/>
      <c r="AA13" s="155"/>
      <c r="AB13" s="156"/>
      <c r="AC13" s="154"/>
      <c r="AD13" s="155"/>
      <c r="AE13" s="155"/>
      <c r="AF13" s="155"/>
      <c r="AG13" s="277"/>
      <c r="AM13" s="12"/>
      <c r="AN13" s="12"/>
      <c r="AO13" s="12"/>
      <c r="AR13" s="79"/>
      <c r="AS13" s="70"/>
      <c r="AU13" s="65"/>
      <c r="AV13" s="70"/>
      <c r="AY13" s="70"/>
    </row>
    <row r="14" spans="2:51" s="1" customFormat="1" ht="15" customHeight="1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165"/>
      <c r="X14" s="164"/>
      <c r="Y14" s="128"/>
      <c r="Z14" s="128"/>
      <c r="AA14" s="128"/>
      <c r="AB14" s="165"/>
      <c r="AC14" s="164"/>
      <c r="AD14" s="128"/>
      <c r="AE14" s="128"/>
      <c r="AF14" s="128"/>
      <c r="AG14" s="278"/>
      <c r="AM14" s="12"/>
      <c r="AN14" s="12"/>
      <c r="AO14" s="12"/>
      <c r="AR14" s="79"/>
      <c r="AS14" s="70"/>
      <c r="AU14" s="65"/>
      <c r="AV14" s="70"/>
      <c r="AY14" s="70"/>
    </row>
    <row r="15" spans="2:51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170"/>
      <c r="X15" s="168" t="s">
        <v>47</v>
      </c>
      <c r="Y15" s="169"/>
      <c r="Z15" s="169"/>
      <c r="AA15" s="169"/>
      <c r="AB15" s="170"/>
      <c r="AC15" s="168" t="s">
        <v>47</v>
      </c>
      <c r="AD15" s="169"/>
      <c r="AE15" s="169"/>
      <c r="AF15" s="169"/>
      <c r="AG15" s="279"/>
      <c r="AR15" s="79"/>
      <c r="AS15" s="70"/>
      <c r="AU15" s="65"/>
      <c r="AV15" s="70"/>
      <c r="AY15" s="70"/>
    </row>
    <row r="16" spans="2:51" s="1" customFormat="1" ht="20.100000000000001" customHeight="1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74"/>
      <c r="X16" s="172"/>
      <c r="Y16" s="173"/>
      <c r="Z16" s="173"/>
      <c r="AA16" s="173"/>
      <c r="AB16" s="174"/>
      <c r="AC16" s="172"/>
      <c r="AD16" s="173"/>
      <c r="AE16" s="173"/>
      <c r="AF16" s="173"/>
      <c r="AG16" s="184"/>
      <c r="AR16" s="79"/>
      <c r="AS16" s="70"/>
      <c r="AU16" s="65"/>
      <c r="AV16" s="70"/>
      <c r="AY16" s="70"/>
    </row>
    <row r="17" spans="2:54" s="1" customFormat="1" ht="20.100000000000001" customHeight="1" x14ac:dyDescent="0.25">
      <c r="B17" s="270"/>
      <c r="C17" s="271"/>
      <c r="D17" s="271"/>
      <c r="E17" s="271"/>
      <c r="F17" s="114"/>
      <c r="G17" s="178" t="s">
        <v>15</v>
      </c>
      <c r="H17" s="178"/>
      <c r="I17" s="179"/>
      <c r="J17" s="180"/>
      <c r="K17" s="181"/>
      <c r="L17" s="181"/>
      <c r="M17" s="182"/>
      <c r="N17" s="179"/>
      <c r="O17" s="180"/>
      <c r="P17" s="181"/>
      <c r="Q17" s="181"/>
      <c r="R17" s="182"/>
      <c r="S17" s="179"/>
      <c r="T17" s="180"/>
      <c r="U17" s="181"/>
      <c r="V17" s="181"/>
      <c r="W17" s="182"/>
      <c r="X17" s="179"/>
      <c r="Y17" s="180"/>
      <c r="Z17" s="181"/>
      <c r="AA17" s="181"/>
      <c r="AB17" s="182"/>
      <c r="AC17" s="179"/>
      <c r="AD17" s="180"/>
      <c r="AE17" s="181"/>
      <c r="AF17" s="181"/>
      <c r="AG17" s="185"/>
      <c r="AR17" s="79"/>
      <c r="AS17" s="70"/>
      <c r="AU17" s="65"/>
      <c r="AV17" s="70"/>
      <c r="AY17" s="70"/>
    </row>
    <row r="18" spans="2:54" s="1" customFormat="1" ht="20.100000000000001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83"/>
      <c r="X18" s="175"/>
      <c r="Y18" s="176"/>
      <c r="Z18" s="176"/>
      <c r="AA18" s="176"/>
      <c r="AB18" s="183"/>
      <c r="AC18" s="175"/>
      <c r="AD18" s="176"/>
      <c r="AE18" s="176"/>
      <c r="AF18" s="176"/>
      <c r="AG18" s="177"/>
      <c r="AM18" s="22">
        <v>1</v>
      </c>
      <c r="AN18" s="22">
        <f>AM18+1</f>
        <v>2</v>
      </c>
      <c r="AO18" s="22">
        <f>AN18+1</f>
        <v>3</v>
      </c>
      <c r="AP18" s="22">
        <f t="shared" ref="AP18:AQ18" si="2">AO18+1</f>
        <v>4</v>
      </c>
      <c r="AQ18" s="22">
        <f t="shared" si="2"/>
        <v>5</v>
      </c>
      <c r="AR18" s="273" t="s">
        <v>17</v>
      </c>
      <c r="AS18" s="70"/>
      <c r="AU18" s="65"/>
      <c r="AV18" s="70"/>
      <c r="AY18" s="70"/>
    </row>
    <row r="19" spans="2:54" s="1" customFormat="1" ht="20.100000000000001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83"/>
      <c r="X19" s="175"/>
      <c r="Y19" s="176"/>
      <c r="Z19" s="176"/>
      <c r="AA19" s="176"/>
      <c r="AB19" s="183"/>
      <c r="AC19" s="175"/>
      <c r="AD19" s="176"/>
      <c r="AE19" s="176"/>
      <c r="AF19" s="176"/>
      <c r="AG19" s="177"/>
      <c r="AM19" s="200">
        <f>J11</f>
        <v>0</v>
      </c>
      <c r="AN19" s="200">
        <f>O11</f>
        <v>0</v>
      </c>
      <c r="AO19" s="200">
        <f>T11</f>
        <v>0</v>
      </c>
      <c r="AP19" s="200">
        <f>Y11</f>
        <v>0</v>
      </c>
      <c r="AQ19" s="200">
        <f>AD11</f>
        <v>0</v>
      </c>
      <c r="AR19" s="274"/>
    </row>
    <row r="20" spans="2:54" s="1" customFormat="1" ht="20.100000000000001" customHeight="1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8"/>
      <c r="X20" s="196"/>
      <c r="Y20" s="197"/>
      <c r="Z20" s="197"/>
      <c r="AA20" s="197"/>
      <c r="AB20" s="198"/>
      <c r="AC20" s="196"/>
      <c r="AD20" s="197"/>
      <c r="AE20" s="197"/>
      <c r="AF20" s="197"/>
      <c r="AG20" s="199"/>
      <c r="AH20" s="47"/>
      <c r="AI20" s="47"/>
      <c r="AM20" s="200"/>
      <c r="AN20" s="200"/>
      <c r="AO20" s="200"/>
      <c r="AP20" s="200"/>
      <c r="AQ20" s="200"/>
      <c r="AR20" s="274"/>
      <c r="AS20" s="70"/>
      <c r="AU20" s="65"/>
      <c r="AV20" s="70"/>
      <c r="AY20" s="70"/>
      <c r="BA20" s="272">
        <f>SUM(BA22:BA38)</f>
        <v>0</v>
      </c>
      <c r="BB20" s="176"/>
    </row>
    <row r="21" spans="2:54" s="37" customFormat="1" ht="15" customHeight="1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29" t="s">
        <v>25</v>
      </c>
      <c r="O21" s="27" t="s">
        <v>17</v>
      </c>
      <c r="P21" s="30" t="s">
        <v>26</v>
      </c>
      <c r="Q21" s="187" t="s">
        <v>27</v>
      </c>
      <c r="R21" s="190"/>
      <c r="S21" s="33" t="s">
        <v>25</v>
      </c>
      <c r="T21" s="27" t="s">
        <v>17</v>
      </c>
      <c r="U21" s="32" t="s">
        <v>26</v>
      </c>
      <c r="V21" s="187" t="s">
        <v>27</v>
      </c>
      <c r="W21" s="191"/>
      <c r="X21" s="33" t="s">
        <v>25</v>
      </c>
      <c r="Y21" s="27" t="s">
        <v>17</v>
      </c>
      <c r="Z21" s="32" t="s">
        <v>26</v>
      </c>
      <c r="AA21" s="187" t="s">
        <v>27</v>
      </c>
      <c r="AB21" s="191"/>
      <c r="AC21" s="34" t="s">
        <v>25</v>
      </c>
      <c r="AD21" s="35" t="s">
        <v>17</v>
      </c>
      <c r="AE21" s="36" t="s">
        <v>26</v>
      </c>
      <c r="AF21" s="204" t="s">
        <v>27</v>
      </c>
      <c r="AG21" s="205"/>
      <c r="AH21" s="37" t="s">
        <v>28</v>
      </c>
      <c r="AI21" s="37" t="s">
        <v>0</v>
      </c>
      <c r="AJ21" s="37" t="s">
        <v>29</v>
      </c>
      <c r="AK21" s="37" t="s">
        <v>30</v>
      </c>
      <c r="AL21" s="111" t="s">
        <v>1</v>
      </c>
      <c r="AM21" s="200"/>
      <c r="AN21" s="200"/>
      <c r="AO21" s="200"/>
      <c r="AP21" s="200"/>
      <c r="AQ21" s="200"/>
      <c r="AR21" s="275"/>
      <c r="AS21" s="76" t="s">
        <v>31</v>
      </c>
      <c r="AT21" s="186" t="s">
        <v>32</v>
      </c>
      <c r="AU21" s="186"/>
      <c r="AV21" s="186"/>
      <c r="AW21" s="186" t="s">
        <v>33</v>
      </c>
      <c r="AX21" s="186"/>
      <c r="AY21" s="186"/>
      <c r="BA21" s="281" t="s">
        <v>34</v>
      </c>
      <c r="BB21" s="282"/>
    </row>
    <row r="22" spans="2:54" s="1" customFormat="1" ht="61.5" customHeight="1" x14ac:dyDescent="0.25">
      <c r="B22" s="38">
        <v>1</v>
      </c>
      <c r="C22" s="321"/>
      <c r="D22" s="322"/>
      <c r="E22" s="322"/>
      <c r="F22" s="323"/>
      <c r="G22" s="39"/>
      <c r="H22" s="40"/>
      <c r="I22" s="41"/>
      <c r="J22" s="42" t="str">
        <f>IF($G22="","",$G22*I22)</f>
        <v/>
      </c>
      <c r="K22" s="90"/>
      <c r="L22" s="206" t="str">
        <f t="shared" ref="L22:L49" si="3">IF($I22="","No Quote",IF($K22="","","No Comply"))</f>
        <v>No Quote</v>
      </c>
      <c r="M22" s="207"/>
      <c r="N22" s="41"/>
      <c r="O22" s="42" t="str">
        <f>IF($G22="","",$G22*N22)</f>
        <v/>
      </c>
      <c r="P22" s="90"/>
      <c r="Q22" s="206" t="str">
        <f t="shared" ref="Q22:Q49" si="4">IF($N22="","No Quote",IF($P22="","","No Comply"))</f>
        <v>No Quote</v>
      </c>
      <c r="R22" s="207"/>
      <c r="S22" s="41"/>
      <c r="T22" s="42" t="str">
        <f>IF($G22="","",$G22*S22)</f>
        <v/>
      </c>
      <c r="U22" s="89"/>
      <c r="V22" s="206" t="str">
        <f>IF($S22="","No Quote",IF($U22="","","No Comply"))</f>
        <v>No Quote</v>
      </c>
      <c r="W22" s="207"/>
      <c r="X22" s="41"/>
      <c r="Y22" s="42" t="str">
        <f>IF($G22="","",$G22*X22)</f>
        <v/>
      </c>
      <c r="Z22" s="89"/>
      <c r="AA22" s="206" t="str">
        <f t="shared" ref="AA22:AA49" si="5">IF($X22="","No Quote",IF($Z22="","","No Comply"))</f>
        <v>No Quote</v>
      </c>
      <c r="AB22" s="207"/>
      <c r="AC22" s="41"/>
      <c r="AD22" s="42" t="str">
        <f>IF($G22="","",$G22*AC22)</f>
        <v/>
      </c>
      <c r="AE22" s="89"/>
      <c r="AF22" s="208" t="str">
        <f>IF($AC22="","No Quote",IF($AE22="","","No Comply"))</f>
        <v>No Quote</v>
      </c>
      <c r="AG22" s="209"/>
      <c r="AH22" s="87"/>
      <c r="AI22" s="93"/>
      <c r="AJ22" s="63" t="str">
        <f>IF(AH22="","",$AH22*$G22)</f>
        <v/>
      </c>
      <c r="AK22" s="92"/>
      <c r="AL22" s="92"/>
      <c r="AM22" s="77" t="str">
        <f>IF(OR(K22="X",J22=""),"-",J22)</f>
        <v>-</v>
      </c>
      <c r="AN22" s="77" t="str">
        <f>IF(OR(P22="X",O22=""),"-",O22)</f>
        <v>-</v>
      </c>
      <c r="AO22" s="77" t="str">
        <f>IF(OR(U22="X",T22=""),"-",T22)</f>
        <v>-</v>
      </c>
      <c r="AP22" s="77" t="str">
        <f>IF(OR(Z22="X",Y22=""),"-",Y22)</f>
        <v>-</v>
      </c>
      <c r="AQ22" s="77" t="str">
        <f>IF(OR(AE22="X",AD22=""),"-",AD22)</f>
        <v>-</v>
      </c>
      <c r="AR22" s="78" t="str">
        <f t="shared" ref="AR22:AR50" si="6">IFERROR(SMALL($AM22:$AQ22,COUNTIF($AM22:$AQ22,0)+1),"")</f>
        <v/>
      </c>
      <c r="AS22" s="74" t="str">
        <f t="shared" ref="AS22:AS49" si="7">IF(AR22=AM22,$AM$19,IF(AR22=AN22,$AN$19,IF(AR22=AO22,$AO$19,IF(AR22=AP22,$AP$19,IF(AR22=AQ22,$AQ$19,"")))))</f>
        <v/>
      </c>
      <c r="AT22" s="72" t="str">
        <f t="shared" ref="AT22:AT50" si="8">IFERROR(SMALL($AM22:$AQ22,2),"")</f>
        <v/>
      </c>
      <c r="AU22" s="71" t="str">
        <f>IFERROR(IF(($AT22-$AR22)/$AR22&lt;0%,"",($AT22-$AR22)/$AR22),"")</f>
        <v/>
      </c>
      <c r="AV22" s="74" t="str">
        <f t="shared" ref="AV22:AV49" si="9">IFERROR(IF(AT22="","",IF(AT22=AM22,$AM$19,IF(AT22=AN22,$AN$19,IF(AT22=AO22,$AO$19,IF(AT22=AP22,$AP$19,IF(AT22=AQ22,$AQ$19,"")))))),"")</f>
        <v/>
      </c>
      <c r="AW22" s="72" t="str">
        <f t="shared" ref="AW22:AW50" si="10">IFERROR(SMALL($AM22:$AQ22,3),"")</f>
        <v/>
      </c>
      <c r="AX22" s="71" t="str">
        <f>IFERROR(IF((AW22-$AR22)/$AR22&lt;0%,"",(AW22-$AR22)/$AR22),"")</f>
        <v/>
      </c>
      <c r="AY22" s="74" t="str">
        <f t="shared" ref="AY22:AY49" si="11">IFERROR(IF(AW22="","",IF(AW22=AM22,$AM$19,IF(AW22=AN22,$AN$19,IF(AW22=AO22,$AO$19,IF(AW22=AP22,$AP$19,IF(AW22=AQ22,$AQ$19,"")))))),"")</f>
        <v/>
      </c>
      <c r="BA22" s="99">
        <f t="shared" ref="BA22:BA50" si="12">SUMIFS($AR$22:$AR$49,$AS$22:$AS$49,BB22)</f>
        <v>0</v>
      </c>
      <c r="BB22" s="100" t="str" cm="1">
        <f t="array" ref="BB22">IFERROR(INDEX(_xlfn.UNIQUE(_xlfn._xlws.FILTER($AS$22:$AS$49,($AS$22:$AS$49&lt;&gt;"")*($AS$22:$AS$49&lt;&gt;"-"))),ROWS($BB22:BB$22)),"")</f>
        <v/>
      </c>
    </row>
    <row r="23" spans="2:54" s="1" customFormat="1" ht="61.5" customHeight="1" x14ac:dyDescent="0.25">
      <c r="B23" s="38">
        <f>B22+1</f>
        <v>2</v>
      </c>
      <c r="C23" s="318"/>
      <c r="D23" s="319"/>
      <c r="E23" s="319"/>
      <c r="F23" s="320"/>
      <c r="G23" s="106"/>
      <c r="H23" s="107"/>
      <c r="I23" s="41"/>
      <c r="J23" s="42" t="str">
        <f t="shared" ref="J23:J49" si="13">IF($G23="","",$G23*I23)</f>
        <v/>
      </c>
      <c r="K23" s="90"/>
      <c r="L23" s="206" t="str">
        <f t="shared" si="3"/>
        <v>No Quote</v>
      </c>
      <c r="M23" s="207"/>
      <c r="N23" s="41"/>
      <c r="O23" s="42" t="str">
        <f t="shared" ref="O23:O49" si="14">IF($G23="","",$G23*N23)</f>
        <v/>
      </c>
      <c r="P23" s="90"/>
      <c r="Q23" s="206" t="str">
        <f t="shared" si="4"/>
        <v>No Quote</v>
      </c>
      <c r="R23" s="207"/>
      <c r="S23" s="41"/>
      <c r="T23" s="42" t="str">
        <f t="shared" ref="T23:T49" si="15">IF($G23="","",$G23*S23)</f>
        <v/>
      </c>
      <c r="U23" s="89"/>
      <c r="V23" s="206" t="str">
        <f t="shared" ref="V23:V49" si="16">IF($S23="","No Quote",IF($U23="","","No Comply"))</f>
        <v>No Quote</v>
      </c>
      <c r="W23" s="207"/>
      <c r="X23" s="41"/>
      <c r="Y23" s="42" t="str">
        <f t="shared" ref="Y23:Y49" si="17">IF($G23="","",$G23*X23)</f>
        <v/>
      </c>
      <c r="Z23" s="89"/>
      <c r="AA23" s="206" t="str">
        <f t="shared" si="5"/>
        <v>No Quote</v>
      </c>
      <c r="AB23" s="207"/>
      <c r="AC23" s="41"/>
      <c r="AD23" s="42" t="str">
        <f t="shared" ref="AD23:AD49" si="18">IF($G23="","",$G23*AC23)</f>
        <v/>
      </c>
      <c r="AE23" s="89"/>
      <c r="AF23" s="208" t="str">
        <f t="shared" ref="AF23:AF49" si="19">IF($AC23="","No Quote",IF($AE23="","","No Comply"))</f>
        <v>No Quote</v>
      </c>
      <c r="AG23" s="209"/>
      <c r="AH23" s="87"/>
      <c r="AI23" s="93"/>
      <c r="AJ23" s="63" t="str">
        <f t="shared" ref="AJ23:AJ49" si="20">IF(AH23="","",$AH23*$G23)</f>
        <v/>
      </c>
      <c r="AK23" s="92"/>
      <c r="AL23" s="92"/>
      <c r="AM23" s="77" t="str">
        <f t="shared" ref="AM23:AM49" si="21">IF(OR(K23="X",J23=""),"-",J23)</f>
        <v>-</v>
      </c>
      <c r="AN23" s="77" t="str">
        <f t="shared" ref="AN23:AN49" si="22">IF(OR(P23="X",O23=""),"-",O23)</f>
        <v>-</v>
      </c>
      <c r="AO23" s="77" t="str">
        <f t="shared" ref="AO23:AO49" si="23">IF(OR(U23="X",T23=""),"-",T23)</f>
        <v>-</v>
      </c>
      <c r="AP23" s="77" t="str">
        <f t="shared" ref="AP23:AP49" si="24">IF(OR(Z23="X",Y23=""),"-",Y23)</f>
        <v>-</v>
      </c>
      <c r="AQ23" s="77" t="str">
        <f t="shared" ref="AQ23:AQ49" si="25">IF(OR(AE23="X",AD23=""),"-",AD23)</f>
        <v>-</v>
      </c>
      <c r="AR23" s="78" t="str">
        <f t="shared" si="6"/>
        <v/>
      </c>
      <c r="AS23" s="74" t="str">
        <f t="shared" si="7"/>
        <v/>
      </c>
      <c r="AT23" s="72" t="str">
        <f t="shared" si="8"/>
        <v/>
      </c>
      <c r="AU23" s="71" t="str">
        <f t="shared" ref="AU23:AU50" si="26">IFERROR(IF(($AT23-$AR23)/$AR23&lt;0%,"",($AT23-$AR23)/$AR23),"")</f>
        <v/>
      </c>
      <c r="AV23" s="74" t="str">
        <f t="shared" si="9"/>
        <v/>
      </c>
      <c r="AW23" s="72" t="str">
        <f t="shared" si="10"/>
        <v/>
      </c>
      <c r="AX23" s="71" t="str">
        <f t="shared" ref="AX23:AX49" si="27">IFERROR(IF((AW23-$AR23)/$AR23&lt;0%,"",(AW23-$AR23)/$AR23),"")</f>
        <v/>
      </c>
      <c r="AY23" s="74" t="str">
        <f t="shared" si="11"/>
        <v/>
      </c>
      <c r="BA23" s="99">
        <f t="shared" si="12"/>
        <v>0</v>
      </c>
      <c r="BB23" s="100" t="str" cm="1">
        <f t="array" ref="BB23">IFERROR(INDEX(_xlfn.UNIQUE(_xlfn._xlws.FILTER($AS$22:$AS$49,($AS$22:$AS$49&lt;&gt;"")*($AS$22:$AS$49&lt;&gt;"-"))),ROWS($BB$22:BB23)),"")</f>
        <v/>
      </c>
    </row>
    <row r="24" spans="2:54" s="1" customFormat="1" ht="61.5" customHeight="1" x14ac:dyDescent="0.25">
      <c r="B24" s="38">
        <f t="shared" ref="B24:B49" si="28">B23+1</f>
        <v>3</v>
      </c>
      <c r="C24" s="312"/>
      <c r="D24" s="313"/>
      <c r="E24" s="313"/>
      <c r="F24" s="314"/>
      <c r="G24" s="39"/>
      <c r="H24" s="40"/>
      <c r="I24" s="41"/>
      <c r="J24" s="42" t="str">
        <f t="shared" si="13"/>
        <v/>
      </c>
      <c r="K24" s="90"/>
      <c r="L24" s="206" t="str">
        <f t="shared" si="3"/>
        <v>No Quote</v>
      </c>
      <c r="M24" s="207"/>
      <c r="N24" s="41"/>
      <c r="O24" s="42" t="str">
        <f t="shared" si="14"/>
        <v/>
      </c>
      <c r="P24" s="90"/>
      <c r="Q24" s="206" t="str">
        <f t="shared" si="4"/>
        <v>No Quote</v>
      </c>
      <c r="R24" s="207"/>
      <c r="S24" s="41"/>
      <c r="T24" s="42" t="str">
        <f t="shared" si="15"/>
        <v/>
      </c>
      <c r="U24" s="89"/>
      <c r="V24" s="206" t="str">
        <f t="shared" si="16"/>
        <v>No Quote</v>
      </c>
      <c r="W24" s="207"/>
      <c r="X24" s="41"/>
      <c r="Y24" s="42" t="str">
        <f t="shared" si="17"/>
        <v/>
      </c>
      <c r="Z24" s="89"/>
      <c r="AA24" s="206" t="str">
        <f t="shared" si="5"/>
        <v>No Quote</v>
      </c>
      <c r="AB24" s="207"/>
      <c r="AC24" s="41"/>
      <c r="AD24" s="42" t="str">
        <f t="shared" si="18"/>
        <v/>
      </c>
      <c r="AE24" s="89"/>
      <c r="AF24" s="208" t="str">
        <f t="shared" si="19"/>
        <v>No Quote</v>
      </c>
      <c r="AG24" s="209"/>
      <c r="AH24" s="87"/>
      <c r="AI24" s="93"/>
      <c r="AJ24" s="63" t="str">
        <f t="shared" si="20"/>
        <v/>
      </c>
      <c r="AK24" s="92"/>
      <c r="AL24" s="92"/>
      <c r="AM24" s="77" t="str">
        <f t="shared" si="21"/>
        <v>-</v>
      </c>
      <c r="AN24" s="77" t="str">
        <f t="shared" si="22"/>
        <v>-</v>
      </c>
      <c r="AO24" s="77" t="str">
        <f t="shared" si="23"/>
        <v>-</v>
      </c>
      <c r="AP24" s="77" t="str">
        <f t="shared" si="24"/>
        <v>-</v>
      </c>
      <c r="AQ24" s="77" t="str">
        <f t="shared" si="25"/>
        <v>-</v>
      </c>
      <c r="AR24" s="78" t="str">
        <f t="shared" si="6"/>
        <v/>
      </c>
      <c r="AS24" s="74" t="str">
        <f t="shared" si="7"/>
        <v/>
      </c>
      <c r="AT24" s="72" t="str">
        <f t="shared" si="8"/>
        <v/>
      </c>
      <c r="AU24" s="71" t="str">
        <f t="shared" si="26"/>
        <v/>
      </c>
      <c r="AV24" s="74" t="str">
        <f t="shared" si="9"/>
        <v/>
      </c>
      <c r="AW24" s="72" t="str">
        <f t="shared" si="10"/>
        <v/>
      </c>
      <c r="AX24" s="71" t="str">
        <f t="shared" si="27"/>
        <v/>
      </c>
      <c r="AY24" s="74" t="str">
        <f t="shared" si="11"/>
        <v/>
      </c>
      <c r="BA24" s="99">
        <f t="shared" si="12"/>
        <v>0</v>
      </c>
      <c r="BB24" s="100" t="str" cm="1">
        <f t="array" ref="BB24">IFERROR(INDEX(_xlfn.UNIQUE(_xlfn._xlws.FILTER($AS$22:$AS$49,($AS$22:$AS$49&lt;&gt;"")*($AS$22:$AS$49&lt;&gt;"-"))),ROWS($BB$22:BB24)),"")</f>
        <v/>
      </c>
    </row>
    <row r="25" spans="2:54" s="1" customFormat="1" ht="61.5" customHeight="1" x14ac:dyDescent="0.25">
      <c r="B25" s="38">
        <f t="shared" si="28"/>
        <v>4</v>
      </c>
      <c r="C25" s="312"/>
      <c r="D25" s="313"/>
      <c r="E25" s="313"/>
      <c r="F25" s="314"/>
      <c r="G25" s="39"/>
      <c r="H25" s="40"/>
      <c r="I25" s="41"/>
      <c r="J25" s="42" t="str">
        <f t="shared" si="13"/>
        <v/>
      </c>
      <c r="K25" s="90"/>
      <c r="L25" s="206" t="str">
        <f t="shared" si="3"/>
        <v>No Quote</v>
      </c>
      <c r="M25" s="207"/>
      <c r="N25" s="41"/>
      <c r="O25" s="42" t="str">
        <f t="shared" si="14"/>
        <v/>
      </c>
      <c r="P25" s="90"/>
      <c r="Q25" s="206" t="str">
        <f t="shared" si="4"/>
        <v>No Quote</v>
      </c>
      <c r="R25" s="207"/>
      <c r="S25" s="41"/>
      <c r="T25" s="42" t="str">
        <f t="shared" si="15"/>
        <v/>
      </c>
      <c r="U25" s="89"/>
      <c r="V25" s="206" t="str">
        <f t="shared" si="16"/>
        <v>No Quote</v>
      </c>
      <c r="W25" s="207"/>
      <c r="X25" s="41"/>
      <c r="Y25" s="42" t="str">
        <f t="shared" si="17"/>
        <v/>
      </c>
      <c r="Z25" s="89"/>
      <c r="AA25" s="206" t="str">
        <f t="shared" si="5"/>
        <v>No Quote</v>
      </c>
      <c r="AB25" s="207"/>
      <c r="AC25" s="41"/>
      <c r="AD25" s="42" t="str">
        <f t="shared" si="18"/>
        <v/>
      </c>
      <c r="AE25" s="89"/>
      <c r="AF25" s="208" t="str">
        <f t="shared" si="19"/>
        <v>No Quote</v>
      </c>
      <c r="AG25" s="209"/>
      <c r="AH25" s="87"/>
      <c r="AI25" s="93"/>
      <c r="AJ25" s="63" t="str">
        <f t="shared" si="20"/>
        <v/>
      </c>
      <c r="AK25" s="92"/>
      <c r="AL25" s="92"/>
      <c r="AM25" s="77" t="str">
        <f t="shared" si="21"/>
        <v>-</v>
      </c>
      <c r="AN25" s="77" t="str">
        <f t="shared" si="22"/>
        <v>-</v>
      </c>
      <c r="AO25" s="77" t="str">
        <f t="shared" si="23"/>
        <v>-</v>
      </c>
      <c r="AP25" s="77" t="str">
        <f t="shared" si="24"/>
        <v>-</v>
      </c>
      <c r="AQ25" s="77" t="str">
        <f t="shared" si="25"/>
        <v>-</v>
      </c>
      <c r="AR25" s="78" t="str">
        <f t="shared" si="6"/>
        <v/>
      </c>
      <c r="AS25" s="74" t="str">
        <f t="shared" si="7"/>
        <v/>
      </c>
      <c r="AT25" s="72" t="str">
        <f t="shared" si="8"/>
        <v/>
      </c>
      <c r="AU25" s="71" t="str">
        <f t="shared" si="26"/>
        <v/>
      </c>
      <c r="AV25" s="74" t="str">
        <f t="shared" si="9"/>
        <v/>
      </c>
      <c r="AW25" s="72" t="str">
        <f t="shared" si="10"/>
        <v/>
      </c>
      <c r="AX25" s="71" t="str">
        <f t="shared" si="27"/>
        <v/>
      </c>
      <c r="AY25" s="74" t="str">
        <f t="shared" si="11"/>
        <v/>
      </c>
      <c r="BA25" s="99">
        <f t="shared" si="12"/>
        <v>0</v>
      </c>
      <c r="BB25" s="100" t="str" cm="1">
        <f t="array" ref="BB25">IFERROR(INDEX(_xlfn.UNIQUE(_xlfn._xlws.FILTER($AS$22:$AS$49,($AS$22:$AS$49&lt;&gt;"")*($AS$22:$AS$49&lt;&gt;"-"))),ROWS($BB$22:BB25)),"")</f>
        <v/>
      </c>
    </row>
    <row r="26" spans="2:54" s="1" customFormat="1" ht="61.5" customHeight="1" x14ac:dyDescent="0.25">
      <c r="B26" s="38">
        <f t="shared" si="28"/>
        <v>5</v>
      </c>
      <c r="C26" s="210"/>
      <c r="D26" s="210"/>
      <c r="E26" s="210"/>
      <c r="F26" s="210"/>
      <c r="G26" s="39"/>
      <c r="H26" s="40"/>
      <c r="I26" s="41"/>
      <c r="J26" s="42" t="str">
        <f t="shared" si="13"/>
        <v/>
      </c>
      <c r="K26" s="90"/>
      <c r="L26" s="206" t="str">
        <f t="shared" si="3"/>
        <v>No Quote</v>
      </c>
      <c r="M26" s="207"/>
      <c r="N26" s="41"/>
      <c r="O26" s="42" t="str">
        <f t="shared" si="14"/>
        <v/>
      </c>
      <c r="P26" s="90"/>
      <c r="Q26" s="206" t="str">
        <f t="shared" si="4"/>
        <v>No Quote</v>
      </c>
      <c r="R26" s="207"/>
      <c r="S26" s="41"/>
      <c r="T26" s="42" t="str">
        <f t="shared" si="15"/>
        <v/>
      </c>
      <c r="U26" s="89"/>
      <c r="V26" s="206" t="str">
        <f t="shared" si="16"/>
        <v>No Quote</v>
      </c>
      <c r="W26" s="207"/>
      <c r="X26" s="41"/>
      <c r="Y26" s="42" t="str">
        <f t="shared" si="17"/>
        <v/>
      </c>
      <c r="Z26" s="89"/>
      <c r="AA26" s="206" t="str">
        <f t="shared" si="5"/>
        <v>No Quote</v>
      </c>
      <c r="AB26" s="207"/>
      <c r="AC26" s="41"/>
      <c r="AD26" s="42" t="str">
        <f t="shared" si="18"/>
        <v/>
      </c>
      <c r="AE26" s="89"/>
      <c r="AF26" s="208" t="str">
        <f t="shared" si="19"/>
        <v>No Quote</v>
      </c>
      <c r="AG26" s="209"/>
      <c r="AH26" s="87"/>
      <c r="AI26" s="93"/>
      <c r="AJ26" s="63" t="str">
        <f t="shared" si="20"/>
        <v/>
      </c>
      <c r="AK26" s="92"/>
      <c r="AL26" s="92"/>
      <c r="AM26" s="77" t="str">
        <f t="shared" si="21"/>
        <v>-</v>
      </c>
      <c r="AN26" s="77" t="str">
        <f t="shared" si="22"/>
        <v>-</v>
      </c>
      <c r="AO26" s="77" t="str">
        <f t="shared" si="23"/>
        <v>-</v>
      </c>
      <c r="AP26" s="77" t="str">
        <f t="shared" si="24"/>
        <v>-</v>
      </c>
      <c r="AQ26" s="77" t="str">
        <f t="shared" si="25"/>
        <v>-</v>
      </c>
      <c r="AR26" s="78" t="str">
        <f t="shared" si="6"/>
        <v/>
      </c>
      <c r="AS26" s="74" t="str">
        <f t="shared" si="7"/>
        <v/>
      </c>
      <c r="AT26" s="72" t="str">
        <f t="shared" si="8"/>
        <v/>
      </c>
      <c r="AU26" s="71" t="str">
        <f t="shared" si="26"/>
        <v/>
      </c>
      <c r="AV26" s="74" t="str">
        <f t="shared" si="9"/>
        <v/>
      </c>
      <c r="AW26" s="72" t="str">
        <f t="shared" si="10"/>
        <v/>
      </c>
      <c r="AX26" s="71" t="str">
        <f t="shared" si="27"/>
        <v/>
      </c>
      <c r="AY26" s="74" t="str">
        <f t="shared" si="11"/>
        <v/>
      </c>
      <c r="BA26" s="99">
        <f t="shared" si="12"/>
        <v>0</v>
      </c>
      <c r="BB26" s="100" t="str" cm="1">
        <f t="array" ref="BB26">IFERROR(INDEX(_xlfn.UNIQUE(_xlfn._xlws.FILTER($AS$22:$AS$49,($AS$22:$AS$49&lt;&gt;"")*($AS$22:$AS$49&lt;&gt;"-"))),ROWS($BB$22:BB26)),"")</f>
        <v/>
      </c>
    </row>
    <row r="27" spans="2:54" s="1" customFormat="1" ht="61.5" customHeight="1" outlineLevel="1" x14ac:dyDescent="0.25">
      <c r="B27" s="38">
        <f t="shared" si="28"/>
        <v>6</v>
      </c>
      <c r="C27" s="210"/>
      <c r="D27" s="210"/>
      <c r="E27" s="210"/>
      <c r="F27" s="210"/>
      <c r="G27" s="39"/>
      <c r="H27" s="40"/>
      <c r="I27" s="41"/>
      <c r="J27" s="42" t="str">
        <f t="shared" si="13"/>
        <v/>
      </c>
      <c r="K27" s="90"/>
      <c r="L27" s="206" t="str">
        <f t="shared" si="3"/>
        <v>No Quote</v>
      </c>
      <c r="M27" s="207"/>
      <c r="N27" s="41"/>
      <c r="O27" s="42" t="str">
        <f t="shared" si="14"/>
        <v/>
      </c>
      <c r="P27" s="90"/>
      <c r="Q27" s="206" t="str">
        <f t="shared" si="4"/>
        <v>No Quote</v>
      </c>
      <c r="R27" s="207"/>
      <c r="S27" s="41"/>
      <c r="T27" s="42" t="str">
        <f t="shared" si="15"/>
        <v/>
      </c>
      <c r="U27" s="89"/>
      <c r="V27" s="206" t="str">
        <f t="shared" si="16"/>
        <v>No Quote</v>
      </c>
      <c r="W27" s="207"/>
      <c r="X27" s="41"/>
      <c r="Y27" s="42" t="str">
        <f t="shared" si="17"/>
        <v/>
      </c>
      <c r="Z27" s="89"/>
      <c r="AA27" s="206" t="str">
        <f t="shared" si="5"/>
        <v>No Quote</v>
      </c>
      <c r="AB27" s="207"/>
      <c r="AC27" s="41"/>
      <c r="AD27" s="42" t="str">
        <f t="shared" si="18"/>
        <v/>
      </c>
      <c r="AE27" s="89"/>
      <c r="AF27" s="208" t="str">
        <f t="shared" si="19"/>
        <v>No Quote</v>
      </c>
      <c r="AG27" s="209"/>
      <c r="AH27" s="87"/>
      <c r="AI27" s="93"/>
      <c r="AJ27" s="63" t="str">
        <f t="shared" si="20"/>
        <v/>
      </c>
      <c r="AK27" s="92"/>
      <c r="AL27" s="92"/>
      <c r="AM27" s="77" t="str">
        <f t="shared" si="21"/>
        <v>-</v>
      </c>
      <c r="AN27" s="77" t="str">
        <f t="shared" si="22"/>
        <v>-</v>
      </c>
      <c r="AO27" s="77" t="str">
        <f t="shared" si="23"/>
        <v>-</v>
      </c>
      <c r="AP27" s="77" t="str">
        <f t="shared" si="24"/>
        <v>-</v>
      </c>
      <c r="AQ27" s="77" t="str">
        <f t="shared" si="25"/>
        <v>-</v>
      </c>
      <c r="AR27" s="78" t="str">
        <f t="shared" si="6"/>
        <v/>
      </c>
      <c r="AS27" s="74" t="str">
        <f t="shared" si="7"/>
        <v/>
      </c>
      <c r="AT27" s="72" t="str">
        <f t="shared" si="8"/>
        <v/>
      </c>
      <c r="AU27" s="71" t="str">
        <f t="shared" si="26"/>
        <v/>
      </c>
      <c r="AV27" s="74" t="str">
        <f t="shared" si="9"/>
        <v/>
      </c>
      <c r="AW27" s="72" t="str">
        <f t="shared" si="10"/>
        <v/>
      </c>
      <c r="AX27" s="71" t="str">
        <f t="shared" si="27"/>
        <v/>
      </c>
      <c r="AY27" s="74" t="str">
        <f t="shared" si="11"/>
        <v/>
      </c>
      <c r="BA27" s="99">
        <f t="shared" si="12"/>
        <v>0</v>
      </c>
      <c r="BB27" s="100" t="str" cm="1">
        <f t="array" ref="BB27">IFERROR(INDEX(_xlfn.UNIQUE(_xlfn._xlws.FILTER($AS$22:$AS$49,($AS$22:$AS$49&lt;&gt;"")*($AS$22:$AS$49&lt;&gt;"-"))),ROWS($BB$22:BB27)),"")</f>
        <v/>
      </c>
    </row>
    <row r="28" spans="2:54" s="1" customFormat="1" ht="61.5" customHeight="1" outlineLevel="1" x14ac:dyDescent="0.25">
      <c r="B28" s="38">
        <f t="shared" si="28"/>
        <v>7</v>
      </c>
      <c r="C28" s="210"/>
      <c r="D28" s="210"/>
      <c r="E28" s="210"/>
      <c r="F28" s="210"/>
      <c r="G28" s="39"/>
      <c r="H28" s="40"/>
      <c r="I28" s="41"/>
      <c r="J28" s="42" t="str">
        <f t="shared" si="13"/>
        <v/>
      </c>
      <c r="K28" s="90"/>
      <c r="L28" s="206" t="str">
        <f t="shared" si="3"/>
        <v>No Quote</v>
      </c>
      <c r="M28" s="207"/>
      <c r="N28" s="41"/>
      <c r="O28" s="42" t="str">
        <f t="shared" si="14"/>
        <v/>
      </c>
      <c r="P28" s="90"/>
      <c r="Q28" s="206" t="str">
        <f t="shared" si="4"/>
        <v>No Quote</v>
      </c>
      <c r="R28" s="207"/>
      <c r="S28" s="41"/>
      <c r="T28" s="42" t="str">
        <f t="shared" si="15"/>
        <v/>
      </c>
      <c r="U28" s="89"/>
      <c r="V28" s="206" t="str">
        <f t="shared" si="16"/>
        <v>No Quote</v>
      </c>
      <c r="W28" s="207"/>
      <c r="X28" s="41"/>
      <c r="Y28" s="42" t="str">
        <f t="shared" si="17"/>
        <v/>
      </c>
      <c r="Z28" s="89"/>
      <c r="AA28" s="206" t="str">
        <f t="shared" si="5"/>
        <v>No Quote</v>
      </c>
      <c r="AB28" s="207"/>
      <c r="AC28" s="41"/>
      <c r="AD28" s="42" t="str">
        <f t="shared" si="18"/>
        <v/>
      </c>
      <c r="AE28" s="89"/>
      <c r="AF28" s="208" t="str">
        <f t="shared" si="19"/>
        <v>No Quote</v>
      </c>
      <c r="AG28" s="209"/>
      <c r="AH28" s="87"/>
      <c r="AI28" s="93"/>
      <c r="AJ28" s="63" t="str">
        <f t="shared" si="20"/>
        <v/>
      </c>
      <c r="AK28" s="92"/>
      <c r="AL28" s="92"/>
      <c r="AM28" s="77" t="str">
        <f t="shared" si="21"/>
        <v>-</v>
      </c>
      <c r="AN28" s="77" t="str">
        <f t="shared" si="22"/>
        <v>-</v>
      </c>
      <c r="AO28" s="77" t="str">
        <f t="shared" si="23"/>
        <v>-</v>
      </c>
      <c r="AP28" s="77" t="str">
        <f t="shared" si="24"/>
        <v>-</v>
      </c>
      <c r="AQ28" s="77" t="str">
        <f t="shared" si="25"/>
        <v>-</v>
      </c>
      <c r="AR28" s="78" t="str">
        <f t="shared" si="6"/>
        <v/>
      </c>
      <c r="AS28" s="74" t="str">
        <f t="shared" si="7"/>
        <v/>
      </c>
      <c r="AT28" s="72" t="str">
        <f t="shared" si="8"/>
        <v/>
      </c>
      <c r="AU28" s="71" t="str">
        <f t="shared" si="26"/>
        <v/>
      </c>
      <c r="AV28" s="74" t="str">
        <f t="shared" si="9"/>
        <v/>
      </c>
      <c r="AW28" s="72" t="str">
        <f t="shared" si="10"/>
        <v/>
      </c>
      <c r="AX28" s="71" t="str">
        <f t="shared" si="27"/>
        <v/>
      </c>
      <c r="AY28" s="74" t="str">
        <f t="shared" si="11"/>
        <v/>
      </c>
      <c r="BA28" s="99">
        <f t="shared" si="12"/>
        <v>0</v>
      </c>
      <c r="BB28" s="100" t="str" cm="1">
        <f t="array" ref="BB28">IFERROR(INDEX(_xlfn.UNIQUE(_xlfn._xlws.FILTER($AS$22:$AS$49,($AS$22:$AS$49&lt;&gt;"")*($AS$22:$AS$49&lt;&gt;"-"))),ROWS($BB$22:BB28)),"")</f>
        <v/>
      </c>
    </row>
    <row r="29" spans="2:54" s="1" customFormat="1" ht="61.5" customHeight="1" outlineLevel="1" x14ac:dyDescent="0.25">
      <c r="B29" s="38">
        <f t="shared" si="28"/>
        <v>8</v>
      </c>
      <c r="C29" s="210"/>
      <c r="D29" s="210"/>
      <c r="E29" s="210"/>
      <c r="F29" s="210"/>
      <c r="G29" s="39"/>
      <c r="H29" s="40"/>
      <c r="I29" s="41"/>
      <c r="J29" s="42" t="str">
        <f t="shared" si="13"/>
        <v/>
      </c>
      <c r="K29" s="90"/>
      <c r="L29" s="206" t="str">
        <f t="shared" si="3"/>
        <v>No Quote</v>
      </c>
      <c r="M29" s="207"/>
      <c r="N29" s="41"/>
      <c r="O29" s="42" t="str">
        <f t="shared" si="14"/>
        <v/>
      </c>
      <c r="P29" s="90"/>
      <c r="Q29" s="206" t="str">
        <f t="shared" si="4"/>
        <v>No Quote</v>
      </c>
      <c r="R29" s="207"/>
      <c r="S29" s="41"/>
      <c r="T29" s="42" t="str">
        <f t="shared" si="15"/>
        <v/>
      </c>
      <c r="U29" s="89"/>
      <c r="V29" s="206" t="str">
        <f t="shared" si="16"/>
        <v>No Quote</v>
      </c>
      <c r="W29" s="207"/>
      <c r="X29" s="41"/>
      <c r="Y29" s="42" t="str">
        <f t="shared" si="17"/>
        <v/>
      </c>
      <c r="Z29" s="89"/>
      <c r="AA29" s="206" t="str">
        <f t="shared" si="5"/>
        <v>No Quote</v>
      </c>
      <c r="AB29" s="207"/>
      <c r="AC29" s="41"/>
      <c r="AD29" s="42" t="str">
        <f t="shared" si="18"/>
        <v/>
      </c>
      <c r="AE29" s="89"/>
      <c r="AF29" s="208" t="str">
        <f t="shared" si="19"/>
        <v>No Quote</v>
      </c>
      <c r="AG29" s="209"/>
      <c r="AH29" s="87"/>
      <c r="AI29" s="93"/>
      <c r="AJ29" s="63" t="str">
        <f t="shared" si="20"/>
        <v/>
      </c>
      <c r="AK29" s="92"/>
      <c r="AL29" s="92"/>
      <c r="AM29" s="77" t="str">
        <f t="shared" si="21"/>
        <v>-</v>
      </c>
      <c r="AN29" s="77" t="str">
        <f t="shared" si="22"/>
        <v>-</v>
      </c>
      <c r="AO29" s="77" t="str">
        <f t="shared" si="23"/>
        <v>-</v>
      </c>
      <c r="AP29" s="77" t="str">
        <f t="shared" si="24"/>
        <v>-</v>
      </c>
      <c r="AQ29" s="77" t="str">
        <f t="shared" si="25"/>
        <v>-</v>
      </c>
      <c r="AR29" s="78" t="str">
        <f t="shared" si="6"/>
        <v/>
      </c>
      <c r="AS29" s="74" t="str">
        <f t="shared" si="7"/>
        <v/>
      </c>
      <c r="AT29" s="72" t="str">
        <f t="shared" si="8"/>
        <v/>
      </c>
      <c r="AU29" s="71" t="str">
        <f t="shared" si="26"/>
        <v/>
      </c>
      <c r="AV29" s="74" t="str">
        <f t="shared" si="9"/>
        <v/>
      </c>
      <c r="AW29" s="72" t="str">
        <f t="shared" si="10"/>
        <v/>
      </c>
      <c r="AX29" s="71" t="str">
        <f t="shared" si="27"/>
        <v/>
      </c>
      <c r="AY29" s="74" t="str">
        <f t="shared" si="11"/>
        <v/>
      </c>
      <c r="BA29" s="99">
        <f t="shared" si="12"/>
        <v>0</v>
      </c>
      <c r="BB29" s="100" t="str" cm="1">
        <f t="array" ref="BB29">IFERROR(INDEX(_xlfn.UNIQUE(_xlfn._xlws.FILTER($AS$22:$AS$49,($AS$22:$AS$49&lt;&gt;"")*($AS$22:$AS$49&lt;&gt;"-"))),ROWS($BB$22:BB29)),"")</f>
        <v/>
      </c>
    </row>
    <row r="30" spans="2:54" s="1" customFormat="1" ht="61.5" customHeight="1" outlineLevel="1" x14ac:dyDescent="0.25">
      <c r="B30" s="38">
        <f t="shared" si="28"/>
        <v>9</v>
      </c>
      <c r="C30" s="210"/>
      <c r="D30" s="210"/>
      <c r="E30" s="210"/>
      <c r="F30" s="210"/>
      <c r="G30" s="39"/>
      <c r="H30" s="40"/>
      <c r="I30" s="41"/>
      <c r="J30" s="42" t="str">
        <f t="shared" si="13"/>
        <v/>
      </c>
      <c r="K30" s="90"/>
      <c r="L30" s="206" t="str">
        <f t="shared" si="3"/>
        <v>No Quote</v>
      </c>
      <c r="M30" s="207"/>
      <c r="N30" s="41"/>
      <c r="O30" s="42" t="str">
        <f t="shared" si="14"/>
        <v/>
      </c>
      <c r="P30" s="90"/>
      <c r="Q30" s="206" t="str">
        <f t="shared" si="4"/>
        <v>No Quote</v>
      </c>
      <c r="R30" s="207"/>
      <c r="S30" s="41"/>
      <c r="T30" s="42" t="str">
        <f t="shared" si="15"/>
        <v/>
      </c>
      <c r="U30" s="89"/>
      <c r="V30" s="206" t="str">
        <f t="shared" si="16"/>
        <v>No Quote</v>
      </c>
      <c r="W30" s="207"/>
      <c r="X30" s="41"/>
      <c r="Y30" s="42" t="str">
        <f t="shared" si="17"/>
        <v/>
      </c>
      <c r="Z30" s="89"/>
      <c r="AA30" s="206" t="str">
        <f t="shared" si="5"/>
        <v>No Quote</v>
      </c>
      <c r="AB30" s="207"/>
      <c r="AC30" s="41"/>
      <c r="AD30" s="42" t="str">
        <f t="shared" si="18"/>
        <v/>
      </c>
      <c r="AE30" s="89"/>
      <c r="AF30" s="208" t="str">
        <f t="shared" si="19"/>
        <v>No Quote</v>
      </c>
      <c r="AG30" s="209"/>
      <c r="AH30" s="87"/>
      <c r="AI30" s="93"/>
      <c r="AJ30" s="63" t="str">
        <f t="shared" si="20"/>
        <v/>
      </c>
      <c r="AK30" s="92"/>
      <c r="AL30" s="92"/>
      <c r="AM30" s="77" t="str">
        <f t="shared" si="21"/>
        <v>-</v>
      </c>
      <c r="AN30" s="77" t="str">
        <f t="shared" si="22"/>
        <v>-</v>
      </c>
      <c r="AO30" s="77" t="str">
        <f t="shared" si="23"/>
        <v>-</v>
      </c>
      <c r="AP30" s="77" t="str">
        <f t="shared" si="24"/>
        <v>-</v>
      </c>
      <c r="AQ30" s="77" t="str">
        <f t="shared" si="25"/>
        <v>-</v>
      </c>
      <c r="AR30" s="78" t="str">
        <f t="shared" si="6"/>
        <v/>
      </c>
      <c r="AS30" s="74" t="str">
        <f t="shared" si="7"/>
        <v/>
      </c>
      <c r="AT30" s="72" t="str">
        <f t="shared" si="8"/>
        <v/>
      </c>
      <c r="AU30" s="71" t="str">
        <f t="shared" si="26"/>
        <v/>
      </c>
      <c r="AV30" s="74" t="str">
        <f t="shared" si="9"/>
        <v/>
      </c>
      <c r="AW30" s="72" t="str">
        <f t="shared" si="10"/>
        <v/>
      </c>
      <c r="AX30" s="71" t="str">
        <f t="shared" si="27"/>
        <v/>
      </c>
      <c r="AY30" s="74" t="str">
        <f t="shared" si="11"/>
        <v/>
      </c>
      <c r="BA30" s="99">
        <f t="shared" si="12"/>
        <v>0</v>
      </c>
      <c r="BB30" s="100" t="str" cm="1">
        <f t="array" ref="BB30">IFERROR(INDEX(_xlfn.UNIQUE(_xlfn._xlws.FILTER($AS$22:$AS$49,($AS$22:$AS$49&lt;&gt;"")*($AS$22:$AS$49&lt;&gt;"-"))),ROWS($BB$22:BB30)),"")</f>
        <v/>
      </c>
    </row>
    <row r="31" spans="2:54" s="1" customFormat="1" ht="61.5" customHeight="1" outlineLevel="1" x14ac:dyDescent="0.25">
      <c r="B31" s="38">
        <f t="shared" si="28"/>
        <v>10</v>
      </c>
      <c r="C31" s="210"/>
      <c r="D31" s="210"/>
      <c r="E31" s="210"/>
      <c r="F31" s="210"/>
      <c r="G31" s="39"/>
      <c r="H31" s="40"/>
      <c r="I31" s="41"/>
      <c r="J31" s="42" t="str">
        <f t="shared" si="13"/>
        <v/>
      </c>
      <c r="K31" s="90"/>
      <c r="L31" s="206" t="str">
        <f t="shared" si="3"/>
        <v>No Quote</v>
      </c>
      <c r="M31" s="207"/>
      <c r="N31" s="41"/>
      <c r="O31" s="42" t="str">
        <f t="shared" si="14"/>
        <v/>
      </c>
      <c r="P31" s="90"/>
      <c r="Q31" s="206" t="str">
        <f t="shared" si="4"/>
        <v>No Quote</v>
      </c>
      <c r="R31" s="207"/>
      <c r="S31" s="41"/>
      <c r="T31" s="42" t="str">
        <f t="shared" si="15"/>
        <v/>
      </c>
      <c r="U31" s="89"/>
      <c r="V31" s="206" t="str">
        <f t="shared" si="16"/>
        <v>No Quote</v>
      </c>
      <c r="W31" s="207"/>
      <c r="X31" s="41"/>
      <c r="Y31" s="42" t="str">
        <f t="shared" si="17"/>
        <v/>
      </c>
      <c r="Z31" s="89"/>
      <c r="AA31" s="206" t="str">
        <f t="shared" si="5"/>
        <v>No Quote</v>
      </c>
      <c r="AB31" s="207"/>
      <c r="AC31" s="41"/>
      <c r="AD31" s="42" t="str">
        <f t="shared" si="18"/>
        <v/>
      </c>
      <c r="AE31" s="89"/>
      <c r="AF31" s="208" t="str">
        <f t="shared" si="19"/>
        <v>No Quote</v>
      </c>
      <c r="AG31" s="209"/>
      <c r="AH31" s="87"/>
      <c r="AI31" s="93"/>
      <c r="AJ31" s="63" t="str">
        <f t="shared" si="20"/>
        <v/>
      </c>
      <c r="AK31" s="92"/>
      <c r="AL31" s="92"/>
      <c r="AM31" s="77" t="str">
        <f t="shared" si="21"/>
        <v>-</v>
      </c>
      <c r="AN31" s="77" t="str">
        <f t="shared" si="22"/>
        <v>-</v>
      </c>
      <c r="AO31" s="77" t="str">
        <f t="shared" si="23"/>
        <v>-</v>
      </c>
      <c r="AP31" s="77" t="str">
        <f t="shared" si="24"/>
        <v>-</v>
      </c>
      <c r="AQ31" s="77" t="str">
        <f t="shared" si="25"/>
        <v>-</v>
      </c>
      <c r="AR31" s="78" t="str">
        <f t="shared" si="6"/>
        <v/>
      </c>
      <c r="AS31" s="74" t="str">
        <f t="shared" si="7"/>
        <v/>
      </c>
      <c r="AT31" s="72" t="str">
        <f t="shared" si="8"/>
        <v/>
      </c>
      <c r="AU31" s="71" t="str">
        <f t="shared" si="26"/>
        <v/>
      </c>
      <c r="AV31" s="74" t="str">
        <f t="shared" si="9"/>
        <v/>
      </c>
      <c r="AW31" s="72" t="str">
        <f t="shared" si="10"/>
        <v/>
      </c>
      <c r="AX31" s="71" t="str">
        <f t="shared" si="27"/>
        <v/>
      </c>
      <c r="AY31" s="74" t="str">
        <f t="shared" si="11"/>
        <v/>
      </c>
      <c r="BA31" s="99">
        <f t="shared" si="12"/>
        <v>0</v>
      </c>
      <c r="BB31" s="100" t="str" cm="1">
        <f t="array" ref="BB31">IFERROR(INDEX(_xlfn.UNIQUE(_xlfn._xlws.FILTER($AS$22:$AS$49,($AS$22:$AS$49&lt;&gt;"")*($AS$22:$AS$49&lt;&gt;"-"))),ROWS($BB$22:BB31)),"")</f>
        <v/>
      </c>
    </row>
    <row r="32" spans="2:54" s="1" customFormat="1" ht="61.5" customHeight="1" outlineLevel="1" x14ac:dyDescent="0.25">
      <c r="B32" s="38">
        <f t="shared" si="28"/>
        <v>11</v>
      </c>
      <c r="C32" s="210"/>
      <c r="D32" s="210"/>
      <c r="E32" s="210"/>
      <c r="F32" s="210"/>
      <c r="G32" s="39"/>
      <c r="H32" s="40"/>
      <c r="I32" s="41"/>
      <c r="J32" s="42" t="str">
        <f t="shared" si="13"/>
        <v/>
      </c>
      <c r="K32" s="90"/>
      <c r="L32" s="206" t="str">
        <f t="shared" si="3"/>
        <v>No Quote</v>
      </c>
      <c r="M32" s="207"/>
      <c r="N32" s="41"/>
      <c r="O32" s="42" t="str">
        <f t="shared" si="14"/>
        <v/>
      </c>
      <c r="P32" s="90"/>
      <c r="Q32" s="206" t="str">
        <f t="shared" si="4"/>
        <v>No Quote</v>
      </c>
      <c r="R32" s="207"/>
      <c r="S32" s="41"/>
      <c r="T32" s="42" t="str">
        <f t="shared" si="15"/>
        <v/>
      </c>
      <c r="U32" s="89"/>
      <c r="V32" s="206" t="str">
        <f t="shared" si="16"/>
        <v>No Quote</v>
      </c>
      <c r="W32" s="207"/>
      <c r="X32" s="41"/>
      <c r="Y32" s="42" t="str">
        <f t="shared" si="17"/>
        <v/>
      </c>
      <c r="Z32" s="89"/>
      <c r="AA32" s="206" t="str">
        <f t="shared" si="5"/>
        <v>No Quote</v>
      </c>
      <c r="AB32" s="207"/>
      <c r="AC32" s="41"/>
      <c r="AD32" s="42" t="str">
        <f t="shared" si="18"/>
        <v/>
      </c>
      <c r="AE32" s="89"/>
      <c r="AF32" s="208" t="str">
        <f t="shared" si="19"/>
        <v>No Quote</v>
      </c>
      <c r="AG32" s="209"/>
      <c r="AH32" s="87"/>
      <c r="AI32" s="93"/>
      <c r="AJ32" s="63" t="str">
        <f t="shared" si="20"/>
        <v/>
      </c>
      <c r="AK32" s="92"/>
      <c r="AL32" s="92"/>
      <c r="AM32" s="77" t="str">
        <f t="shared" si="21"/>
        <v>-</v>
      </c>
      <c r="AN32" s="77" t="str">
        <f t="shared" si="22"/>
        <v>-</v>
      </c>
      <c r="AO32" s="77" t="str">
        <f t="shared" si="23"/>
        <v>-</v>
      </c>
      <c r="AP32" s="77" t="str">
        <f t="shared" si="24"/>
        <v>-</v>
      </c>
      <c r="AQ32" s="77" t="str">
        <f t="shared" si="25"/>
        <v>-</v>
      </c>
      <c r="AR32" s="78" t="str">
        <f t="shared" si="6"/>
        <v/>
      </c>
      <c r="AS32" s="74" t="str">
        <f t="shared" si="7"/>
        <v/>
      </c>
      <c r="AT32" s="72" t="str">
        <f t="shared" si="8"/>
        <v/>
      </c>
      <c r="AU32" s="71" t="str">
        <f t="shared" si="26"/>
        <v/>
      </c>
      <c r="AV32" s="74" t="str">
        <f t="shared" si="9"/>
        <v/>
      </c>
      <c r="AW32" s="72" t="str">
        <f t="shared" si="10"/>
        <v/>
      </c>
      <c r="AX32" s="71" t="str">
        <f t="shared" si="27"/>
        <v/>
      </c>
      <c r="AY32" s="74" t="str">
        <f t="shared" si="11"/>
        <v/>
      </c>
      <c r="BA32" s="99">
        <f t="shared" si="12"/>
        <v>0</v>
      </c>
      <c r="BB32" s="100" t="str" cm="1">
        <f t="array" ref="BB32">IFERROR(INDEX(_xlfn.UNIQUE(_xlfn._xlws.FILTER($AS$22:$AS$49,($AS$22:$AS$49&lt;&gt;"")*($AS$22:$AS$49&lt;&gt;"-"))),ROWS($BB$22:BB32)),"")</f>
        <v/>
      </c>
    </row>
    <row r="33" spans="2:54" s="1" customFormat="1" ht="61.5" customHeight="1" outlineLevel="1" x14ac:dyDescent="0.25">
      <c r="B33" s="38">
        <f t="shared" si="28"/>
        <v>12</v>
      </c>
      <c r="C33" s="210"/>
      <c r="D33" s="210"/>
      <c r="E33" s="210"/>
      <c r="F33" s="210"/>
      <c r="G33" s="39"/>
      <c r="H33" s="40"/>
      <c r="I33" s="41"/>
      <c r="J33" s="42" t="str">
        <f t="shared" si="13"/>
        <v/>
      </c>
      <c r="K33" s="90"/>
      <c r="L33" s="206" t="str">
        <f t="shared" si="3"/>
        <v>No Quote</v>
      </c>
      <c r="M33" s="207"/>
      <c r="N33" s="41"/>
      <c r="O33" s="42" t="str">
        <f t="shared" si="14"/>
        <v/>
      </c>
      <c r="P33" s="90"/>
      <c r="Q33" s="206" t="str">
        <f t="shared" si="4"/>
        <v>No Quote</v>
      </c>
      <c r="R33" s="207"/>
      <c r="S33" s="41"/>
      <c r="T33" s="42" t="str">
        <f t="shared" si="15"/>
        <v/>
      </c>
      <c r="U33" s="89"/>
      <c r="V33" s="206" t="str">
        <f t="shared" si="16"/>
        <v>No Quote</v>
      </c>
      <c r="W33" s="207"/>
      <c r="X33" s="41"/>
      <c r="Y33" s="42" t="str">
        <f t="shared" si="17"/>
        <v/>
      </c>
      <c r="Z33" s="89"/>
      <c r="AA33" s="206" t="str">
        <f t="shared" si="5"/>
        <v>No Quote</v>
      </c>
      <c r="AB33" s="207"/>
      <c r="AC33" s="41"/>
      <c r="AD33" s="42" t="str">
        <f t="shared" si="18"/>
        <v/>
      </c>
      <c r="AE33" s="89"/>
      <c r="AF33" s="208" t="str">
        <f t="shared" si="19"/>
        <v>No Quote</v>
      </c>
      <c r="AG33" s="209"/>
      <c r="AH33" s="87"/>
      <c r="AI33" s="93"/>
      <c r="AJ33" s="63" t="str">
        <f t="shared" si="20"/>
        <v/>
      </c>
      <c r="AK33" s="92"/>
      <c r="AL33" s="92"/>
      <c r="AM33" s="77" t="str">
        <f t="shared" si="21"/>
        <v>-</v>
      </c>
      <c r="AN33" s="77" t="str">
        <f t="shared" si="22"/>
        <v>-</v>
      </c>
      <c r="AO33" s="77" t="str">
        <f t="shared" si="23"/>
        <v>-</v>
      </c>
      <c r="AP33" s="77" t="str">
        <f t="shared" si="24"/>
        <v>-</v>
      </c>
      <c r="AQ33" s="77" t="str">
        <f t="shared" si="25"/>
        <v>-</v>
      </c>
      <c r="AR33" s="78" t="str">
        <f t="shared" si="6"/>
        <v/>
      </c>
      <c r="AS33" s="74" t="str">
        <f t="shared" si="7"/>
        <v/>
      </c>
      <c r="AT33" s="72" t="str">
        <f t="shared" si="8"/>
        <v/>
      </c>
      <c r="AU33" s="71" t="str">
        <f t="shared" si="26"/>
        <v/>
      </c>
      <c r="AV33" s="74" t="str">
        <f t="shared" si="9"/>
        <v/>
      </c>
      <c r="AW33" s="72" t="str">
        <f t="shared" si="10"/>
        <v/>
      </c>
      <c r="AX33" s="71" t="str">
        <f t="shared" si="27"/>
        <v/>
      </c>
      <c r="AY33" s="74" t="str">
        <f t="shared" si="11"/>
        <v/>
      </c>
      <c r="BA33" s="99">
        <f t="shared" si="12"/>
        <v>0</v>
      </c>
      <c r="BB33" s="100" t="str" cm="1">
        <f t="array" ref="BB33">IFERROR(INDEX(_xlfn.UNIQUE(_xlfn._xlws.FILTER($AS$22:$AS$49,($AS$22:$AS$49&lt;&gt;"")*($AS$22:$AS$49&lt;&gt;"-"))),ROWS($BB$22:BB33)),"")</f>
        <v/>
      </c>
    </row>
    <row r="34" spans="2:54" s="1" customFormat="1" ht="61.5" customHeight="1" outlineLevel="1" x14ac:dyDescent="0.25">
      <c r="B34" s="38">
        <f t="shared" si="28"/>
        <v>13</v>
      </c>
      <c r="C34" s="210"/>
      <c r="D34" s="210"/>
      <c r="E34" s="210"/>
      <c r="F34" s="210"/>
      <c r="G34" s="39"/>
      <c r="H34" s="40"/>
      <c r="I34" s="41"/>
      <c r="J34" s="42" t="str">
        <f t="shared" si="13"/>
        <v/>
      </c>
      <c r="K34" s="90"/>
      <c r="L34" s="206" t="str">
        <f t="shared" si="3"/>
        <v>No Quote</v>
      </c>
      <c r="M34" s="207"/>
      <c r="N34" s="41"/>
      <c r="O34" s="42" t="str">
        <f t="shared" si="14"/>
        <v/>
      </c>
      <c r="P34" s="90"/>
      <c r="Q34" s="206" t="str">
        <f t="shared" si="4"/>
        <v>No Quote</v>
      </c>
      <c r="R34" s="207"/>
      <c r="S34" s="41"/>
      <c r="T34" s="42" t="str">
        <f t="shared" si="15"/>
        <v/>
      </c>
      <c r="U34" s="89"/>
      <c r="V34" s="206" t="str">
        <f t="shared" si="16"/>
        <v>No Quote</v>
      </c>
      <c r="W34" s="207"/>
      <c r="X34" s="41"/>
      <c r="Y34" s="42" t="str">
        <f t="shared" si="17"/>
        <v/>
      </c>
      <c r="Z34" s="89"/>
      <c r="AA34" s="206" t="str">
        <f t="shared" si="5"/>
        <v>No Quote</v>
      </c>
      <c r="AB34" s="207"/>
      <c r="AC34" s="41"/>
      <c r="AD34" s="42" t="str">
        <f t="shared" si="18"/>
        <v/>
      </c>
      <c r="AE34" s="89"/>
      <c r="AF34" s="208" t="str">
        <f t="shared" si="19"/>
        <v>No Quote</v>
      </c>
      <c r="AG34" s="209"/>
      <c r="AH34" s="87"/>
      <c r="AI34" s="93"/>
      <c r="AJ34" s="63" t="str">
        <f t="shared" si="20"/>
        <v/>
      </c>
      <c r="AK34" s="92"/>
      <c r="AL34" s="92"/>
      <c r="AM34" s="77" t="str">
        <f t="shared" si="21"/>
        <v>-</v>
      </c>
      <c r="AN34" s="77" t="str">
        <f t="shared" si="22"/>
        <v>-</v>
      </c>
      <c r="AO34" s="77" t="str">
        <f t="shared" si="23"/>
        <v>-</v>
      </c>
      <c r="AP34" s="77" t="str">
        <f t="shared" si="24"/>
        <v>-</v>
      </c>
      <c r="AQ34" s="77" t="str">
        <f t="shared" si="25"/>
        <v>-</v>
      </c>
      <c r="AR34" s="78" t="str">
        <f t="shared" si="6"/>
        <v/>
      </c>
      <c r="AS34" s="74" t="str">
        <f t="shared" si="7"/>
        <v/>
      </c>
      <c r="AT34" s="72" t="str">
        <f t="shared" si="8"/>
        <v/>
      </c>
      <c r="AU34" s="71" t="str">
        <f t="shared" si="26"/>
        <v/>
      </c>
      <c r="AV34" s="74" t="str">
        <f t="shared" si="9"/>
        <v/>
      </c>
      <c r="AW34" s="72" t="str">
        <f t="shared" si="10"/>
        <v/>
      </c>
      <c r="AX34" s="71" t="str">
        <f t="shared" si="27"/>
        <v/>
      </c>
      <c r="AY34" s="74" t="str">
        <f t="shared" si="11"/>
        <v/>
      </c>
      <c r="BA34" s="99">
        <f t="shared" si="12"/>
        <v>0</v>
      </c>
      <c r="BB34" s="100" t="str" cm="1">
        <f t="array" ref="BB34">IFERROR(INDEX(_xlfn.UNIQUE(_xlfn._xlws.FILTER($AS$22:$AS$49,($AS$22:$AS$49&lt;&gt;"")*($AS$22:$AS$49&lt;&gt;"-"))),ROWS($BB$22:BB34)),"")</f>
        <v/>
      </c>
    </row>
    <row r="35" spans="2:54" s="1" customFormat="1" ht="61.5" customHeight="1" outlineLevel="1" x14ac:dyDescent="0.25">
      <c r="B35" s="38">
        <f t="shared" si="28"/>
        <v>14</v>
      </c>
      <c r="C35" s="210"/>
      <c r="D35" s="210"/>
      <c r="E35" s="210"/>
      <c r="F35" s="210"/>
      <c r="G35" s="39"/>
      <c r="H35" s="40"/>
      <c r="I35" s="41"/>
      <c r="J35" s="42" t="str">
        <f t="shared" si="13"/>
        <v/>
      </c>
      <c r="K35" s="90"/>
      <c r="L35" s="206" t="str">
        <f t="shared" si="3"/>
        <v>No Quote</v>
      </c>
      <c r="M35" s="207"/>
      <c r="N35" s="41"/>
      <c r="O35" s="42" t="str">
        <f t="shared" si="14"/>
        <v/>
      </c>
      <c r="P35" s="90"/>
      <c r="Q35" s="206" t="str">
        <f t="shared" si="4"/>
        <v>No Quote</v>
      </c>
      <c r="R35" s="207"/>
      <c r="S35" s="41"/>
      <c r="T35" s="42" t="str">
        <f t="shared" si="15"/>
        <v/>
      </c>
      <c r="U35" s="89"/>
      <c r="V35" s="206" t="str">
        <f t="shared" si="16"/>
        <v>No Quote</v>
      </c>
      <c r="W35" s="207"/>
      <c r="X35" s="41"/>
      <c r="Y35" s="42" t="str">
        <f t="shared" si="17"/>
        <v/>
      </c>
      <c r="Z35" s="89"/>
      <c r="AA35" s="206" t="str">
        <f t="shared" si="5"/>
        <v>No Quote</v>
      </c>
      <c r="AB35" s="207"/>
      <c r="AC35" s="41"/>
      <c r="AD35" s="42" t="str">
        <f t="shared" si="18"/>
        <v/>
      </c>
      <c r="AE35" s="89"/>
      <c r="AF35" s="208" t="str">
        <f t="shared" si="19"/>
        <v>No Quote</v>
      </c>
      <c r="AG35" s="209"/>
      <c r="AH35" s="87"/>
      <c r="AI35" s="93"/>
      <c r="AJ35" s="63" t="str">
        <f t="shared" si="20"/>
        <v/>
      </c>
      <c r="AK35" s="92"/>
      <c r="AL35" s="92"/>
      <c r="AM35" s="77" t="str">
        <f t="shared" si="21"/>
        <v>-</v>
      </c>
      <c r="AN35" s="77" t="str">
        <f t="shared" si="22"/>
        <v>-</v>
      </c>
      <c r="AO35" s="77" t="str">
        <f t="shared" si="23"/>
        <v>-</v>
      </c>
      <c r="AP35" s="77" t="str">
        <f t="shared" si="24"/>
        <v>-</v>
      </c>
      <c r="AQ35" s="77" t="str">
        <f t="shared" si="25"/>
        <v>-</v>
      </c>
      <c r="AR35" s="78" t="str">
        <f t="shared" si="6"/>
        <v/>
      </c>
      <c r="AS35" s="74" t="str">
        <f t="shared" si="7"/>
        <v/>
      </c>
      <c r="AT35" s="72" t="str">
        <f t="shared" si="8"/>
        <v/>
      </c>
      <c r="AU35" s="71" t="str">
        <f t="shared" si="26"/>
        <v/>
      </c>
      <c r="AV35" s="74" t="str">
        <f t="shared" si="9"/>
        <v/>
      </c>
      <c r="AW35" s="72" t="str">
        <f t="shared" si="10"/>
        <v/>
      </c>
      <c r="AX35" s="71" t="str">
        <f t="shared" si="27"/>
        <v/>
      </c>
      <c r="AY35" s="74" t="str">
        <f t="shared" si="11"/>
        <v/>
      </c>
      <c r="BA35" s="99">
        <f t="shared" si="12"/>
        <v>0</v>
      </c>
      <c r="BB35" s="100" t="str" cm="1">
        <f t="array" ref="BB35">IFERROR(INDEX(_xlfn.UNIQUE(_xlfn._xlws.FILTER($AS$22:$AS$49,($AS$22:$AS$49&lt;&gt;"")*($AS$22:$AS$49&lt;&gt;"-"))),ROWS($BB$22:BB35)),"")</f>
        <v/>
      </c>
    </row>
    <row r="36" spans="2:54" s="1" customFormat="1" ht="61.5" customHeight="1" outlineLevel="1" x14ac:dyDescent="0.25">
      <c r="B36" s="38">
        <f t="shared" si="28"/>
        <v>15</v>
      </c>
      <c r="C36" s="210"/>
      <c r="D36" s="210"/>
      <c r="E36" s="210"/>
      <c r="F36" s="210"/>
      <c r="G36" s="39"/>
      <c r="H36" s="40"/>
      <c r="I36" s="41"/>
      <c r="J36" s="42" t="str">
        <f t="shared" si="13"/>
        <v/>
      </c>
      <c r="K36" s="90"/>
      <c r="L36" s="206" t="str">
        <f t="shared" si="3"/>
        <v>No Quote</v>
      </c>
      <c r="M36" s="207"/>
      <c r="N36" s="41"/>
      <c r="O36" s="42" t="str">
        <f t="shared" si="14"/>
        <v/>
      </c>
      <c r="P36" s="90"/>
      <c r="Q36" s="206" t="str">
        <f t="shared" si="4"/>
        <v>No Quote</v>
      </c>
      <c r="R36" s="207"/>
      <c r="S36" s="41"/>
      <c r="T36" s="42" t="str">
        <f t="shared" si="15"/>
        <v/>
      </c>
      <c r="U36" s="89"/>
      <c r="V36" s="206" t="str">
        <f t="shared" si="16"/>
        <v>No Quote</v>
      </c>
      <c r="W36" s="207"/>
      <c r="X36" s="41"/>
      <c r="Y36" s="42" t="str">
        <f t="shared" si="17"/>
        <v/>
      </c>
      <c r="Z36" s="89"/>
      <c r="AA36" s="206" t="str">
        <f t="shared" si="5"/>
        <v>No Quote</v>
      </c>
      <c r="AB36" s="207"/>
      <c r="AC36" s="41"/>
      <c r="AD36" s="42" t="str">
        <f t="shared" si="18"/>
        <v/>
      </c>
      <c r="AE36" s="89"/>
      <c r="AF36" s="208" t="str">
        <f t="shared" si="19"/>
        <v>No Quote</v>
      </c>
      <c r="AG36" s="209"/>
      <c r="AH36" s="87"/>
      <c r="AI36" s="93"/>
      <c r="AJ36" s="63" t="str">
        <f t="shared" si="20"/>
        <v/>
      </c>
      <c r="AK36" s="92"/>
      <c r="AL36" s="92"/>
      <c r="AM36" s="77" t="str">
        <f t="shared" si="21"/>
        <v>-</v>
      </c>
      <c r="AN36" s="77" t="str">
        <f t="shared" si="22"/>
        <v>-</v>
      </c>
      <c r="AO36" s="77" t="str">
        <f t="shared" si="23"/>
        <v>-</v>
      </c>
      <c r="AP36" s="77" t="str">
        <f t="shared" si="24"/>
        <v>-</v>
      </c>
      <c r="AQ36" s="77" t="str">
        <f t="shared" si="25"/>
        <v>-</v>
      </c>
      <c r="AR36" s="78" t="str">
        <f t="shared" si="6"/>
        <v/>
      </c>
      <c r="AS36" s="74" t="str">
        <f t="shared" si="7"/>
        <v/>
      </c>
      <c r="AT36" s="72" t="str">
        <f t="shared" si="8"/>
        <v/>
      </c>
      <c r="AU36" s="71" t="str">
        <f t="shared" si="26"/>
        <v/>
      </c>
      <c r="AV36" s="74" t="str">
        <f t="shared" si="9"/>
        <v/>
      </c>
      <c r="AW36" s="72" t="str">
        <f t="shared" si="10"/>
        <v/>
      </c>
      <c r="AX36" s="71" t="str">
        <f t="shared" si="27"/>
        <v/>
      </c>
      <c r="AY36" s="74" t="str">
        <f t="shared" si="11"/>
        <v/>
      </c>
      <c r="BA36" s="99">
        <f t="shared" si="12"/>
        <v>0</v>
      </c>
      <c r="BB36" s="100" t="str" cm="1">
        <f t="array" ref="BB36">IFERROR(INDEX(_xlfn.UNIQUE(_xlfn._xlws.FILTER($AS$22:$AS$49,($AS$22:$AS$49&lt;&gt;"")*($AS$22:$AS$49&lt;&gt;"-"))),ROWS($BB$22:BB36)),"")</f>
        <v/>
      </c>
    </row>
    <row r="37" spans="2:54" s="1" customFormat="1" ht="61.5" customHeight="1" outlineLevel="1" x14ac:dyDescent="0.25">
      <c r="B37" s="38">
        <f t="shared" si="28"/>
        <v>16</v>
      </c>
      <c r="C37" s="210"/>
      <c r="D37" s="210"/>
      <c r="E37" s="210"/>
      <c r="F37" s="210"/>
      <c r="G37" s="39"/>
      <c r="H37" s="40"/>
      <c r="I37" s="41"/>
      <c r="J37" s="42" t="str">
        <f t="shared" si="13"/>
        <v/>
      </c>
      <c r="K37" s="90"/>
      <c r="L37" s="206" t="str">
        <f t="shared" si="3"/>
        <v>No Quote</v>
      </c>
      <c r="M37" s="207"/>
      <c r="N37" s="41"/>
      <c r="O37" s="42" t="str">
        <f t="shared" si="14"/>
        <v/>
      </c>
      <c r="P37" s="90"/>
      <c r="Q37" s="206" t="str">
        <f t="shared" si="4"/>
        <v>No Quote</v>
      </c>
      <c r="R37" s="207"/>
      <c r="S37" s="41"/>
      <c r="T37" s="42" t="str">
        <f t="shared" si="15"/>
        <v/>
      </c>
      <c r="U37" s="89"/>
      <c r="V37" s="206" t="str">
        <f t="shared" si="16"/>
        <v>No Quote</v>
      </c>
      <c r="W37" s="207"/>
      <c r="X37" s="41"/>
      <c r="Y37" s="42" t="str">
        <f t="shared" si="17"/>
        <v/>
      </c>
      <c r="Z37" s="89"/>
      <c r="AA37" s="206" t="str">
        <f t="shared" si="5"/>
        <v>No Quote</v>
      </c>
      <c r="AB37" s="207"/>
      <c r="AC37" s="41"/>
      <c r="AD37" s="42" t="str">
        <f t="shared" si="18"/>
        <v/>
      </c>
      <c r="AE37" s="89"/>
      <c r="AF37" s="208" t="str">
        <f t="shared" si="19"/>
        <v>No Quote</v>
      </c>
      <c r="AG37" s="209"/>
      <c r="AH37" s="87"/>
      <c r="AI37" s="93"/>
      <c r="AJ37" s="63" t="str">
        <f t="shared" si="20"/>
        <v/>
      </c>
      <c r="AK37" s="92"/>
      <c r="AL37" s="92"/>
      <c r="AM37" s="77" t="str">
        <f t="shared" si="21"/>
        <v>-</v>
      </c>
      <c r="AN37" s="77" t="str">
        <f t="shared" si="22"/>
        <v>-</v>
      </c>
      <c r="AO37" s="77" t="str">
        <f t="shared" si="23"/>
        <v>-</v>
      </c>
      <c r="AP37" s="77" t="str">
        <f t="shared" si="24"/>
        <v>-</v>
      </c>
      <c r="AQ37" s="77" t="str">
        <f t="shared" si="25"/>
        <v>-</v>
      </c>
      <c r="AR37" s="78" t="str">
        <f t="shared" si="6"/>
        <v/>
      </c>
      <c r="AS37" s="74" t="str">
        <f t="shared" si="7"/>
        <v/>
      </c>
      <c r="AT37" s="72" t="str">
        <f t="shared" si="8"/>
        <v/>
      </c>
      <c r="AU37" s="71" t="str">
        <f t="shared" si="26"/>
        <v/>
      </c>
      <c r="AV37" s="74" t="str">
        <f t="shared" si="9"/>
        <v/>
      </c>
      <c r="AW37" s="72" t="str">
        <f t="shared" si="10"/>
        <v/>
      </c>
      <c r="AX37" s="71" t="str">
        <f t="shared" si="27"/>
        <v/>
      </c>
      <c r="AY37" s="74" t="str">
        <f t="shared" si="11"/>
        <v/>
      </c>
      <c r="BA37" s="99">
        <f t="shared" si="12"/>
        <v>0</v>
      </c>
      <c r="BB37" s="100" t="str" cm="1">
        <f t="array" ref="BB37">IFERROR(INDEX(_xlfn.UNIQUE(_xlfn._xlws.FILTER($AS$22:$AS$49,($AS$22:$AS$49&lt;&gt;"")*($AS$22:$AS$49&lt;&gt;"-"))),ROWS($BB$22:BB37)),"")</f>
        <v/>
      </c>
    </row>
    <row r="38" spans="2:54" s="1" customFormat="1" ht="61.5" customHeight="1" outlineLevel="1" x14ac:dyDescent="0.25">
      <c r="B38" s="38">
        <f t="shared" si="28"/>
        <v>17</v>
      </c>
      <c r="C38" s="210"/>
      <c r="D38" s="210"/>
      <c r="E38" s="210"/>
      <c r="F38" s="210"/>
      <c r="G38" s="39"/>
      <c r="H38" s="40"/>
      <c r="I38" s="41"/>
      <c r="J38" s="42" t="str">
        <f t="shared" si="13"/>
        <v/>
      </c>
      <c r="K38" s="90"/>
      <c r="L38" s="206" t="str">
        <f t="shared" si="3"/>
        <v>No Quote</v>
      </c>
      <c r="M38" s="207"/>
      <c r="N38" s="41"/>
      <c r="O38" s="42" t="str">
        <f t="shared" si="14"/>
        <v/>
      </c>
      <c r="P38" s="90"/>
      <c r="Q38" s="206" t="str">
        <f t="shared" si="4"/>
        <v>No Quote</v>
      </c>
      <c r="R38" s="207"/>
      <c r="S38" s="41"/>
      <c r="T38" s="42" t="str">
        <f t="shared" si="15"/>
        <v/>
      </c>
      <c r="U38" s="89"/>
      <c r="V38" s="206" t="str">
        <f t="shared" si="16"/>
        <v>No Quote</v>
      </c>
      <c r="W38" s="207"/>
      <c r="X38" s="41"/>
      <c r="Y38" s="42" t="str">
        <f t="shared" si="17"/>
        <v/>
      </c>
      <c r="Z38" s="89"/>
      <c r="AA38" s="206" t="str">
        <f t="shared" si="5"/>
        <v>No Quote</v>
      </c>
      <c r="AB38" s="207"/>
      <c r="AC38" s="41"/>
      <c r="AD38" s="42" t="str">
        <f t="shared" si="18"/>
        <v/>
      </c>
      <c r="AE38" s="89"/>
      <c r="AF38" s="208" t="str">
        <f t="shared" si="19"/>
        <v>No Quote</v>
      </c>
      <c r="AG38" s="209"/>
      <c r="AH38" s="87"/>
      <c r="AI38" s="93"/>
      <c r="AJ38" s="63" t="str">
        <f t="shared" si="20"/>
        <v/>
      </c>
      <c r="AK38" s="92"/>
      <c r="AL38" s="92"/>
      <c r="AM38" s="77" t="str">
        <f t="shared" si="21"/>
        <v>-</v>
      </c>
      <c r="AN38" s="77" t="str">
        <f t="shared" si="22"/>
        <v>-</v>
      </c>
      <c r="AO38" s="77" t="str">
        <f t="shared" si="23"/>
        <v>-</v>
      </c>
      <c r="AP38" s="77" t="str">
        <f t="shared" si="24"/>
        <v>-</v>
      </c>
      <c r="AQ38" s="77" t="str">
        <f t="shared" si="25"/>
        <v>-</v>
      </c>
      <c r="AR38" s="78" t="str">
        <f t="shared" si="6"/>
        <v/>
      </c>
      <c r="AS38" s="74" t="str">
        <f t="shared" si="7"/>
        <v/>
      </c>
      <c r="AT38" s="72" t="str">
        <f t="shared" si="8"/>
        <v/>
      </c>
      <c r="AU38" s="71" t="str">
        <f t="shared" si="26"/>
        <v/>
      </c>
      <c r="AV38" s="74" t="str">
        <f t="shared" si="9"/>
        <v/>
      </c>
      <c r="AW38" s="72" t="str">
        <f t="shared" si="10"/>
        <v/>
      </c>
      <c r="AX38" s="71" t="str">
        <f t="shared" si="27"/>
        <v/>
      </c>
      <c r="AY38" s="74" t="str">
        <f t="shared" si="11"/>
        <v/>
      </c>
      <c r="BA38" s="99">
        <f t="shared" si="12"/>
        <v>0</v>
      </c>
      <c r="BB38" s="100" t="str" cm="1">
        <f t="array" ref="BB38">IFERROR(INDEX(_xlfn.UNIQUE(_xlfn._xlws.FILTER($AS$22:$AS$49,($AS$22:$AS$49&lt;&gt;"")*($AS$22:$AS$49&lt;&gt;"-"))),ROWS($BB$22:BB38)),"")</f>
        <v/>
      </c>
    </row>
    <row r="39" spans="2:54" s="1" customFormat="1" ht="61.5" customHeight="1" outlineLevel="1" x14ac:dyDescent="0.25">
      <c r="B39" s="38">
        <f t="shared" si="28"/>
        <v>18</v>
      </c>
      <c r="C39" s="210"/>
      <c r="D39" s="210"/>
      <c r="E39" s="210"/>
      <c r="F39" s="210"/>
      <c r="G39" s="39"/>
      <c r="H39" s="40"/>
      <c r="I39" s="41"/>
      <c r="J39" s="42" t="str">
        <f t="shared" si="13"/>
        <v/>
      </c>
      <c r="K39" s="90"/>
      <c r="L39" s="206" t="str">
        <f t="shared" si="3"/>
        <v>No Quote</v>
      </c>
      <c r="M39" s="207"/>
      <c r="N39" s="41"/>
      <c r="O39" s="42" t="str">
        <f t="shared" si="14"/>
        <v/>
      </c>
      <c r="P39" s="90"/>
      <c r="Q39" s="206" t="str">
        <f t="shared" si="4"/>
        <v>No Quote</v>
      </c>
      <c r="R39" s="207"/>
      <c r="S39" s="41"/>
      <c r="T39" s="42" t="str">
        <f t="shared" si="15"/>
        <v/>
      </c>
      <c r="U39" s="89"/>
      <c r="V39" s="206" t="str">
        <f t="shared" si="16"/>
        <v>No Quote</v>
      </c>
      <c r="W39" s="207"/>
      <c r="X39" s="41"/>
      <c r="Y39" s="42" t="str">
        <f t="shared" si="17"/>
        <v/>
      </c>
      <c r="Z39" s="89"/>
      <c r="AA39" s="206" t="str">
        <f t="shared" si="5"/>
        <v>No Quote</v>
      </c>
      <c r="AB39" s="207"/>
      <c r="AC39" s="41"/>
      <c r="AD39" s="42" t="str">
        <f t="shared" si="18"/>
        <v/>
      </c>
      <c r="AE39" s="89"/>
      <c r="AF39" s="208" t="str">
        <f t="shared" si="19"/>
        <v>No Quote</v>
      </c>
      <c r="AG39" s="209"/>
      <c r="AH39" s="87"/>
      <c r="AI39" s="93"/>
      <c r="AJ39" s="63" t="str">
        <f t="shared" si="20"/>
        <v/>
      </c>
      <c r="AK39" s="92"/>
      <c r="AL39" s="92"/>
      <c r="AM39" s="77" t="str">
        <f t="shared" si="21"/>
        <v>-</v>
      </c>
      <c r="AN39" s="77" t="str">
        <f t="shared" si="22"/>
        <v>-</v>
      </c>
      <c r="AO39" s="77" t="str">
        <f t="shared" si="23"/>
        <v>-</v>
      </c>
      <c r="AP39" s="77" t="str">
        <f t="shared" si="24"/>
        <v>-</v>
      </c>
      <c r="AQ39" s="77" t="str">
        <f t="shared" si="25"/>
        <v>-</v>
      </c>
      <c r="AR39" s="78" t="str">
        <f t="shared" si="6"/>
        <v/>
      </c>
      <c r="AS39" s="74" t="str">
        <f t="shared" si="7"/>
        <v/>
      </c>
      <c r="AT39" s="72" t="str">
        <f t="shared" si="8"/>
        <v/>
      </c>
      <c r="AU39" s="71" t="str">
        <f t="shared" si="26"/>
        <v/>
      </c>
      <c r="AV39" s="74" t="str">
        <f t="shared" si="9"/>
        <v/>
      </c>
      <c r="AW39" s="72" t="str">
        <f t="shared" si="10"/>
        <v/>
      </c>
      <c r="AX39" s="71" t="str">
        <f t="shared" si="27"/>
        <v/>
      </c>
      <c r="AY39" s="74" t="str">
        <f t="shared" si="11"/>
        <v/>
      </c>
      <c r="BA39" s="99">
        <f t="shared" si="12"/>
        <v>0</v>
      </c>
      <c r="BB39" s="100" t="str" cm="1">
        <f t="array" ref="BB39">IFERROR(INDEX(_xlfn.UNIQUE(_xlfn._xlws.FILTER($AS$22:$AS$49,($AS$22:$AS$49&lt;&gt;"")*($AS$22:$AS$49&lt;&gt;"-"))),ROWS($BB$22:BB39)),"")</f>
        <v/>
      </c>
    </row>
    <row r="40" spans="2:54" s="1" customFormat="1" ht="61.5" customHeight="1" outlineLevel="1" x14ac:dyDescent="0.25">
      <c r="B40" s="38">
        <f t="shared" si="28"/>
        <v>19</v>
      </c>
      <c r="C40" s="210"/>
      <c r="D40" s="210"/>
      <c r="E40" s="210"/>
      <c r="F40" s="210"/>
      <c r="G40" s="39"/>
      <c r="H40" s="40"/>
      <c r="I40" s="41"/>
      <c r="J40" s="42" t="str">
        <f t="shared" si="13"/>
        <v/>
      </c>
      <c r="K40" s="90"/>
      <c r="L40" s="206" t="str">
        <f t="shared" si="3"/>
        <v>No Quote</v>
      </c>
      <c r="M40" s="207"/>
      <c r="N40" s="41"/>
      <c r="O40" s="42" t="str">
        <f t="shared" si="14"/>
        <v/>
      </c>
      <c r="P40" s="90"/>
      <c r="Q40" s="206" t="str">
        <f t="shared" si="4"/>
        <v>No Quote</v>
      </c>
      <c r="R40" s="207"/>
      <c r="S40" s="41"/>
      <c r="T40" s="42" t="str">
        <f t="shared" si="15"/>
        <v/>
      </c>
      <c r="U40" s="89"/>
      <c r="V40" s="206" t="str">
        <f t="shared" si="16"/>
        <v>No Quote</v>
      </c>
      <c r="W40" s="207"/>
      <c r="X40" s="41"/>
      <c r="Y40" s="42" t="str">
        <f t="shared" si="17"/>
        <v/>
      </c>
      <c r="Z40" s="89"/>
      <c r="AA40" s="206" t="str">
        <f t="shared" si="5"/>
        <v>No Quote</v>
      </c>
      <c r="AB40" s="207"/>
      <c r="AC40" s="41"/>
      <c r="AD40" s="42" t="str">
        <f t="shared" si="18"/>
        <v/>
      </c>
      <c r="AE40" s="89"/>
      <c r="AF40" s="208" t="str">
        <f t="shared" si="19"/>
        <v>No Quote</v>
      </c>
      <c r="AG40" s="209"/>
      <c r="AH40" s="87"/>
      <c r="AI40" s="93"/>
      <c r="AJ40" s="63" t="str">
        <f t="shared" si="20"/>
        <v/>
      </c>
      <c r="AK40" s="92"/>
      <c r="AL40" s="92"/>
      <c r="AM40" s="77" t="str">
        <f t="shared" si="21"/>
        <v>-</v>
      </c>
      <c r="AN40" s="77" t="str">
        <f t="shared" si="22"/>
        <v>-</v>
      </c>
      <c r="AO40" s="77" t="str">
        <f t="shared" si="23"/>
        <v>-</v>
      </c>
      <c r="AP40" s="77" t="str">
        <f t="shared" si="24"/>
        <v>-</v>
      </c>
      <c r="AQ40" s="77" t="str">
        <f t="shared" si="25"/>
        <v>-</v>
      </c>
      <c r="AR40" s="78" t="str">
        <f t="shared" si="6"/>
        <v/>
      </c>
      <c r="AS40" s="74" t="str">
        <f t="shared" si="7"/>
        <v/>
      </c>
      <c r="AT40" s="72" t="str">
        <f t="shared" si="8"/>
        <v/>
      </c>
      <c r="AU40" s="71" t="str">
        <f t="shared" si="26"/>
        <v/>
      </c>
      <c r="AV40" s="74" t="str">
        <f t="shared" si="9"/>
        <v/>
      </c>
      <c r="AW40" s="72" t="str">
        <f t="shared" si="10"/>
        <v/>
      </c>
      <c r="AX40" s="71" t="str">
        <f t="shared" si="27"/>
        <v/>
      </c>
      <c r="AY40" s="74" t="str">
        <f t="shared" si="11"/>
        <v/>
      </c>
      <c r="BA40" s="99">
        <f t="shared" si="12"/>
        <v>0</v>
      </c>
      <c r="BB40" s="100" t="str" cm="1">
        <f t="array" ref="BB40">IFERROR(INDEX(_xlfn.UNIQUE(_xlfn._xlws.FILTER($AS$22:$AS$49,($AS$22:$AS$49&lt;&gt;"")*($AS$22:$AS$49&lt;&gt;"-"))),ROWS($BB$22:BB40)),"")</f>
        <v/>
      </c>
    </row>
    <row r="41" spans="2:54" s="1" customFormat="1" ht="61.5" customHeight="1" outlineLevel="1" x14ac:dyDescent="0.25">
      <c r="B41" s="38">
        <f t="shared" si="28"/>
        <v>20</v>
      </c>
      <c r="C41" s="210"/>
      <c r="D41" s="210"/>
      <c r="E41" s="210"/>
      <c r="F41" s="210"/>
      <c r="G41" s="39"/>
      <c r="H41" s="40"/>
      <c r="I41" s="41"/>
      <c r="J41" s="42" t="str">
        <f t="shared" si="13"/>
        <v/>
      </c>
      <c r="K41" s="90"/>
      <c r="L41" s="206" t="str">
        <f t="shared" si="3"/>
        <v>No Quote</v>
      </c>
      <c r="M41" s="207"/>
      <c r="N41" s="41"/>
      <c r="O41" s="42" t="str">
        <f t="shared" si="14"/>
        <v/>
      </c>
      <c r="P41" s="90"/>
      <c r="Q41" s="206" t="str">
        <f t="shared" si="4"/>
        <v>No Quote</v>
      </c>
      <c r="R41" s="207"/>
      <c r="S41" s="41"/>
      <c r="T41" s="42" t="str">
        <f t="shared" si="15"/>
        <v/>
      </c>
      <c r="U41" s="89"/>
      <c r="V41" s="206" t="str">
        <f t="shared" si="16"/>
        <v>No Quote</v>
      </c>
      <c r="W41" s="207"/>
      <c r="X41" s="41"/>
      <c r="Y41" s="42" t="str">
        <f t="shared" si="17"/>
        <v/>
      </c>
      <c r="Z41" s="89"/>
      <c r="AA41" s="206" t="str">
        <f t="shared" si="5"/>
        <v>No Quote</v>
      </c>
      <c r="AB41" s="207"/>
      <c r="AC41" s="41"/>
      <c r="AD41" s="42" t="str">
        <f t="shared" si="18"/>
        <v/>
      </c>
      <c r="AE41" s="89"/>
      <c r="AF41" s="208" t="str">
        <f t="shared" si="19"/>
        <v>No Quote</v>
      </c>
      <c r="AG41" s="209"/>
      <c r="AH41" s="87"/>
      <c r="AI41" s="93"/>
      <c r="AJ41" s="63" t="str">
        <f t="shared" si="20"/>
        <v/>
      </c>
      <c r="AK41" s="92"/>
      <c r="AL41" s="92"/>
      <c r="AM41" s="77" t="str">
        <f t="shared" si="21"/>
        <v>-</v>
      </c>
      <c r="AN41" s="77" t="str">
        <f t="shared" si="22"/>
        <v>-</v>
      </c>
      <c r="AO41" s="77" t="str">
        <f t="shared" si="23"/>
        <v>-</v>
      </c>
      <c r="AP41" s="77" t="str">
        <f t="shared" si="24"/>
        <v>-</v>
      </c>
      <c r="AQ41" s="77" t="str">
        <f t="shared" si="25"/>
        <v>-</v>
      </c>
      <c r="AR41" s="78" t="str">
        <f t="shared" si="6"/>
        <v/>
      </c>
      <c r="AS41" s="74" t="str">
        <f t="shared" si="7"/>
        <v/>
      </c>
      <c r="AT41" s="72" t="str">
        <f t="shared" si="8"/>
        <v/>
      </c>
      <c r="AU41" s="71" t="str">
        <f t="shared" si="26"/>
        <v/>
      </c>
      <c r="AV41" s="74" t="str">
        <f t="shared" si="9"/>
        <v/>
      </c>
      <c r="AW41" s="72" t="str">
        <f t="shared" si="10"/>
        <v/>
      </c>
      <c r="AX41" s="71" t="str">
        <f t="shared" si="27"/>
        <v/>
      </c>
      <c r="AY41" s="74" t="str">
        <f t="shared" si="11"/>
        <v/>
      </c>
      <c r="BA41" s="99">
        <f t="shared" si="12"/>
        <v>0</v>
      </c>
      <c r="BB41" s="100" t="str" cm="1">
        <f t="array" ref="BB41">IFERROR(INDEX(_xlfn.UNIQUE(_xlfn._xlws.FILTER($AS$22:$AS$49,($AS$22:$AS$49&lt;&gt;"")*($AS$22:$AS$49&lt;&gt;"-"))),ROWS($BB$22:BB41)),"")</f>
        <v/>
      </c>
    </row>
    <row r="42" spans="2:54" s="1" customFormat="1" ht="61.5" customHeight="1" outlineLevel="1" x14ac:dyDescent="0.25">
      <c r="B42" s="38">
        <f t="shared" si="28"/>
        <v>21</v>
      </c>
      <c r="C42" s="210"/>
      <c r="D42" s="210"/>
      <c r="E42" s="210"/>
      <c r="F42" s="210"/>
      <c r="G42" s="39"/>
      <c r="H42" s="40"/>
      <c r="I42" s="41"/>
      <c r="J42" s="42" t="str">
        <f t="shared" si="13"/>
        <v/>
      </c>
      <c r="K42" s="90"/>
      <c r="L42" s="206" t="str">
        <f t="shared" si="3"/>
        <v>No Quote</v>
      </c>
      <c r="M42" s="207"/>
      <c r="N42" s="41"/>
      <c r="O42" s="42" t="str">
        <f t="shared" si="14"/>
        <v/>
      </c>
      <c r="P42" s="90"/>
      <c r="Q42" s="206" t="str">
        <f t="shared" si="4"/>
        <v>No Quote</v>
      </c>
      <c r="R42" s="207"/>
      <c r="S42" s="41"/>
      <c r="T42" s="42" t="str">
        <f t="shared" si="15"/>
        <v/>
      </c>
      <c r="U42" s="89"/>
      <c r="V42" s="206" t="str">
        <f t="shared" si="16"/>
        <v>No Quote</v>
      </c>
      <c r="W42" s="207"/>
      <c r="X42" s="41"/>
      <c r="Y42" s="42" t="str">
        <f t="shared" si="17"/>
        <v/>
      </c>
      <c r="Z42" s="89"/>
      <c r="AA42" s="206" t="str">
        <f t="shared" si="5"/>
        <v>No Quote</v>
      </c>
      <c r="AB42" s="207"/>
      <c r="AC42" s="41"/>
      <c r="AD42" s="42" t="str">
        <f t="shared" si="18"/>
        <v/>
      </c>
      <c r="AE42" s="89"/>
      <c r="AF42" s="208" t="str">
        <f t="shared" si="19"/>
        <v>No Quote</v>
      </c>
      <c r="AG42" s="209"/>
      <c r="AH42" s="87"/>
      <c r="AI42" s="93"/>
      <c r="AJ42" s="63" t="str">
        <f t="shared" si="20"/>
        <v/>
      </c>
      <c r="AK42" s="92"/>
      <c r="AL42" s="92"/>
      <c r="AM42" s="77" t="str">
        <f t="shared" si="21"/>
        <v>-</v>
      </c>
      <c r="AN42" s="77" t="str">
        <f t="shared" si="22"/>
        <v>-</v>
      </c>
      <c r="AO42" s="77" t="str">
        <f t="shared" si="23"/>
        <v>-</v>
      </c>
      <c r="AP42" s="77" t="str">
        <f t="shared" si="24"/>
        <v>-</v>
      </c>
      <c r="AQ42" s="77" t="str">
        <f t="shared" si="25"/>
        <v>-</v>
      </c>
      <c r="AR42" s="78" t="str">
        <f t="shared" si="6"/>
        <v/>
      </c>
      <c r="AS42" s="74" t="str">
        <f t="shared" si="7"/>
        <v/>
      </c>
      <c r="AT42" s="72" t="str">
        <f t="shared" si="8"/>
        <v/>
      </c>
      <c r="AU42" s="71" t="str">
        <f t="shared" si="26"/>
        <v/>
      </c>
      <c r="AV42" s="74" t="str">
        <f t="shared" si="9"/>
        <v/>
      </c>
      <c r="AW42" s="72" t="str">
        <f t="shared" si="10"/>
        <v/>
      </c>
      <c r="AX42" s="71" t="str">
        <f t="shared" si="27"/>
        <v/>
      </c>
      <c r="AY42" s="74" t="str">
        <f t="shared" si="11"/>
        <v/>
      </c>
      <c r="BA42" s="99">
        <f t="shared" si="12"/>
        <v>0</v>
      </c>
      <c r="BB42" s="100" t="str" cm="1">
        <f t="array" ref="BB42">IFERROR(INDEX(_xlfn.UNIQUE(_xlfn._xlws.FILTER($AS$22:$AS$49,($AS$22:$AS$49&lt;&gt;"")*($AS$22:$AS$49&lt;&gt;"-"))),ROWS($BB$22:BB42)),"")</f>
        <v/>
      </c>
    </row>
    <row r="43" spans="2:54" s="1" customFormat="1" ht="61.5" customHeight="1" outlineLevel="1" x14ac:dyDescent="0.25">
      <c r="B43" s="38">
        <f t="shared" si="28"/>
        <v>22</v>
      </c>
      <c r="C43" s="210"/>
      <c r="D43" s="210"/>
      <c r="E43" s="210"/>
      <c r="F43" s="210"/>
      <c r="G43" s="39"/>
      <c r="H43" s="40"/>
      <c r="I43" s="41"/>
      <c r="J43" s="42" t="str">
        <f t="shared" si="13"/>
        <v/>
      </c>
      <c r="K43" s="90"/>
      <c r="L43" s="206" t="str">
        <f t="shared" si="3"/>
        <v>No Quote</v>
      </c>
      <c r="M43" s="207"/>
      <c r="N43" s="41"/>
      <c r="O43" s="42" t="str">
        <f t="shared" si="14"/>
        <v/>
      </c>
      <c r="P43" s="90"/>
      <c r="Q43" s="206" t="str">
        <f t="shared" si="4"/>
        <v>No Quote</v>
      </c>
      <c r="R43" s="207"/>
      <c r="S43" s="41"/>
      <c r="T43" s="42" t="str">
        <f t="shared" si="15"/>
        <v/>
      </c>
      <c r="U43" s="89"/>
      <c r="V43" s="206" t="str">
        <f t="shared" si="16"/>
        <v>No Quote</v>
      </c>
      <c r="W43" s="207"/>
      <c r="X43" s="41"/>
      <c r="Y43" s="42" t="str">
        <f t="shared" si="17"/>
        <v/>
      </c>
      <c r="Z43" s="89"/>
      <c r="AA43" s="206" t="str">
        <f t="shared" si="5"/>
        <v>No Quote</v>
      </c>
      <c r="AB43" s="207"/>
      <c r="AC43" s="41"/>
      <c r="AD43" s="42" t="str">
        <f t="shared" si="18"/>
        <v/>
      </c>
      <c r="AE43" s="89"/>
      <c r="AF43" s="208" t="str">
        <f t="shared" si="19"/>
        <v>No Quote</v>
      </c>
      <c r="AG43" s="209"/>
      <c r="AH43" s="87"/>
      <c r="AI43" s="93"/>
      <c r="AJ43" s="63" t="str">
        <f t="shared" si="20"/>
        <v/>
      </c>
      <c r="AK43" s="92"/>
      <c r="AL43" s="92"/>
      <c r="AM43" s="77" t="str">
        <f t="shared" si="21"/>
        <v>-</v>
      </c>
      <c r="AN43" s="77" t="str">
        <f t="shared" si="22"/>
        <v>-</v>
      </c>
      <c r="AO43" s="77" t="str">
        <f t="shared" si="23"/>
        <v>-</v>
      </c>
      <c r="AP43" s="77" t="str">
        <f t="shared" si="24"/>
        <v>-</v>
      </c>
      <c r="AQ43" s="77" t="str">
        <f t="shared" si="25"/>
        <v>-</v>
      </c>
      <c r="AR43" s="78" t="str">
        <f t="shared" si="6"/>
        <v/>
      </c>
      <c r="AS43" s="74" t="str">
        <f t="shared" si="7"/>
        <v/>
      </c>
      <c r="AT43" s="72" t="str">
        <f t="shared" si="8"/>
        <v/>
      </c>
      <c r="AU43" s="71" t="str">
        <f t="shared" si="26"/>
        <v/>
      </c>
      <c r="AV43" s="74" t="str">
        <f t="shared" si="9"/>
        <v/>
      </c>
      <c r="AW43" s="72" t="str">
        <f t="shared" si="10"/>
        <v/>
      </c>
      <c r="AX43" s="71" t="str">
        <f t="shared" si="27"/>
        <v/>
      </c>
      <c r="AY43" s="74" t="str">
        <f t="shared" si="11"/>
        <v/>
      </c>
      <c r="BA43" s="99">
        <f t="shared" si="12"/>
        <v>0</v>
      </c>
      <c r="BB43" s="100" t="str" cm="1">
        <f t="array" ref="BB43">IFERROR(INDEX(_xlfn.UNIQUE(_xlfn._xlws.FILTER($AS$22:$AS$49,($AS$22:$AS$49&lt;&gt;"")*($AS$22:$AS$49&lt;&gt;"-"))),ROWS($BB$22:BB43)),"")</f>
        <v/>
      </c>
    </row>
    <row r="44" spans="2:54" s="1" customFormat="1" ht="61.5" customHeight="1" outlineLevel="1" x14ac:dyDescent="0.25">
      <c r="B44" s="38">
        <f t="shared" si="28"/>
        <v>23</v>
      </c>
      <c r="C44" s="210"/>
      <c r="D44" s="210"/>
      <c r="E44" s="210"/>
      <c r="F44" s="210"/>
      <c r="G44" s="39"/>
      <c r="H44" s="40"/>
      <c r="I44" s="41"/>
      <c r="J44" s="42" t="str">
        <f t="shared" si="13"/>
        <v/>
      </c>
      <c r="K44" s="90"/>
      <c r="L44" s="206" t="str">
        <f t="shared" si="3"/>
        <v>No Quote</v>
      </c>
      <c r="M44" s="207"/>
      <c r="N44" s="41"/>
      <c r="O44" s="42" t="str">
        <f t="shared" si="14"/>
        <v/>
      </c>
      <c r="P44" s="90"/>
      <c r="Q44" s="206" t="str">
        <f t="shared" si="4"/>
        <v>No Quote</v>
      </c>
      <c r="R44" s="207"/>
      <c r="S44" s="41"/>
      <c r="T44" s="42" t="str">
        <f t="shared" si="15"/>
        <v/>
      </c>
      <c r="U44" s="89"/>
      <c r="V44" s="206" t="str">
        <f t="shared" si="16"/>
        <v>No Quote</v>
      </c>
      <c r="W44" s="207"/>
      <c r="X44" s="41"/>
      <c r="Y44" s="42" t="str">
        <f t="shared" si="17"/>
        <v/>
      </c>
      <c r="Z44" s="89"/>
      <c r="AA44" s="206" t="str">
        <f t="shared" si="5"/>
        <v>No Quote</v>
      </c>
      <c r="AB44" s="207"/>
      <c r="AC44" s="41"/>
      <c r="AD44" s="42" t="str">
        <f t="shared" si="18"/>
        <v/>
      </c>
      <c r="AE44" s="89"/>
      <c r="AF44" s="208" t="str">
        <f t="shared" si="19"/>
        <v>No Quote</v>
      </c>
      <c r="AG44" s="209"/>
      <c r="AH44" s="87"/>
      <c r="AI44" s="93"/>
      <c r="AJ44" s="63" t="str">
        <f t="shared" si="20"/>
        <v/>
      </c>
      <c r="AK44" s="92"/>
      <c r="AL44" s="92"/>
      <c r="AM44" s="77" t="str">
        <f t="shared" si="21"/>
        <v>-</v>
      </c>
      <c r="AN44" s="77" t="str">
        <f t="shared" si="22"/>
        <v>-</v>
      </c>
      <c r="AO44" s="77" t="str">
        <f t="shared" si="23"/>
        <v>-</v>
      </c>
      <c r="AP44" s="77" t="str">
        <f t="shared" si="24"/>
        <v>-</v>
      </c>
      <c r="AQ44" s="77" t="str">
        <f t="shared" si="25"/>
        <v>-</v>
      </c>
      <c r="AR44" s="78" t="str">
        <f t="shared" si="6"/>
        <v/>
      </c>
      <c r="AS44" s="74" t="str">
        <f t="shared" si="7"/>
        <v/>
      </c>
      <c r="AT44" s="72" t="str">
        <f t="shared" si="8"/>
        <v/>
      </c>
      <c r="AU44" s="71" t="str">
        <f t="shared" si="26"/>
        <v/>
      </c>
      <c r="AV44" s="74" t="str">
        <f t="shared" si="9"/>
        <v/>
      </c>
      <c r="AW44" s="72" t="str">
        <f t="shared" si="10"/>
        <v/>
      </c>
      <c r="AX44" s="71" t="str">
        <f t="shared" si="27"/>
        <v/>
      </c>
      <c r="AY44" s="74" t="str">
        <f t="shared" si="11"/>
        <v/>
      </c>
      <c r="BA44" s="99">
        <f t="shared" si="12"/>
        <v>0</v>
      </c>
      <c r="BB44" s="100" t="str" cm="1">
        <f t="array" ref="BB44">IFERROR(INDEX(_xlfn.UNIQUE(_xlfn._xlws.FILTER($AS$22:$AS$49,($AS$22:$AS$49&lt;&gt;"")*($AS$22:$AS$49&lt;&gt;"-"))),ROWS($BB$22:BB44)),"")</f>
        <v/>
      </c>
    </row>
    <row r="45" spans="2:54" s="1" customFormat="1" ht="61.5" customHeight="1" outlineLevel="1" x14ac:dyDescent="0.25">
      <c r="B45" s="38">
        <f t="shared" si="28"/>
        <v>24</v>
      </c>
      <c r="C45" s="210"/>
      <c r="D45" s="210"/>
      <c r="E45" s="210"/>
      <c r="F45" s="210"/>
      <c r="G45" s="39"/>
      <c r="H45" s="40"/>
      <c r="I45" s="41"/>
      <c r="J45" s="42" t="str">
        <f t="shared" si="13"/>
        <v/>
      </c>
      <c r="K45" s="90"/>
      <c r="L45" s="206" t="str">
        <f t="shared" si="3"/>
        <v>No Quote</v>
      </c>
      <c r="M45" s="207"/>
      <c r="N45" s="41"/>
      <c r="O45" s="42" t="str">
        <f t="shared" si="14"/>
        <v/>
      </c>
      <c r="P45" s="90"/>
      <c r="Q45" s="206" t="str">
        <f t="shared" si="4"/>
        <v>No Quote</v>
      </c>
      <c r="R45" s="207"/>
      <c r="S45" s="41"/>
      <c r="T45" s="42" t="str">
        <f t="shared" si="15"/>
        <v/>
      </c>
      <c r="U45" s="89"/>
      <c r="V45" s="206" t="str">
        <f t="shared" si="16"/>
        <v>No Quote</v>
      </c>
      <c r="W45" s="207"/>
      <c r="X45" s="41"/>
      <c r="Y45" s="42" t="str">
        <f t="shared" si="17"/>
        <v/>
      </c>
      <c r="Z45" s="89"/>
      <c r="AA45" s="206" t="str">
        <f t="shared" si="5"/>
        <v>No Quote</v>
      </c>
      <c r="AB45" s="207"/>
      <c r="AC45" s="41"/>
      <c r="AD45" s="42" t="str">
        <f t="shared" si="18"/>
        <v/>
      </c>
      <c r="AE45" s="89"/>
      <c r="AF45" s="208" t="str">
        <f t="shared" si="19"/>
        <v>No Quote</v>
      </c>
      <c r="AG45" s="209"/>
      <c r="AH45" s="87"/>
      <c r="AI45" s="93"/>
      <c r="AJ45" s="63" t="str">
        <f t="shared" si="20"/>
        <v/>
      </c>
      <c r="AK45" s="92"/>
      <c r="AL45" s="92"/>
      <c r="AM45" s="77" t="str">
        <f t="shared" si="21"/>
        <v>-</v>
      </c>
      <c r="AN45" s="77" t="str">
        <f t="shared" si="22"/>
        <v>-</v>
      </c>
      <c r="AO45" s="77" t="str">
        <f t="shared" si="23"/>
        <v>-</v>
      </c>
      <c r="AP45" s="77" t="str">
        <f t="shared" si="24"/>
        <v>-</v>
      </c>
      <c r="AQ45" s="77" t="str">
        <f t="shared" si="25"/>
        <v>-</v>
      </c>
      <c r="AR45" s="78" t="str">
        <f t="shared" si="6"/>
        <v/>
      </c>
      <c r="AS45" s="74" t="str">
        <f t="shared" si="7"/>
        <v/>
      </c>
      <c r="AT45" s="72" t="str">
        <f t="shared" si="8"/>
        <v/>
      </c>
      <c r="AU45" s="71" t="str">
        <f t="shared" si="26"/>
        <v/>
      </c>
      <c r="AV45" s="74" t="str">
        <f t="shared" si="9"/>
        <v/>
      </c>
      <c r="AW45" s="72" t="str">
        <f t="shared" si="10"/>
        <v/>
      </c>
      <c r="AX45" s="71" t="str">
        <f t="shared" si="27"/>
        <v/>
      </c>
      <c r="AY45" s="74" t="str">
        <f t="shared" si="11"/>
        <v/>
      </c>
      <c r="BA45" s="99">
        <f t="shared" si="12"/>
        <v>0</v>
      </c>
      <c r="BB45" s="100" t="str" cm="1">
        <f t="array" ref="BB45">IFERROR(INDEX(_xlfn.UNIQUE(_xlfn._xlws.FILTER($AS$22:$AS$49,($AS$22:$AS$49&lt;&gt;"")*($AS$22:$AS$49&lt;&gt;"-"))),ROWS($BB$22:BB45)),"")</f>
        <v/>
      </c>
    </row>
    <row r="46" spans="2:54" s="1" customFormat="1" ht="61.5" customHeight="1" outlineLevel="1" x14ac:dyDescent="0.25">
      <c r="B46" s="38">
        <f t="shared" si="28"/>
        <v>25</v>
      </c>
      <c r="C46" s="210"/>
      <c r="D46" s="210"/>
      <c r="E46" s="210"/>
      <c r="F46" s="210"/>
      <c r="G46" s="39"/>
      <c r="H46" s="40"/>
      <c r="I46" s="41"/>
      <c r="J46" s="42" t="str">
        <f t="shared" si="13"/>
        <v/>
      </c>
      <c r="K46" s="90"/>
      <c r="L46" s="206" t="str">
        <f t="shared" si="3"/>
        <v>No Quote</v>
      </c>
      <c r="M46" s="207"/>
      <c r="N46" s="41"/>
      <c r="O46" s="42" t="str">
        <f t="shared" si="14"/>
        <v/>
      </c>
      <c r="P46" s="90"/>
      <c r="Q46" s="206" t="str">
        <f t="shared" si="4"/>
        <v>No Quote</v>
      </c>
      <c r="R46" s="207"/>
      <c r="S46" s="41"/>
      <c r="T46" s="42" t="str">
        <f t="shared" si="15"/>
        <v/>
      </c>
      <c r="U46" s="89"/>
      <c r="V46" s="206" t="str">
        <f t="shared" si="16"/>
        <v>No Quote</v>
      </c>
      <c r="W46" s="207"/>
      <c r="X46" s="41"/>
      <c r="Y46" s="42" t="str">
        <f t="shared" si="17"/>
        <v/>
      </c>
      <c r="Z46" s="89"/>
      <c r="AA46" s="206" t="str">
        <f t="shared" si="5"/>
        <v>No Quote</v>
      </c>
      <c r="AB46" s="207"/>
      <c r="AC46" s="41"/>
      <c r="AD46" s="42" t="str">
        <f t="shared" si="18"/>
        <v/>
      </c>
      <c r="AE46" s="89"/>
      <c r="AF46" s="208" t="str">
        <f t="shared" si="19"/>
        <v>No Quote</v>
      </c>
      <c r="AG46" s="209"/>
      <c r="AH46" s="87"/>
      <c r="AI46" s="93"/>
      <c r="AJ46" s="63" t="str">
        <f t="shared" si="20"/>
        <v/>
      </c>
      <c r="AK46" s="92"/>
      <c r="AL46" s="92"/>
      <c r="AM46" s="77" t="str">
        <f t="shared" si="21"/>
        <v>-</v>
      </c>
      <c r="AN46" s="77" t="str">
        <f t="shared" si="22"/>
        <v>-</v>
      </c>
      <c r="AO46" s="77" t="str">
        <f t="shared" si="23"/>
        <v>-</v>
      </c>
      <c r="AP46" s="77" t="str">
        <f t="shared" si="24"/>
        <v>-</v>
      </c>
      <c r="AQ46" s="77" t="str">
        <f t="shared" si="25"/>
        <v>-</v>
      </c>
      <c r="AR46" s="78" t="str">
        <f t="shared" si="6"/>
        <v/>
      </c>
      <c r="AS46" s="74" t="str">
        <f t="shared" si="7"/>
        <v/>
      </c>
      <c r="AT46" s="72" t="str">
        <f t="shared" si="8"/>
        <v/>
      </c>
      <c r="AU46" s="71" t="str">
        <f t="shared" si="26"/>
        <v/>
      </c>
      <c r="AV46" s="74" t="str">
        <f t="shared" si="9"/>
        <v/>
      </c>
      <c r="AW46" s="72" t="str">
        <f t="shared" si="10"/>
        <v/>
      </c>
      <c r="AX46" s="71" t="str">
        <f t="shared" si="27"/>
        <v/>
      </c>
      <c r="AY46" s="74" t="str">
        <f t="shared" si="11"/>
        <v/>
      </c>
      <c r="BA46" s="99">
        <f t="shared" si="12"/>
        <v>0</v>
      </c>
      <c r="BB46" s="100" t="str" cm="1">
        <f t="array" ref="BB46">IFERROR(INDEX(_xlfn.UNIQUE(_xlfn._xlws.FILTER($AS$22:$AS$49,($AS$22:$AS$49&lt;&gt;"")*($AS$22:$AS$49&lt;&gt;"-"))),ROWS($BB$22:BB46)),"")</f>
        <v/>
      </c>
    </row>
    <row r="47" spans="2:54" s="1" customFormat="1" ht="61.5" customHeight="1" outlineLevel="1" x14ac:dyDescent="0.25">
      <c r="B47" s="38">
        <f t="shared" si="28"/>
        <v>26</v>
      </c>
      <c r="C47" s="210"/>
      <c r="D47" s="210"/>
      <c r="E47" s="210"/>
      <c r="F47" s="210"/>
      <c r="G47" s="39"/>
      <c r="H47" s="40"/>
      <c r="I47" s="41"/>
      <c r="J47" s="42" t="str">
        <f t="shared" si="13"/>
        <v/>
      </c>
      <c r="K47" s="90"/>
      <c r="L47" s="206" t="str">
        <f t="shared" si="3"/>
        <v>No Quote</v>
      </c>
      <c r="M47" s="207"/>
      <c r="N47" s="41"/>
      <c r="O47" s="42" t="str">
        <f t="shared" si="14"/>
        <v/>
      </c>
      <c r="P47" s="90"/>
      <c r="Q47" s="206" t="str">
        <f t="shared" si="4"/>
        <v>No Quote</v>
      </c>
      <c r="R47" s="207"/>
      <c r="S47" s="41"/>
      <c r="T47" s="42" t="str">
        <f t="shared" si="15"/>
        <v/>
      </c>
      <c r="U47" s="89"/>
      <c r="V47" s="206" t="str">
        <f t="shared" si="16"/>
        <v>No Quote</v>
      </c>
      <c r="W47" s="207"/>
      <c r="X47" s="41"/>
      <c r="Y47" s="42" t="str">
        <f t="shared" si="17"/>
        <v/>
      </c>
      <c r="Z47" s="89"/>
      <c r="AA47" s="206" t="str">
        <f t="shared" si="5"/>
        <v>No Quote</v>
      </c>
      <c r="AB47" s="207"/>
      <c r="AC47" s="41"/>
      <c r="AD47" s="42" t="str">
        <f t="shared" si="18"/>
        <v/>
      </c>
      <c r="AE47" s="89"/>
      <c r="AF47" s="208" t="str">
        <f t="shared" si="19"/>
        <v>No Quote</v>
      </c>
      <c r="AG47" s="209"/>
      <c r="AH47" s="87"/>
      <c r="AI47" s="93"/>
      <c r="AJ47" s="63" t="str">
        <f t="shared" si="20"/>
        <v/>
      </c>
      <c r="AK47" s="92"/>
      <c r="AL47" s="92"/>
      <c r="AM47" s="77" t="str">
        <f t="shared" si="21"/>
        <v>-</v>
      </c>
      <c r="AN47" s="77" t="str">
        <f t="shared" si="22"/>
        <v>-</v>
      </c>
      <c r="AO47" s="77" t="str">
        <f t="shared" si="23"/>
        <v>-</v>
      </c>
      <c r="AP47" s="77" t="str">
        <f t="shared" si="24"/>
        <v>-</v>
      </c>
      <c r="AQ47" s="77" t="str">
        <f t="shared" si="25"/>
        <v>-</v>
      </c>
      <c r="AR47" s="78" t="str">
        <f t="shared" si="6"/>
        <v/>
      </c>
      <c r="AS47" s="74" t="str">
        <f t="shared" si="7"/>
        <v/>
      </c>
      <c r="AT47" s="72" t="str">
        <f t="shared" si="8"/>
        <v/>
      </c>
      <c r="AU47" s="71" t="str">
        <f t="shared" si="26"/>
        <v/>
      </c>
      <c r="AV47" s="74" t="str">
        <f t="shared" si="9"/>
        <v/>
      </c>
      <c r="AW47" s="72" t="str">
        <f t="shared" si="10"/>
        <v/>
      </c>
      <c r="AX47" s="71" t="str">
        <f t="shared" si="27"/>
        <v/>
      </c>
      <c r="AY47" s="74" t="str">
        <f t="shared" si="11"/>
        <v/>
      </c>
      <c r="BA47" s="99">
        <f t="shared" si="12"/>
        <v>0</v>
      </c>
      <c r="BB47" s="100" t="str" cm="1">
        <f t="array" ref="BB47">IFERROR(INDEX(_xlfn.UNIQUE(_xlfn._xlws.FILTER($AS$22:$AS$49,($AS$22:$AS$49&lt;&gt;"")*($AS$22:$AS$49&lt;&gt;"-"))),ROWS($BB$22:BB47)),"")</f>
        <v/>
      </c>
    </row>
    <row r="48" spans="2:54" s="1" customFormat="1" ht="61.5" customHeight="1" outlineLevel="1" x14ac:dyDescent="0.25">
      <c r="B48" s="38">
        <f t="shared" si="28"/>
        <v>27</v>
      </c>
      <c r="C48" s="210"/>
      <c r="D48" s="210"/>
      <c r="E48" s="210"/>
      <c r="F48" s="210"/>
      <c r="G48" s="39"/>
      <c r="H48" s="40"/>
      <c r="I48" s="41"/>
      <c r="J48" s="42" t="str">
        <f t="shared" si="13"/>
        <v/>
      </c>
      <c r="K48" s="90"/>
      <c r="L48" s="206" t="str">
        <f t="shared" si="3"/>
        <v>No Quote</v>
      </c>
      <c r="M48" s="207"/>
      <c r="N48" s="41"/>
      <c r="O48" s="42" t="str">
        <f t="shared" si="14"/>
        <v/>
      </c>
      <c r="P48" s="90"/>
      <c r="Q48" s="206" t="str">
        <f t="shared" si="4"/>
        <v>No Quote</v>
      </c>
      <c r="R48" s="207"/>
      <c r="S48" s="41"/>
      <c r="T48" s="42" t="str">
        <f t="shared" si="15"/>
        <v/>
      </c>
      <c r="U48" s="89"/>
      <c r="V48" s="206" t="str">
        <f t="shared" si="16"/>
        <v>No Quote</v>
      </c>
      <c r="W48" s="207"/>
      <c r="X48" s="41"/>
      <c r="Y48" s="42" t="str">
        <f t="shared" si="17"/>
        <v/>
      </c>
      <c r="Z48" s="89"/>
      <c r="AA48" s="206" t="str">
        <f t="shared" si="5"/>
        <v>No Quote</v>
      </c>
      <c r="AB48" s="207"/>
      <c r="AC48" s="41"/>
      <c r="AD48" s="42" t="str">
        <f t="shared" si="18"/>
        <v/>
      </c>
      <c r="AE48" s="89"/>
      <c r="AF48" s="208" t="str">
        <f t="shared" si="19"/>
        <v>No Quote</v>
      </c>
      <c r="AG48" s="209"/>
      <c r="AH48" s="87"/>
      <c r="AI48" s="93"/>
      <c r="AJ48" s="63" t="str">
        <f t="shared" si="20"/>
        <v/>
      </c>
      <c r="AK48" s="92"/>
      <c r="AL48" s="92"/>
      <c r="AM48" s="77" t="str">
        <f t="shared" si="21"/>
        <v>-</v>
      </c>
      <c r="AN48" s="77" t="str">
        <f t="shared" si="22"/>
        <v>-</v>
      </c>
      <c r="AO48" s="77" t="str">
        <f t="shared" si="23"/>
        <v>-</v>
      </c>
      <c r="AP48" s="77" t="str">
        <f t="shared" si="24"/>
        <v>-</v>
      </c>
      <c r="AQ48" s="77" t="str">
        <f t="shared" si="25"/>
        <v>-</v>
      </c>
      <c r="AR48" s="78" t="str">
        <f t="shared" si="6"/>
        <v/>
      </c>
      <c r="AS48" s="74" t="str">
        <f t="shared" si="7"/>
        <v/>
      </c>
      <c r="AT48" s="72" t="str">
        <f t="shared" si="8"/>
        <v/>
      </c>
      <c r="AU48" s="71" t="str">
        <f t="shared" si="26"/>
        <v/>
      </c>
      <c r="AV48" s="74" t="str">
        <f t="shared" si="9"/>
        <v/>
      </c>
      <c r="AW48" s="72" t="str">
        <f t="shared" si="10"/>
        <v/>
      </c>
      <c r="AX48" s="71" t="str">
        <f t="shared" si="27"/>
        <v/>
      </c>
      <c r="AY48" s="74" t="str">
        <f t="shared" si="11"/>
        <v/>
      </c>
      <c r="BA48" s="99">
        <f t="shared" si="12"/>
        <v>0</v>
      </c>
      <c r="BB48" s="100" t="str" cm="1">
        <f t="array" ref="BB48">IFERROR(INDEX(_xlfn.UNIQUE(_xlfn._xlws.FILTER($AS$22:$AS$49,($AS$22:$AS$49&lt;&gt;"")*($AS$22:$AS$49&lt;&gt;"-"))),ROWS($BB$22:BB48)),"")</f>
        <v/>
      </c>
    </row>
    <row r="49" spans="2:54" s="1" customFormat="1" ht="61.5" customHeight="1" outlineLevel="1" x14ac:dyDescent="0.25">
      <c r="B49" s="38">
        <f t="shared" si="28"/>
        <v>28</v>
      </c>
      <c r="C49" s="210"/>
      <c r="D49" s="210"/>
      <c r="E49" s="210"/>
      <c r="F49" s="210"/>
      <c r="G49" s="39"/>
      <c r="H49" s="40"/>
      <c r="I49" s="41"/>
      <c r="J49" s="42" t="str">
        <f t="shared" si="13"/>
        <v/>
      </c>
      <c r="K49" s="90"/>
      <c r="L49" s="206" t="str">
        <f t="shared" si="3"/>
        <v>No Quote</v>
      </c>
      <c r="M49" s="207"/>
      <c r="N49" s="41"/>
      <c r="O49" s="42" t="str">
        <f t="shared" si="14"/>
        <v/>
      </c>
      <c r="P49" s="90"/>
      <c r="Q49" s="206" t="str">
        <f t="shared" si="4"/>
        <v>No Quote</v>
      </c>
      <c r="R49" s="207"/>
      <c r="S49" s="41"/>
      <c r="T49" s="42" t="str">
        <f t="shared" si="15"/>
        <v/>
      </c>
      <c r="U49" s="89"/>
      <c r="V49" s="206" t="str">
        <f t="shared" si="16"/>
        <v>No Quote</v>
      </c>
      <c r="W49" s="207"/>
      <c r="X49" s="41"/>
      <c r="Y49" s="42" t="str">
        <f t="shared" si="17"/>
        <v/>
      </c>
      <c r="Z49" s="89"/>
      <c r="AA49" s="206" t="str">
        <f t="shared" si="5"/>
        <v>No Quote</v>
      </c>
      <c r="AB49" s="207"/>
      <c r="AC49" s="41"/>
      <c r="AD49" s="42" t="str">
        <f t="shared" si="18"/>
        <v/>
      </c>
      <c r="AE49" s="89"/>
      <c r="AF49" s="208" t="str">
        <f t="shared" si="19"/>
        <v>No Quote</v>
      </c>
      <c r="AG49" s="209"/>
      <c r="AH49" s="87"/>
      <c r="AI49" s="93"/>
      <c r="AJ49" s="63" t="str">
        <f t="shared" si="20"/>
        <v/>
      </c>
      <c r="AK49" s="92"/>
      <c r="AL49" s="92"/>
      <c r="AM49" s="77" t="str">
        <f t="shared" si="21"/>
        <v>-</v>
      </c>
      <c r="AN49" s="77" t="str">
        <f t="shared" si="22"/>
        <v>-</v>
      </c>
      <c r="AO49" s="77" t="str">
        <f t="shared" si="23"/>
        <v>-</v>
      </c>
      <c r="AP49" s="77" t="str">
        <f t="shared" si="24"/>
        <v>-</v>
      </c>
      <c r="AQ49" s="77" t="str">
        <f t="shared" si="25"/>
        <v>-</v>
      </c>
      <c r="AR49" s="78" t="str">
        <f t="shared" si="6"/>
        <v/>
      </c>
      <c r="AS49" s="74" t="str">
        <f t="shared" si="7"/>
        <v/>
      </c>
      <c r="AT49" s="72" t="str">
        <f t="shared" si="8"/>
        <v/>
      </c>
      <c r="AU49" s="71" t="str">
        <f t="shared" si="26"/>
        <v/>
      </c>
      <c r="AV49" s="74" t="str">
        <f t="shared" si="9"/>
        <v/>
      </c>
      <c r="AW49" s="72" t="str">
        <f t="shared" si="10"/>
        <v/>
      </c>
      <c r="AX49" s="71" t="str">
        <f t="shared" si="27"/>
        <v/>
      </c>
      <c r="AY49" s="74" t="str">
        <f t="shared" si="11"/>
        <v/>
      </c>
      <c r="BA49" s="99">
        <f t="shared" si="12"/>
        <v>0</v>
      </c>
      <c r="BB49" s="100" t="str" cm="1">
        <f t="array" ref="BB49">IFERROR(INDEX(_xlfn.UNIQUE(_xlfn._xlws.FILTER($AS$22:$AS$49,($AS$22:$AS$49&lt;&gt;"")*($AS$22:$AS$49&lt;&gt;"-"))),ROWS($BB$22:BB49)),"")</f>
        <v/>
      </c>
    </row>
    <row r="50" spans="2:54" s="44" customFormat="1" ht="35.1" customHeight="1" x14ac:dyDescent="0.25">
      <c r="B50" s="222" t="s">
        <v>17</v>
      </c>
      <c r="C50" s="223"/>
      <c r="D50" s="223"/>
      <c r="E50" s="223"/>
      <c r="F50" s="223"/>
      <c r="G50" s="226" t="s">
        <v>35</v>
      </c>
      <c r="H50" s="183"/>
      <c r="I50" s="211">
        <f>SUMIF(K22:K49,"&lt;&gt;x",J22:J49)</f>
        <v>0</v>
      </c>
      <c r="J50" s="212"/>
      <c r="K50" s="212"/>
      <c r="L50" s="212"/>
      <c r="M50" s="213"/>
      <c r="N50" s="211">
        <f>SUMIF(P22:P49,"&lt;&gt;x",O22:O49)</f>
        <v>0</v>
      </c>
      <c r="O50" s="212"/>
      <c r="P50" s="212"/>
      <c r="Q50" s="212"/>
      <c r="R50" s="213"/>
      <c r="S50" s="211">
        <f>SUMIF(U22:U49,"&lt;&gt;x",T22:T49)</f>
        <v>0</v>
      </c>
      <c r="T50" s="212"/>
      <c r="U50" s="212"/>
      <c r="V50" s="212"/>
      <c r="W50" s="213"/>
      <c r="X50" s="211">
        <f>SUMIF(Z22:Z49,"&lt;&gt;x",Y22:Y49)</f>
        <v>0</v>
      </c>
      <c r="Y50" s="212"/>
      <c r="Z50" s="212"/>
      <c r="AA50" s="212"/>
      <c r="AB50" s="213"/>
      <c r="AC50" s="211">
        <f>SUMIF(AE22:AE49,"&lt;&gt;x",AD22:AD49)</f>
        <v>0</v>
      </c>
      <c r="AD50" s="212"/>
      <c r="AE50" s="212"/>
      <c r="AF50" s="212"/>
      <c r="AG50" s="214"/>
      <c r="AM50" s="110">
        <f>SUM(AM22:AM49)</f>
        <v>0</v>
      </c>
      <c r="AN50" s="110">
        <f>SUM(AN22:AN49)</f>
        <v>0</v>
      </c>
      <c r="AO50" s="110">
        <f>SUM(AO22:AO49)</f>
        <v>0</v>
      </c>
      <c r="AP50" s="110">
        <f>SUM(AP22:AP49)</f>
        <v>0</v>
      </c>
      <c r="AQ50" s="110">
        <f>SUM(AQ22:AQ49)</f>
        <v>0</v>
      </c>
      <c r="AR50" s="78" t="str">
        <f t="shared" si="6"/>
        <v/>
      </c>
      <c r="AS50" s="74" t="str">
        <f t="shared" ref="AS50" si="29">IF(AR50=AM50,$AM$19,IF(AR50=AN50,$AN$19,IF(AR50=AO50,$AO$19,IF(AR50=AP50,$AP$19,IF(AR50=AQ50,$AQ$19,"")))))</f>
        <v/>
      </c>
      <c r="AT50" s="72">
        <f t="shared" si="8"/>
        <v>0</v>
      </c>
      <c r="AU50" s="71" t="str">
        <f t="shared" si="26"/>
        <v/>
      </c>
      <c r="AV50" s="74">
        <f t="shared" ref="AV50" si="30">IFERROR(IF(AT50="","",IF(AT50=AM50,$AM$19,IF(AT50=AN50,$AN$19,IF(AT50=AO50,$AO$19,IF(AT50=AP50,$AP$19,IF(AT50=AQ50,$AQ$19,"")))))),"")</f>
        <v>0</v>
      </c>
      <c r="AW50" s="72">
        <f t="shared" si="10"/>
        <v>0</v>
      </c>
      <c r="AX50" s="71" t="str">
        <f t="shared" ref="AX50" si="31">IFERROR(IF((AW50-$AR50)/$AR50&lt;0%,"",(AW50-$AR50)/$AR50),"")</f>
        <v/>
      </c>
      <c r="AY50" s="74">
        <f t="shared" ref="AY50" si="32">IFERROR(IF(AW50="","",IF(AW50=AM50,$AM$19,IF(AW50=AN50,$AN$19,IF(AW50=AO50,$AO$19,IF(AW50=AP50,$AP$19,IF(AW50=AQ50,$AQ$19,"")))))),"")</f>
        <v>0</v>
      </c>
    </row>
    <row r="51" spans="2:54" s="44" customFormat="1" ht="35.1" customHeight="1" outlineLevel="1" x14ac:dyDescent="0.25">
      <c r="B51" s="224"/>
      <c r="C51" s="225"/>
      <c r="D51" s="225"/>
      <c r="E51" s="225"/>
      <c r="F51" s="225"/>
      <c r="G51" s="226" t="s">
        <v>36</v>
      </c>
      <c r="H51" s="183"/>
      <c r="I51" s="211">
        <f>I50+(I50*11%)</f>
        <v>0</v>
      </c>
      <c r="J51" s="212"/>
      <c r="K51" s="212"/>
      <c r="L51" s="212"/>
      <c r="M51" s="213"/>
      <c r="N51" s="211">
        <f>N50+(N50*11%)</f>
        <v>0</v>
      </c>
      <c r="O51" s="212"/>
      <c r="P51" s="212"/>
      <c r="Q51" s="212"/>
      <c r="R51" s="213"/>
      <c r="S51" s="211">
        <f>S50+(S50*11%)</f>
        <v>0</v>
      </c>
      <c r="T51" s="212"/>
      <c r="U51" s="212"/>
      <c r="V51" s="212"/>
      <c r="W51" s="213"/>
      <c r="X51" s="211">
        <f>X50+(X50*11%)</f>
        <v>0</v>
      </c>
      <c r="Y51" s="212"/>
      <c r="Z51" s="212"/>
      <c r="AA51" s="212"/>
      <c r="AB51" s="213"/>
      <c r="AC51" s="211">
        <f>AC50+(AC50*11%)</f>
        <v>0</v>
      </c>
      <c r="AD51" s="212"/>
      <c r="AE51" s="212"/>
      <c r="AF51" s="212"/>
      <c r="AG51" s="214"/>
      <c r="AM51" s="11" t="str">
        <f>IF(COUNTIF(AM22:AM49,"-")&gt;0,"No Full Item","Full Item")</f>
        <v>No Full Item</v>
      </c>
      <c r="AN51" s="11" t="str">
        <f>IF(COUNTIF(AN22:AN49,"-")&gt;0,"No Full Item","Full Item")</f>
        <v>No Full Item</v>
      </c>
      <c r="AO51" s="11" t="str">
        <f>IF(COUNTIF(AO22:AO49,"-")&gt;0,"No Full Item","Full Item")</f>
        <v>No Full Item</v>
      </c>
      <c r="AP51" s="11" t="str">
        <f>IF(COUNTIF(AP22:AP49,"-")&gt;0,"No Full Item","Full Item")</f>
        <v>No Full Item</v>
      </c>
      <c r="AQ51" s="11" t="str">
        <f>IF(COUNTIF(AQ22:AQ49,"-")&gt;0,"No Full Item","Full Item")</f>
        <v>No Full Item</v>
      </c>
      <c r="AR51" s="69"/>
      <c r="AS51" s="75"/>
      <c r="AU51" s="68"/>
      <c r="AV51" s="75"/>
      <c r="AY51" s="75"/>
    </row>
    <row r="52" spans="2:54" s="44" customFormat="1" ht="35.1" customHeight="1" x14ac:dyDescent="0.25">
      <c r="B52" s="224"/>
      <c r="C52" s="225"/>
      <c r="D52" s="225"/>
      <c r="E52" s="225"/>
      <c r="F52" s="225"/>
      <c r="G52" s="226" t="s">
        <v>37</v>
      </c>
      <c r="H52" s="183"/>
      <c r="I52" s="211"/>
      <c r="J52" s="212"/>
      <c r="K52" s="212"/>
      <c r="L52" s="212"/>
      <c r="M52" s="213"/>
      <c r="N52" s="211"/>
      <c r="O52" s="212"/>
      <c r="P52" s="212"/>
      <c r="Q52" s="212"/>
      <c r="R52" s="213"/>
      <c r="S52" s="211"/>
      <c r="T52" s="212"/>
      <c r="U52" s="212"/>
      <c r="V52" s="212"/>
      <c r="W52" s="213"/>
      <c r="X52" s="211"/>
      <c r="Y52" s="212"/>
      <c r="Z52" s="212"/>
      <c r="AA52" s="212"/>
      <c r="AB52" s="213"/>
      <c r="AC52" s="211"/>
      <c r="AD52" s="212"/>
      <c r="AE52" s="212"/>
      <c r="AF52" s="212"/>
      <c r="AG52" s="214"/>
      <c r="AR52" s="69"/>
      <c r="AS52" s="75"/>
      <c r="AU52" s="68"/>
      <c r="AV52" s="75"/>
      <c r="AY52" s="75"/>
    </row>
    <row r="53" spans="2:54" s="1" customFormat="1" ht="80.25" customHeight="1" x14ac:dyDescent="0.25">
      <c r="B53" s="215" t="s">
        <v>38</v>
      </c>
      <c r="C53" s="216"/>
      <c r="D53" s="216"/>
      <c r="E53" s="216"/>
      <c r="F53" s="216"/>
      <c r="G53" s="216"/>
      <c r="H53" s="217"/>
      <c r="I53" s="218"/>
      <c r="J53" s="219"/>
      <c r="K53" s="219"/>
      <c r="L53" s="219"/>
      <c r="M53" s="220"/>
      <c r="N53" s="221"/>
      <c r="O53" s="219"/>
      <c r="P53" s="219"/>
      <c r="Q53" s="219"/>
      <c r="R53" s="220"/>
      <c r="S53" s="221"/>
      <c r="T53" s="219"/>
      <c r="U53" s="219"/>
      <c r="V53" s="219"/>
      <c r="W53" s="220"/>
      <c r="X53" s="221"/>
      <c r="Y53" s="219"/>
      <c r="Z53" s="219"/>
      <c r="AA53" s="219"/>
      <c r="AB53" s="220"/>
      <c r="AC53" s="221"/>
      <c r="AD53" s="219"/>
      <c r="AE53" s="219"/>
      <c r="AF53" s="219"/>
      <c r="AG53" s="227"/>
      <c r="AR53" s="79"/>
      <c r="AS53" s="70"/>
      <c r="AU53" s="65"/>
      <c r="AV53" s="70"/>
      <c r="AY53" s="70"/>
    </row>
    <row r="54" spans="2:54" s="1" customFormat="1" ht="120" customHeight="1" x14ac:dyDescent="0.25">
      <c r="B54" s="228"/>
      <c r="C54" s="229"/>
      <c r="D54" s="229"/>
      <c r="E54" s="229"/>
      <c r="F54" s="229"/>
      <c r="G54" s="229"/>
      <c r="H54" s="229"/>
      <c r="I54" s="230" t="s">
        <v>39</v>
      </c>
      <c r="J54" s="231"/>
      <c r="K54" s="231"/>
      <c r="L54" s="231"/>
      <c r="M54" s="232"/>
      <c r="N54" s="230" t="s">
        <v>39</v>
      </c>
      <c r="O54" s="231"/>
      <c r="P54" s="231"/>
      <c r="Q54" s="231"/>
      <c r="R54" s="232"/>
      <c r="S54" s="230" t="s">
        <v>39</v>
      </c>
      <c r="T54" s="231"/>
      <c r="U54" s="231"/>
      <c r="V54" s="231"/>
      <c r="W54" s="232"/>
      <c r="X54" s="246" t="s">
        <v>39</v>
      </c>
      <c r="Y54" s="247"/>
      <c r="Z54" s="247"/>
      <c r="AA54" s="247"/>
      <c r="AB54" s="311"/>
      <c r="AC54" s="246" t="s">
        <v>39</v>
      </c>
      <c r="AD54" s="247"/>
      <c r="AE54" s="247"/>
      <c r="AF54" s="247"/>
      <c r="AG54" s="248"/>
      <c r="AR54" s="79"/>
      <c r="AS54" s="70"/>
      <c r="AU54" s="65"/>
      <c r="AV54" s="70"/>
      <c r="AY54" s="70"/>
    </row>
    <row r="55" spans="2:54" s="47" customFormat="1" ht="15" customHeight="1" x14ac:dyDescent="0.25">
      <c r="B55" s="249" t="s">
        <v>40</v>
      </c>
      <c r="C55" s="250"/>
      <c r="D55" s="250"/>
      <c r="E55" s="250"/>
      <c r="F55" s="250"/>
      <c r="G55" s="250"/>
      <c r="H55" s="251"/>
      <c r="I55" s="252" t="s">
        <v>41</v>
      </c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88"/>
      <c r="X55" s="266" t="s">
        <v>51</v>
      </c>
      <c r="Y55" s="267"/>
      <c r="Z55" s="267"/>
      <c r="AA55" s="267"/>
      <c r="AB55" s="269"/>
      <c r="AC55" s="266" t="s">
        <v>42</v>
      </c>
      <c r="AD55" s="267"/>
      <c r="AE55" s="267"/>
      <c r="AF55" s="267"/>
      <c r="AG55" s="268"/>
      <c r="AR55" s="81"/>
      <c r="AS55" s="70"/>
      <c r="AT55" s="1"/>
      <c r="AU55" s="65"/>
      <c r="AV55" s="70"/>
      <c r="AY55" s="70"/>
    </row>
    <row r="56" spans="2:54" s="1" customFormat="1" ht="90" customHeight="1" x14ac:dyDescent="0.25">
      <c r="B56" s="258"/>
      <c r="C56" s="259"/>
      <c r="D56" s="259"/>
      <c r="E56" s="259"/>
      <c r="F56" s="259"/>
      <c r="G56" s="259"/>
      <c r="H56" s="260"/>
      <c r="I56" s="179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289"/>
      <c r="X56" s="179"/>
      <c r="Y56" s="180"/>
      <c r="Z56" s="180"/>
      <c r="AA56" s="180"/>
      <c r="AB56" s="180"/>
      <c r="AC56" s="179"/>
      <c r="AD56" s="180"/>
      <c r="AE56" s="180"/>
      <c r="AF56" s="180"/>
      <c r="AG56" s="245"/>
      <c r="AR56" s="79"/>
      <c r="AS56" s="70"/>
      <c r="AU56" s="65"/>
      <c r="AV56" s="70"/>
      <c r="AY56" s="70"/>
    </row>
    <row r="57" spans="2:54" s="1" customFormat="1" ht="13.5" x14ac:dyDescent="0.25">
      <c r="B57" s="233" t="s">
        <v>47</v>
      </c>
      <c r="C57" s="234"/>
      <c r="D57" s="234"/>
      <c r="E57" s="234"/>
      <c r="F57" s="234"/>
      <c r="G57" s="234"/>
      <c r="H57" s="235"/>
      <c r="I57" s="236" t="s">
        <v>43</v>
      </c>
      <c r="J57" s="237"/>
      <c r="K57" s="237"/>
      <c r="L57" s="237"/>
      <c r="M57" s="62"/>
      <c r="N57" s="307" t="s">
        <v>52</v>
      </c>
      <c r="O57" s="307"/>
      <c r="P57" s="307"/>
      <c r="Q57" s="307"/>
      <c r="R57" s="307"/>
      <c r="S57" s="237" t="s">
        <v>45</v>
      </c>
      <c r="T57" s="237"/>
      <c r="U57" s="237"/>
      <c r="V57" s="237"/>
      <c r="W57" s="237"/>
      <c r="X57" s="308" t="s">
        <v>48</v>
      </c>
      <c r="Y57" s="309"/>
      <c r="Z57" s="309"/>
      <c r="AA57" s="309"/>
      <c r="AB57" s="310"/>
      <c r="AC57" s="236" t="str">
        <f>IF(OR($I$50&lt;200000000,$N$50&lt;200000000,$S$50&lt;200000000,$X$50&lt;200000000,$AC$50&lt;200000000),"Mochammad Rusfandy","Mochammad Rusfandy")</f>
        <v>Mochammad Rusfandy</v>
      </c>
      <c r="AD57" s="237"/>
      <c r="AE57" s="237"/>
      <c r="AF57" s="237" t="str">
        <f>IF(OR($I$50="",$N$50="",$S$50="",$X$50="",$AC$50=""),"",IF(OR($I$50&gt;200000000,$N$50&gt;200000000,$S$50&gt;200000000,$X$50&gt;200000000,$AC$50&gt;200000000),"Heri Gunawan",""))</f>
        <v/>
      </c>
      <c r="AG57" s="254"/>
      <c r="AR57" s="79"/>
      <c r="AS57" s="70"/>
      <c r="AU57" s="65"/>
      <c r="AV57" s="70"/>
      <c r="AY57" s="70"/>
    </row>
    <row r="58" spans="2:54" s="1" customFormat="1" ht="13.5" x14ac:dyDescent="0.25">
      <c r="B58" s="48" t="s">
        <v>46</v>
      </c>
      <c r="C58" s="49"/>
      <c r="D58" s="255">
        <f ca="1">AD8</f>
        <v>46314</v>
      </c>
      <c r="E58" s="255"/>
      <c r="F58" s="255"/>
      <c r="G58" s="255"/>
      <c r="H58" s="256"/>
      <c r="I58" s="241" t="str">
        <f>IF(I57="","","Date:")</f>
        <v>Date:</v>
      </c>
      <c r="J58" s="242"/>
      <c r="K58" s="242"/>
      <c r="L58" s="242"/>
      <c r="M58" s="49"/>
      <c r="N58" s="49" t="str">
        <f>IF(N57="","","Date:")</f>
        <v>Date:</v>
      </c>
      <c r="O58" s="49"/>
      <c r="P58" s="49"/>
      <c r="Q58" s="49"/>
      <c r="R58" s="49"/>
      <c r="S58" s="242" t="str">
        <f>IF(S57="","","Date:")</f>
        <v>Date:</v>
      </c>
      <c r="T58" s="242"/>
      <c r="U58" s="242"/>
      <c r="V58" s="242"/>
      <c r="W58" s="242"/>
      <c r="X58" s="315" t="str">
        <f>IF(X57="","","Date:")</f>
        <v>Date:</v>
      </c>
      <c r="Y58" s="316"/>
      <c r="Z58" s="316"/>
      <c r="AA58" s="316"/>
      <c r="AB58" s="317"/>
      <c r="AC58" s="241" t="str">
        <f>IF(AC57="","","Date:")</f>
        <v>Date:</v>
      </c>
      <c r="AD58" s="242"/>
      <c r="AE58" s="242"/>
      <c r="AF58" s="242" t="str">
        <f>IF(AF57="","","Date:")</f>
        <v/>
      </c>
      <c r="AG58" s="243"/>
      <c r="AR58" s="79"/>
      <c r="AS58" s="70"/>
      <c r="AU58" s="65"/>
      <c r="AV58" s="70"/>
      <c r="AY58" s="70"/>
    </row>
    <row r="59" spans="2:54" s="1" customFormat="1" ht="15.75" customHeight="1" thickBot="1" x14ac:dyDescent="0.3">
      <c r="B59" s="283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5"/>
      <c r="AR59" s="79"/>
      <c r="AS59" s="70"/>
      <c r="AU59" s="65"/>
      <c r="AV59" s="70"/>
      <c r="AY59" s="70"/>
    </row>
    <row r="60" spans="2:54" ht="17.25" hidden="1" thickTop="1" x14ac:dyDescent="0.25">
      <c r="L60" s="55"/>
      <c r="M60" s="55"/>
    </row>
    <row r="61" spans="2:54" ht="17.25" hidden="1" thickTop="1" x14ac:dyDescent="0.25">
      <c r="L61" s="55"/>
      <c r="M61" s="55"/>
    </row>
    <row r="62" spans="2:54" ht="17.25" hidden="1" thickTop="1" x14ac:dyDescent="0.25">
      <c r="J62" s="265"/>
      <c r="K62" s="244"/>
      <c r="L62" s="244"/>
      <c r="M62" s="244"/>
    </row>
    <row r="63" spans="2:54" ht="17.25" hidden="1" thickTop="1" x14ac:dyDescent="0.25">
      <c r="J63" s="265"/>
      <c r="K63" s="244"/>
      <c r="L63" s="244"/>
      <c r="M63" s="244"/>
    </row>
    <row r="64" spans="2:54" ht="17.25" hidden="1" thickTop="1" x14ac:dyDescent="0.25">
      <c r="J64" s="265"/>
      <c r="K64" s="244"/>
      <c r="L64" s="244"/>
      <c r="M64" s="244"/>
    </row>
    <row r="65" spans="4:16" ht="17.25" hidden="1" thickTop="1" x14ac:dyDescent="0.25">
      <c r="J65" s="265"/>
      <c r="K65" s="244"/>
      <c r="L65" s="244"/>
      <c r="M65" s="244"/>
      <c r="N65" s="265"/>
      <c r="O65" s="244"/>
      <c r="P65" s="244"/>
    </row>
    <row r="66" spans="4:16" ht="17.25" hidden="1" thickTop="1" x14ac:dyDescent="0.25">
      <c r="J66" s="265"/>
      <c r="K66" s="244"/>
      <c r="L66" s="244"/>
      <c r="M66" s="244"/>
    </row>
    <row r="67" spans="4:16" ht="17.25" hidden="1" thickTop="1" x14ac:dyDescent="0.25">
      <c r="J67" s="244"/>
      <c r="K67" s="244"/>
      <c r="L67" s="244"/>
      <c r="M67" s="244"/>
    </row>
    <row r="68" spans="4:16" ht="17.25" hidden="1" thickTop="1" x14ac:dyDescent="0.25">
      <c r="L68" s="55"/>
      <c r="M68" s="55"/>
    </row>
    <row r="69" spans="4:16" ht="17.25" hidden="1" thickTop="1" x14ac:dyDescent="0.25">
      <c r="L69" s="239"/>
      <c r="M69" s="239"/>
    </row>
    <row r="72" spans="4:16" ht="17.25" hidden="1" thickTop="1" x14ac:dyDescent="0.25">
      <c r="D72" s="56"/>
      <c r="E72" s="56"/>
      <c r="F72" s="56"/>
      <c r="G72" s="56"/>
      <c r="H72" s="56"/>
      <c r="I72" s="56"/>
    </row>
    <row r="73" spans="4:16" ht="17.25" hidden="1" thickTop="1" x14ac:dyDescent="0.25">
      <c r="D73" s="56"/>
      <c r="E73" s="56"/>
      <c r="F73" s="56"/>
      <c r="G73" s="56"/>
      <c r="H73" s="56"/>
      <c r="I73" s="56"/>
    </row>
    <row r="74" spans="4:16" ht="17.25" hidden="1" thickTop="1" x14ac:dyDescent="0.25">
      <c r="D74" s="56"/>
      <c r="E74" s="56"/>
      <c r="F74" s="56"/>
      <c r="G74" s="56"/>
      <c r="H74" s="56"/>
      <c r="I74" s="56"/>
    </row>
    <row r="75" spans="4:16" ht="17.25" hidden="1" thickTop="1" x14ac:dyDescent="0.25">
      <c r="D75" s="56"/>
      <c r="E75" s="56"/>
      <c r="F75" s="56"/>
      <c r="G75" s="56"/>
      <c r="H75" s="56"/>
      <c r="I75" s="56"/>
    </row>
    <row r="76" spans="4:16" ht="17.25" hidden="1" thickTop="1" x14ac:dyDescent="0.25">
      <c r="D76" s="56"/>
      <c r="E76" s="56"/>
      <c r="F76" s="57"/>
      <c r="G76" s="56"/>
      <c r="H76" s="56"/>
      <c r="I76" s="56"/>
    </row>
    <row r="77" spans="4:16" ht="15" hidden="1" customHeight="1" x14ac:dyDescent="0.25">
      <c r="D77" s="56"/>
      <c r="E77" s="56"/>
      <c r="F77" s="240"/>
      <c r="G77" s="240"/>
      <c r="H77" s="240"/>
      <c r="I77" s="56"/>
    </row>
    <row r="78" spans="4:16" ht="15" hidden="1" customHeight="1" x14ac:dyDescent="0.25">
      <c r="D78" s="56"/>
      <c r="E78" s="56"/>
      <c r="F78" s="240"/>
      <c r="G78" s="240"/>
      <c r="H78" s="240"/>
      <c r="I78" s="58"/>
      <c r="J78" s="59"/>
    </row>
    <row r="79" spans="4:16" ht="17.25" hidden="1" thickTop="1" x14ac:dyDescent="0.25">
      <c r="D79" s="56"/>
      <c r="E79" s="56"/>
      <c r="F79" s="56"/>
      <c r="G79" s="56"/>
      <c r="H79" s="56"/>
      <c r="I79" s="56"/>
    </row>
    <row r="80" spans="4:16" ht="17.25" hidden="1" thickTop="1" x14ac:dyDescent="0.25">
      <c r="D80" s="56"/>
      <c r="E80" s="56"/>
      <c r="F80" s="56"/>
      <c r="G80" s="56"/>
      <c r="H80" s="56"/>
      <c r="I80" s="56"/>
    </row>
    <row r="81" spans="4:9" ht="17.25" hidden="1" thickTop="1" x14ac:dyDescent="0.25">
      <c r="D81" s="56"/>
      <c r="E81" s="56"/>
      <c r="F81" s="56"/>
      <c r="G81" s="56"/>
      <c r="H81" s="56"/>
      <c r="I81" s="60"/>
    </row>
    <row r="82" spans="4:9" ht="17.25" hidden="1" thickTop="1" x14ac:dyDescent="0.25">
      <c r="D82" s="56"/>
      <c r="E82" s="56"/>
      <c r="F82" s="56"/>
      <c r="G82" s="56"/>
      <c r="H82" s="56"/>
      <c r="I82" s="56"/>
    </row>
    <row r="83" spans="4:9" ht="17.25" thickTop="1" x14ac:dyDescent="0.25"/>
    <row r="84" spans="4:9" x14ac:dyDescent="0.25"/>
    <row r="85" spans="4:9" x14ac:dyDescent="0.25"/>
  </sheetData>
  <mergeCells count="326">
    <mergeCell ref="AC12:AG13"/>
    <mergeCell ref="AD11:AG11"/>
    <mergeCell ref="B12:F12"/>
    <mergeCell ref="T11:W11"/>
    <mergeCell ref="AC14:AG14"/>
    <mergeCell ref="S12:W13"/>
    <mergeCell ref="X12:AB13"/>
    <mergeCell ref="G12:H13"/>
    <mergeCell ref="B13:F15"/>
    <mergeCell ref="G15:H15"/>
    <mergeCell ref="I12:M13"/>
    <mergeCell ref="N12:R13"/>
    <mergeCell ref="Y11:AB11"/>
    <mergeCell ref="N14:R14"/>
    <mergeCell ref="S14:W14"/>
    <mergeCell ref="X14:AB14"/>
    <mergeCell ref="I15:M15"/>
    <mergeCell ref="B17:E17"/>
    <mergeCell ref="X58:AB58"/>
    <mergeCell ref="I56:W56"/>
    <mergeCell ref="I55:W55"/>
    <mergeCell ref="B59:AG59"/>
    <mergeCell ref="AC55:AG55"/>
    <mergeCell ref="X55:AB55"/>
    <mergeCell ref="L21:M21"/>
    <mergeCell ref="AC17:AD17"/>
    <mergeCell ref="AE17:AG17"/>
    <mergeCell ref="N17:O17"/>
    <mergeCell ref="Q21:R21"/>
    <mergeCell ref="B18:F19"/>
    <mergeCell ref="AF23:AG23"/>
    <mergeCell ref="C24:F24"/>
    <mergeCell ref="L24:M24"/>
    <mergeCell ref="Q24:R24"/>
    <mergeCell ref="V24:W24"/>
    <mergeCell ref="AA24:AB24"/>
    <mergeCell ref="AF24:AG24"/>
    <mergeCell ref="C23:F23"/>
    <mergeCell ref="V23:W23"/>
    <mergeCell ref="AA23:AB23"/>
    <mergeCell ref="C22:F22"/>
    <mergeCell ref="BA20:BB20"/>
    <mergeCell ref="BA21:BB21"/>
    <mergeCell ref="G14:H14"/>
    <mergeCell ref="I14:M14"/>
    <mergeCell ref="N15:R15"/>
    <mergeCell ref="S15:W15"/>
    <mergeCell ref="X15:AB15"/>
    <mergeCell ref="AR18:AR21"/>
    <mergeCell ref="G19:H19"/>
    <mergeCell ref="I19:M19"/>
    <mergeCell ref="N19:R19"/>
    <mergeCell ref="S19:W19"/>
    <mergeCell ref="X19:AB19"/>
    <mergeCell ref="AC19:AG19"/>
    <mergeCell ref="AC15:AG15"/>
    <mergeCell ref="S16:W16"/>
    <mergeCell ref="X16:AB16"/>
    <mergeCell ref="X17:Y17"/>
    <mergeCell ref="Z17:AB17"/>
    <mergeCell ref="S18:W18"/>
    <mergeCell ref="AT21:AV21"/>
    <mergeCell ref="AW21:AY21"/>
    <mergeCell ref="AM19:AM21"/>
    <mergeCell ref="AN19:AN21"/>
    <mergeCell ref="B4:F6"/>
    <mergeCell ref="G4:AE6"/>
    <mergeCell ref="B7:D7"/>
    <mergeCell ref="AD7:AG7"/>
    <mergeCell ref="B8:D8"/>
    <mergeCell ref="AD8:AG8"/>
    <mergeCell ref="S10:W10"/>
    <mergeCell ref="X10:AB10"/>
    <mergeCell ref="AC10:AG10"/>
    <mergeCell ref="B9:D9"/>
    <mergeCell ref="B10:F10"/>
    <mergeCell ref="G10:H11"/>
    <mergeCell ref="I10:M10"/>
    <mergeCell ref="N10:R10"/>
    <mergeCell ref="B11:F11"/>
    <mergeCell ref="J11:M11"/>
    <mergeCell ref="O11:R11"/>
    <mergeCell ref="F7:Q7"/>
    <mergeCell ref="F8:Q8"/>
    <mergeCell ref="F9:Q9"/>
    <mergeCell ref="AQ19:AQ21"/>
    <mergeCell ref="X18:AB18"/>
    <mergeCell ref="AC18:AG18"/>
    <mergeCell ref="P17:R17"/>
    <mergeCell ref="S17:T17"/>
    <mergeCell ref="U17:W17"/>
    <mergeCell ref="G16:H16"/>
    <mergeCell ref="I16:M16"/>
    <mergeCell ref="N16:R16"/>
    <mergeCell ref="K17:M17"/>
    <mergeCell ref="G18:H18"/>
    <mergeCell ref="I18:M18"/>
    <mergeCell ref="N18:R18"/>
    <mergeCell ref="AC16:AG16"/>
    <mergeCell ref="G17:H17"/>
    <mergeCell ref="I17:J17"/>
    <mergeCell ref="C21:F21"/>
    <mergeCell ref="V21:W21"/>
    <mergeCell ref="AA21:AB21"/>
    <mergeCell ref="AF21:AG21"/>
    <mergeCell ref="G20:H20"/>
    <mergeCell ref="I20:M20"/>
    <mergeCell ref="N20:R20"/>
    <mergeCell ref="S20:W20"/>
    <mergeCell ref="X20:AB20"/>
    <mergeCell ref="L22:M22"/>
    <mergeCell ref="Q22:R22"/>
    <mergeCell ref="V22:W22"/>
    <mergeCell ref="AA22:AB22"/>
    <mergeCell ref="AO19:AO21"/>
    <mergeCell ref="AP19:AP21"/>
    <mergeCell ref="AF22:AG22"/>
    <mergeCell ref="AC20:AG20"/>
    <mergeCell ref="L23:M23"/>
    <mergeCell ref="Q23:R23"/>
    <mergeCell ref="AF27:AG27"/>
    <mergeCell ref="AF25:AG25"/>
    <mergeCell ref="C28:F28"/>
    <mergeCell ref="L28:M28"/>
    <mergeCell ref="Q28:R28"/>
    <mergeCell ref="V28:W28"/>
    <mergeCell ref="AA28:AB28"/>
    <mergeCell ref="AF28:AG28"/>
    <mergeCell ref="C27:F27"/>
    <mergeCell ref="L27:M27"/>
    <mergeCell ref="Q27:R27"/>
    <mergeCell ref="V27:W27"/>
    <mergeCell ref="AA27:AB27"/>
    <mergeCell ref="C26:F26"/>
    <mergeCell ref="L26:M26"/>
    <mergeCell ref="Q26:R26"/>
    <mergeCell ref="V26:W26"/>
    <mergeCell ref="AA26:AB26"/>
    <mergeCell ref="AF26:AG26"/>
    <mergeCell ref="C25:F25"/>
    <mergeCell ref="L25:M25"/>
    <mergeCell ref="Q25:R25"/>
    <mergeCell ref="V25:W25"/>
    <mergeCell ref="AA25:AB25"/>
    <mergeCell ref="AF29:AG29"/>
    <mergeCell ref="C30:F30"/>
    <mergeCell ref="L30:M30"/>
    <mergeCell ref="Q30:R30"/>
    <mergeCell ref="V30:W30"/>
    <mergeCell ref="AA30:AB30"/>
    <mergeCell ref="AF30:AG30"/>
    <mergeCell ref="C29:F29"/>
    <mergeCell ref="L29:M29"/>
    <mergeCell ref="Q29:R29"/>
    <mergeCell ref="V29:W29"/>
    <mergeCell ref="AA29:AB29"/>
    <mergeCell ref="AF31:AG31"/>
    <mergeCell ref="C32:F32"/>
    <mergeCell ref="L32:M32"/>
    <mergeCell ref="Q32:R32"/>
    <mergeCell ref="V32:W32"/>
    <mergeCell ref="AA32:AB32"/>
    <mergeCell ref="AF32:AG32"/>
    <mergeCell ref="C31:F31"/>
    <mergeCell ref="L31:M31"/>
    <mergeCell ref="Q31:R31"/>
    <mergeCell ref="V31:W31"/>
    <mergeCell ref="AA31:AB31"/>
    <mergeCell ref="AF33:AG33"/>
    <mergeCell ref="C34:F34"/>
    <mergeCell ref="L34:M34"/>
    <mergeCell ref="Q34:R34"/>
    <mergeCell ref="V34:W34"/>
    <mergeCell ref="AA34:AB34"/>
    <mergeCell ref="AF34:AG34"/>
    <mergeCell ref="C33:F33"/>
    <mergeCell ref="L33:M33"/>
    <mergeCell ref="Q33:R33"/>
    <mergeCell ref="V33:W33"/>
    <mergeCell ref="AA33:AB33"/>
    <mergeCell ref="AF35:AG35"/>
    <mergeCell ref="C36:F36"/>
    <mergeCell ref="L36:M36"/>
    <mergeCell ref="Q36:R36"/>
    <mergeCell ref="V36:W36"/>
    <mergeCell ref="AA36:AB36"/>
    <mergeCell ref="AF36:AG36"/>
    <mergeCell ref="C35:F35"/>
    <mergeCell ref="L35:M35"/>
    <mergeCell ref="Q35:R35"/>
    <mergeCell ref="V35:W35"/>
    <mergeCell ref="AA35:AB35"/>
    <mergeCell ref="AF37:AG37"/>
    <mergeCell ref="C38:F38"/>
    <mergeCell ref="L38:M38"/>
    <mergeCell ref="Q38:R38"/>
    <mergeCell ref="V38:W38"/>
    <mergeCell ref="AA38:AB38"/>
    <mergeCell ref="AF38:AG38"/>
    <mergeCell ref="C37:F37"/>
    <mergeCell ref="L37:M37"/>
    <mergeCell ref="Q37:R37"/>
    <mergeCell ref="V37:W37"/>
    <mergeCell ref="AA37:AB37"/>
    <mergeCell ref="AF39:AG39"/>
    <mergeCell ref="C40:F40"/>
    <mergeCell ref="L40:M40"/>
    <mergeCell ref="Q40:R40"/>
    <mergeCell ref="V40:W40"/>
    <mergeCell ref="AA40:AB40"/>
    <mergeCell ref="AF40:AG40"/>
    <mergeCell ref="C39:F39"/>
    <mergeCell ref="L39:M39"/>
    <mergeCell ref="Q39:R39"/>
    <mergeCell ref="V39:W39"/>
    <mergeCell ref="AA39:AB39"/>
    <mergeCell ref="AF41:AG41"/>
    <mergeCell ref="C42:F42"/>
    <mergeCell ref="L42:M42"/>
    <mergeCell ref="Q42:R42"/>
    <mergeCell ref="V42:W42"/>
    <mergeCell ref="AA42:AB42"/>
    <mergeCell ref="AF42:AG42"/>
    <mergeCell ref="C41:F41"/>
    <mergeCell ref="L41:M41"/>
    <mergeCell ref="Q41:R41"/>
    <mergeCell ref="V41:W41"/>
    <mergeCell ref="AA41:AB41"/>
    <mergeCell ref="AF43:AG43"/>
    <mergeCell ref="C44:F44"/>
    <mergeCell ref="L44:M44"/>
    <mergeCell ref="Q44:R44"/>
    <mergeCell ref="V44:W44"/>
    <mergeCell ref="AA44:AB44"/>
    <mergeCell ref="AF44:AG44"/>
    <mergeCell ref="C43:F43"/>
    <mergeCell ref="L43:M43"/>
    <mergeCell ref="Q43:R43"/>
    <mergeCell ref="V43:W43"/>
    <mergeCell ref="AA43:AB43"/>
    <mergeCell ref="AF45:AG45"/>
    <mergeCell ref="C46:F46"/>
    <mergeCell ref="L46:M46"/>
    <mergeCell ref="Q46:R46"/>
    <mergeCell ref="V46:W46"/>
    <mergeCell ref="AA46:AB46"/>
    <mergeCell ref="AF46:AG46"/>
    <mergeCell ref="C45:F45"/>
    <mergeCell ref="L45:M45"/>
    <mergeCell ref="Q45:R45"/>
    <mergeCell ref="V45:W45"/>
    <mergeCell ref="AA45:AB45"/>
    <mergeCell ref="AF47:AG47"/>
    <mergeCell ref="C48:F48"/>
    <mergeCell ref="L48:M48"/>
    <mergeCell ref="Q48:R48"/>
    <mergeCell ref="V48:W48"/>
    <mergeCell ref="AA48:AB48"/>
    <mergeCell ref="AF48:AG48"/>
    <mergeCell ref="C47:F47"/>
    <mergeCell ref="L47:M47"/>
    <mergeCell ref="Q47:R47"/>
    <mergeCell ref="V47:W47"/>
    <mergeCell ref="AA47:AB47"/>
    <mergeCell ref="AF49:AG49"/>
    <mergeCell ref="C49:F49"/>
    <mergeCell ref="L49:M49"/>
    <mergeCell ref="Q49:R49"/>
    <mergeCell ref="V49:W49"/>
    <mergeCell ref="AA49:AB49"/>
    <mergeCell ref="N51:R51"/>
    <mergeCell ref="S51:W51"/>
    <mergeCell ref="X51:AB51"/>
    <mergeCell ref="AC51:AG51"/>
    <mergeCell ref="B50:F52"/>
    <mergeCell ref="G50:H50"/>
    <mergeCell ref="I50:M50"/>
    <mergeCell ref="N50:R50"/>
    <mergeCell ref="S50:W50"/>
    <mergeCell ref="G52:H52"/>
    <mergeCell ref="I52:M52"/>
    <mergeCell ref="N52:R52"/>
    <mergeCell ref="S52:W52"/>
    <mergeCell ref="X52:AB52"/>
    <mergeCell ref="AC52:AG52"/>
    <mergeCell ref="X50:AB50"/>
    <mergeCell ref="AC50:AG50"/>
    <mergeCell ref="G51:H51"/>
    <mergeCell ref="I51:M51"/>
    <mergeCell ref="B53:H53"/>
    <mergeCell ref="I53:M53"/>
    <mergeCell ref="N53:R53"/>
    <mergeCell ref="S53:W53"/>
    <mergeCell ref="X53:AB53"/>
    <mergeCell ref="AC53:AG53"/>
    <mergeCell ref="J67:M67"/>
    <mergeCell ref="L69:M69"/>
    <mergeCell ref="AC54:AG54"/>
    <mergeCell ref="B55:H55"/>
    <mergeCell ref="B54:H54"/>
    <mergeCell ref="I54:M54"/>
    <mergeCell ref="N54:R54"/>
    <mergeCell ref="S54:W54"/>
    <mergeCell ref="X54:AB54"/>
    <mergeCell ref="F77:H78"/>
    <mergeCell ref="I57:L57"/>
    <mergeCell ref="I58:L58"/>
    <mergeCell ref="J62:M62"/>
    <mergeCell ref="J63:M63"/>
    <mergeCell ref="J64:M64"/>
    <mergeCell ref="J65:M65"/>
    <mergeCell ref="X56:AB56"/>
    <mergeCell ref="AF57:AG57"/>
    <mergeCell ref="AF58:AG58"/>
    <mergeCell ref="N65:P65"/>
    <mergeCell ref="J66:M66"/>
    <mergeCell ref="D58:H58"/>
    <mergeCell ref="B57:H57"/>
    <mergeCell ref="AC58:AE58"/>
    <mergeCell ref="S58:W58"/>
    <mergeCell ref="S57:W57"/>
    <mergeCell ref="AC57:AE57"/>
    <mergeCell ref="AC56:AG56"/>
    <mergeCell ref="B56:H56"/>
    <mergeCell ref="N57:R57"/>
    <mergeCell ref="X57:AB57"/>
  </mergeCells>
  <conditionalFormatting sqref="I22:M49">
    <cfRule type="expression" dxfId="28" priority="1" stopIfTrue="1">
      <formula>$L22="No Quote"</formula>
    </cfRule>
  </conditionalFormatting>
  <conditionalFormatting sqref="N22:R49">
    <cfRule type="expression" dxfId="27" priority="23" stopIfTrue="1">
      <formula>$Q22="No Quote"</formula>
    </cfRule>
  </conditionalFormatting>
  <conditionalFormatting sqref="S22:W49">
    <cfRule type="expression" dxfId="26" priority="21" stopIfTrue="1">
      <formula>$V22="No Quote"</formula>
    </cfRule>
  </conditionalFormatting>
  <conditionalFormatting sqref="X22:AB49">
    <cfRule type="expression" dxfId="25" priority="20" stopIfTrue="1">
      <formula>$AA22="No Quote"</formula>
    </cfRule>
  </conditionalFormatting>
  <conditionalFormatting sqref="AC22:AG49">
    <cfRule type="expression" dxfId="24" priority="19" stopIfTrue="1">
      <formula>$AF22="No Quote"</formula>
    </cfRule>
  </conditionalFormatting>
  <conditionalFormatting sqref="AJ22:AK49">
    <cfRule type="expression" dxfId="23" priority="8" stopIfTrue="1">
      <formula>$AJ22&gt;$AR22</formula>
    </cfRule>
  </conditionalFormatting>
  <conditionalFormatting sqref="AM22:AM49">
    <cfRule type="expression" dxfId="22" priority="7" stopIfTrue="1">
      <formula>$AM22=$AR22</formula>
    </cfRule>
  </conditionalFormatting>
  <conditionalFormatting sqref="AN22:AN49">
    <cfRule type="expression" dxfId="21" priority="6" stopIfTrue="1">
      <formula>$AN22=$AR22</formula>
    </cfRule>
  </conditionalFormatting>
  <conditionalFormatting sqref="AN23:AQ49">
    <cfRule type="expression" dxfId="20" priority="5" stopIfTrue="1">
      <formula>$AA23=$AD23</formula>
    </cfRule>
  </conditionalFormatting>
  <conditionalFormatting sqref="AO22:AO49">
    <cfRule type="expression" dxfId="19" priority="4" stopIfTrue="1">
      <formula>$AO22=$AR22</formula>
    </cfRule>
  </conditionalFormatting>
  <conditionalFormatting sqref="AP22:AP49">
    <cfRule type="expression" dxfId="18" priority="3" stopIfTrue="1">
      <formula>$AP22=$AR22</formula>
    </cfRule>
  </conditionalFormatting>
  <conditionalFormatting sqref="AQ22:AQ49">
    <cfRule type="expression" dxfId="17" priority="2" stopIfTrue="1">
      <formula>$AQ22=$AR22</formula>
    </cfRule>
  </conditionalFormatting>
  <dataValidations disablePrompts="1" count="2">
    <dataValidation type="list" allowBlank="1" showInputMessage="1" showErrorMessage="1" sqref="M57" xr:uid="{84F351C0-9192-479F-95C9-6D895C0B55F1}">
      <formula1>$N$78:$N$80</formula1>
    </dataValidation>
    <dataValidation type="list" allowBlank="1" showInputMessage="1" showErrorMessage="1" sqref="N57" xr:uid="{9C54320C-0535-4DE3-AFAB-76B23FE782B7}">
      <formula1>"Zulkifli Bastiandi, Teuku Syamsul Rizal, Ifit Prabowo"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5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64BD-9C20-4477-A73B-2F0CE4682231}">
  <sheetPr codeName="Sheet13">
    <pageSetUpPr fitToPage="1"/>
  </sheetPr>
  <dimension ref="A1:AV84"/>
  <sheetViews>
    <sheetView showGridLines="0" topLeftCell="AH43" zoomScale="115" zoomScaleNormal="115" zoomScaleSheetLayoutView="55" workbookViewId="0">
      <selection activeCell="AV49" sqref="AV49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1" width="10.7109375" style="4" customWidth="1"/>
    <col min="22" max="23" width="15.7109375" style="4" customWidth="1"/>
    <col min="24" max="26" width="10.7109375" style="4" customWidth="1"/>
    <col min="27" max="28" width="15.7109375" style="4" customWidth="1"/>
    <col min="29" max="37" width="15.7109375" style="4" customWidth="1" outlineLevel="1"/>
    <col min="38" max="38" width="15.7109375" style="56" customWidth="1" outlineLevel="1"/>
    <col min="39" max="39" width="22" style="55" customWidth="1" outlineLevel="1"/>
    <col min="40" max="40" width="12" style="4" customWidth="1" outlineLevel="1"/>
    <col min="41" max="41" width="4.7109375" style="66" customWidth="1" outlineLevel="1"/>
    <col min="42" max="42" width="22" style="55" customWidth="1" outlineLevel="1"/>
    <col min="43" max="43" width="9.7109375" style="4" customWidth="1" outlineLevel="1"/>
    <col min="44" max="44" width="4.7109375" style="4" customWidth="1" outlineLevel="1"/>
    <col min="45" max="45" width="22" style="55" customWidth="1" outlineLevel="1"/>
    <col min="46" max="46" width="9.28515625" customWidth="1"/>
    <col min="47" max="47" width="11.42578125" style="95" bestFit="1" customWidth="1"/>
    <col min="48" max="48" width="23" style="4" customWidth="1"/>
    <col min="49" max="16384" width="9.28515625" style="4" hidden="1"/>
  </cols>
  <sheetData>
    <row r="1" spans="2:47" s="1" customFormat="1" ht="13.5" x14ac:dyDescent="0.25">
      <c r="D1" s="2"/>
      <c r="AL1" s="79"/>
      <c r="AM1" s="70"/>
      <c r="AO1" s="65"/>
      <c r="AP1" s="70"/>
      <c r="AS1" s="70"/>
      <c r="AU1" s="94"/>
    </row>
    <row r="2" spans="2:47" s="1" customFormat="1" ht="13.5" x14ac:dyDescent="0.25">
      <c r="D2" s="2"/>
      <c r="AL2" s="79"/>
      <c r="AM2" s="70"/>
      <c r="AO2" s="65"/>
      <c r="AP2" s="70"/>
      <c r="AS2" s="70"/>
      <c r="AU2" s="94"/>
    </row>
    <row r="3" spans="2:47" ht="17.25" thickBot="1" x14ac:dyDescent="0.3"/>
    <row r="4" spans="2:47" ht="19.5" customHeight="1" thickTop="1" x14ac:dyDescent="0.25">
      <c r="B4" s="115" t="s">
        <v>2</v>
      </c>
      <c r="C4" s="116"/>
      <c r="D4" s="116"/>
      <c r="E4" s="116"/>
      <c r="F4" s="116"/>
      <c r="G4" s="328" t="s">
        <v>3</v>
      </c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6"/>
      <c r="AB4" s="7"/>
    </row>
    <row r="5" spans="2:47" ht="20.100000000000001" customHeight="1" x14ac:dyDescent="0.25">
      <c r="B5" s="117"/>
      <c r="C5" s="118"/>
      <c r="D5" s="118"/>
      <c r="E5" s="118"/>
      <c r="F5" s="118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8"/>
      <c r="AB5" s="9"/>
    </row>
    <row r="6" spans="2:47" ht="20.100000000000001" customHeight="1" x14ac:dyDescent="0.25">
      <c r="B6" s="117"/>
      <c r="C6" s="118"/>
      <c r="D6" s="118"/>
      <c r="E6" s="118"/>
      <c r="F6" s="118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8"/>
      <c r="AB6" s="9"/>
    </row>
    <row r="7" spans="2:47" s="12" customFormat="1" ht="15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V7" s="14"/>
      <c r="W7" s="15"/>
      <c r="Y7" s="123"/>
      <c r="Z7" s="123"/>
      <c r="AA7" s="123"/>
      <c r="AB7" s="124"/>
      <c r="AL7" s="80"/>
      <c r="AM7" s="73"/>
      <c r="AO7" s="67"/>
      <c r="AP7" s="73"/>
      <c r="AS7" s="73"/>
      <c r="AU7" s="96"/>
    </row>
    <row r="8" spans="2:47" s="12" customFormat="1" ht="15" customHeight="1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V8" s="16"/>
      <c r="W8" s="15"/>
      <c r="Y8" s="142">
        <f ca="1">TODAY()</f>
        <v>46314</v>
      </c>
      <c r="Z8" s="142"/>
      <c r="AA8" s="142"/>
      <c r="AB8" s="143"/>
      <c r="AL8" s="80"/>
      <c r="AM8" s="73"/>
      <c r="AO8" s="67"/>
      <c r="AP8" s="73"/>
      <c r="AS8" s="73"/>
      <c r="AU8" s="96"/>
    </row>
    <row r="9" spans="2:47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X9" s="10"/>
      <c r="Y9" s="17"/>
      <c r="Z9" s="17"/>
      <c r="AA9" s="17"/>
      <c r="AB9" s="18"/>
      <c r="AL9" s="80"/>
      <c r="AM9" s="73"/>
      <c r="AO9" s="67"/>
      <c r="AP9" s="73"/>
      <c r="AS9" s="73"/>
      <c r="AU9" s="96"/>
    </row>
    <row r="10" spans="2:47" s="1" customFormat="1" ht="14.25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 t="shared" ref="S10" si="0">N10+1</f>
        <v>3</v>
      </c>
      <c r="T10" s="125"/>
      <c r="U10" s="125"/>
      <c r="V10" s="125"/>
      <c r="W10" s="140"/>
      <c r="X10" s="139">
        <f t="shared" ref="X10" si="1">S10+1</f>
        <v>4</v>
      </c>
      <c r="Y10" s="125"/>
      <c r="Z10" s="125"/>
      <c r="AA10" s="125"/>
      <c r="AB10" s="126"/>
      <c r="AL10" s="79"/>
      <c r="AM10" s="70"/>
      <c r="AO10" s="65"/>
      <c r="AP10" s="70"/>
      <c r="AS10" s="70"/>
      <c r="AU10" s="94"/>
    </row>
    <row r="11" spans="2:47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 t="s">
        <v>47</v>
      </c>
      <c r="J11" s="130"/>
      <c r="K11" s="130"/>
      <c r="L11" s="130"/>
      <c r="M11" s="131"/>
      <c r="N11" s="19"/>
      <c r="O11" s="130"/>
      <c r="P11" s="130"/>
      <c r="Q11" s="130"/>
      <c r="R11" s="131"/>
      <c r="S11" s="19"/>
      <c r="T11" s="130"/>
      <c r="U11" s="130"/>
      <c r="V11" s="130"/>
      <c r="W11" s="131"/>
      <c r="X11" s="19"/>
      <c r="Y11" s="130"/>
      <c r="Z11" s="130"/>
      <c r="AA11" s="130"/>
      <c r="AB11" s="280"/>
      <c r="AH11" s="3"/>
      <c r="AI11" s="3"/>
      <c r="AL11" s="79"/>
      <c r="AM11" s="70"/>
      <c r="AO11" s="65"/>
      <c r="AP11" s="70"/>
      <c r="AS11" s="70"/>
      <c r="AU11" s="94"/>
    </row>
    <row r="12" spans="2:47" s="1" customFormat="1" ht="15" customHeight="1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153"/>
      <c r="X12" s="151">
        <v>0</v>
      </c>
      <c r="Y12" s="152"/>
      <c r="Z12" s="152"/>
      <c r="AA12" s="152"/>
      <c r="AB12" s="276"/>
      <c r="AH12" s="3"/>
      <c r="AI12" s="3"/>
      <c r="AJ12" s="3"/>
      <c r="AL12" s="79"/>
      <c r="AM12" s="70"/>
      <c r="AO12" s="65"/>
      <c r="AP12" s="70"/>
      <c r="AS12" s="70"/>
      <c r="AU12" s="94"/>
    </row>
    <row r="13" spans="2:47" s="1" customFormat="1" ht="36.75" customHeight="1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156"/>
      <c r="X13" s="154"/>
      <c r="Y13" s="155"/>
      <c r="Z13" s="155"/>
      <c r="AA13" s="155"/>
      <c r="AB13" s="277"/>
      <c r="AH13" s="3"/>
      <c r="AI13" s="3"/>
      <c r="AJ13" s="3"/>
      <c r="AL13" s="79"/>
      <c r="AM13" s="70"/>
      <c r="AO13" s="65"/>
      <c r="AP13" s="70"/>
      <c r="AS13" s="70"/>
      <c r="AU13" s="94"/>
    </row>
    <row r="14" spans="2:47" s="1" customFormat="1" ht="15" customHeight="1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165"/>
      <c r="X14" s="164"/>
      <c r="Y14" s="128"/>
      <c r="Z14" s="128"/>
      <c r="AA14" s="128"/>
      <c r="AB14" s="278"/>
      <c r="AH14" s="3"/>
      <c r="AI14" s="3"/>
      <c r="AJ14" s="3"/>
      <c r="AL14" s="79"/>
      <c r="AM14" s="70"/>
      <c r="AO14" s="65"/>
      <c r="AP14" s="70"/>
      <c r="AS14" s="70"/>
      <c r="AU14" s="94"/>
    </row>
    <row r="15" spans="2:47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170"/>
      <c r="X15" s="168" t="s">
        <v>47</v>
      </c>
      <c r="Y15" s="169"/>
      <c r="Z15" s="169"/>
      <c r="AA15" s="169"/>
      <c r="AB15" s="279"/>
      <c r="AL15" s="79"/>
      <c r="AM15" s="70"/>
      <c r="AO15" s="65"/>
      <c r="AP15" s="70"/>
      <c r="AS15" s="70"/>
      <c r="AU15" s="94"/>
    </row>
    <row r="16" spans="2:47" s="1" customFormat="1" ht="20.100000000000001" customHeight="1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74"/>
      <c r="X16" s="172"/>
      <c r="Y16" s="173"/>
      <c r="Z16" s="173"/>
      <c r="AA16" s="173"/>
      <c r="AB16" s="184"/>
      <c r="AL16" s="79"/>
      <c r="AM16" s="70"/>
      <c r="AO16" s="65"/>
      <c r="AP16" s="70"/>
      <c r="AS16" s="70"/>
      <c r="AU16" s="94"/>
    </row>
    <row r="17" spans="2:48" s="1" customFormat="1" ht="20.100000000000001" customHeight="1" x14ac:dyDescent="0.25">
      <c r="B17" s="270"/>
      <c r="C17" s="271"/>
      <c r="D17" s="271"/>
      <c r="E17" s="271"/>
      <c r="F17" s="114"/>
      <c r="G17" s="178" t="s">
        <v>15</v>
      </c>
      <c r="H17" s="178"/>
      <c r="I17" s="179"/>
      <c r="J17" s="180"/>
      <c r="K17" s="181"/>
      <c r="L17" s="181"/>
      <c r="M17" s="182"/>
      <c r="N17" s="179"/>
      <c r="O17" s="180"/>
      <c r="P17" s="181"/>
      <c r="Q17" s="181"/>
      <c r="R17" s="182"/>
      <c r="S17" s="179"/>
      <c r="T17" s="180"/>
      <c r="U17" s="181"/>
      <c r="V17" s="181"/>
      <c r="W17" s="182"/>
      <c r="X17" s="179"/>
      <c r="Y17" s="180"/>
      <c r="Z17" s="181"/>
      <c r="AA17" s="181"/>
      <c r="AB17" s="185"/>
      <c r="AL17" s="79"/>
      <c r="AM17" s="70"/>
      <c r="AO17" s="65"/>
      <c r="AP17" s="70"/>
      <c r="AS17" s="70"/>
      <c r="AU17" s="94"/>
    </row>
    <row r="18" spans="2:48" s="1" customFormat="1" ht="20.100000000000001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83"/>
      <c r="X18" s="175"/>
      <c r="Y18" s="176"/>
      <c r="Z18" s="176"/>
      <c r="AA18" s="176"/>
      <c r="AB18" s="177"/>
      <c r="AH18" s="22">
        <v>1</v>
      </c>
      <c r="AI18" s="22">
        <f>AH18+1</f>
        <v>2</v>
      </c>
      <c r="AJ18" s="22">
        <f t="shared" ref="AJ18:AK18" si="2">AI18+1</f>
        <v>3</v>
      </c>
      <c r="AK18" s="22">
        <f t="shared" si="2"/>
        <v>4</v>
      </c>
      <c r="AL18" s="273" t="s">
        <v>17</v>
      </c>
      <c r="AM18" s="70"/>
      <c r="AO18" s="65"/>
      <c r="AP18" s="70"/>
      <c r="AS18" s="70"/>
      <c r="AU18" s="94"/>
    </row>
    <row r="19" spans="2:48" s="1" customFormat="1" ht="20.100000000000001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83"/>
      <c r="X19" s="175"/>
      <c r="Y19" s="176"/>
      <c r="Z19" s="176"/>
      <c r="AA19" s="176"/>
      <c r="AB19" s="177"/>
      <c r="AH19" s="200">
        <f>J11</f>
        <v>0</v>
      </c>
      <c r="AI19" s="200">
        <f>O11</f>
        <v>0</v>
      </c>
      <c r="AJ19" s="200">
        <f>T11</f>
        <v>0</v>
      </c>
      <c r="AK19" s="200">
        <f>Y11</f>
        <v>0</v>
      </c>
      <c r="AL19" s="274"/>
      <c r="AU19" s="94"/>
    </row>
    <row r="20" spans="2:48" s="1" customFormat="1" ht="20.100000000000001" customHeight="1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8"/>
      <c r="X20" s="196"/>
      <c r="Y20" s="197"/>
      <c r="Z20" s="197"/>
      <c r="AA20" s="197"/>
      <c r="AB20" s="199"/>
      <c r="AC20" s="47"/>
      <c r="AD20" s="47"/>
      <c r="AH20" s="200"/>
      <c r="AI20" s="200"/>
      <c r="AJ20" s="200"/>
      <c r="AK20" s="200"/>
      <c r="AL20" s="274"/>
      <c r="AM20" s="70"/>
      <c r="AO20" s="65"/>
      <c r="AP20" s="70"/>
      <c r="AS20" s="70"/>
      <c r="AU20" s="327">
        <f>SUM(AU22:AU35)</f>
        <v>0</v>
      </c>
      <c r="AV20" s="327"/>
    </row>
    <row r="21" spans="2:48" s="37" customFormat="1" ht="15" customHeight="1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33" t="s">
        <v>25</v>
      </c>
      <c r="O21" s="27" t="s">
        <v>17</v>
      </c>
      <c r="P21" s="32" t="s">
        <v>26</v>
      </c>
      <c r="Q21" s="187" t="s">
        <v>27</v>
      </c>
      <c r="R21" s="191"/>
      <c r="S21" s="33" t="s">
        <v>25</v>
      </c>
      <c r="T21" s="27" t="s">
        <v>17</v>
      </c>
      <c r="U21" s="32" t="s">
        <v>26</v>
      </c>
      <c r="V21" s="187" t="s">
        <v>27</v>
      </c>
      <c r="W21" s="191"/>
      <c r="X21" s="34" t="s">
        <v>25</v>
      </c>
      <c r="Y21" s="35" t="s">
        <v>17</v>
      </c>
      <c r="Z21" s="36" t="s">
        <v>26</v>
      </c>
      <c r="AA21" s="204" t="s">
        <v>27</v>
      </c>
      <c r="AB21" s="205"/>
      <c r="AC21" s="37" t="s">
        <v>28</v>
      </c>
      <c r="AD21" s="37" t="s">
        <v>0</v>
      </c>
      <c r="AE21" s="37" t="s">
        <v>29</v>
      </c>
      <c r="AF21" s="37" t="s">
        <v>30</v>
      </c>
      <c r="AG21" s="111" t="s">
        <v>1</v>
      </c>
      <c r="AH21" s="200"/>
      <c r="AI21" s="200"/>
      <c r="AJ21" s="200"/>
      <c r="AK21" s="200"/>
      <c r="AL21" s="275"/>
      <c r="AM21" s="76" t="s">
        <v>31</v>
      </c>
      <c r="AN21" s="186" t="s">
        <v>32</v>
      </c>
      <c r="AO21" s="186"/>
      <c r="AP21" s="186"/>
      <c r="AQ21" s="186" t="s">
        <v>33</v>
      </c>
      <c r="AR21" s="186"/>
      <c r="AS21" s="186"/>
      <c r="AU21" s="281" t="s">
        <v>34</v>
      </c>
      <c r="AV21" s="282"/>
    </row>
    <row r="22" spans="2:48" s="1" customFormat="1" ht="61.5" customHeight="1" x14ac:dyDescent="0.25">
      <c r="B22" s="38">
        <v>1</v>
      </c>
      <c r="C22" s="210"/>
      <c r="D22" s="210"/>
      <c r="E22" s="210"/>
      <c r="F22" s="210"/>
      <c r="G22" s="39"/>
      <c r="H22" s="40"/>
      <c r="I22" s="41"/>
      <c r="J22" s="42" t="str">
        <f>IF($G22="","",$G22*I22)</f>
        <v/>
      </c>
      <c r="K22" s="90"/>
      <c r="L22" s="206" t="str">
        <f>IF($I22="","No Quote",IF($K22="","","No Comply"))</f>
        <v>No Quote</v>
      </c>
      <c r="M22" s="207"/>
      <c r="N22" s="41"/>
      <c r="O22" s="42" t="str">
        <f>IF($G22="","",$G22*N22)</f>
        <v/>
      </c>
      <c r="P22" s="89"/>
      <c r="Q22" s="206" t="str">
        <f>IF($N22="","No Quote",IF($P22="","","No Comply"))</f>
        <v>No Quote</v>
      </c>
      <c r="R22" s="207"/>
      <c r="S22" s="41"/>
      <c r="T22" s="42" t="str">
        <f>IF($G22="","",$G22*S22)</f>
        <v/>
      </c>
      <c r="U22" s="89"/>
      <c r="V22" s="206" t="str">
        <f>IF($S22="","No Quote",IF($U22="","","No Comply"))</f>
        <v>No Quote</v>
      </c>
      <c r="W22" s="207"/>
      <c r="X22" s="41"/>
      <c r="Y22" s="42" t="str">
        <f>IF($G22="","",$G22*X22)</f>
        <v/>
      </c>
      <c r="Z22" s="89"/>
      <c r="AA22" s="208" t="str">
        <f>IF($X22="","No Quote",IF($Z22="","","No Comply"))</f>
        <v>No Quote</v>
      </c>
      <c r="AB22" s="209"/>
      <c r="AC22" s="87"/>
      <c r="AD22" s="93"/>
      <c r="AE22" s="63" t="str">
        <f>IF(AC22="","",$AC22*$G22)</f>
        <v/>
      </c>
      <c r="AF22" s="92"/>
      <c r="AG22" s="92"/>
      <c r="AH22" s="77" t="str">
        <f>IF(OR(K22="X",J22=""),"-",J22)</f>
        <v>-</v>
      </c>
      <c r="AI22" s="77" t="str">
        <f>IF(OR(P22="X",O22=""),"-",O22)</f>
        <v>-</v>
      </c>
      <c r="AJ22" s="77" t="str">
        <f>IF(OR(U22="X",T22=""),"-",T22)</f>
        <v>-</v>
      </c>
      <c r="AK22" s="77" t="str">
        <f>IF(OR(Z22="X",Y22=""),"-",Y22)</f>
        <v>-</v>
      </c>
      <c r="AL22" s="78" t="str">
        <f t="shared" ref="AL22:AL50" si="3">IFERROR(SMALL($AH22:$AK22,COUNTIF($AH22:$AK22,0)+1),"")</f>
        <v/>
      </c>
      <c r="AM22" s="74" t="str">
        <f t="shared" ref="AM22:AM49" si="4">IF(AL22=AH22,$AH$19,IF(AL22=AI22,$AI$19,IF(AL22=AJ22,$AJ$19,IF(AL22=AK22,$AK$19,""))))</f>
        <v/>
      </c>
      <c r="AN22" s="72" t="str">
        <f t="shared" ref="AN22:AN50" si="5">IFERROR(SMALL($AH22:$AK22,2),"")</f>
        <v/>
      </c>
      <c r="AO22" s="71" t="str">
        <f>IFERROR(IF(($AN22-$AL22)/$AL22&lt;0%,"",($AN22-$AL22)/$AL22),"")</f>
        <v/>
      </c>
      <c r="AP22" s="74" t="str">
        <f t="shared" ref="AP22:AP49" si="6">IFERROR(IF(AN22="","",IF(AN22=AH22,$AH$19,IF(AN22=AI22,$AI$19,IF(AN22=AJ22,$AJ$19,IF(AN22=AK22,$AK$19,""))))),"")</f>
        <v/>
      </c>
      <c r="AQ22" s="72" t="str">
        <f t="shared" ref="AQ22:AQ50" si="7">IFERROR(SMALL($AH22:$AK22,3),"")</f>
        <v/>
      </c>
      <c r="AR22" s="71" t="str">
        <f>IFERROR(IF((AQ22-$AL22)/$AL22&lt;0%,"",(AQ22-$AL22)/$AL22),"")</f>
        <v/>
      </c>
      <c r="AS22" s="74" t="str">
        <f t="shared" ref="AS22:AS49" si="8">IFERROR(IF(AQ22="","",IF(AQ22=AH22,$AH$19,IF(AQ22=AI22,$AI$19,IF(AQ22=AJ22,$AJ$19,IF(AQ22=AK22,$AK$19,""))))),"")</f>
        <v/>
      </c>
      <c r="AU22" s="99">
        <f t="shared" ref="AU22:AU49" si="9">SUMIFS($AL$22:$AL$49,$AM$22:$AM$49,AV22)</f>
        <v>0</v>
      </c>
      <c r="AV22" s="103" t="str" cm="1">
        <f t="array" ref="AV22">IFERROR(INDEX(_xlfn.UNIQUE(_xlfn._xlws.FILTER($AM$22:$AM$49,($AM$22:$AM$49&lt;&gt;"")*($AM$22:$AM$49&lt;&gt;"-"))),ROWS($AV22:AV$22)),"")</f>
        <v/>
      </c>
    </row>
    <row r="23" spans="2:48" s="1" customFormat="1" ht="61.5" customHeight="1" x14ac:dyDescent="0.25">
      <c r="B23" s="38">
        <f>B22+1</f>
        <v>2</v>
      </c>
      <c r="C23" s="210"/>
      <c r="D23" s="210"/>
      <c r="E23" s="210"/>
      <c r="F23" s="210"/>
      <c r="G23" s="39"/>
      <c r="H23" s="40"/>
      <c r="I23" s="41"/>
      <c r="J23" s="42" t="str">
        <f t="shared" ref="J23:J49" si="10">IF($G23="","",$G23*I23)</f>
        <v/>
      </c>
      <c r="K23" s="90"/>
      <c r="L23" s="206" t="str">
        <f t="shared" ref="L23:L49" si="11">IF($I23="","No Quote",IF($K23="","","No Comply"))</f>
        <v>No Quote</v>
      </c>
      <c r="M23" s="207"/>
      <c r="N23" s="41"/>
      <c r="O23" s="42" t="str">
        <f t="shared" ref="O23:O49" si="12">IF($G23="","",$G23*N23)</f>
        <v/>
      </c>
      <c r="P23" s="89"/>
      <c r="Q23" s="206" t="str">
        <f t="shared" ref="Q23:Q49" si="13">IF($N23="","No Quote",IF($P23="","","No Comply"))</f>
        <v>No Quote</v>
      </c>
      <c r="R23" s="207"/>
      <c r="S23" s="41"/>
      <c r="T23" s="42" t="str">
        <f t="shared" ref="T23:T49" si="14">IF($G23="","",$G23*S23)</f>
        <v/>
      </c>
      <c r="U23" s="89"/>
      <c r="V23" s="206" t="str">
        <f t="shared" ref="V23:V49" si="15">IF($S23="","No Quote",IF($U23="","","No Comply"))</f>
        <v>No Quote</v>
      </c>
      <c r="W23" s="207"/>
      <c r="X23" s="41"/>
      <c r="Y23" s="42" t="str">
        <f t="shared" ref="Y23:Y49" si="16">IF($G23="","",$G23*X23)</f>
        <v/>
      </c>
      <c r="Z23" s="89"/>
      <c r="AA23" s="208" t="str">
        <f t="shared" ref="AA23:AA49" si="17">IF($X23="","No Quote",IF($Z23="","","No Comply"))</f>
        <v>No Quote</v>
      </c>
      <c r="AB23" s="209"/>
      <c r="AC23" s="87"/>
      <c r="AD23" s="93"/>
      <c r="AE23" s="63" t="str">
        <f t="shared" ref="AE23:AE49" si="18">IF(AC23="","",$AC23*$G23)</f>
        <v/>
      </c>
      <c r="AF23" s="92"/>
      <c r="AG23" s="92"/>
      <c r="AH23" s="77" t="str">
        <f t="shared" ref="AH23:AH49" si="19">IF(OR(K23="X",J23=""),"-",J23)</f>
        <v>-</v>
      </c>
      <c r="AI23" s="77" t="str">
        <f t="shared" ref="AI23:AI49" si="20">IF(OR(P23="X",O23=""),"-",O23)</f>
        <v>-</v>
      </c>
      <c r="AJ23" s="77" t="str">
        <f t="shared" ref="AJ23:AJ49" si="21">IF(OR(U23="X",T23=""),"-",T23)</f>
        <v>-</v>
      </c>
      <c r="AK23" s="77" t="str">
        <f t="shared" ref="AK23:AK49" si="22">IF(OR(Z23="X",Y23=""),"-",Y23)</f>
        <v>-</v>
      </c>
      <c r="AL23" s="78" t="str">
        <f t="shared" si="3"/>
        <v/>
      </c>
      <c r="AM23" s="74" t="str">
        <f t="shared" si="4"/>
        <v/>
      </c>
      <c r="AN23" s="72" t="str">
        <f t="shared" si="5"/>
        <v/>
      </c>
      <c r="AO23" s="71" t="str">
        <f t="shared" ref="AO23:AO50" si="23">IFERROR(IF(($AN23-$AL23)/$AL23&lt;0%,"",($AN23-$AL23)/$AL23),"")</f>
        <v/>
      </c>
      <c r="AP23" s="74" t="str">
        <f t="shared" si="6"/>
        <v/>
      </c>
      <c r="AQ23" s="72" t="str">
        <f t="shared" si="7"/>
        <v/>
      </c>
      <c r="AR23" s="71" t="str">
        <f t="shared" ref="AR23:AR49" si="24">IFERROR(IF((AQ23-$AL23)/$AL23&lt;0%,"",(AQ23-$AL23)/$AL23),"")</f>
        <v/>
      </c>
      <c r="AS23" s="74" t="str">
        <f t="shared" si="8"/>
        <v/>
      </c>
      <c r="AU23" s="99">
        <f t="shared" si="9"/>
        <v>0</v>
      </c>
      <c r="AV23" s="103" t="str" cm="1">
        <f t="array" ref="AV23">IFERROR(INDEX(_xlfn.UNIQUE(_xlfn._xlws.FILTER($AM$22:$AM$49,($AM$22:$AM$49&lt;&gt;"")*($AM$22:$AM$49&lt;&gt;"-"))),ROWS($AV$22:AV23)),"")</f>
        <v/>
      </c>
    </row>
    <row r="24" spans="2:48" s="1" customFormat="1" ht="61.5" customHeight="1" x14ac:dyDescent="0.25">
      <c r="B24" s="38">
        <f t="shared" ref="B24:B49" si="25">B23+1</f>
        <v>3</v>
      </c>
      <c r="C24" s="210"/>
      <c r="D24" s="210"/>
      <c r="E24" s="210"/>
      <c r="F24" s="210"/>
      <c r="G24" s="39"/>
      <c r="H24" s="40"/>
      <c r="I24" s="41"/>
      <c r="J24" s="42" t="str">
        <f t="shared" si="10"/>
        <v/>
      </c>
      <c r="K24" s="90"/>
      <c r="L24" s="206" t="str">
        <f t="shared" si="11"/>
        <v>No Quote</v>
      </c>
      <c r="M24" s="207"/>
      <c r="N24" s="41"/>
      <c r="O24" s="42" t="str">
        <f t="shared" si="12"/>
        <v/>
      </c>
      <c r="P24" s="89"/>
      <c r="Q24" s="206" t="str">
        <f t="shared" si="13"/>
        <v>No Quote</v>
      </c>
      <c r="R24" s="207"/>
      <c r="S24" s="41"/>
      <c r="T24" s="42" t="str">
        <f t="shared" si="14"/>
        <v/>
      </c>
      <c r="U24" s="89"/>
      <c r="V24" s="206" t="str">
        <f t="shared" si="15"/>
        <v>No Quote</v>
      </c>
      <c r="W24" s="207"/>
      <c r="X24" s="41"/>
      <c r="Y24" s="42" t="str">
        <f t="shared" si="16"/>
        <v/>
      </c>
      <c r="Z24" s="89"/>
      <c r="AA24" s="208" t="str">
        <f t="shared" si="17"/>
        <v>No Quote</v>
      </c>
      <c r="AB24" s="209"/>
      <c r="AC24" s="87"/>
      <c r="AD24" s="93"/>
      <c r="AE24" s="63" t="str">
        <f t="shared" si="18"/>
        <v/>
      </c>
      <c r="AF24" s="92"/>
      <c r="AG24" s="92"/>
      <c r="AH24" s="77" t="str">
        <f t="shared" si="19"/>
        <v>-</v>
      </c>
      <c r="AI24" s="77" t="str">
        <f t="shared" si="20"/>
        <v>-</v>
      </c>
      <c r="AJ24" s="77" t="str">
        <f t="shared" si="21"/>
        <v>-</v>
      </c>
      <c r="AK24" s="77" t="str">
        <f t="shared" si="22"/>
        <v>-</v>
      </c>
      <c r="AL24" s="78" t="str">
        <f t="shared" si="3"/>
        <v/>
      </c>
      <c r="AM24" s="74" t="str">
        <f t="shared" si="4"/>
        <v/>
      </c>
      <c r="AN24" s="72" t="str">
        <f t="shared" si="5"/>
        <v/>
      </c>
      <c r="AO24" s="71" t="str">
        <f t="shared" si="23"/>
        <v/>
      </c>
      <c r="AP24" s="74" t="str">
        <f t="shared" si="6"/>
        <v/>
      </c>
      <c r="AQ24" s="72" t="str">
        <f t="shared" si="7"/>
        <v/>
      </c>
      <c r="AR24" s="71" t="str">
        <f t="shared" si="24"/>
        <v/>
      </c>
      <c r="AS24" s="74" t="str">
        <f t="shared" si="8"/>
        <v/>
      </c>
      <c r="AU24" s="99">
        <f t="shared" si="9"/>
        <v>0</v>
      </c>
      <c r="AV24" s="103" t="str" cm="1">
        <f t="array" ref="AV24">IFERROR(INDEX(_xlfn.UNIQUE(_xlfn._xlws.FILTER($AM$22:$AM$49,($AM$22:$AM$49&lt;&gt;"")*($AM$22:$AM$49&lt;&gt;"-"))),ROWS($AV$22:AV24)),"")</f>
        <v/>
      </c>
    </row>
    <row r="25" spans="2:48" s="1" customFormat="1" ht="61.5" customHeight="1" x14ac:dyDescent="0.25">
      <c r="B25" s="38">
        <f t="shared" si="25"/>
        <v>4</v>
      </c>
      <c r="C25" s="210"/>
      <c r="D25" s="210"/>
      <c r="E25" s="210"/>
      <c r="F25" s="210"/>
      <c r="G25" s="39"/>
      <c r="H25" s="40"/>
      <c r="I25" s="41"/>
      <c r="J25" s="42" t="str">
        <f t="shared" si="10"/>
        <v/>
      </c>
      <c r="K25" s="90"/>
      <c r="L25" s="206" t="str">
        <f t="shared" si="11"/>
        <v>No Quote</v>
      </c>
      <c r="M25" s="207"/>
      <c r="N25" s="41"/>
      <c r="O25" s="42" t="str">
        <f t="shared" si="12"/>
        <v/>
      </c>
      <c r="P25" s="89"/>
      <c r="Q25" s="206" t="str">
        <f t="shared" si="13"/>
        <v>No Quote</v>
      </c>
      <c r="R25" s="207"/>
      <c r="S25" s="41"/>
      <c r="T25" s="42" t="str">
        <f t="shared" si="14"/>
        <v/>
      </c>
      <c r="U25" s="89"/>
      <c r="V25" s="206" t="str">
        <f t="shared" si="15"/>
        <v>No Quote</v>
      </c>
      <c r="W25" s="207"/>
      <c r="X25" s="41"/>
      <c r="Y25" s="42" t="str">
        <f t="shared" si="16"/>
        <v/>
      </c>
      <c r="Z25" s="89"/>
      <c r="AA25" s="208" t="str">
        <f t="shared" si="17"/>
        <v>No Quote</v>
      </c>
      <c r="AB25" s="209"/>
      <c r="AC25" s="87"/>
      <c r="AD25" s="93"/>
      <c r="AE25" s="63" t="str">
        <f t="shared" si="18"/>
        <v/>
      </c>
      <c r="AF25" s="92"/>
      <c r="AG25" s="92"/>
      <c r="AH25" s="77" t="str">
        <f t="shared" si="19"/>
        <v>-</v>
      </c>
      <c r="AI25" s="77" t="str">
        <f t="shared" si="20"/>
        <v>-</v>
      </c>
      <c r="AJ25" s="77" t="str">
        <f t="shared" si="21"/>
        <v>-</v>
      </c>
      <c r="AK25" s="77" t="str">
        <f t="shared" si="22"/>
        <v>-</v>
      </c>
      <c r="AL25" s="78" t="str">
        <f t="shared" si="3"/>
        <v/>
      </c>
      <c r="AM25" s="74" t="str">
        <f t="shared" si="4"/>
        <v/>
      </c>
      <c r="AN25" s="72" t="str">
        <f t="shared" si="5"/>
        <v/>
      </c>
      <c r="AO25" s="71" t="str">
        <f t="shared" si="23"/>
        <v/>
      </c>
      <c r="AP25" s="74" t="str">
        <f t="shared" si="6"/>
        <v/>
      </c>
      <c r="AQ25" s="72" t="str">
        <f t="shared" si="7"/>
        <v/>
      </c>
      <c r="AR25" s="71" t="str">
        <f t="shared" si="24"/>
        <v/>
      </c>
      <c r="AS25" s="74" t="str">
        <f t="shared" si="8"/>
        <v/>
      </c>
      <c r="AU25" s="99">
        <f t="shared" si="9"/>
        <v>0</v>
      </c>
      <c r="AV25" s="103" t="str" cm="1">
        <f t="array" ref="AV25">IFERROR(INDEX(_xlfn.UNIQUE(_xlfn._xlws.FILTER($AM$22:$AM$49,($AM$22:$AM$49&lt;&gt;"")*($AM$22:$AM$49&lt;&gt;"-"))),ROWS($AV$22:AV25)),"")</f>
        <v/>
      </c>
    </row>
    <row r="26" spans="2:48" s="1" customFormat="1" ht="61.5" customHeight="1" x14ac:dyDescent="0.25">
      <c r="B26" s="38">
        <f t="shared" si="25"/>
        <v>5</v>
      </c>
      <c r="C26" s="210"/>
      <c r="D26" s="210"/>
      <c r="E26" s="210"/>
      <c r="F26" s="210"/>
      <c r="G26" s="39"/>
      <c r="H26" s="40"/>
      <c r="I26" s="41"/>
      <c r="J26" s="42" t="str">
        <f t="shared" si="10"/>
        <v/>
      </c>
      <c r="K26" s="90"/>
      <c r="L26" s="206" t="str">
        <f t="shared" si="11"/>
        <v>No Quote</v>
      </c>
      <c r="M26" s="207"/>
      <c r="N26" s="41"/>
      <c r="O26" s="42" t="str">
        <f t="shared" si="12"/>
        <v/>
      </c>
      <c r="P26" s="89"/>
      <c r="Q26" s="206" t="str">
        <f t="shared" si="13"/>
        <v>No Quote</v>
      </c>
      <c r="R26" s="207"/>
      <c r="S26" s="41"/>
      <c r="T26" s="42" t="str">
        <f t="shared" si="14"/>
        <v/>
      </c>
      <c r="U26" s="89"/>
      <c r="V26" s="206" t="str">
        <f t="shared" si="15"/>
        <v>No Quote</v>
      </c>
      <c r="W26" s="207"/>
      <c r="X26" s="41"/>
      <c r="Y26" s="42" t="str">
        <f t="shared" si="16"/>
        <v/>
      </c>
      <c r="Z26" s="89"/>
      <c r="AA26" s="208" t="str">
        <f t="shared" si="17"/>
        <v>No Quote</v>
      </c>
      <c r="AB26" s="209"/>
      <c r="AC26" s="87"/>
      <c r="AD26" s="93"/>
      <c r="AE26" s="63" t="str">
        <f t="shared" si="18"/>
        <v/>
      </c>
      <c r="AF26" s="92"/>
      <c r="AG26" s="92"/>
      <c r="AH26" s="77" t="str">
        <f t="shared" si="19"/>
        <v>-</v>
      </c>
      <c r="AI26" s="77" t="str">
        <f t="shared" si="20"/>
        <v>-</v>
      </c>
      <c r="AJ26" s="77" t="str">
        <f t="shared" si="21"/>
        <v>-</v>
      </c>
      <c r="AK26" s="77" t="str">
        <f t="shared" si="22"/>
        <v>-</v>
      </c>
      <c r="AL26" s="78" t="str">
        <f t="shared" si="3"/>
        <v/>
      </c>
      <c r="AM26" s="74" t="str">
        <f t="shared" si="4"/>
        <v/>
      </c>
      <c r="AN26" s="72" t="str">
        <f t="shared" si="5"/>
        <v/>
      </c>
      <c r="AO26" s="71" t="str">
        <f t="shared" si="23"/>
        <v/>
      </c>
      <c r="AP26" s="74" t="str">
        <f t="shared" si="6"/>
        <v/>
      </c>
      <c r="AQ26" s="72" t="str">
        <f t="shared" si="7"/>
        <v/>
      </c>
      <c r="AR26" s="71" t="str">
        <f t="shared" si="24"/>
        <v/>
      </c>
      <c r="AS26" s="74" t="str">
        <f t="shared" si="8"/>
        <v/>
      </c>
      <c r="AU26" s="99">
        <f t="shared" si="9"/>
        <v>0</v>
      </c>
      <c r="AV26" s="103" t="str" cm="1">
        <f t="array" ref="AV26">IFERROR(INDEX(_xlfn.UNIQUE(_xlfn._xlws.FILTER($AM$22:$AM$49,($AM$22:$AM$49&lt;&gt;"")*($AM$22:$AM$49&lt;&gt;"-"))),ROWS($AV$22:AV26)),"")</f>
        <v/>
      </c>
    </row>
    <row r="27" spans="2:48" s="1" customFormat="1" ht="61.5" customHeight="1" outlineLevel="1" x14ac:dyDescent="0.25">
      <c r="B27" s="38">
        <f t="shared" si="25"/>
        <v>6</v>
      </c>
      <c r="C27" s="210"/>
      <c r="D27" s="210"/>
      <c r="E27" s="210"/>
      <c r="F27" s="210"/>
      <c r="G27" s="39"/>
      <c r="H27" s="40"/>
      <c r="I27" s="41"/>
      <c r="J27" s="42" t="str">
        <f t="shared" si="10"/>
        <v/>
      </c>
      <c r="K27" s="90"/>
      <c r="L27" s="206" t="str">
        <f t="shared" si="11"/>
        <v>No Quote</v>
      </c>
      <c r="M27" s="207"/>
      <c r="N27" s="41"/>
      <c r="O27" s="42" t="str">
        <f t="shared" si="12"/>
        <v/>
      </c>
      <c r="P27" s="89"/>
      <c r="Q27" s="206" t="str">
        <f t="shared" si="13"/>
        <v>No Quote</v>
      </c>
      <c r="R27" s="207"/>
      <c r="S27" s="41"/>
      <c r="T27" s="42" t="str">
        <f t="shared" si="14"/>
        <v/>
      </c>
      <c r="U27" s="89"/>
      <c r="V27" s="206" t="str">
        <f t="shared" si="15"/>
        <v>No Quote</v>
      </c>
      <c r="W27" s="207"/>
      <c r="X27" s="41"/>
      <c r="Y27" s="42" t="str">
        <f t="shared" si="16"/>
        <v/>
      </c>
      <c r="Z27" s="89"/>
      <c r="AA27" s="208" t="str">
        <f t="shared" si="17"/>
        <v>No Quote</v>
      </c>
      <c r="AB27" s="209"/>
      <c r="AC27" s="87"/>
      <c r="AD27" s="93"/>
      <c r="AE27" s="63" t="str">
        <f t="shared" si="18"/>
        <v/>
      </c>
      <c r="AF27" s="92"/>
      <c r="AG27" s="92"/>
      <c r="AH27" s="77" t="str">
        <f t="shared" si="19"/>
        <v>-</v>
      </c>
      <c r="AI27" s="77" t="str">
        <f t="shared" si="20"/>
        <v>-</v>
      </c>
      <c r="AJ27" s="77" t="str">
        <f t="shared" si="21"/>
        <v>-</v>
      </c>
      <c r="AK27" s="77" t="str">
        <f t="shared" si="22"/>
        <v>-</v>
      </c>
      <c r="AL27" s="78" t="str">
        <f t="shared" si="3"/>
        <v/>
      </c>
      <c r="AM27" s="74" t="str">
        <f t="shared" si="4"/>
        <v/>
      </c>
      <c r="AN27" s="72" t="str">
        <f t="shared" si="5"/>
        <v/>
      </c>
      <c r="AO27" s="71" t="str">
        <f t="shared" si="23"/>
        <v/>
      </c>
      <c r="AP27" s="74" t="str">
        <f t="shared" si="6"/>
        <v/>
      </c>
      <c r="AQ27" s="72" t="str">
        <f t="shared" si="7"/>
        <v/>
      </c>
      <c r="AR27" s="71" t="str">
        <f t="shared" si="24"/>
        <v/>
      </c>
      <c r="AS27" s="74" t="str">
        <f t="shared" si="8"/>
        <v/>
      </c>
      <c r="AU27" s="99">
        <f t="shared" si="9"/>
        <v>0</v>
      </c>
      <c r="AV27" s="103" t="str" cm="1">
        <f t="array" ref="AV27">IFERROR(INDEX(_xlfn.UNIQUE(_xlfn._xlws.FILTER($AM$22:$AM$49,($AM$22:$AM$49&lt;&gt;"")*($AM$22:$AM$49&lt;&gt;"-"))),ROWS($AV$22:AV27)),"")</f>
        <v/>
      </c>
    </row>
    <row r="28" spans="2:48" s="1" customFormat="1" ht="61.5" customHeight="1" outlineLevel="1" x14ac:dyDescent="0.25">
      <c r="B28" s="38">
        <f t="shared" si="25"/>
        <v>7</v>
      </c>
      <c r="C28" s="210"/>
      <c r="D28" s="210"/>
      <c r="E28" s="210"/>
      <c r="F28" s="210"/>
      <c r="G28" s="39"/>
      <c r="H28" s="40"/>
      <c r="I28" s="41"/>
      <c r="J28" s="42" t="str">
        <f t="shared" si="10"/>
        <v/>
      </c>
      <c r="K28" s="90"/>
      <c r="L28" s="206" t="str">
        <f t="shared" si="11"/>
        <v>No Quote</v>
      </c>
      <c r="M28" s="207"/>
      <c r="N28" s="41"/>
      <c r="O28" s="42" t="str">
        <f t="shared" si="12"/>
        <v/>
      </c>
      <c r="P28" s="89"/>
      <c r="Q28" s="206" t="str">
        <f t="shared" si="13"/>
        <v>No Quote</v>
      </c>
      <c r="R28" s="207"/>
      <c r="S28" s="41"/>
      <c r="T28" s="42" t="str">
        <f t="shared" si="14"/>
        <v/>
      </c>
      <c r="U28" s="89"/>
      <c r="V28" s="206" t="str">
        <f t="shared" si="15"/>
        <v>No Quote</v>
      </c>
      <c r="W28" s="207"/>
      <c r="X28" s="41"/>
      <c r="Y28" s="42" t="str">
        <f t="shared" si="16"/>
        <v/>
      </c>
      <c r="Z28" s="89"/>
      <c r="AA28" s="208" t="str">
        <f t="shared" si="17"/>
        <v>No Quote</v>
      </c>
      <c r="AB28" s="209"/>
      <c r="AC28" s="87"/>
      <c r="AD28" s="93"/>
      <c r="AE28" s="63" t="str">
        <f t="shared" si="18"/>
        <v/>
      </c>
      <c r="AF28" s="92"/>
      <c r="AG28" s="92"/>
      <c r="AH28" s="77" t="str">
        <f t="shared" si="19"/>
        <v>-</v>
      </c>
      <c r="AI28" s="77" t="str">
        <f t="shared" si="20"/>
        <v>-</v>
      </c>
      <c r="AJ28" s="77" t="str">
        <f t="shared" si="21"/>
        <v>-</v>
      </c>
      <c r="AK28" s="77" t="str">
        <f t="shared" si="22"/>
        <v>-</v>
      </c>
      <c r="AL28" s="78" t="str">
        <f t="shared" si="3"/>
        <v/>
      </c>
      <c r="AM28" s="74" t="str">
        <f t="shared" si="4"/>
        <v/>
      </c>
      <c r="AN28" s="72" t="str">
        <f t="shared" si="5"/>
        <v/>
      </c>
      <c r="AO28" s="71" t="str">
        <f t="shared" si="23"/>
        <v/>
      </c>
      <c r="AP28" s="74" t="str">
        <f t="shared" si="6"/>
        <v/>
      </c>
      <c r="AQ28" s="72" t="str">
        <f t="shared" si="7"/>
        <v/>
      </c>
      <c r="AR28" s="71" t="str">
        <f t="shared" si="24"/>
        <v/>
      </c>
      <c r="AS28" s="74" t="str">
        <f t="shared" si="8"/>
        <v/>
      </c>
      <c r="AU28" s="99">
        <f t="shared" si="9"/>
        <v>0</v>
      </c>
      <c r="AV28" s="103" t="str" cm="1">
        <f t="array" ref="AV28">IFERROR(INDEX(_xlfn.UNIQUE(_xlfn._xlws.FILTER($AM$22:$AM$49,($AM$22:$AM$49&lt;&gt;"")*($AM$22:$AM$49&lt;&gt;"-"))),ROWS($AV$22:AV28)),"")</f>
        <v/>
      </c>
    </row>
    <row r="29" spans="2:48" s="1" customFormat="1" ht="61.5" customHeight="1" outlineLevel="1" x14ac:dyDescent="0.25">
      <c r="B29" s="38">
        <f t="shared" si="25"/>
        <v>8</v>
      </c>
      <c r="C29" s="210"/>
      <c r="D29" s="210"/>
      <c r="E29" s="210"/>
      <c r="F29" s="210"/>
      <c r="G29" s="39"/>
      <c r="H29" s="40"/>
      <c r="I29" s="41"/>
      <c r="J29" s="42" t="str">
        <f t="shared" si="10"/>
        <v/>
      </c>
      <c r="K29" s="90"/>
      <c r="L29" s="206" t="str">
        <f t="shared" si="11"/>
        <v>No Quote</v>
      </c>
      <c r="M29" s="207"/>
      <c r="N29" s="41"/>
      <c r="O29" s="42" t="str">
        <f t="shared" si="12"/>
        <v/>
      </c>
      <c r="P29" s="89"/>
      <c r="Q29" s="206" t="str">
        <f t="shared" si="13"/>
        <v>No Quote</v>
      </c>
      <c r="R29" s="207"/>
      <c r="S29" s="41"/>
      <c r="T29" s="42" t="str">
        <f t="shared" si="14"/>
        <v/>
      </c>
      <c r="U29" s="89"/>
      <c r="V29" s="206" t="str">
        <f t="shared" si="15"/>
        <v>No Quote</v>
      </c>
      <c r="W29" s="207"/>
      <c r="X29" s="41"/>
      <c r="Y29" s="42" t="str">
        <f t="shared" si="16"/>
        <v/>
      </c>
      <c r="Z29" s="89"/>
      <c r="AA29" s="208" t="str">
        <f t="shared" si="17"/>
        <v>No Quote</v>
      </c>
      <c r="AB29" s="209"/>
      <c r="AC29" s="87"/>
      <c r="AD29" s="93"/>
      <c r="AE29" s="63" t="str">
        <f t="shared" si="18"/>
        <v/>
      </c>
      <c r="AF29" s="92"/>
      <c r="AG29" s="92"/>
      <c r="AH29" s="77" t="str">
        <f t="shared" si="19"/>
        <v>-</v>
      </c>
      <c r="AI29" s="77" t="str">
        <f t="shared" si="20"/>
        <v>-</v>
      </c>
      <c r="AJ29" s="77" t="str">
        <f t="shared" si="21"/>
        <v>-</v>
      </c>
      <c r="AK29" s="77" t="str">
        <f t="shared" si="22"/>
        <v>-</v>
      </c>
      <c r="AL29" s="78" t="str">
        <f t="shared" si="3"/>
        <v/>
      </c>
      <c r="AM29" s="74" t="str">
        <f t="shared" si="4"/>
        <v/>
      </c>
      <c r="AN29" s="72" t="str">
        <f t="shared" si="5"/>
        <v/>
      </c>
      <c r="AO29" s="71" t="str">
        <f t="shared" si="23"/>
        <v/>
      </c>
      <c r="AP29" s="74" t="str">
        <f t="shared" si="6"/>
        <v/>
      </c>
      <c r="AQ29" s="72" t="str">
        <f t="shared" si="7"/>
        <v/>
      </c>
      <c r="AR29" s="71" t="str">
        <f t="shared" si="24"/>
        <v/>
      </c>
      <c r="AS29" s="74" t="str">
        <f t="shared" si="8"/>
        <v/>
      </c>
      <c r="AU29" s="99">
        <f t="shared" si="9"/>
        <v>0</v>
      </c>
      <c r="AV29" s="103" t="str" cm="1">
        <f t="array" ref="AV29">IFERROR(INDEX(_xlfn.UNIQUE(_xlfn._xlws.FILTER($AM$22:$AM$49,($AM$22:$AM$49&lt;&gt;"")*($AM$22:$AM$49&lt;&gt;"-"))),ROWS($AV$22:AV29)),"")</f>
        <v/>
      </c>
    </row>
    <row r="30" spans="2:48" s="1" customFormat="1" ht="61.5" customHeight="1" outlineLevel="1" x14ac:dyDescent="0.25">
      <c r="B30" s="38">
        <f t="shared" si="25"/>
        <v>9</v>
      </c>
      <c r="C30" s="210"/>
      <c r="D30" s="210"/>
      <c r="E30" s="210"/>
      <c r="F30" s="210"/>
      <c r="G30" s="39"/>
      <c r="H30" s="40"/>
      <c r="I30" s="41"/>
      <c r="J30" s="42" t="str">
        <f t="shared" si="10"/>
        <v/>
      </c>
      <c r="K30" s="90"/>
      <c r="L30" s="206" t="str">
        <f t="shared" si="11"/>
        <v>No Quote</v>
      </c>
      <c r="M30" s="207"/>
      <c r="N30" s="41"/>
      <c r="O30" s="42" t="str">
        <f t="shared" si="12"/>
        <v/>
      </c>
      <c r="P30" s="89"/>
      <c r="Q30" s="206" t="str">
        <f t="shared" si="13"/>
        <v>No Quote</v>
      </c>
      <c r="R30" s="207"/>
      <c r="S30" s="41"/>
      <c r="T30" s="42" t="str">
        <f t="shared" si="14"/>
        <v/>
      </c>
      <c r="U30" s="89"/>
      <c r="V30" s="206" t="str">
        <f t="shared" si="15"/>
        <v>No Quote</v>
      </c>
      <c r="W30" s="207"/>
      <c r="X30" s="41"/>
      <c r="Y30" s="42" t="str">
        <f t="shared" si="16"/>
        <v/>
      </c>
      <c r="Z30" s="89"/>
      <c r="AA30" s="208" t="str">
        <f t="shared" si="17"/>
        <v>No Quote</v>
      </c>
      <c r="AB30" s="209"/>
      <c r="AC30" s="87"/>
      <c r="AD30" s="93"/>
      <c r="AE30" s="63" t="str">
        <f t="shared" si="18"/>
        <v/>
      </c>
      <c r="AF30" s="92"/>
      <c r="AG30" s="92"/>
      <c r="AH30" s="77" t="str">
        <f t="shared" si="19"/>
        <v>-</v>
      </c>
      <c r="AI30" s="77" t="str">
        <f t="shared" si="20"/>
        <v>-</v>
      </c>
      <c r="AJ30" s="77" t="str">
        <f t="shared" si="21"/>
        <v>-</v>
      </c>
      <c r="AK30" s="77" t="str">
        <f t="shared" si="22"/>
        <v>-</v>
      </c>
      <c r="AL30" s="78" t="str">
        <f t="shared" si="3"/>
        <v/>
      </c>
      <c r="AM30" s="74" t="str">
        <f t="shared" si="4"/>
        <v/>
      </c>
      <c r="AN30" s="72" t="str">
        <f t="shared" si="5"/>
        <v/>
      </c>
      <c r="AO30" s="71" t="str">
        <f t="shared" si="23"/>
        <v/>
      </c>
      <c r="AP30" s="74" t="str">
        <f t="shared" si="6"/>
        <v/>
      </c>
      <c r="AQ30" s="72" t="str">
        <f t="shared" si="7"/>
        <v/>
      </c>
      <c r="AR30" s="71" t="str">
        <f t="shared" si="24"/>
        <v/>
      </c>
      <c r="AS30" s="74" t="str">
        <f t="shared" si="8"/>
        <v/>
      </c>
      <c r="AU30" s="99">
        <f t="shared" si="9"/>
        <v>0</v>
      </c>
      <c r="AV30" s="103" t="str" cm="1">
        <f t="array" ref="AV30">IFERROR(INDEX(_xlfn.UNIQUE(_xlfn._xlws.FILTER($AM$22:$AM$49,($AM$22:$AM$49&lt;&gt;"")*($AM$22:$AM$49&lt;&gt;"-"))),ROWS($AV$22:AV30)),"")</f>
        <v/>
      </c>
    </row>
    <row r="31" spans="2:48" s="1" customFormat="1" ht="61.5" customHeight="1" outlineLevel="1" x14ac:dyDescent="0.25">
      <c r="B31" s="38">
        <f t="shared" si="25"/>
        <v>10</v>
      </c>
      <c r="C31" s="210"/>
      <c r="D31" s="210"/>
      <c r="E31" s="210"/>
      <c r="F31" s="210"/>
      <c r="G31" s="39"/>
      <c r="H31" s="40"/>
      <c r="I31" s="41"/>
      <c r="J31" s="42" t="str">
        <f t="shared" si="10"/>
        <v/>
      </c>
      <c r="K31" s="90"/>
      <c r="L31" s="206" t="str">
        <f t="shared" si="11"/>
        <v>No Quote</v>
      </c>
      <c r="M31" s="207"/>
      <c r="N31" s="41"/>
      <c r="O31" s="42" t="str">
        <f t="shared" si="12"/>
        <v/>
      </c>
      <c r="P31" s="89"/>
      <c r="Q31" s="206" t="str">
        <f t="shared" si="13"/>
        <v>No Quote</v>
      </c>
      <c r="R31" s="207"/>
      <c r="S31" s="41"/>
      <c r="T31" s="42" t="str">
        <f t="shared" si="14"/>
        <v/>
      </c>
      <c r="U31" s="89"/>
      <c r="V31" s="206" t="str">
        <f t="shared" si="15"/>
        <v>No Quote</v>
      </c>
      <c r="W31" s="207"/>
      <c r="X31" s="41"/>
      <c r="Y31" s="42" t="str">
        <f t="shared" si="16"/>
        <v/>
      </c>
      <c r="Z31" s="89"/>
      <c r="AA31" s="208" t="str">
        <f t="shared" si="17"/>
        <v>No Quote</v>
      </c>
      <c r="AB31" s="209"/>
      <c r="AC31" s="87"/>
      <c r="AD31" s="93"/>
      <c r="AE31" s="63" t="str">
        <f t="shared" si="18"/>
        <v/>
      </c>
      <c r="AF31" s="92"/>
      <c r="AG31" s="92"/>
      <c r="AH31" s="77" t="str">
        <f t="shared" si="19"/>
        <v>-</v>
      </c>
      <c r="AI31" s="77" t="str">
        <f t="shared" si="20"/>
        <v>-</v>
      </c>
      <c r="AJ31" s="77" t="str">
        <f t="shared" si="21"/>
        <v>-</v>
      </c>
      <c r="AK31" s="77" t="str">
        <f t="shared" si="22"/>
        <v>-</v>
      </c>
      <c r="AL31" s="78" t="str">
        <f t="shared" si="3"/>
        <v/>
      </c>
      <c r="AM31" s="74" t="str">
        <f t="shared" si="4"/>
        <v/>
      </c>
      <c r="AN31" s="72" t="str">
        <f t="shared" si="5"/>
        <v/>
      </c>
      <c r="AO31" s="71" t="str">
        <f t="shared" si="23"/>
        <v/>
      </c>
      <c r="AP31" s="74" t="str">
        <f t="shared" si="6"/>
        <v/>
      </c>
      <c r="AQ31" s="72" t="str">
        <f t="shared" si="7"/>
        <v/>
      </c>
      <c r="AR31" s="71" t="str">
        <f t="shared" si="24"/>
        <v/>
      </c>
      <c r="AS31" s="74" t="str">
        <f t="shared" si="8"/>
        <v/>
      </c>
      <c r="AU31" s="99">
        <f t="shared" si="9"/>
        <v>0</v>
      </c>
      <c r="AV31" s="103" t="str" cm="1">
        <f t="array" ref="AV31">IFERROR(INDEX(_xlfn.UNIQUE(_xlfn._xlws.FILTER($AM$22:$AM$49,($AM$22:$AM$49&lt;&gt;"")*($AM$22:$AM$49&lt;&gt;"-"))),ROWS($AV$22:AV31)),"")</f>
        <v/>
      </c>
    </row>
    <row r="32" spans="2:48" s="1" customFormat="1" ht="61.5" customHeight="1" outlineLevel="1" x14ac:dyDescent="0.25">
      <c r="B32" s="38">
        <f t="shared" si="25"/>
        <v>11</v>
      </c>
      <c r="C32" s="210"/>
      <c r="D32" s="210"/>
      <c r="E32" s="210"/>
      <c r="F32" s="210"/>
      <c r="G32" s="39"/>
      <c r="H32" s="40"/>
      <c r="I32" s="41"/>
      <c r="J32" s="42" t="str">
        <f t="shared" si="10"/>
        <v/>
      </c>
      <c r="K32" s="90"/>
      <c r="L32" s="206" t="str">
        <f t="shared" si="11"/>
        <v>No Quote</v>
      </c>
      <c r="M32" s="207"/>
      <c r="N32" s="41"/>
      <c r="O32" s="42" t="str">
        <f t="shared" si="12"/>
        <v/>
      </c>
      <c r="P32" s="89"/>
      <c r="Q32" s="206" t="str">
        <f t="shared" si="13"/>
        <v>No Quote</v>
      </c>
      <c r="R32" s="207"/>
      <c r="S32" s="41"/>
      <c r="T32" s="42" t="str">
        <f t="shared" si="14"/>
        <v/>
      </c>
      <c r="U32" s="89"/>
      <c r="V32" s="206" t="str">
        <f t="shared" si="15"/>
        <v>No Quote</v>
      </c>
      <c r="W32" s="207"/>
      <c r="X32" s="41"/>
      <c r="Y32" s="42" t="str">
        <f t="shared" si="16"/>
        <v/>
      </c>
      <c r="Z32" s="89"/>
      <c r="AA32" s="208" t="str">
        <f t="shared" si="17"/>
        <v>No Quote</v>
      </c>
      <c r="AB32" s="209"/>
      <c r="AC32" s="87"/>
      <c r="AD32" s="93"/>
      <c r="AE32" s="63" t="str">
        <f t="shared" si="18"/>
        <v/>
      </c>
      <c r="AF32" s="92"/>
      <c r="AG32" s="92"/>
      <c r="AH32" s="77" t="str">
        <f t="shared" si="19"/>
        <v>-</v>
      </c>
      <c r="AI32" s="77" t="str">
        <f t="shared" si="20"/>
        <v>-</v>
      </c>
      <c r="AJ32" s="77" t="str">
        <f t="shared" si="21"/>
        <v>-</v>
      </c>
      <c r="AK32" s="77" t="str">
        <f t="shared" si="22"/>
        <v>-</v>
      </c>
      <c r="AL32" s="78" t="str">
        <f t="shared" si="3"/>
        <v/>
      </c>
      <c r="AM32" s="74" t="str">
        <f t="shared" si="4"/>
        <v/>
      </c>
      <c r="AN32" s="72" t="str">
        <f t="shared" si="5"/>
        <v/>
      </c>
      <c r="AO32" s="71" t="str">
        <f t="shared" si="23"/>
        <v/>
      </c>
      <c r="AP32" s="74" t="str">
        <f t="shared" si="6"/>
        <v/>
      </c>
      <c r="AQ32" s="72" t="str">
        <f t="shared" si="7"/>
        <v/>
      </c>
      <c r="AR32" s="71" t="str">
        <f t="shared" si="24"/>
        <v/>
      </c>
      <c r="AS32" s="74" t="str">
        <f t="shared" si="8"/>
        <v/>
      </c>
      <c r="AU32" s="99">
        <f t="shared" si="9"/>
        <v>0</v>
      </c>
      <c r="AV32" s="103" t="str" cm="1">
        <f t="array" ref="AV32">IFERROR(INDEX(_xlfn.UNIQUE(_xlfn._xlws.FILTER($AM$22:$AM$49,($AM$22:$AM$49&lt;&gt;"")*($AM$22:$AM$49&lt;&gt;"-"))),ROWS($AV$22:AV32)),"")</f>
        <v/>
      </c>
    </row>
    <row r="33" spans="2:48" s="1" customFormat="1" ht="61.5" customHeight="1" outlineLevel="1" x14ac:dyDescent="0.25">
      <c r="B33" s="38">
        <f t="shared" si="25"/>
        <v>12</v>
      </c>
      <c r="C33" s="210"/>
      <c r="D33" s="210"/>
      <c r="E33" s="210"/>
      <c r="F33" s="210"/>
      <c r="G33" s="39"/>
      <c r="H33" s="40"/>
      <c r="I33" s="41"/>
      <c r="J33" s="42" t="str">
        <f t="shared" si="10"/>
        <v/>
      </c>
      <c r="K33" s="90"/>
      <c r="L33" s="206" t="str">
        <f t="shared" si="11"/>
        <v>No Quote</v>
      </c>
      <c r="M33" s="207"/>
      <c r="N33" s="41"/>
      <c r="O33" s="42" t="str">
        <f t="shared" si="12"/>
        <v/>
      </c>
      <c r="P33" s="89"/>
      <c r="Q33" s="206" t="str">
        <f t="shared" si="13"/>
        <v>No Quote</v>
      </c>
      <c r="R33" s="207"/>
      <c r="S33" s="41"/>
      <c r="T33" s="42" t="str">
        <f t="shared" si="14"/>
        <v/>
      </c>
      <c r="U33" s="89"/>
      <c r="V33" s="206" t="str">
        <f t="shared" si="15"/>
        <v>No Quote</v>
      </c>
      <c r="W33" s="207"/>
      <c r="X33" s="41"/>
      <c r="Y33" s="42" t="str">
        <f t="shared" si="16"/>
        <v/>
      </c>
      <c r="Z33" s="89"/>
      <c r="AA33" s="208" t="str">
        <f t="shared" si="17"/>
        <v>No Quote</v>
      </c>
      <c r="AB33" s="209"/>
      <c r="AC33" s="87"/>
      <c r="AD33" s="93"/>
      <c r="AE33" s="63" t="str">
        <f t="shared" si="18"/>
        <v/>
      </c>
      <c r="AF33" s="92"/>
      <c r="AG33" s="92"/>
      <c r="AH33" s="77" t="str">
        <f t="shared" si="19"/>
        <v>-</v>
      </c>
      <c r="AI33" s="77" t="str">
        <f t="shared" si="20"/>
        <v>-</v>
      </c>
      <c r="AJ33" s="77" t="str">
        <f t="shared" si="21"/>
        <v>-</v>
      </c>
      <c r="AK33" s="77" t="str">
        <f t="shared" si="22"/>
        <v>-</v>
      </c>
      <c r="AL33" s="78" t="str">
        <f t="shared" si="3"/>
        <v/>
      </c>
      <c r="AM33" s="74" t="str">
        <f t="shared" si="4"/>
        <v/>
      </c>
      <c r="AN33" s="72" t="str">
        <f t="shared" si="5"/>
        <v/>
      </c>
      <c r="AO33" s="71" t="str">
        <f t="shared" si="23"/>
        <v/>
      </c>
      <c r="AP33" s="74" t="str">
        <f t="shared" si="6"/>
        <v/>
      </c>
      <c r="AQ33" s="72" t="str">
        <f t="shared" si="7"/>
        <v/>
      </c>
      <c r="AR33" s="71" t="str">
        <f t="shared" si="24"/>
        <v/>
      </c>
      <c r="AS33" s="74" t="str">
        <f t="shared" si="8"/>
        <v/>
      </c>
      <c r="AU33" s="99">
        <f t="shared" si="9"/>
        <v>0</v>
      </c>
      <c r="AV33" s="103" t="str" cm="1">
        <f t="array" ref="AV33">IFERROR(INDEX(_xlfn.UNIQUE(_xlfn._xlws.FILTER($AM$22:$AM$49,($AM$22:$AM$49&lt;&gt;"")*($AM$22:$AM$49&lt;&gt;"-"))),ROWS($AV$22:AV33)),"")</f>
        <v/>
      </c>
    </row>
    <row r="34" spans="2:48" s="1" customFormat="1" ht="61.5" customHeight="1" outlineLevel="1" x14ac:dyDescent="0.25">
      <c r="B34" s="38">
        <f t="shared" si="25"/>
        <v>13</v>
      </c>
      <c r="C34" s="210"/>
      <c r="D34" s="210"/>
      <c r="E34" s="210"/>
      <c r="F34" s="210"/>
      <c r="G34" s="39"/>
      <c r="H34" s="40"/>
      <c r="I34" s="41"/>
      <c r="J34" s="42" t="str">
        <f t="shared" si="10"/>
        <v/>
      </c>
      <c r="K34" s="90"/>
      <c r="L34" s="206" t="str">
        <f t="shared" si="11"/>
        <v>No Quote</v>
      </c>
      <c r="M34" s="207"/>
      <c r="N34" s="41"/>
      <c r="O34" s="42" t="str">
        <f t="shared" si="12"/>
        <v/>
      </c>
      <c r="P34" s="89"/>
      <c r="Q34" s="206" t="str">
        <f t="shared" si="13"/>
        <v>No Quote</v>
      </c>
      <c r="R34" s="207"/>
      <c r="S34" s="41"/>
      <c r="T34" s="42" t="str">
        <f t="shared" si="14"/>
        <v/>
      </c>
      <c r="U34" s="89"/>
      <c r="V34" s="206" t="str">
        <f t="shared" si="15"/>
        <v>No Quote</v>
      </c>
      <c r="W34" s="207"/>
      <c r="X34" s="41"/>
      <c r="Y34" s="42" t="str">
        <f t="shared" si="16"/>
        <v/>
      </c>
      <c r="Z34" s="89"/>
      <c r="AA34" s="208" t="str">
        <f t="shared" si="17"/>
        <v>No Quote</v>
      </c>
      <c r="AB34" s="209"/>
      <c r="AC34" s="87"/>
      <c r="AD34" s="93"/>
      <c r="AE34" s="63" t="str">
        <f t="shared" si="18"/>
        <v/>
      </c>
      <c r="AF34" s="92"/>
      <c r="AG34" s="92"/>
      <c r="AH34" s="77" t="str">
        <f t="shared" si="19"/>
        <v>-</v>
      </c>
      <c r="AI34" s="77" t="str">
        <f t="shared" si="20"/>
        <v>-</v>
      </c>
      <c r="AJ34" s="77" t="str">
        <f t="shared" si="21"/>
        <v>-</v>
      </c>
      <c r="AK34" s="77" t="str">
        <f t="shared" si="22"/>
        <v>-</v>
      </c>
      <c r="AL34" s="78" t="str">
        <f t="shared" si="3"/>
        <v/>
      </c>
      <c r="AM34" s="74" t="str">
        <f t="shared" si="4"/>
        <v/>
      </c>
      <c r="AN34" s="72" t="str">
        <f t="shared" si="5"/>
        <v/>
      </c>
      <c r="AO34" s="71" t="str">
        <f t="shared" si="23"/>
        <v/>
      </c>
      <c r="AP34" s="74" t="str">
        <f t="shared" si="6"/>
        <v/>
      </c>
      <c r="AQ34" s="72" t="str">
        <f t="shared" si="7"/>
        <v/>
      </c>
      <c r="AR34" s="71" t="str">
        <f t="shared" si="24"/>
        <v/>
      </c>
      <c r="AS34" s="74" t="str">
        <f t="shared" si="8"/>
        <v/>
      </c>
      <c r="AU34" s="99">
        <f t="shared" si="9"/>
        <v>0</v>
      </c>
      <c r="AV34" s="103" t="str" cm="1">
        <f t="array" ref="AV34">IFERROR(INDEX(_xlfn.UNIQUE(_xlfn._xlws.FILTER($AM$22:$AM$49,($AM$22:$AM$49&lt;&gt;"")*($AM$22:$AM$49&lt;&gt;"-"))),ROWS($AV$22:AV34)),"")</f>
        <v/>
      </c>
    </row>
    <row r="35" spans="2:48" s="1" customFormat="1" ht="61.5" customHeight="1" outlineLevel="1" x14ac:dyDescent="0.25">
      <c r="B35" s="38">
        <f t="shared" si="25"/>
        <v>14</v>
      </c>
      <c r="C35" s="210"/>
      <c r="D35" s="210"/>
      <c r="E35" s="210"/>
      <c r="F35" s="210"/>
      <c r="G35" s="39"/>
      <c r="H35" s="40"/>
      <c r="I35" s="41"/>
      <c r="J35" s="42" t="str">
        <f t="shared" si="10"/>
        <v/>
      </c>
      <c r="K35" s="90"/>
      <c r="L35" s="206" t="str">
        <f t="shared" si="11"/>
        <v>No Quote</v>
      </c>
      <c r="M35" s="207"/>
      <c r="N35" s="41"/>
      <c r="O35" s="42" t="str">
        <f t="shared" si="12"/>
        <v/>
      </c>
      <c r="P35" s="89"/>
      <c r="Q35" s="206" t="str">
        <f t="shared" si="13"/>
        <v>No Quote</v>
      </c>
      <c r="R35" s="207"/>
      <c r="S35" s="41"/>
      <c r="T35" s="42" t="str">
        <f t="shared" si="14"/>
        <v/>
      </c>
      <c r="U35" s="89"/>
      <c r="V35" s="206" t="str">
        <f t="shared" si="15"/>
        <v>No Quote</v>
      </c>
      <c r="W35" s="207"/>
      <c r="X35" s="41"/>
      <c r="Y35" s="42" t="str">
        <f t="shared" si="16"/>
        <v/>
      </c>
      <c r="Z35" s="89"/>
      <c r="AA35" s="208" t="str">
        <f t="shared" si="17"/>
        <v>No Quote</v>
      </c>
      <c r="AB35" s="209"/>
      <c r="AC35" s="87"/>
      <c r="AD35" s="93"/>
      <c r="AE35" s="63" t="str">
        <f t="shared" si="18"/>
        <v/>
      </c>
      <c r="AF35" s="92"/>
      <c r="AG35" s="92"/>
      <c r="AH35" s="77" t="str">
        <f t="shared" si="19"/>
        <v>-</v>
      </c>
      <c r="AI35" s="77" t="str">
        <f t="shared" si="20"/>
        <v>-</v>
      </c>
      <c r="AJ35" s="77" t="str">
        <f t="shared" si="21"/>
        <v>-</v>
      </c>
      <c r="AK35" s="77" t="str">
        <f t="shared" si="22"/>
        <v>-</v>
      </c>
      <c r="AL35" s="78" t="str">
        <f t="shared" si="3"/>
        <v/>
      </c>
      <c r="AM35" s="74" t="str">
        <f t="shared" si="4"/>
        <v/>
      </c>
      <c r="AN35" s="72" t="str">
        <f t="shared" si="5"/>
        <v/>
      </c>
      <c r="AO35" s="71" t="str">
        <f t="shared" si="23"/>
        <v/>
      </c>
      <c r="AP35" s="74" t="str">
        <f t="shared" si="6"/>
        <v/>
      </c>
      <c r="AQ35" s="72" t="str">
        <f t="shared" si="7"/>
        <v/>
      </c>
      <c r="AR35" s="71" t="str">
        <f t="shared" si="24"/>
        <v/>
      </c>
      <c r="AS35" s="74" t="str">
        <f t="shared" si="8"/>
        <v/>
      </c>
      <c r="AU35" s="99">
        <f t="shared" si="9"/>
        <v>0</v>
      </c>
      <c r="AV35" s="103" t="str" cm="1">
        <f t="array" ref="AV35">IFERROR(INDEX(_xlfn.UNIQUE(_xlfn._xlws.FILTER($AM$22:$AM$49,($AM$22:$AM$49&lt;&gt;"")*($AM$22:$AM$49&lt;&gt;"-"))),ROWS($AV$22:AV35)),"")</f>
        <v/>
      </c>
    </row>
    <row r="36" spans="2:48" s="1" customFormat="1" ht="61.5" customHeight="1" outlineLevel="1" x14ac:dyDescent="0.25">
      <c r="B36" s="38">
        <f t="shared" si="25"/>
        <v>15</v>
      </c>
      <c r="C36" s="210"/>
      <c r="D36" s="210"/>
      <c r="E36" s="210"/>
      <c r="F36" s="210"/>
      <c r="G36" s="39"/>
      <c r="H36" s="40"/>
      <c r="I36" s="41"/>
      <c r="J36" s="42" t="str">
        <f t="shared" si="10"/>
        <v/>
      </c>
      <c r="K36" s="90"/>
      <c r="L36" s="206" t="str">
        <f t="shared" si="11"/>
        <v>No Quote</v>
      </c>
      <c r="M36" s="207"/>
      <c r="N36" s="41"/>
      <c r="O36" s="42" t="str">
        <f t="shared" si="12"/>
        <v/>
      </c>
      <c r="P36" s="89"/>
      <c r="Q36" s="206" t="str">
        <f t="shared" si="13"/>
        <v>No Quote</v>
      </c>
      <c r="R36" s="207"/>
      <c r="S36" s="41"/>
      <c r="T36" s="42" t="str">
        <f t="shared" si="14"/>
        <v/>
      </c>
      <c r="U36" s="89"/>
      <c r="V36" s="206" t="str">
        <f t="shared" si="15"/>
        <v>No Quote</v>
      </c>
      <c r="W36" s="207"/>
      <c r="X36" s="41"/>
      <c r="Y36" s="42" t="str">
        <f t="shared" si="16"/>
        <v/>
      </c>
      <c r="Z36" s="89"/>
      <c r="AA36" s="208" t="str">
        <f t="shared" si="17"/>
        <v>No Quote</v>
      </c>
      <c r="AB36" s="209"/>
      <c r="AC36" s="87"/>
      <c r="AD36" s="93"/>
      <c r="AE36" s="63" t="str">
        <f t="shared" si="18"/>
        <v/>
      </c>
      <c r="AF36" s="92"/>
      <c r="AG36" s="92"/>
      <c r="AH36" s="77" t="str">
        <f t="shared" si="19"/>
        <v>-</v>
      </c>
      <c r="AI36" s="77" t="str">
        <f t="shared" si="20"/>
        <v>-</v>
      </c>
      <c r="AJ36" s="77" t="str">
        <f t="shared" si="21"/>
        <v>-</v>
      </c>
      <c r="AK36" s="77" t="str">
        <f t="shared" si="22"/>
        <v>-</v>
      </c>
      <c r="AL36" s="78" t="str">
        <f t="shared" si="3"/>
        <v/>
      </c>
      <c r="AM36" s="74" t="str">
        <f t="shared" si="4"/>
        <v/>
      </c>
      <c r="AN36" s="72" t="str">
        <f t="shared" si="5"/>
        <v/>
      </c>
      <c r="AO36" s="71" t="str">
        <f t="shared" si="23"/>
        <v/>
      </c>
      <c r="AP36" s="74" t="str">
        <f t="shared" si="6"/>
        <v/>
      </c>
      <c r="AQ36" s="72" t="str">
        <f t="shared" si="7"/>
        <v/>
      </c>
      <c r="AR36" s="71" t="str">
        <f t="shared" si="24"/>
        <v/>
      </c>
      <c r="AS36" s="74" t="str">
        <f t="shared" si="8"/>
        <v/>
      </c>
      <c r="AU36" s="99">
        <f t="shared" si="9"/>
        <v>0</v>
      </c>
      <c r="AV36" s="103" t="str" cm="1">
        <f t="array" ref="AV36">IFERROR(INDEX(_xlfn.UNIQUE(_xlfn._xlws.FILTER($AM$22:$AM$49,($AM$22:$AM$49&lt;&gt;"")*($AM$22:$AM$49&lt;&gt;"-"))),ROWS($AV$22:AV36)),"")</f>
        <v/>
      </c>
    </row>
    <row r="37" spans="2:48" s="1" customFormat="1" ht="61.5" customHeight="1" outlineLevel="1" x14ac:dyDescent="0.25">
      <c r="B37" s="38">
        <f t="shared" si="25"/>
        <v>16</v>
      </c>
      <c r="C37" s="210"/>
      <c r="D37" s="210"/>
      <c r="E37" s="210"/>
      <c r="F37" s="210"/>
      <c r="G37" s="39"/>
      <c r="H37" s="40"/>
      <c r="I37" s="41"/>
      <c r="J37" s="42" t="str">
        <f t="shared" si="10"/>
        <v/>
      </c>
      <c r="K37" s="90"/>
      <c r="L37" s="206" t="str">
        <f t="shared" si="11"/>
        <v>No Quote</v>
      </c>
      <c r="M37" s="207"/>
      <c r="N37" s="41"/>
      <c r="O37" s="42" t="str">
        <f t="shared" si="12"/>
        <v/>
      </c>
      <c r="P37" s="89"/>
      <c r="Q37" s="206" t="str">
        <f t="shared" si="13"/>
        <v>No Quote</v>
      </c>
      <c r="R37" s="207"/>
      <c r="S37" s="41"/>
      <c r="T37" s="42" t="str">
        <f t="shared" si="14"/>
        <v/>
      </c>
      <c r="U37" s="89"/>
      <c r="V37" s="206" t="str">
        <f t="shared" si="15"/>
        <v>No Quote</v>
      </c>
      <c r="W37" s="207"/>
      <c r="X37" s="41"/>
      <c r="Y37" s="42" t="str">
        <f t="shared" si="16"/>
        <v/>
      </c>
      <c r="Z37" s="89"/>
      <c r="AA37" s="208" t="str">
        <f t="shared" si="17"/>
        <v>No Quote</v>
      </c>
      <c r="AB37" s="209"/>
      <c r="AC37" s="87"/>
      <c r="AD37" s="93"/>
      <c r="AE37" s="63" t="str">
        <f t="shared" si="18"/>
        <v/>
      </c>
      <c r="AF37" s="92"/>
      <c r="AG37" s="92"/>
      <c r="AH37" s="77" t="str">
        <f t="shared" si="19"/>
        <v>-</v>
      </c>
      <c r="AI37" s="77" t="str">
        <f t="shared" si="20"/>
        <v>-</v>
      </c>
      <c r="AJ37" s="77" t="str">
        <f t="shared" si="21"/>
        <v>-</v>
      </c>
      <c r="AK37" s="77" t="str">
        <f t="shared" si="22"/>
        <v>-</v>
      </c>
      <c r="AL37" s="78" t="str">
        <f t="shared" si="3"/>
        <v/>
      </c>
      <c r="AM37" s="74" t="str">
        <f t="shared" si="4"/>
        <v/>
      </c>
      <c r="AN37" s="72" t="str">
        <f t="shared" si="5"/>
        <v/>
      </c>
      <c r="AO37" s="71" t="str">
        <f t="shared" si="23"/>
        <v/>
      </c>
      <c r="AP37" s="74" t="str">
        <f t="shared" si="6"/>
        <v/>
      </c>
      <c r="AQ37" s="72" t="str">
        <f t="shared" si="7"/>
        <v/>
      </c>
      <c r="AR37" s="71" t="str">
        <f t="shared" si="24"/>
        <v/>
      </c>
      <c r="AS37" s="74" t="str">
        <f t="shared" si="8"/>
        <v/>
      </c>
      <c r="AU37" s="99">
        <f t="shared" si="9"/>
        <v>0</v>
      </c>
      <c r="AV37" s="103" t="str" cm="1">
        <f t="array" ref="AV37">IFERROR(INDEX(_xlfn.UNIQUE(_xlfn._xlws.FILTER($AM$22:$AM$49,($AM$22:$AM$49&lt;&gt;"")*($AM$22:$AM$49&lt;&gt;"-"))),ROWS($AV$22:AV37)),"")</f>
        <v/>
      </c>
    </row>
    <row r="38" spans="2:48" s="1" customFormat="1" ht="61.5" customHeight="1" outlineLevel="1" x14ac:dyDescent="0.25">
      <c r="B38" s="38">
        <f t="shared" si="25"/>
        <v>17</v>
      </c>
      <c r="C38" s="210"/>
      <c r="D38" s="210"/>
      <c r="E38" s="210"/>
      <c r="F38" s="210"/>
      <c r="G38" s="39"/>
      <c r="H38" s="40"/>
      <c r="I38" s="41"/>
      <c r="J38" s="42" t="str">
        <f t="shared" si="10"/>
        <v/>
      </c>
      <c r="K38" s="90"/>
      <c r="L38" s="206" t="str">
        <f t="shared" si="11"/>
        <v>No Quote</v>
      </c>
      <c r="M38" s="207"/>
      <c r="N38" s="41"/>
      <c r="O38" s="42" t="str">
        <f t="shared" si="12"/>
        <v/>
      </c>
      <c r="P38" s="89"/>
      <c r="Q38" s="206" t="str">
        <f t="shared" si="13"/>
        <v>No Quote</v>
      </c>
      <c r="R38" s="207"/>
      <c r="S38" s="41"/>
      <c r="T38" s="42" t="str">
        <f t="shared" si="14"/>
        <v/>
      </c>
      <c r="U38" s="89"/>
      <c r="V38" s="206" t="str">
        <f t="shared" si="15"/>
        <v>No Quote</v>
      </c>
      <c r="W38" s="207"/>
      <c r="X38" s="41"/>
      <c r="Y38" s="42" t="str">
        <f t="shared" si="16"/>
        <v/>
      </c>
      <c r="Z38" s="89"/>
      <c r="AA38" s="208" t="str">
        <f t="shared" si="17"/>
        <v>No Quote</v>
      </c>
      <c r="AB38" s="209"/>
      <c r="AC38" s="87"/>
      <c r="AD38" s="93"/>
      <c r="AE38" s="63" t="str">
        <f t="shared" si="18"/>
        <v/>
      </c>
      <c r="AF38" s="92"/>
      <c r="AG38" s="92"/>
      <c r="AH38" s="77" t="str">
        <f t="shared" si="19"/>
        <v>-</v>
      </c>
      <c r="AI38" s="77" t="str">
        <f t="shared" si="20"/>
        <v>-</v>
      </c>
      <c r="AJ38" s="77" t="str">
        <f t="shared" si="21"/>
        <v>-</v>
      </c>
      <c r="AK38" s="77" t="str">
        <f t="shared" si="22"/>
        <v>-</v>
      </c>
      <c r="AL38" s="78" t="str">
        <f t="shared" si="3"/>
        <v/>
      </c>
      <c r="AM38" s="74" t="str">
        <f t="shared" si="4"/>
        <v/>
      </c>
      <c r="AN38" s="72" t="str">
        <f t="shared" si="5"/>
        <v/>
      </c>
      <c r="AO38" s="71" t="str">
        <f t="shared" si="23"/>
        <v/>
      </c>
      <c r="AP38" s="74" t="str">
        <f t="shared" si="6"/>
        <v/>
      </c>
      <c r="AQ38" s="72" t="str">
        <f t="shared" si="7"/>
        <v/>
      </c>
      <c r="AR38" s="71" t="str">
        <f t="shared" si="24"/>
        <v/>
      </c>
      <c r="AS38" s="74" t="str">
        <f t="shared" si="8"/>
        <v/>
      </c>
      <c r="AU38" s="99">
        <f t="shared" si="9"/>
        <v>0</v>
      </c>
      <c r="AV38" s="103" t="str" cm="1">
        <f t="array" ref="AV38">IFERROR(INDEX(_xlfn.UNIQUE(_xlfn._xlws.FILTER($AM$22:$AM$49,($AM$22:$AM$49&lt;&gt;"")*($AM$22:$AM$49&lt;&gt;"-"))),ROWS($AV$22:AV38)),"")</f>
        <v/>
      </c>
    </row>
    <row r="39" spans="2:48" s="1" customFormat="1" ht="61.5" customHeight="1" outlineLevel="1" x14ac:dyDescent="0.25">
      <c r="B39" s="38">
        <f t="shared" si="25"/>
        <v>18</v>
      </c>
      <c r="C39" s="210"/>
      <c r="D39" s="210"/>
      <c r="E39" s="210"/>
      <c r="F39" s="210"/>
      <c r="G39" s="39"/>
      <c r="H39" s="40"/>
      <c r="I39" s="41"/>
      <c r="J39" s="42" t="str">
        <f t="shared" si="10"/>
        <v/>
      </c>
      <c r="K39" s="90"/>
      <c r="L39" s="206" t="str">
        <f t="shared" si="11"/>
        <v>No Quote</v>
      </c>
      <c r="M39" s="207"/>
      <c r="N39" s="41"/>
      <c r="O39" s="42" t="str">
        <f t="shared" si="12"/>
        <v/>
      </c>
      <c r="P39" s="89"/>
      <c r="Q39" s="206" t="str">
        <f t="shared" si="13"/>
        <v>No Quote</v>
      </c>
      <c r="R39" s="207"/>
      <c r="S39" s="41"/>
      <c r="T39" s="42" t="str">
        <f t="shared" si="14"/>
        <v/>
      </c>
      <c r="U39" s="89"/>
      <c r="V39" s="206" t="str">
        <f t="shared" si="15"/>
        <v>No Quote</v>
      </c>
      <c r="W39" s="207"/>
      <c r="X39" s="41"/>
      <c r="Y39" s="42" t="str">
        <f t="shared" si="16"/>
        <v/>
      </c>
      <c r="Z39" s="89"/>
      <c r="AA39" s="208" t="str">
        <f t="shared" si="17"/>
        <v>No Quote</v>
      </c>
      <c r="AB39" s="209"/>
      <c r="AC39" s="87"/>
      <c r="AD39" s="93"/>
      <c r="AE39" s="63" t="str">
        <f t="shared" si="18"/>
        <v/>
      </c>
      <c r="AF39" s="92"/>
      <c r="AG39" s="92"/>
      <c r="AH39" s="77" t="str">
        <f t="shared" si="19"/>
        <v>-</v>
      </c>
      <c r="AI39" s="77" t="str">
        <f t="shared" si="20"/>
        <v>-</v>
      </c>
      <c r="AJ39" s="77" t="str">
        <f t="shared" si="21"/>
        <v>-</v>
      </c>
      <c r="AK39" s="77" t="str">
        <f t="shared" si="22"/>
        <v>-</v>
      </c>
      <c r="AL39" s="78" t="str">
        <f t="shared" si="3"/>
        <v/>
      </c>
      <c r="AM39" s="74" t="str">
        <f t="shared" si="4"/>
        <v/>
      </c>
      <c r="AN39" s="72" t="str">
        <f t="shared" si="5"/>
        <v/>
      </c>
      <c r="AO39" s="71" t="str">
        <f t="shared" si="23"/>
        <v/>
      </c>
      <c r="AP39" s="74" t="str">
        <f t="shared" si="6"/>
        <v/>
      </c>
      <c r="AQ39" s="72" t="str">
        <f t="shared" si="7"/>
        <v/>
      </c>
      <c r="AR39" s="71" t="str">
        <f t="shared" si="24"/>
        <v/>
      </c>
      <c r="AS39" s="74" t="str">
        <f t="shared" si="8"/>
        <v/>
      </c>
      <c r="AU39" s="99">
        <f t="shared" si="9"/>
        <v>0</v>
      </c>
      <c r="AV39" s="103" t="str" cm="1">
        <f t="array" ref="AV39">IFERROR(INDEX(_xlfn.UNIQUE(_xlfn._xlws.FILTER($AM$22:$AM$49,($AM$22:$AM$49&lt;&gt;"")*($AM$22:$AM$49&lt;&gt;"-"))),ROWS($AV$22:AV39)),"")</f>
        <v/>
      </c>
    </row>
    <row r="40" spans="2:48" s="1" customFormat="1" ht="61.5" customHeight="1" outlineLevel="1" x14ac:dyDescent="0.25">
      <c r="B40" s="38">
        <f t="shared" si="25"/>
        <v>19</v>
      </c>
      <c r="C40" s="210"/>
      <c r="D40" s="210"/>
      <c r="E40" s="210"/>
      <c r="F40" s="210"/>
      <c r="G40" s="39"/>
      <c r="H40" s="40"/>
      <c r="I40" s="41"/>
      <c r="J40" s="42" t="str">
        <f t="shared" si="10"/>
        <v/>
      </c>
      <c r="K40" s="90"/>
      <c r="L40" s="206" t="str">
        <f t="shared" si="11"/>
        <v>No Quote</v>
      </c>
      <c r="M40" s="207"/>
      <c r="N40" s="41"/>
      <c r="O40" s="42" t="str">
        <f t="shared" si="12"/>
        <v/>
      </c>
      <c r="P40" s="89"/>
      <c r="Q40" s="206" t="str">
        <f t="shared" si="13"/>
        <v>No Quote</v>
      </c>
      <c r="R40" s="207"/>
      <c r="S40" s="41"/>
      <c r="T40" s="42" t="str">
        <f t="shared" si="14"/>
        <v/>
      </c>
      <c r="U40" s="89"/>
      <c r="V40" s="206" t="str">
        <f t="shared" si="15"/>
        <v>No Quote</v>
      </c>
      <c r="W40" s="207"/>
      <c r="X40" s="41"/>
      <c r="Y40" s="42" t="str">
        <f t="shared" si="16"/>
        <v/>
      </c>
      <c r="Z40" s="89"/>
      <c r="AA40" s="208" t="str">
        <f t="shared" si="17"/>
        <v>No Quote</v>
      </c>
      <c r="AB40" s="209"/>
      <c r="AC40" s="87"/>
      <c r="AD40" s="93"/>
      <c r="AE40" s="63" t="str">
        <f t="shared" si="18"/>
        <v/>
      </c>
      <c r="AF40" s="92"/>
      <c r="AG40" s="92"/>
      <c r="AH40" s="77" t="str">
        <f t="shared" si="19"/>
        <v>-</v>
      </c>
      <c r="AI40" s="77" t="str">
        <f t="shared" si="20"/>
        <v>-</v>
      </c>
      <c r="AJ40" s="77" t="str">
        <f t="shared" si="21"/>
        <v>-</v>
      </c>
      <c r="AK40" s="77" t="str">
        <f t="shared" si="22"/>
        <v>-</v>
      </c>
      <c r="AL40" s="78" t="str">
        <f t="shared" si="3"/>
        <v/>
      </c>
      <c r="AM40" s="74" t="str">
        <f t="shared" si="4"/>
        <v/>
      </c>
      <c r="AN40" s="72" t="str">
        <f t="shared" si="5"/>
        <v/>
      </c>
      <c r="AO40" s="71" t="str">
        <f t="shared" si="23"/>
        <v/>
      </c>
      <c r="AP40" s="74" t="str">
        <f t="shared" si="6"/>
        <v/>
      </c>
      <c r="AQ40" s="72" t="str">
        <f t="shared" si="7"/>
        <v/>
      </c>
      <c r="AR40" s="71" t="str">
        <f t="shared" si="24"/>
        <v/>
      </c>
      <c r="AS40" s="74" t="str">
        <f t="shared" si="8"/>
        <v/>
      </c>
      <c r="AU40" s="99">
        <f t="shared" si="9"/>
        <v>0</v>
      </c>
      <c r="AV40" s="103" t="str" cm="1">
        <f t="array" ref="AV40">IFERROR(INDEX(_xlfn.UNIQUE(_xlfn._xlws.FILTER($AM$22:$AM$49,($AM$22:$AM$49&lt;&gt;"")*($AM$22:$AM$49&lt;&gt;"-"))),ROWS($AV$22:AV40)),"")</f>
        <v/>
      </c>
    </row>
    <row r="41" spans="2:48" s="1" customFormat="1" ht="61.5" customHeight="1" outlineLevel="1" x14ac:dyDescent="0.25">
      <c r="B41" s="38">
        <f t="shared" si="25"/>
        <v>20</v>
      </c>
      <c r="C41" s="210"/>
      <c r="D41" s="210"/>
      <c r="E41" s="210"/>
      <c r="F41" s="210"/>
      <c r="G41" s="39"/>
      <c r="H41" s="40"/>
      <c r="I41" s="41"/>
      <c r="J41" s="42" t="str">
        <f t="shared" si="10"/>
        <v/>
      </c>
      <c r="K41" s="90"/>
      <c r="L41" s="206" t="str">
        <f t="shared" si="11"/>
        <v>No Quote</v>
      </c>
      <c r="M41" s="207"/>
      <c r="N41" s="41"/>
      <c r="O41" s="42" t="str">
        <f t="shared" si="12"/>
        <v/>
      </c>
      <c r="P41" s="89"/>
      <c r="Q41" s="206" t="str">
        <f t="shared" si="13"/>
        <v>No Quote</v>
      </c>
      <c r="R41" s="207"/>
      <c r="S41" s="41"/>
      <c r="T41" s="42" t="str">
        <f t="shared" si="14"/>
        <v/>
      </c>
      <c r="U41" s="89"/>
      <c r="V41" s="206" t="str">
        <f t="shared" si="15"/>
        <v>No Quote</v>
      </c>
      <c r="W41" s="207"/>
      <c r="X41" s="41"/>
      <c r="Y41" s="42" t="str">
        <f t="shared" si="16"/>
        <v/>
      </c>
      <c r="Z41" s="89"/>
      <c r="AA41" s="208" t="str">
        <f t="shared" si="17"/>
        <v>No Quote</v>
      </c>
      <c r="AB41" s="209"/>
      <c r="AC41" s="87"/>
      <c r="AD41" s="93"/>
      <c r="AE41" s="63" t="str">
        <f t="shared" si="18"/>
        <v/>
      </c>
      <c r="AF41" s="92"/>
      <c r="AG41" s="92"/>
      <c r="AH41" s="77" t="str">
        <f t="shared" si="19"/>
        <v>-</v>
      </c>
      <c r="AI41" s="77" t="str">
        <f t="shared" si="20"/>
        <v>-</v>
      </c>
      <c r="AJ41" s="77" t="str">
        <f t="shared" si="21"/>
        <v>-</v>
      </c>
      <c r="AK41" s="77" t="str">
        <f t="shared" si="22"/>
        <v>-</v>
      </c>
      <c r="AL41" s="78" t="str">
        <f t="shared" si="3"/>
        <v/>
      </c>
      <c r="AM41" s="74" t="str">
        <f t="shared" si="4"/>
        <v/>
      </c>
      <c r="AN41" s="72" t="str">
        <f t="shared" si="5"/>
        <v/>
      </c>
      <c r="AO41" s="71" t="str">
        <f t="shared" si="23"/>
        <v/>
      </c>
      <c r="AP41" s="74" t="str">
        <f t="shared" si="6"/>
        <v/>
      </c>
      <c r="AQ41" s="72" t="str">
        <f t="shared" si="7"/>
        <v/>
      </c>
      <c r="AR41" s="71" t="str">
        <f t="shared" si="24"/>
        <v/>
      </c>
      <c r="AS41" s="74" t="str">
        <f t="shared" si="8"/>
        <v/>
      </c>
      <c r="AU41" s="99">
        <f t="shared" si="9"/>
        <v>0</v>
      </c>
      <c r="AV41" s="103" t="str" cm="1">
        <f t="array" ref="AV41">IFERROR(INDEX(_xlfn.UNIQUE(_xlfn._xlws.FILTER($AM$22:$AM$49,($AM$22:$AM$49&lt;&gt;"")*($AM$22:$AM$49&lt;&gt;"-"))),ROWS($AV$22:AV41)),"")</f>
        <v/>
      </c>
    </row>
    <row r="42" spans="2:48" s="1" customFormat="1" ht="61.5" customHeight="1" outlineLevel="1" x14ac:dyDescent="0.25">
      <c r="B42" s="38">
        <f t="shared" si="25"/>
        <v>21</v>
      </c>
      <c r="C42" s="210"/>
      <c r="D42" s="210"/>
      <c r="E42" s="210"/>
      <c r="F42" s="210"/>
      <c r="G42" s="39"/>
      <c r="H42" s="40"/>
      <c r="I42" s="41"/>
      <c r="J42" s="42" t="str">
        <f t="shared" si="10"/>
        <v/>
      </c>
      <c r="K42" s="90"/>
      <c r="L42" s="206" t="str">
        <f t="shared" si="11"/>
        <v>No Quote</v>
      </c>
      <c r="M42" s="207"/>
      <c r="N42" s="41"/>
      <c r="O42" s="42" t="str">
        <f t="shared" si="12"/>
        <v/>
      </c>
      <c r="P42" s="89"/>
      <c r="Q42" s="206" t="str">
        <f t="shared" si="13"/>
        <v>No Quote</v>
      </c>
      <c r="R42" s="207"/>
      <c r="S42" s="41"/>
      <c r="T42" s="42" t="str">
        <f t="shared" si="14"/>
        <v/>
      </c>
      <c r="U42" s="89"/>
      <c r="V42" s="206" t="str">
        <f t="shared" si="15"/>
        <v>No Quote</v>
      </c>
      <c r="W42" s="207"/>
      <c r="X42" s="41"/>
      <c r="Y42" s="42" t="str">
        <f t="shared" si="16"/>
        <v/>
      </c>
      <c r="Z42" s="89"/>
      <c r="AA42" s="208" t="str">
        <f t="shared" si="17"/>
        <v>No Quote</v>
      </c>
      <c r="AB42" s="209"/>
      <c r="AC42" s="87"/>
      <c r="AD42" s="93"/>
      <c r="AE42" s="63" t="str">
        <f t="shared" si="18"/>
        <v/>
      </c>
      <c r="AF42" s="92"/>
      <c r="AG42" s="92"/>
      <c r="AH42" s="77" t="str">
        <f t="shared" si="19"/>
        <v>-</v>
      </c>
      <c r="AI42" s="77" t="str">
        <f t="shared" si="20"/>
        <v>-</v>
      </c>
      <c r="AJ42" s="77" t="str">
        <f t="shared" si="21"/>
        <v>-</v>
      </c>
      <c r="AK42" s="77" t="str">
        <f t="shared" si="22"/>
        <v>-</v>
      </c>
      <c r="AL42" s="78" t="str">
        <f t="shared" si="3"/>
        <v/>
      </c>
      <c r="AM42" s="74" t="str">
        <f t="shared" si="4"/>
        <v/>
      </c>
      <c r="AN42" s="72" t="str">
        <f t="shared" si="5"/>
        <v/>
      </c>
      <c r="AO42" s="71" t="str">
        <f t="shared" si="23"/>
        <v/>
      </c>
      <c r="AP42" s="74" t="str">
        <f t="shared" si="6"/>
        <v/>
      </c>
      <c r="AQ42" s="72" t="str">
        <f t="shared" si="7"/>
        <v/>
      </c>
      <c r="AR42" s="71" t="str">
        <f t="shared" si="24"/>
        <v/>
      </c>
      <c r="AS42" s="74" t="str">
        <f t="shared" si="8"/>
        <v/>
      </c>
      <c r="AU42" s="99">
        <f t="shared" si="9"/>
        <v>0</v>
      </c>
      <c r="AV42" s="103" t="str" cm="1">
        <f t="array" ref="AV42">IFERROR(INDEX(_xlfn.UNIQUE(_xlfn._xlws.FILTER($AM$22:$AM$49,($AM$22:$AM$49&lt;&gt;"")*($AM$22:$AM$49&lt;&gt;"-"))),ROWS($AV$22:AV42)),"")</f>
        <v/>
      </c>
    </row>
    <row r="43" spans="2:48" s="1" customFormat="1" ht="61.5" customHeight="1" outlineLevel="1" x14ac:dyDescent="0.25">
      <c r="B43" s="38">
        <f t="shared" si="25"/>
        <v>22</v>
      </c>
      <c r="C43" s="210"/>
      <c r="D43" s="210"/>
      <c r="E43" s="210"/>
      <c r="F43" s="210"/>
      <c r="G43" s="39"/>
      <c r="H43" s="40"/>
      <c r="I43" s="41"/>
      <c r="J43" s="42" t="str">
        <f t="shared" si="10"/>
        <v/>
      </c>
      <c r="K43" s="90"/>
      <c r="L43" s="206" t="str">
        <f t="shared" si="11"/>
        <v>No Quote</v>
      </c>
      <c r="M43" s="207"/>
      <c r="N43" s="41"/>
      <c r="O43" s="42" t="str">
        <f t="shared" si="12"/>
        <v/>
      </c>
      <c r="P43" s="89"/>
      <c r="Q43" s="206" t="str">
        <f t="shared" si="13"/>
        <v>No Quote</v>
      </c>
      <c r="R43" s="207"/>
      <c r="S43" s="41"/>
      <c r="T43" s="42" t="str">
        <f t="shared" si="14"/>
        <v/>
      </c>
      <c r="U43" s="89"/>
      <c r="V43" s="206" t="str">
        <f t="shared" si="15"/>
        <v>No Quote</v>
      </c>
      <c r="W43" s="207"/>
      <c r="X43" s="41"/>
      <c r="Y43" s="42" t="str">
        <f t="shared" si="16"/>
        <v/>
      </c>
      <c r="Z43" s="89"/>
      <c r="AA43" s="208" t="str">
        <f t="shared" si="17"/>
        <v>No Quote</v>
      </c>
      <c r="AB43" s="209"/>
      <c r="AC43" s="87"/>
      <c r="AD43" s="93"/>
      <c r="AE43" s="63" t="str">
        <f t="shared" si="18"/>
        <v/>
      </c>
      <c r="AF43" s="92"/>
      <c r="AG43" s="92"/>
      <c r="AH43" s="77" t="str">
        <f t="shared" si="19"/>
        <v>-</v>
      </c>
      <c r="AI43" s="77" t="str">
        <f t="shared" si="20"/>
        <v>-</v>
      </c>
      <c r="AJ43" s="77" t="str">
        <f t="shared" si="21"/>
        <v>-</v>
      </c>
      <c r="AK43" s="77" t="str">
        <f t="shared" si="22"/>
        <v>-</v>
      </c>
      <c r="AL43" s="78" t="str">
        <f t="shared" si="3"/>
        <v/>
      </c>
      <c r="AM43" s="74" t="str">
        <f t="shared" si="4"/>
        <v/>
      </c>
      <c r="AN43" s="72" t="str">
        <f t="shared" si="5"/>
        <v/>
      </c>
      <c r="AO43" s="71" t="str">
        <f t="shared" si="23"/>
        <v/>
      </c>
      <c r="AP43" s="74" t="str">
        <f t="shared" si="6"/>
        <v/>
      </c>
      <c r="AQ43" s="72" t="str">
        <f t="shared" si="7"/>
        <v/>
      </c>
      <c r="AR43" s="71" t="str">
        <f t="shared" si="24"/>
        <v/>
      </c>
      <c r="AS43" s="74" t="str">
        <f t="shared" si="8"/>
        <v/>
      </c>
      <c r="AU43" s="99">
        <f t="shared" si="9"/>
        <v>0</v>
      </c>
      <c r="AV43" s="103" t="str" cm="1">
        <f t="array" ref="AV43">IFERROR(INDEX(_xlfn.UNIQUE(_xlfn._xlws.FILTER($AM$22:$AM$49,($AM$22:$AM$49&lt;&gt;"")*($AM$22:$AM$49&lt;&gt;"-"))),ROWS($AV$22:AV43)),"")</f>
        <v/>
      </c>
    </row>
    <row r="44" spans="2:48" s="1" customFormat="1" ht="61.5" customHeight="1" outlineLevel="1" x14ac:dyDescent="0.25">
      <c r="B44" s="38">
        <f t="shared" si="25"/>
        <v>23</v>
      </c>
      <c r="C44" s="210"/>
      <c r="D44" s="210"/>
      <c r="E44" s="210"/>
      <c r="F44" s="210"/>
      <c r="G44" s="39"/>
      <c r="H44" s="40"/>
      <c r="I44" s="41"/>
      <c r="J44" s="42" t="str">
        <f t="shared" si="10"/>
        <v/>
      </c>
      <c r="K44" s="90"/>
      <c r="L44" s="206" t="str">
        <f t="shared" si="11"/>
        <v>No Quote</v>
      </c>
      <c r="M44" s="207"/>
      <c r="N44" s="41"/>
      <c r="O44" s="42" t="str">
        <f t="shared" si="12"/>
        <v/>
      </c>
      <c r="P44" s="89"/>
      <c r="Q44" s="206" t="str">
        <f t="shared" si="13"/>
        <v>No Quote</v>
      </c>
      <c r="R44" s="207"/>
      <c r="S44" s="41"/>
      <c r="T44" s="42" t="str">
        <f t="shared" si="14"/>
        <v/>
      </c>
      <c r="U44" s="89"/>
      <c r="V44" s="206" t="str">
        <f t="shared" si="15"/>
        <v>No Quote</v>
      </c>
      <c r="W44" s="207"/>
      <c r="X44" s="41"/>
      <c r="Y44" s="42" t="str">
        <f t="shared" si="16"/>
        <v/>
      </c>
      <c r="Z44" s="89"/>
      <c r="AA44" s="208" t="str">
        <f t="shared" si="17"/>
        <v>No Quote</v>
      </c>
      <c r="AB44" s="209"/>
      <c r="AC44" s="87"/>
      <c r="AD44" s="93"/>
      <c r="AE44" s="63" t="str">
        <f t="shared" si="18"/>
        <v/>
      </c>
      <c r="AF44" s="92"/>
      <c r="AG44" s="92"/>
      <c r="AH44" s="77" t="str">
        <f t="shared" si="19"/>
        <v>-</v>
      </c>
      <c r="AI44" s="77" t="str">
        <f t="shared" si="20"/>
        <v>-</v>
      </c>
      <c r="AJ44" s="77" t="str">
        <f t="shared" si="21"/>
        <v>-</v>
      </c>
      <c r="AK44" s="77" t="str">
        <f t="shared" si="22"/>
        <v>-</v>
      </c>
      <c r="AL44" s="78" t="str">
        <f t="shared" si="3"/>
        <v/>
      </c>
      <c r="AM44" s="74" t="str">
        <f t="shared" si="4"/>
        <v/>
      </c>
      <c r="AN44" s="72" t="str">
        <f t="shared" si="5"/>
        <v/>
      </c>
      <c r="AO44" s="71" t="str">
        <f t="shared" si="23"/>
        <v/>
      </c>
      <c r="AP44" s="74" t="str">
        <f t="shared" si="6"/>
        <v/>
      </c>
      <c r="AQ44" s="72" t="str">
        <f t="shared" si="7"/>
        <v/>
      </c>
      <c r="AR44" s="71" t="str">
        <f t="shared" si="24"/>
        <v/>
      </c>
      <c r="AS44" s="74" t="str">
        <f t="shared" si="8"/>
        <v/>
      </c>
      <c r="AU44" s="99">
        <f t="shared" si="9"/>
        <v>0</v>
      </c>
      <c r="AV44" s="103" t="str" cm="1">
        <f t="array" ref="AV44">IFERROR(INDEX(_xlfn.UNIQUE(_xlfn._xlws.FILTER($AM$22:$AM$49,($AM$22:$AM$49&lt;&gt;"")*($AM$22:$AM$49&lt;&gt;"-"))),ROWS($AV$22:AV44)),"")</f>
        <v/>
      </c>
    </row>
    <row r="45" spans="2:48" s="1" customFormat="1" ht="61.5" customHeight="1" outlineLevel="1" x14ac:dyDescent="0.25">
      <c r="B45" s="38">
        <f t="shared" si="25"/>
        <v>24</v>
      </c>
      <c r="C45" s="210"/>
      <c r="D45" s="210"/>
      <c r="E45" s="210"/>
      <c r="F45" s="210"/>
      <c r="G45" s="39"/>
      <c r="H45" s="40"/>
      <c r="I45" s="41"/>
      <c r="J45" s="42" t="str">
        <f t="shared" si="10"/>
        <v/>
      </c>
      <c r="K45" s="90"/>
      <c r="L45" s="206" t="str">
        <f t="shared" si="11"/>
        <v>No Quote</v>
      </c>
      <c r="M45" s="207"/>
      <c r="N45" s="41"/>
      <c r="O45" s="42" t="str">
        <f t="shared" si="12"/>
        <v/>
      </c>
      <c r="P45" s="89"/>
      <c r="Q45" s="206" t="str">
        <f t="shared" si="13"/>
        <v>No Quote</v>
      </c>
      <c r="R45" s="207"/>
      <c r="S45" s="41"/>
      <c r="T45" s="42" t="str">
        <f t="shared" si="14"/>
        <v/>
      </c>
      <c r="U45" s="89"/>
      <c r="V45" s="206" t="str">
        <f t="shared" si="15"/>
        <v>No Quote</v>
      </c>
      <c r="W45" s="207"/>
      <c r="X45" s="41"/>
      <c r="Y45" s="42" t="str">
        <f t="shared" si="16"/>
        <v/>
      </c>
      <c r="Z45" s="89"/>
      <c r="AA45" s="208" t="str">
        <f t="shared" si="17"/>
        <v>No Quote</v>
      </c>
      <c r="AB45" s="209"/>
      <c r="AC45" s="87"/>
      <c r="AD45" s="93"/>
      <c r="AE45" s="63" t="str">
        <f t="shared" si="18"/>
        <v/>
      </c>
      <c r="AF45" s="92"/>
      <c r="AG45" s="92"/>
      <c r="AH45" s="77" t="str">
        <f t="shared" si="19"/>
        <v>-</v>
      </c>
      <c r="AI45" s="77" t="str">
        <f t="shared" si="20"/>
        <v>-</v>
      </c>
      <c r="AJ45" s="77" t="str">
        <f t="shared" si="21"/>
        <v>-</v>
      </c>
      <c r="AK45" s="77" t="str">
        <f t="shared" si="22"/>
        <v>-</v>
      </c>
      <c r="AL45" s="78" t="str">
        <f t="shared" si="3"/>
        <v/>
      </c>
      <c r="AM45" s="74" t="str">
        <f t="shared" si="4"/>
        <v/>
      </c>
      <c r="AN45" s="72" t="str">
        <f t="shared" si="5"/>
        <v/>
      </c>
      <c r="AO45" s="71" t="str">
        <f t="shared" si="23"/>
        <v/>
      </c>
      <c r="AP45" s="74" t="str">
        <f t="shared" si="6"/>
        <v/>
      </c>
      <c r="AQ45" s="72" t="str">
        <f t="shared" si="7"/>
        <v/>
      </c>
      <c r="AR45" s="71" t="str">
        <f t="shared" si="24"/>
        <v/>
      </c>
      <c r="AS45" s="74" t="str">
        <f t="shared" si="8"/>
        <v/>
      </c>
      <c r="AU45" s="99">
        <f t="shared" si="9"/>
        <v>0</v>
      </c>
      <c r="AV45" s="103" t="str" cm="1">
        <f t="array" ref="AV45">IFERROR(INDEX(_xlfn.UNIQUE(_xlfn._xlws.FILTER($AM$22:$AM$49,($AM$22:$AM$49&lt;&gt;"")*($AM$22:$AM$49&lt;&gt;"-"))),ROWS($AV$22:AV45)),"")</f>
        <v/>
      </c>
    </row>
    <row r="46" spans="2:48" s="1" customFormat="1" ht="61.5" customHeight="1" outlineLevel="1" x14ac:dyDescent="0.25">
      <c r="B46" s="38">
        <f t="shared" si="25"/>
        <v>25</v>
      </c>
      <c r="C46" s="210"/>
      <c r="D46" s="210"/>
      <c r="E46" s="210"/>
      <c r="F46" s="210"/>
      <c r="G46" s="39"/>
      <c r="H46" s="40"/>
      <c r="I46" s="41"/>
      <c r="J46" s="42" t="str">
        <f t="shared" si="10"/>
        <v/>
      </c>
      <c r="K46" s="90"/>
      <c r="L46" s="206" t="str">
        <f t="shared" si="11"/>
        <v>No Quote</v>
      </c>
      <c r="M46" s="207"/>
      <c r="N46" s="41"/>
      <c r="O46" s="42" t="str">
        <f t="shared" si="12"/>
        <v/>
      </c>
      <c r="P46" s="89"/>
      <c r="Q46" s="206" t="str">
        <f t="shared" si="13"/>
        <v>No Quote</v>
      </c>
      <c r="R46" s="207"/>
      <c r="S46" s="41"/>
      <c r="T46" s="42" t="str">
        <f t="shared" si="14"/>
        <v/>
      </c>
      <c r="U46" s="89"/>
      <c r="V46" s="206" t="str">
        <f t="shared" si="15"/>
        <v>No Quote</v>
      </c>
      <c r="W46" s="207"/>
      <c r="X46" s="41"/>
      <c r="Y46" s="42" t="str">
        <f t="shared" si="16"/>
        <v/>
      </c>
      <c r="Z46" s="89"/>
      <c r="AA46" s="208" t="str">
        <f t="shared" si="17"/>
        <v>No Quote</v>
      </c>
      <c r="AB46" s="209"/>
      <c r="AC46" s="87"/>
      <c r="AD46" s="93"/>
      <c r="AE46" s="63" t="str">
        <f t="shared" si="18"/>
        <v/>
      </c>
      <c r="AF46" s="92"/>
      <c r="AG46" s="92"/>
      <c r="AH46" s="77" t="str">
        <f t="shared" si="19"/>
        <v>-</v>
      </c>
      <c r="AI46" s="77" t="str">
        <f t="shared" si="20"/>
        <v>-</v>
      </c>
      <c r="AJ46" s="77" t="str">
        <f t="shared" si="21"/>
        <v>-</v>
      </c>
      <c r="AK46" s="77" t="str">
        <f t="shared" si="22"/>
        <v>-</v>
      </c>
      <c r="AL46" s="78" t="str">
        <f t="shared" si="3"/>
        <v/>
      </c>
      <c r="AM46" s="74" t="str">
        <f t="shared" si="4"/>
        <v/>
      </c>
      <c r="AN46" s="72" t="str">
        <f t="shared" si="5"/>
        <v/>
      </c>
      <c r="AO46" s="71" t="str">
        <f t="shared" si="23"/>
        <v/>
      </c>
      <c r="AP46" s="74" t="str">
        <f t="shared" si="6"/>
        <v/>
      </c>
      <c r="AQ46" s="72" t="str">
        <f t="shared" si="7"/>
        <v/>
      </c>
      <c r="AR46" s="71" t="str">
        <f t="shared" si="24"/>
        <v/>
      </c>
      <c r="AS46" s="74" t="str">
        <f t="shared" si="8"/>
        <v/>
      </c>
      <c r="AU46" s="99">
        <f t="shared" si="9"/>
        <v>0</v>
      </c>
      <c r="AV46" s="103" t="str" cm="1">
        <f t="array" ref="AV46">IFERROR(INDEX(_xlfn.UNIQUE(_xlfn._xlws.FILTER($AM$22:$AM$49,($AM$22:$AM$49&lt;&gt;"")*($AM$22:$AM$49&lt;&gt;"-"))),ROWS($AV$22:AV46)),"")</f>
        <v/>
      </c>
    </row>
    <row r="47" spans="2:48" s="1" customFormat="1" ht="61.5" customHeight="1" outlineLevel="1" x14ac:dyDescent="0.25">
      <c r="B47" s="38">
        <f t="shared" si="25"/>
        <v>26</v>
      </c>
      <c r="C47" s="210"/>
      <c r="D47" s="210"/>
      <c r="E47" s="210"/>
      <c r="F47" s="210"/>
      <c r="G47" s="39"/>
      <c r="H47" s="40"/>
      <c r="I47" s="41"/>
      <c r="J47" s="42" t="str">
        <f t="shared" si="10"/>
        <v/>
      </c>
      <c r="K47" s="90"/>
      <c r="L47" s="206" t="str">
        <f t="shared" si="11"/>
        <v>No Quote</v>
      </c>
      <c r="M47" s="207"/>
      <c r="N47" s="41"/>
      <c r="O47" s="42" t="str">
        <f t="shared" si="12"/>
        <v/>
      </c>
      <c r="P47" s="89"/>
      <c r="Q47" s="206" t="str">
        <f t="shared" si="13"/>
        <v>No Quote</v>
      </c>
      <c r="R47" s="207"/>
      <c r="S47" s="41"/>
      <c r="T47" s="42" t="str">
        <f t="shared" si="14"/>
        <v/>
      </c>
      <c r="U47" s="89"/>
      <c r="V47" s="206" t="str">
        <f t="shared" si="15"/>
        <v>No Quote</v>
      </c>
      <c r="W47" s="207"/>
      <c r="X47" s="41"/>
      <c r="Y47" s="42" t="str">
        <f t="shared" si="16"/>
        <v/>
      </c>
      <c r="Z47" s="89"/>
      <c r="AA47" s="208" t="str">
        <f t="shared" si="17"/>
        <v>No Quote</v>
      </c>
      <c r="AB47" s="209"/>
      <c r="AC47" s="87"/>
      <c r="AD47" s="93"/>
      <c r="AE47" s="63" t="str">
        <f t="shared" si="18"/>
        <v/>
      </c>
      <c r="AF47" s="92"/>
      <c r="AG47" s="92"/>
      <c r="AH47" s="77" t="str">
        <f t="shared" si="19"/>
        <v>-</v>
      </c>
      <c r="AI47" s="77" t="str">
        <f t="shared" si="20"/>
        <v>-</v>
      </c>
      <c r="AJ47" s="77" t="str">
        <f t="shared" si="21"/>
        <v>-</v>
      </c>
      <c r="AK47" s="77" t="str">
        <f t="shared" si="22"/>
        <v>-</v>
      </c>
      <c r="AL47" s="78" t="str">
        <f t="shared" si="3"/>
        <v/>
      </c>
      <c r="AM47" s="74" t="str">
        <f t="shared" si="4"/>
        <v/>
      </c>
      <c r="AN47" s="72" t="str">
        <f t="shared" si="5"/>
        <v/>
      </c>
      <c r="AO47" s="71" t="str">
        <f t="shared" si="23"/>
        <v/>
      </c>
      <c r="AP47" s="74" t="str">
        <f t="shared" si="6"/>
        <v/>
      </c>
      <c r="AQ47" s="72" t="str">
        <f t="shared" si="7"/>
        <v/>
      </c>
      <c r="AR47" s="71" t="str">
        <f t="shared" si="24"/>
        <v/>
      </c>
      <c r="AS47" s="74" t="str">
        <f t="shared" si="8"/>
        <v/>
      </c>
      <c r="AU47" s="99">
        <f t="shared" si="9"/>
        <v>0</v>
      </c>
      <c r="AV47" s="103" t="str" cm="1">
        <f t="array" ref="AV47">IFERROR(INDEX(_xlfn.UNIQUE(_xlfn._xlws.FILTER($AM$22:$AM$49,($AM$22:$AM$49&lt;&gt;"")*($AM$22:$AM$49&lt;&gt;"-"))),ROWS($AV$22:AV47)),"")</f>
        <v/>
      </c>
    </row>
    <row r="48" spans="2:48" s="1" customFormat="1" ht="61.5" customHeight="1" outlineLevel="1" x14ac:dyDescent="0.25">
      <c r="B48" s="38">
        <f t="shared" si="25"/>
        <v>27</v>
      </c>
      <c r="C48" s="210"/>
      <c r="D48" s="210"/>
      <c r="E48" s="210"/>
      <c r="F48" s="210"/>
      <c r="G48" s="39"/>
      <c r="H48" s="40"/>
      <c r="I48" s="41"/>
      <c r="J48" s="42" t="str">
        <f t="shared" si="10"/>
        <v/>
      </c>
      <c r="K48" s="90"/>
      <c r="L48" s="206" t="str">
        <f t="shared" si="11"/>
        <v>No Quote</v>
      </c>
      <c r="M48" s="207"/>
      <c r="N48" s="41"/>
      <c r="O48" s="42" t="str">
        <f t="shared" si="12"/>
        <v/>
      </c>
      <c r="P48" s="89"/>
      <c r="Q48" s="206" t="str">
        <f t="shared" si="13"/>
        <v>No Quote</v>
      </c>
      <c r="R48" s="207"/>
      <c r="S48" s="41"/>
      <c r="T48" s="42" t="str">
        <f t="shared" si="14"/>
        <v/>
      </c>
      <c r="U48" s="89"/>
      <c r="V48" s="206" t="str">
        <f t="shared" si="15"/>
        <v>No Quote</v>
      </c>
      <c r="W48" s="207"/>
      <c r="X48" s="41"/>
      <c r="Y48" s="42" t="str">
        <f t="shared" si="16"/>
        <v/>
      </c>
      <c r="Z48" s="89"/>
      <c r="AA48" s="208" t="str">
        <f t="shared" si="17"/>
        <v>No Quote</v>
      </c>
      <c r="AB48" s="209"/>
      <c r="AC48" s="87"/>
      <c r="AD48" s="93"/>
      <c r="AE48" s="63" t="str">
        <f t="shared" si="18"/>
        <v/>
      </c>
      <c r="AF48" s="92"/>
      <c r="AG48" s="92"/>
      <c r="AH48" s="77" t="str">
        <f t="shared" si="19"/>
        <v>-</v>
      </c>
      <c r="AI48" s="77" t="str">
        <f t="shared" si="20"/>
        <v>-</v>
      </c>
      <c r="AJ48" s="77" t="str">
        <f t="shared" si="21"/>
        <v>-</v>
      </c>
      <c r="AK48" s="77" t="str">
        <f t="shared" si="22"/>
        <v>-</v>
      </c>
      <c r="AL48" s="78" t="str">
        <f t="shared" si="3"/>
        <v/>
      </c>
      <c r="AM48" s="74" t="str">
        <f t="shared" si="4"/>
        <v/>
      </c>
      <c r="AN48" s="72" t="str">
        <f t="shared" si="5"/>
        <v/>
      </c>
      <c r="AO48" s="71" t="str">
        <f t="shared" si="23"/>
        <v/>
      </c>
      <c r="AP48" s="74" t="str">
        <f t="shared" si="6"/>
        <v/>
      </c>
      <c r="AQ48" s="72" t="str">
        <f t="shared" si="7"/>
        <v/>
      </c>
      <c r="AR48" s="71" t="str">
        <f t="shared" si="24"/>
        <v/>
      </c>
      <c r="AS48" s="74" t="str">
        <f t="shared" si="8"/>
        <v/>
      </c>
      <c r="AU48" s="99">
        <f t="shared" si="9"/>
        <v>0</v>
      </c>
      <c r="AV48" s="103" t="str" cm="1">
        <f t="array" ref="AV48">IFERROR(INDEX(_xlfn.UNIQUE(_xlfn._xlws.FILTER($AM$22:$AM$49,($AM$22:$AM$49&lt;&gt;"")*($AM$22:$AM$49&lt;&gt;"-"))),ROWS($AV$22:AV48)),"")</f>
        <v/>
      </c>
    </row>
    <row r="49" spans="2:48" s="1" customFormat="1" ht="61.5" customHeight="1" outlineLevel="1" x14ac:dyDescent="0.25">
      <c r="B49" s="38">
        <f t="shared" si="25"/>
        <v>28</v>
      </c>
      <c r="C49" s="210"/>
      <c r="D49" s="210"/>
      <c r="E49" s="210"/>
      <c r="F49" s="210"/>
      <c r="G49" s="39"/>
      <c r="H49" s="40"/>
      <c r="I49" s="41"/>
      <c r="J49" s="42" t="str">
        <f t="shared" si="10"/>
        <v/>
      </c>
      <c r="K49" s="90"/>
      <c r="L49" s="206" t="str">
        <f t="shared" si="11"/>
        <v>No Quote</v>
      </c>
      <c r="M49" s="207"/>
      <c r="N49" s="41"/>
      <c r="O49" s="42" t="str">
        <f t="shared" si="12"/>
        <v/>
      </c>
      <c r="P49" s="89"/>
      <c r="Q49" s="206" t="str">
        <f t="shared" si="13"/>
        <v>No Quote</v>
      </c>
      <c r="R49" s="207"/>
      <c r="S49" s="41"/>
      <c r="T49" s="42" t="str">
        <f t="shared" si="14"/>
        <v/>
      </c>
      <c r="U49" s="89"/>
      <c r="V49" s="206" t="str">
        <f t="shared" si="15"/>
        <v>No Quote</v>
      </c>
      <c r="W49" s="207"/>
      <c r="X49" s="41"/>
      <c r="Y49" s="42" t="str">
        <f t="shared" si="16"/>
        <v/>
      </c>
      <c r="Z49" s="89"/>
      <c r="AA49" s="208" t="str">
        <f t="shared" si="17"/>
        <v>No Quote</v>
      </c>
      <c r="AB49" s="209"/>
      <c r="AC49" s="87"/>
      <c r="AD49" s="93"/>
      <c r="AE49" s="63" t="str">
        <f t="shared" si="18"/>
        <v/>
      </c>
      <c r="AF49" s="92"/>
      <c r="AG49" s="92"/>
      <c r="AH49" s="77" t="str">
        <f t="shared" si="19"/>
        <v>-</v>
      </c>
      <c r="AI49" s="77" t="str">
        <f t="shared" si="20"/>
        <v>-</v>
      </c>
      <c r="AJ49" s="77" t="str">
        <f t="shared" si="21"/>
        <v>-</v>
      </c>
      <c r="AK49" s="77" t="str">
        <f t="shared" si="22"/>
        <v>-</v>
      </c>
      <c r="AL49" s="78" t="str">
        <f t="shared" si="3"/>
        <v/>
      </c>
      <c r="AM49" s="74" t="str">
        <f t="shared" si="4"/>
        <v/>
      </c>
      <c r="AN49" s="72" t="str">
        <f t="shared" si="5"/>
        <v/>
      </c>
      <c r="AO49" s="71" t="str">
        <f t="shared" si="23"/>
        <v/>
      </c>
      <c r="AP49" s="74" t="str">
        <f t="shared" si="6"/>
        <v/>
      </c>
      <c r="AQ49" s="72" t="str">
        <f t="shared" si="7"/>
        <v/>
      </c>
      <c r="AR49" s="71" t="str">
        <f t="shared" si="24"/>
        <v/>
      </c>
      <c r="AS49" s="74" t="str">
        <f t="shared" si="8"/>
        <v/>
      </c>
      <c r="AU49" s="99">
        <f t="shared" si="9"/>
        <v>0</v>
      </c>
      <c r="AV49" s="103" t="str" cm="1">
        <f t="array" ref="AV49">IFERROR(INDEX(_xlfn.UNIQUE(_xlfn._xlws.FILTER($AM$22:$AM$49,($AM$22:$AM$49&lt;&gt;"")*($AM$22:$AM$49&lt;&gt;"-"))),ROWS($AV$22:AV49)),"")</f>
        <v/>
      </c>
    </row>
    <row r="50" spans="2:48" s="44" customFormat="1" ht="35.1" customHeight="1" x14ac:dyDescent="0.25">
      <c r="B50" s="222" t="s">
        <v>17</v>
      </c>
      <c r="C50" s="223"/>
      <c r="D50" s="223"/>
      <c r="E50" s="223"/>
      <c r="F50" s="223"/>
      <c r="G50" s="226" t="s">
        <v>35</v>
      </c>
      <c r="H50" s="183"/>
      <c r="I50" s="211">
        <f>SUMIF(K22:K49,"&lt;&gt;x",J22:J49)</f>
        <v>0</v>
      </c>
      <c r="J50" s="212"/>
      <c r="K50" s="212"/>
      <c r="L50" s="212"/>
      <c r="M50" s="213"/>
      <c r="N50" s="211">
        <f>SUMIF(P22:P49,"&lt;&gt;x",O22:O49)</f>
        <v>0</v>
      </c>
      <c r="O50" s="212"/>
      <c r="P50" s="212"/>
      <c r="Q50" s="212"/>
      <c r="R50" s="213"/>
      <c r="S50" s="211">
        <f>SUMIF(U22:U49,"&lt;&gt;x",T22:T49)</f>
        <v>0</v>
      </c>
      <c r="T50" s="212"/>
      <c r="U50" s="212"/>
      <c r="V50" s="212"/>
      <c r="W50" s="213"/>
      <c r="X50" s="211">
        <f>SUMIF(Z22:Z49,"&lt;&gt;x",Y22:Y49)</f>
        <v>0</v>
      </c>
      <c r="Y50" s="212"/>
      <c r="Z50" s="212"/>
      <c r="AA50" s="212"/>
      <c r="AB50" s="214"/>
      <c r="AH50" s="110">
        <f>SUM(AH22:AH49)</f>
        <v>0</v>
      </c>
      <c r="AI50" s="110">
        <f>SUM(AI22:AI49)</f>
        <v>0</v>
      </c>
      <c r="AJ50" s="110">
        <f>SUM(AJ22:AJ49)</f>
        <v>0</v>
      </c>
      <c r="AK50" s="110">
        <f>SUM(AK22:AK49)</f>
        <v>0</v>
      </c>
      <c r="AL50" s="78" t="str">
        <f t="shared" si="3"/>
        <v/>
      </c>
      <c r="AM50" s="74" t="str">
        <f t="shared" ref="AM50" si="26">IF(AL50=AH50,$AH$19,IF(AL50=AI50,$AI$19,IF(AL50=AJ50,$AJ$19,IF(AL50=AK50,$AK$19,""))))</f>
        <v/>
      </c>
      <c r="AN50" s="72">
        <f t="shared" si="5"/>
        <v>0</v>
      </c>
      <c r="AO50" s="71" t="str">
        <f t="shared" si="23"/>
        <v/>
      </c>
      <c r="AP50" s="74">
        <f t="shared" ref="AP50" si="27">IFERROR(IF(AN50="","",IF(AN50=AH50,$AH$19,IF(AN50=AI50,$AI$19,IF(AN50=AJ50,$AJ$19,IF(AN50=AK50,$AK$19,""))))),"")</f>
        <v>0</v>
      </c>
      <c r="AQ50" s="72">
        <f t="shared" si="7"/>
        <v>0</v>
      </c>
      <c r="AR50" s="71" t="str">
        <f t="shared" ref="AR50" si="28">IFERROR(IF((AQ50-$AL50)/$AL50&lt;0%,"",(AQ50-$AL50)/$AL50),"")</f>
        <v/>
      </c>
      <c r="AS50" s="74">
        <f t="shared" ref="AS50" si="29">IFERROR(IF(AQ50="","",IF(AQ50=AH50,$AH$19,IF(AQ50=AI50,$AI$19,IF(AQ50=AJ50,$AJ$19,IF(AQ50=AK50,$AK$19,""))))),"")</f>
        <v>0</v>
      </c>
      <c r="AU50" s="94"/>
      <c r="AV50" s="94"/>
    </row>
    <row r="51" spans="2:48" s="44" customFormat="1" ht="35.1" customHeight="1" outlineLevel="1" x14ac:dyDescent="0.25">
      <c r="B51" s="224"/>
      <c r="C51" s="225"/>
      <c r="D51" s="225"/>
      <c r="E51" s="225"/>
      <c r="F51" s="225"/>
      <c r="G51" s="226" t="s">
        <v>36</v>
      </c>
      <c r="H51" s="183"/>
      <c r="I51" s="211">
        <f>I50+(I50*11%)</f>
        <v>0</v>
      </c>
      <c r="J51" s="212"/>
      <c r="K51" s="212"/>
      <c r="L51" s="212"/>
      <c r="M51" s="213"/>
      <c r="N51" s="211">
        <f>N50+(N50*11%)</f>
        <v>0</v>
      </c>
      <c r="O51" s="212"/>
      <c r="P51" s="212"/>
      <c r="Q51" s="212"/>
      <c r="R51" s="213"/>
      <c r="S51" s="211">
        <f>S50+(S50*11%)</f>
        <v>0</v>
      </c>
      <c r="T51" s="212"/>
      <c r="U51" s="212"/>
      <c r="V51" s="212"/>
      <c r="W51" s="213"/>
      <c r="X51" s="211">
        <f>X50+(X50*11%)</f>
        <v>0</v>
      </c>
      <c r="Y51" s="212"/>
      <c r="Z51" s="212"/>
      <c r="AA51" s="212"/>
      <c r="AB51" s="214"/>
      <c r="AH51" s="19" t="s">
        <v>47</v>
      </c>
      <c r="AI51" s="11" t="str">
        <f>IF(COUNTIF(AI22:AI49,"-")&gt;0,"No Full Item","Full Item")</f>
        <v>No Full Item</v>
      </c>
      <c r="AJ51" s="11" t="str">
        <f>IF(COUNTIF(AJ22:AJ49,"-")&gt;0,"No Full Item","Full Item")</f>
        <v>No Full Item</v>
      </c>
      <c r="AK51" s="11" t="str">
        <f>IF(COUNTIF(AK22:AK49,"-")&gt;0,"No Full Item","Full Item")</f>
        <v>No Full Item</v>
      </c>
      <c r="AL51" s="69"/>
      <c r="AM51" s="75"/>
      <c r="AO51" s="68"/>
      <c r="AP51" s="75"/>
      <c r="AS51" s="75"/>
      <c r="AU51" s="97"/>
    </row>
    <row r="52" spans="2:48" s="44" customFormat="1" ht="35.1" customHeight="1" x14ac:dyDescent="0.25">
      <c r="B52" s="224"/>
      <c r="C52" s="225"/>
      <c r="D52" s="225"/>
      <c r="E52" s="225"/>
      <c r="F52" s="225"/>
      <c r="G52" s="226" t="s">
        <v>37</v>
      </c>
      <c r="H52" s="183"/>
      <c r="I52" s="211"/>
      <c r="J52" s="212"/>
      <c r="K52" s="212"/>
      <c r="L52" s="212"/>
      <c r="M52" s="213"/>
      <c r="N52" s="211"/>
      <c r="O52" s="212"/>
      <c r="P52" s="212"/>
      <c r="Q52" s="212"/>
      <c r="R52" s="213"/>
      <c r="S52" s="211"/>
      <c r="T52" s="212"/>
      <c r="U52" s="212"/>
      <c r="V52" s="212"/>
      <c r="W52" s="213"/>
      <c r="X52" s="211"/>
      <c r="Y52" s="212"/>
      <c r="Z52" s="212"/>
      <c r="AA52" s="212"/>
      <c r="AB52" s="214"/>
      <c r="AL52" s="69"/>
      <c r="AM52" s="75"/>
      <c r="AO52" s="68"/>
      <c r="AP52" s="75"/>
      <c r="AS52" s="75"/>
      <c r="AU52" s="97"/>
    </row>
    <row r="53" spans="2:48" s="1" customFormat="1" ht="80.25" customHeight="1" x14ac:dyDescent="0.25">
      <c r="B53" s="215" t="s">
        <v>38</v>
      </c>
      <c r="C53" s="216"/>
      <c r="D53" s="216"/>
      <c r="E53" s="216"/>
      <c r="F53" s="216"/>
      <c r="G53" s="216"/>
      <c r="H53" s="217"/>
      <c r="I53" s="218"/>
      <c r="J53" s="219"/>
      <c r="K53" s="219"/>
      <c r="L53" s="219"/>
      <c r="M53" s="220"/>
      <c r="N53" s="221"/>
      <c r="O53" s="219"/>
      <c r="P53" s="219"/>
      <c r="Q53" s="219"/>
      <c r="R53" s="220"/>
      <c r="S53" s="221"/>
      <c r="T53" s="219"/>
      <c r="U53" s="219"/>
      <c r="V53" s="219"/>
      <c r="W53" s="220"/>
      <c r="X53" s="221"/>
      <c r="Y53" s="219"/>
      <c r="Z53" s="219"/>
      <c r="AA53" s="219"/>
      <c r="AB53" s="227"/>
      <c r="AL53" s="79"/>
      <c r="AM53" s="70"/>
      <c r="AO53" s="65"/>
      <c r="AP53" s="70"/>
      <c r="AS53" s="70"/>
      <c r="AU53" s="94"/>
    </row>
    <row r="54" spans="2:48" s="1" customFormat="1" ht="120" customHeight="1" x14ac:dyDescent="0.25">
      <c r="B54" s="228"/>
      <c r="C54" s="229"/>
      <c r="D54" s="229"/>
      <c r="E54" s="229"/>
      <c r="F54" s="229"/>
      <c r="G54" s="229"/>
      <c r="H54" s="229"/>
      <c r="I54" s="230" t="s">
        <v>39</v>
      </c>
      <c r="J54" s="231"/>
      <c r="K54" s="231"/>
      <c r="L54" s="231"/>
      <c r="M54" s="232"/>
      <c r="N54" s="230" t="s">
        <v>39</v>
      </c>
      <c r="O54" s="231"/>
      <c r="P54" s="231"/>
      <c r="Q54" s="231"/>
      <c r="R54" s="232"/>
      <c r="S54" s="230" t="s">
        <v>39</v>
      </c>
      <c r="T54" s="231"/>
      <c r="U54" s="231"/>
      <c r="V54" s="231"/>
      <c r="W54" s="232"/>
      <c r="X54" s="246" t="s">
        <v>39</v>
      </c>
      <c r="Y54" s="247"/>
      <c r="Z54" s="247"/>
      <c r="AA54" s="247"/>
      <c r="AB54" s="248"/>
      <c r="AL54" s="79"/>
      <c r="AM54" s="70"/>
      <c r="AO54" s="65"/>
      <c r="AP54" s="70"/>
      <c r="AS54" s="70"/>
      <c r="AU54" s="94"/>
    </row>
    <row r="55" spans="2:48" s="47" customFormat="1" ht="15" customHeight="1" x14ac:dyDescent="0.25">
      <c r="B55" s="249" t="s">
        <v>40</v>
      </c>
      <c r="C55" s="250"/>
      <c r="D55" s="250"/>
      <c r="E55" s="250"/>
      <c r="F55" s="250"/>
      <c r="G55" s="250"/>
      <c r="H55" s="251"/>
      <c r="I55" s="252" t="s">
        <v>41</v>
      </c>
      <c r="J55" s="253"/>
      <c r="K55" s="253"/>
      <c r="L55" s="253"/>
      <c r="M55" s="253"/>
      <c r="N55" s="253"/>
      <c r="O55" s="253"/>
      <c r="P55" s="253"/>
      <c r="Q55" s="253"/>
      <c r="R55" s="288"/>
      <c r="S55" s="252" t="s">
        <v>50</v>
      </c>
      <c r="T55" s="253"/>
      <c r="U55" s="253"/>
      <c r="V55" s="253"/>
      <c r="W55" s="288"/>
      <c r="X55" s="266" t="s">
        <v>42</v>
      </c>
      <c r="Y55" s="267"/>
      <c r="Z55" s="267"/>
      <c r="AA55" s="267"/>
      <c r="AB55" s="268"/>
      <c r="AL55" s="81"/>
      <c r="AM55" s="70"/>
      <c r="AN55" s="1"/>
      <c r="AO55" s="65"/>
      <c r="AP55" s="70"/>
      <c r="AS55" s="70"/>
      <c r="AU55" s="98"/>
    </row>
    <row r="56" spans="2:48" s="1" customFormat="1" ht="90" customHeight="1" x14ac:dyDescent="0.25">
      <c r="B56" s="258"/>
      <c r="C56" s="259"/>
      <c r="D56" s="259"/>
      <c r="E56" s="259"/>
      <c r="F56" s="259"/>
      <c r="G56" s="259"/>
      <c r="H56" s="260"/>
      <c r="I56" s="330"/>
      <c r="J56" s="331"/>
      <c r="K56" s="331"/>
      <c r="L56" s="331"/>
      <c r="M56" s="331"/>
      <c r="N56" s="331"/>
      <c r="O56" s="331"/>
      <c r="P56" s="331"/>
      <c r="Q56" s="331"/>
      <c r="R56" s="332"/>
      <c r="S56" s="179"/>
      <c r="T56" s="180"/>
      <c r="U56" s="180"/>
      <c r="V56" s="180"/>
      <c r="W56" s="180"/>
      <c r="X56" s="266"/>
      <c r="Y56" s="267"/>
      <c r="Z56" s="267"/>
      <c r="AA56" s="267"/>
      <c r="AB56" s="268"/>
      <c r="AL56" s="79"/>
      <c r="AM56" s="70"/>
      <c r="AO56" s="65"/>
      <c r="AP56" s="70"/>
      <c r="AS56" s="70"/>
      <c r="AU56" s="94"/>
    </row>
    <row r="57" spans="2:48" s="1" customFormat="1" ht="13.5" x14ac:dyDescent="0.25">
      <c r="B57" s="233" t="s">
        <v>47</v>
      </c>
      <c r="C57" s="234"/>
      <c r="D57" s="234"/>
      <c r="E57" s="234"/>
      <c r="F57" s="234"/>
      <c r="G57" s="234"/>
      <c r="H57" s="235"/>
      <c r="I57" s="333" t="s">
        <v>43</v>
      </c>
      <c r="J57" s="307"/>
      <c r="K57" s="307"/>
      <c r="L57" s="307"/>
      <c r="M57" s="307" t="s">
        <v>52</v>
      </c>
      <c r="N57" s="307"/>
      <c r="O57" s="307"/>
      <c r="P57" s="237" t="s">
        <v>45</v>
      </c>
      <c r="Q57" s="237"/>
      <c r="R57" s="287"/>
      <c r="S57" s="261" t="s">
        <v>48</v>
      </c>
      <c r="T57" s="262"/>
      <c r="U57" s="262"/>
      <c r="V57" s="262"/>
      <c r="W57" s="324"/>
      <c r="X57" s="236" t="str">
        <f>IF(OR($I$50&lt;200000000,$N$50&lt;200000000,$S$50&lt;200000000,$X$50&lt;200000000),"Mochammad Rusfandy","Mochammad Rusfandy")</f>
        <v>Mochammad Rusfandy</v>
      </c>
      <c r="Y57" s="237"/>
      <c r="Z57" s="237"/>
      <c r="AA57" s="237" t="str">
        <f>IF(OR($I$50="",$N$50="",$S$50="",$X$50=""),"",IF(OR($I$50&gt;200000000,$N$50&gt;200000000,$S$50&gt;200000000,$X$50&gt;200000000),"Heri Gunawan",""))</f>
        <v/>
      </c>
      <c r="AB57" s="254"/>
      <c r="AL57" s="79"/>
      <c r="AM57" s="70"/>
      <c r="AO57" s="65"/>
      <c r="AP57" s="70"/>
      <c r="AS57" s="70"/>
      <c r="AU57" s="94"/>
    </row>
    <row r="58" spans="2:48" s="1" customFormat="1" ht="13.5" x14ac:dyDescent="0.25">
      <c r="B58" s="48" t="s">
        <v>46</v>
      </c>
      <c r="C58" s="49"/>
      <c r="D58" s="255">
        <f ca="1">Y8</f>
        <v>46314</v>
      </c>
      <c r="E58" s="255"/>
      <c r="F58" s="255"/>
      <c r="G58" s="255"/>
      <c r="H58" s="256"/>
      <c r="I58" s="334" t="str">
        <f>IF(I57="","","Date:")</f>
        <v>Date:</v>
      </c>
      <c r="J58" s="325"/>
      <c r="K58" s="325"/>
      <c r="L58" s="325"/>
      <c r="M58" s="325" t="str">
        <f>IF(M57="","","Date:")</f>
        <v>Date:</v>
      </c>
      <c r="N58" s="325"/>
      <c r="O58" s="325"/>
      <c r="P58" s="242" t="str">
        <f t="shared" ref="P58" si="30">IF(P57="","","Date:")</f>
        <v>Date:</v>
      </c>
      <c r="Q58" s="242"/>
      <c r="R58" s="286"/>
      <c r="S58" s="263" t="s">
        <v>49</v>
      </c>
      <c r="T58" s="264"/>
      <c r="U58" s="264"/>
      <c r="V58" s="264"/>
      <c r="W58" s="295"/>
      <c r="X58" s="241" t="str">
        <f>IF(X57="","","Date:")</f>
        <v>Date:</v>
      </c>
      <c r="Y58" s="242"/>
      <c r="Z58" s="242"/>
      <c r="AA58" s="325" t="str">
        <f>IF(AA57="","","Date:")</f>
        <v/>
      </c>
      <c r="AB58" s="326"/>
      <c r="AL58" s="79"/>
      <c r="AM58" s="70"/>
      <c r="AO58" s="65"/>
      <c r="AP58" s="70"/>
      <c r="AS58" s="70"/>
      <c r="AU58" s="94"/>
    </row>
    <row r="59" spans="2:48" s="1" customFormat="1" ht="15.75" customHeight="1" thickBot="1" x14ac:dyDescent="0.3">
      <c r="B59" s="283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5"/>
      <c r="AL59" s="79"/>
      <c r="AM59" s="70"/>
      <c r="AO59" s="65"/>
      <c r="AP59" s="70"/>
      <c r="AS59" s="70"/>
      <c r="AU59" s="94"/>
    </row>
    <row r="60" spans="2:48" ht="17.25" hidden="1" thickTop="1" x14ac:dyDescent="0.25">
      <c r="L60" s="55"/>
      <c r="M60" s="55"/>
    </row>
    <row r="61" spans="2:48" ht="17.25" hidden="1" thickTop="1" x14ac:dyDescent="0.25">
      <c r="L61" s="55"/>
      <c r="M61" s="55"/>
    </row>
    <row r="62" spans="2:48" ht="17.25" hidden="1" thickTop="1" x14ac:dyDescent="0.25">
      <c r="J62" s="265"/>
      <c r="K62" s="244"/>
      <c r="L62" s="244"/>
      <c r="M62" s="244"/>
    </row>
    <row r="63" spans="2:48" ht="17.25" hidden="1" thickTop="1" x14ac:dyDescent="0.25">
      <c r="J63" s="265"/>
      <c r="K63" s="244"/>
      <c r="L63" s="244"/>
      <c r="M63" s="244"/>
    </row>
    <row r="64" spans="2:48" ht="17.25" hidden="1" thickTop="1" x14ac:dyDescent="0.25">
      <c r="J64" s="265"/>
      <c r="K64" s="244"/>
      <c r="L64" s="244"/>
      <c r="M64" s="244"/>
    </row>
    <row r="65" spans="4:13" ht="17.25" hidden="1" thickTop="1" x14ac:dyDescent="0.25">
      <c r="J65" s="265"/>
      <c r="K65" s="244"/>
      <c r="L65" s="244"/>
      <c r="M65" s="244"/>
    </row>
    <row r="66" spans="4:13" ht="17.25" hidden="1" thickTop="1" x14ac:dyDescent="0.25">
      <c r="J66" s="265"/>
      <c r="K66" s="244"/>
      <c r="L66" s="244"/>
      <c r="M66" s="244"/>
    </row>
    <row r="67" spans="4:13" ht="17.25" hidden="1" thickTop="1" x14ac:dyDescent="0.25">
      <c r="J67" s="244"/>
      <c r="K67" s="244"/>
      <c r="L67" s="244"/>
      <c r="M67" s="244"/>
    </row>
    <row r="68" spans="4:13" ht="17.25" hidden="1" thickTop="1" x14ac:dyDescent="0.25">
      <c r="L68" s="55"/>
      <c r="M68" s="55"/>
    </row>
    <row r="69" spans="4:13" ht="17.25" hidden="1" thickTop="1" x14ac:dyDescent="0.25">
      <c r="L69" s="239"/>
      <c r="M69" s="239"/>
    </row>
    <row r="72" spans="4:13" ht="17.25" hidden="1" thickTop="1" x14ac:dyDescent="0.25">
      <c r="D72" s="56"/>
      <c r="E72" s="56"/>
      <c r="F72" s="56"/>
      <c r="G72" s="56"/>
      <c r="H72" s="56"/>
      <c r="I72" s="56"/>
    </row>
    <row r="73" spans="4:13" ht="17.25" hidden="1" thickTop="1" x14ac:dyDescent="0.25">
      <c r="D73" s="56"/>
      <c r="E73" s="56"/>
      <c r="F73" s="56"/>
      <c r="G73" s="56"/>
      <c r="H73" s="56"/>
      <c r="I73" s="56"/>
    </row>
    <row r="74" spans="4:13" ht="17.25" hidden="1" thickTop="1" x14ac:dyDescent="0.25">
      <c r="D74" s="56"/>
      <c r="E74" s="56"/>
      <c r="F74" s="56"/>
      <c r="G74" s="56"/>
      <c r="H74" s="56"/>
      <c r="I74" s="56"/>
    </row>
    <row r="75" spans="4:13" ht="17.25" hidden="1" thickTop="1" x14ac:dyDescent="0.25">
      <c r="D75" s="56"/>
      <c r="E75" s="56"/>
      <c r="F75" s="56"/>
      <c r="G75" s="56"/>
      <c r="H75" s="56"/>
      <c r="I75" s="56"/>
    </row>
    <row r="76" spans="4:13" ht="17.25" hidden="1" thickTop="1" x14ac:dyDescent="0.25">
      <c r="D76" s="56"/>
      <c r="E76" s="56"/>
      <c r="F76" s="57"/>
      <c r="G76" s="56"/>
      <c r="H76" s="56"/>
      <c r="I76" s="56"/>
    </row>
    <row r="77" spans="4:13" ht="15" hidden="1" customHeight="1" x14ac:dyDescent="0.25">
      <c r="D77" s="56"/>
      <c r="E77" s="56"/>
      <c r="F77" s="240"/>
      <c r="G77" s="240"/>
      <c r="H77" s="240"/>
      <c r="I77" s="56"/>
    </row>
    <row r="78" spans="4:13" ht="15" hidden="1" customHeight="1" x14ac:dyDescent="0.25">
      <c r="D78" s="56"/>
      <c r="E78" s="56"/>
      <c r="F78" s="240"/>
      <c r="G78" s="240"/>
      <c r="H78" s="240"/>
      <c r="I78" s="58"/>
      <c r="J78" s="59"/>
    </row>
    <row r="79" spans="4:13" ht="17.25" hidden="1" thickTop="1" x14ac:dyDescent="0.25">
      <c r="D79" s="56"/>
      <c r="E79" s="56"/>
      <c r="F79" s="56"/>
      <c r="G79" s="56"/>
      <c r="H79" s="56"/>
      <c r="I79" s="56"/>
    </row>
    <row r="80" spans="4:13" ht="17.25" hidden="1" thickTop="1" x14ac:dyDescent="0.25">
      <c r="D80" s="56"/>
      <c r="E80" s="56"/>
      <c r="F80" s="56"/>
      <c r="G80" s="56"/>
      <c r="H80" s="56"/>
      <c r="I80" s="56"/>
    </row>
    <row r="81" spans="4:9" ht="17.25" hidden="1" thickTop="1" x14ac:dyDescent="0.25">
      <c r="D81" s="56"/>
      <c r="E81" s="56"/>
      <c r="F81" s="56"/>
      <c r="G81" s="56"/>
      <c r="H81" s="56"/>
      <c r="I81" s="60"/>
    </row>
    <row r="82" spans="4:9" ht="17.25" hidden="1" thickTop="1" x14ac:dyDescent="0.25">
      <c r="D82" s="56"/>
      <c r="E82" s="56"/>
      <c r="F82" s="56"/>
      <c r="G82" s="56"/>
      <c r="H82" s="56"/>
      <c r="I82" s="56"/>
    </row>
    <row r="83" spans="4:9" ht="17.25" thickTop="1" x14ac:dyDescent="0.25"/>
    <row r="84" spans="4:9" x14ac:dyDescent="0.25"/>
  </sheetData>
  <mergeCells count="280">
    <mergeCell ref="F9:Q9"/>
    <mergeCell ref="M57:O57"/>
    <mergeCell ref="M58:O58"/>
    <mergeCell ref="I56:R56"/>
    <mergeCell ref="X56:AB56"/>
    <mergeCell ref="I57:L57"/>
    <mergeCell ref="I58:L58"/>
    <mergeCell ref="X55:AB55"/>
    <mergeCell ref="I10:M10"/>
    <mergeCell ref="X12:AB13"/>
    <mergeCell ref="X14:AB14"/>
    <mergeCell ref="B12:F12"/>
    <mergeCell ref="G12:H13"/>
    <mergeCell ref="I12:M13"/>
    <mergeCell ref="N12:R13"/>
    <mergeCell ref="S12:W13"/>
    <mergeCell ref="B13:F15"/>
    <mergeCell ref="X15:AB15"/>
    <mergeCell ref="P17:R17"/>
    <mergeCell ref="S17:T17"/>
    <mergeCell ref="U17:W17"/>
    <mergeCell ref="X17:Y17"/>
    <mergeCell ref="I55:R55"/>
    <mergeCell ref="AU20:AV20"/>
    <mergeCell ref="AU21:AV21"/>
    <mergeCell ref="B4:F6"/>
    <mergeCell ref="G4:Z6"/>
    <mergeCell ref="B7:D7"/>
    <mergeCell ref="Y7:AB7"/>
    <mergeCell ref="B8:D8"/>
    <mergeCell ref="Y8:AB8"/>
    <mergeCell ref="N10:R10"/>
    <mergeCell ref="S10:W10"/>
    <mergeCell ref="X10:AB10"/>
    <mergeCell ref="B11:F11"/>
    <mergeCell ref="J11:M11"/>
    <mergeCell ref="O11:R11"/>
    <mergeCell ref="T11:W11"/>
    <mergeCell ref="Y11:AB11"/>
    <mergeCell ref="B9:D9"/>
    <mergeCell ref="B10:F10"/>
    <mergeCell ref="G10:H11"/>
    <mergeCell ref="F7:Q7"/>
    <mergeCell ref="Z17:AB17"/>
    <mergeCell ref="G17:H17"/>
    <mergeCell ref="G14:H14"/>
    <mergeCell ref="F8:Q8"/>
    <mergeCell ref="I14:M14"/>
    <mergeCell ref="N14:R14"/>
    <mergeCell ref="S14:W14"/>
    <mergeCell ref="G15:H15"/>
    <mergeCell ref="I15:M15"/>
    <mergeCell ref="X16:AB16"/>
    <mergeCell ref="N15:R15"/>
    <mergeCell ref="S15:W15"/>
    <mergeCell ref="I17:J17"/>
    <mergeCell ref="K17:M17"/>
    <mergeCell ref="N17:O17"/>
    <mergeCell ref="G16:H16"/>
    <mergeCell ref="I16:M16"/>
    <mergeCell ref="N16:R16"/>
    <mergeCell ref="S16:W16"/>
    <mergeCell ref="AN21:AP21"/>
    <mergeCell ref="B18:F19"/>
    <mergeCell ref="AL18:AL21"/>
    <mergeCell ref="G19:H19"/>
    <mergeCell ref="I19:M19"/>
    <mergeCell ref="N19:R19"/>
    <mergeCell ref="S19:W19"/>
    <mergeCell ref="X19:AB19"/>
    <mergeCell ref="AH19:AH21"/>
    <mergeCell ref="G18:H18"/>
    <mergeCell ref="I18:M18"/>
    <mergeCell ref="N18:R18"/>
    <mergeCell ref="X20:AB20"/>
    <mergeCell ref="S18:W18"/>
    <mergeCell ref="X18:AB18"/>
    <mergeCell ref="S20:W20"/>
    <mergeCell ref="B17:E17"/>
    <mergeCell ref="AA25:AB25"/>
    <mergeCell ref="C24:F24"/>
    <mergeCell ref="L24:M24"/>
    <mergeCell ref="Q24:R24"/>
    <mergeCell ref="V24:W24"/>
    <mergeCell ref="AA24:AB24"/>
    <mergeCell ref="AQ21:AS21"/>
    <mergeCell ref="C22:F22"/>
    <mergeCell ref="L22:M22"/>
    <mergeCell ref="Q22:R22"/>
    <mergeCell ref="V22:W22"/>
    <mergeCell ref="AA22:AB22"/>
    <mergeCell ref="C21:F21"/>
    <mergeCell ref="L21:M21"/>
    <mergeCell ref="Q21:R21"/>
    <mergeCell ref="V21:W21"/>
    <mergeCell ref="AA21:AB21"/>
    <mergeCell ref="AI19:AI21"/>
    <mergeCell ref="AJ19:AJ21"/>
    <mergeCell ref="AK19:AK21"/>
    <mergeCell ref="G20:H20"/>
    <mergeCell ref="I20:M20"/>
    <mergeCell ref="N20:R20"/>
    <mergeCell ref="C28:F28"/>
    <mergeCell ref="L28:M28"/>
    <mergeCell ref="Q28:R28"/>
    <mergeCell ref="V28:W28"/>
    <mergeCell ref="AA28:AB28"/>
    <mergeCell ref="C23:F23"/>
    <mergeCell ref="L23:M23"/>
    <mergeCell ref="Q23:R23"/>
    <mergeCell ref="V23:W23"/>
    <mergeCell ref="AA23:AB23"/>
    <mergeCell ref="C27:F27"/>
    <mergeCell ref="L27:M27"/>
    <mergeCell ref="Q27:R27"/>
    <mergeCell ref="V27:W27"/>
    <mergeCell ref="AA27:AB27"/>
    <mergeCell ref="C26:F26"/>
    <mergeCell ref="L26:M26"/>
    <mergeCell ref="Q26:R26"/>
    <mergeCell ref="V26:W26"/>
    <mergeCell ref="AA26:AB26"/>
    <mergeCell ref="C25:F25"/>
    <mergeCell ref="L25:M25"/>
    <mergeCell ref="Q25:R25"/>
    <mergeCell ref="V25:W25"/>
    <mergeCell ref="C30:F30"/>
    <mergeCell ref="L30:M30"/>
    <mergeCell ref="Q30:R30"/>
    <mergeCell ref="V30:W30"/>
    <mergeCell ref="AA30:AB30"/>
    <mergeCell ref="C29:F29"/>
    <mergeCell ref="L29:M29"/>
    <mergeCell ref="Q29:R29"/>
    <mergeCell ref="V29:W29"/>
    <mergeCell ref="AA29:AB29"/>
    <mergeCell ref="C32:F32"/>
    <mergeCell ref="L32:M32"/>
    <mergeCell ref="Q32:R32"/>
    <mergeCell ref="V32:W32"/>
    <mergeCell ref="AA32:AB32"/>
    <mergeCell ref="C31:F31"/>
    <mergeCell ref="L31:M31"/>
    <mergeCell ref="Q31:R31"/>
    <mergeCell ref="V31:W31"/>
    <mergeCell ref="AA31:AB31"/>
    <mergeCell ref="C34:F34"/>
    <mergeCell ref="L34:M34"/>
    <mergeCell ref="Q34:R34"/>
    <mergeCell ref="V34:W34"/>
    <mergeCell ref="AA34:AB34"/>
    <mergeCell ref="C33:F33"/>
    <mergeCell ref="L33:M33"/>
    <mergeCell ref="Q33:R33"/>
    <mergeCell ref="V33:W33"/>
    <mergeCell ref="AA33:AB33"/>
    <mergeCell ref="C36:F36"/>
    <mergeCell ref="L36:M36"/>
    <mergeCell ref="Q36:R36"/>
    <mergeCell ref="V36:W36"/>
    <mergeCell ref="AA36:AB36"/>
    <mergeCell ref="C35:F35"/>
    <mergeCell ref="L35:M35"/>
    <mergeCell ref="Q35:R35"/>
    <mergeCell ref="V35:W35"/>
    <mergeCell ref="AA35:AB35"/>
    <mergeCell ref="C38:F38"/>
    <mergeCell ref="L38:M38"/>
    <mergeCell ref="Q38:R38"/>
    <mergeCell ref="V38:W38"/>
    <mergeCell ref="AA38:AB38"/>
    <mergeCell ref="C37:F37"/>
    <mergeCell ref="L37:M37"/>
    <mergeCell ref="Q37:R37"/>
    <mergeCell ref="V37:W37"/>
    <mergeCell ref="AA37:AB37"/>
    <mergeCell ref="C40:F40"/>
    <mergeCell ref="L40:M40"/>
    <mergeCell ref="Q40:R40"/>
    <mergeCell ref="V40:W40"/>
    <mergeCell ref="AA40:AB40"/>
    <mergeCell ref="C39:F39"/>
    <mergeCell ref="L39:M39"/>
    <mergeCell ref="Q39:R39"/>
    <mergeCell ref="V39:W39"/>
    <mergeCell ref="AA39:AB39"/>
    <mergeCell ref="C42:F42"/>
    <mergeCell ref="L42:M42"/>
    <mergeCell ref="Q42:R42"/>
    <mergeCell ref="V42:W42"/>
    <mergeCell ref="AA42:AB42"/>
    <mergeCell ref="C41:F41"/>
    <mergeCell ref="L41:M41"/>
    <mergeCell ref="Q41:R41"/>
    <mergeCell ref="V41:W41"/>
    <mergeCell ref="AA41:AB41"/>
    <mergeCell ref="C44:F44"/>
    <mergeCell ref="L44:M44"/>
    <mergeCell ref="Q44:R44"/>
    <mergeCell ref="V44:W44"/>
    <mergeCell ref="AA44:AB44"/>
    <mergeCell ref="C43:F43"/>
    <mergeCell ref="L43:M43"/>
    <mergeCell ref="Q43:R43"/>
    <mergeCell ref="V43:W43"/>
    <mergeCell ref="AA43:AB43"/>
    <mergeCell ref="C46:F46"/>
    <mergeCell ref="L46:M46"/>
    <mergeCell ref="Q46:R46"/>
    <mergeCell ref="V46:W46"/>
    <mergeCell ref="AA46:AB46"/>
    <mergeCell ref="C45:F45"/>
    <mergeCell ref="L45:M45"/>
    <mergeCell ref="Q45:R45"/>
    <mergeCell ref="V45:W45"/>
    <mergeCell ref="AA45:AB45"/>
    <mergeCell ref="C48:F48"/>
    <mergeCell ref="L48:M48"/>
    <mergeCell ref="Q48:R48"/>
    <mergeCell ref="V48:W48"/>
    <mergeCell ref="AA48:AB48"/>
    <mergeCell ref="C47:F47"/>
    <mergeCell ref="L47:M47"/>
    <mergeCell ref="Q47:R47"/>
    <mergeCell ref="V47:W47"/>
    <mergeCell ref="AA47:AB47"/>
    <mergeCell ref="C49:F49"/>
    <mergeCell ref="L49:M49"/>
    <mergeCell ref="Q49:R49"/>
    <mergeCell ref="V49:W49"/>
    <mergeCell ref="AA49:AB49"/>
    <mergeCell ref="X50:AB50"/>
    <mergeCell ref="G51:H51"/>
    <mergeCell ref="I51:M51"/>
    <mergeCell ref="N51:R51"/>
    <mergeCell ref="S51:W51"/>
    <mergeCell ref="X51:AB51"/>
    <mergeCell ref="B50:F52"/>
    <mergeCell ref="G50:H50"/>
    <mergeCell ref="I50:M50"/>
    <mergeCell ref="N50:R50"/>
    <mergeCell ref="S50:W50"/>
    <mergeCell ref="G52:H52"/>
    <mergeCell ref="I52:M52"/>
    <mergeCell ref="N52:R52"/>
    <mergeCell ref="L69:M69"/>
    <mergeCell ref="F77:H78"/>
    <mergeCell ref="J63:M63"/>
    <mergeCell ref="J64:M64"/>
    <mergeCell ref="J65:M65"/>
    <mergeCell ref="J66:M66"/>
    <mergeCell ref="J67:M67"/>
    <mergeCell ref="D58:H58"/>
    <mergeCell ref="J62:M62"/>
    <mergeCell ref="B59:AB59"/>
    <mergeCell ref="AA58:AB58"/>
    <mergeCell ref="X57:Z57"/>
    <mergeCell ref="X58:Z58"/>
    <mergeCell ref="X54:AB54"/>
    <mergeCell ref="S52:W52"/>
    <mergeCell ref="X52:AB52"/>
    <mergeCell ref="B53:H53"/>
    <mergeCell ref="I53:M53"/>
    <mergeCell ref="B55:H55"/>
    <mergeCell ref="B56:H56"/>
    <mergeCell ref="N53:R53"/>
    <mergeCell ref="S53:W53"/>
    <mergeCell ref="X53:AB53"/>
    <mergeCell ref="B57:H57"/>
    <mergeCell ref="B54:H54"/>
    <mergeCell ref="I54:M54"/>
    <mergeCell ref="N54:R54"/>
    <mergeCell ref="S54:W54"/>
    <mergeCell ref="S57:W57"/>
    <mergeCell ref="S58:W58"/>
    <mergeCell ref="AA57:AB57"/>
    <mergeCell ref="S55:W55"/>
    <mergeCell ref="S56:W56"/>
    <mergeCell ref="P57:R57"/>
    <mergeCell ref="P58:R58"/>
  </mergeCells>
  <conditionalFormatting sqref="I22:M49">
    <cfRule type="expression" dxfId="16" priority="1" stopIfTrue="1">
      <formula>$L22="No Quote"</formula>
    </cfRule>
  </conditionalFormatting>
  <conditionalFormatting sqref="N22:R49">
    <cfRule type="expression" dxfId="15" priority="20" stopIfTrue="1">
      <formula>$Q22="No Quote"</formula>
    </cfRule>
  </conditionalFormatting>
  <conditionalFormatting sqref="S22:W49">
    <cfRule type="expression" dxfId="14" priority="19" stopIfTrue="1">
      <formula>$V22="No Quote"</formula>
    </cfRule>
  </conditionalFormatting>
  <conditionalFormatting sqref="X22:AB49">
    <cfRule type="expression" dxfId="13" priority="18" stopIfTrue="1">
      <formula>$AA22="No Quote"</formula>
    </cfRule>
  </conditionalFormatting>
  <conditionalFormatting sqref="AE22:AF49">
    <cfRule type="expression" dxfId="12" priority="7" stopIfTrue="1">
      <formula>$AE22&gt;$AL22</formula>
    </cfRule>
  </conditionalFormatting>
  <conditionalFormatting sqref="AH22:AH49">
    <cfRule type="expression" dxfId="11" priority="6" stopIfTrue="1">
      <formula>$AH22=$AL22</formula>
    </cfRule>
  </conditionalFormatting>
  <conditionalFormatting sqref="AI22:AI49">
    <cfRule type="expression" dxfId="10" priority="2" stopIfTrue="1">
      <formula>$AI22=$AL22</formula>
    </cfRule>
  </conditionalFormatting>
  <conditionalFormatting sqref="AI23:AK49">
    <cfRule type="expression" dxfId="9" priority="4" stopIfTrue="1">
      <formula>$AA23=$AE23</formula>
    </cfRule>
  </conditionalFormatting>
  <conditionalFormatting sqref="AJ22:AJ49">
    <cfRule type="expression" dxfId="8" priority="3" stopIfTrue="1">
      <formula>$AJ22=$AL22</formula>
    </cfRule>
  </conditionalFormatting>
  <conditionalFormatting sqref="AK22:AK49">
    <cfRule type="expression" dxfId="7" priority="5" stopIfTrue="1">
      <formula>$AK22=$AL22</formula>
    </cfRule>
  </conditionalFormatting>
  <dataValidations count="1">
    <dataValidation type="list" allowBlank="1" sqref="M57:O57" xr:uid="{7816BCCF-ADC6-4D92-A90D-A3F24C0B0C0A}">
      <formula1>"Zulkifli Bastiandi, Teuku Syamsul Rizal, Ifit Prabowo"</formula1>
    </dataValidation>
  </dataValidations>
  <printOptions horizontalCentered="1"/>
  <pageMargins left="0.15748031496062992" right="0" top="0.35433070866141736" bottom="0.19685039370078741" header="0.19685039370078741" footer="0.15748031496062992"/>
  <pageSetup paperSize="8" scale="48" fitToHeight="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EB25-A258-474E-A782-5244FC53C3EB}">
  <sheetPr codeName="Sheet14">
    <pageSetUpPr fitToPage="1"/>
  </sheetPr>
  <dimension ref="A1:AP85"/>
  <sheetViews>
    <sheetView showGridLines="0" topLeftCell="X19" zoomScale="55" zoomScaleNormal="55" zoomScaleSheetLayoutView="70" workbookViewId="0">
      <selection activeCell="AP36" sqref="AP36"/>
    </sheetView>
  </sheetViews>
  <sheetFormatPr defaultColWidth="0" defaultRowHeight="16.5" zeroHeight="1" outlineLevelRow="1" outlineLevelCol="1" x14ac:dyDescent="0.25"/>
  <cols>
    <col min="1" max="1" width="3.28515625" style="4" customWidth="1"/>
    <col min="2" max="2" width="5.5703125" style="4" customWidth="1"/>
    <col min="3" max="3" width="2.7109375" style="4" customWidth="1"/>
    <col min="4" max="4" width="8.7109375" style="4" customWidth="1"/>
    <col min="5" max="5" width="1.7109375" style="4" customWidth="1"/>
    <col min="6" max="6" width="25.7109375" style="4" customWidth="1"/>
    <col min="7" max="7" width="6.7109375" style="4" customWidth="1"/>
    <col min="8" max="11" width="10.7109375" style="4" customWidth="1"/>
    <col min="12" max="13" width="15.7109375" style="5" customWidth="1"/>
    <col min="14" max="16" width="10.7109375" style="4" customWidth="1"/>
    <col min="17" max="18" width="15.7109375" style="4" customWidth="1"/>
    <col min="19" max="21" width="10.7109375" style="4" customWidth="1"/>
    <col min="22" max="23" width="15.7109375" style="4" customWidth="1"/>
    <col min="24" max="31" width="15.7109375" style="4" customWidth="1" outlineLevel="1"/>
    <col min="32" max="32" width="15.7109375" style="56" customWidth="1" outlineLevel="1"/>
    <col min="33" max="33" width="22" style="55" customWidth="1" outlineLevel="1"/>
    <col min="34" max="34" width="12" style="4" customWidth="1" outlineLevel="1"/>
    <col min="35" max="35" width="4.7109375" style="66" customWidth="1" outlineLevel="1"/>
    <col min="36" max="36" width="22" style="55" customWidth="1" outlineLevel="1"/>
    <col min="37" max="37" width="9.7109375" style="4" customWidth="1" outlineLevel="1"/>
    <col min="38" max="38" width="4.7109375" style="4" customWidth="1" outlineLevel="1"/>
    <col min="39" max="39" width="22" style="55" customWidth="1" outlineLevel="1"/>
    <col min="40" max="40" width="9.28515625" customWidth="1"/>
    <col min="41" max="41" width="9.28515625" style="4" customWidth="1"/>
    <col min="42" max="42" width="20.7109375" style="5" customWidth="1"/>
    <col min="43" max="16384" width="9.28515625" style="4" hidden="1"/>
  </cols>
  <sheetData>
    <row r="1" spans="2:42" s="1" customFormat="1" ht="13.5" x14ac:dyDescent="0.25">
      <c r="D1" s="2"/>
      <c r="AF1" s="79"/>
      <c r="AG1" s="70"/>
      <c r="AI1" s="65"/>
      <c r="AJ1" s="70"/>
      <c r="AM1" s="70"/>
      <c r="AP1" s="3"/>
    </row>
    <row r="2" spans="2:42" s="1" customFormat="1" ht="13.5" x14ac:dyDescent="0.25">
      <c r="D2" s="2"/>
      <c r="AF2" s="79"/>
      <c r="AG2" s="70"/>
      <c r="AI2" s="65"/>
      <c r="AJ2" s="70"/>
      <c r="AM2" s="70"/>
      <c r="AP2" s="3"/>
    </row>
    <row r="3" spans="2:42" ht="17.25" thickBot="1" x14ac:dyDescent="0.3"/>
    <row r="4" spans="2:42" ht="20.100000000000001" customHeight="1" thickTop="1" x14ac:dyDescent="0.25">
      <c r="B4" s="115" t="s">
        <v>2</v>
      </c>
      <c r="C4" s="116"/>
      <c r="D4" s="116"/>
      <c r="E4" s="116"/>
      <c r="F4" s="116"/>
      <c r="G4" s="348" t="s">
        <v>3</v>
      </c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6"/>
      <c r="W4" s="7"/>
    </row>
    <row r="5" spans="2:42" ht="20.100000000000001" customHeight="1" x14ac:dyDescent="0.25">
      <c r="B5" s="117"/>
      <c r="C5" s="118"/>
      <c r="D5" s="118"/>
      <c r="E5" s="118"/>
      <c r="F5" s="118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8"/>
      <c r="W5" s="9"/>
    </row>
    <row r="6" spans="2:42" ht="20.100000000000001" customHeight="1" x14ac:dyDescent="0.25">
      <c r="B6" s="117"/>
      <c r="C6" s="118"/>
      <c r="D6" s="118"/>
      <c r="E6" s="118"/>
      <c r="F6" s="118"/>
      <c r="G6" s="349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349"/>
      <c r="S6" s="349"/>
      <c r="T6" s="349"/>
      <c r="U6" s="349"/>
      <c r="V6" s="8"/>
      <c r="W6" s="9"/>
    </row>
    <row r="7" spans="2:42" s="12" customFormat="1" ht="15" customHeight="1" x14ac:dyDescent="0.25">
      <c r="B7" s="121" t="s">
        <v>4</v>
      </c>
      <c r="C7" s="122"/>
      <c r="D7" s="122"/>
      <c r="E7" s="11" t="s">
        <v>5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T7" s="350"/>
      <c r="U7" s="350"/>
      <c r="V7" s="350"/>
      <c r="W7" s="351"/>
      <c r="AF7" s="80"/>
      <c r="AG7" s="73"/>
      <c r="AI7" s="67"/>
      <c r="AJ7" s="73"/>
      <c r="AM7" s="73"/>
      <c r="AP7" s="13"/>
    </row>
    <row r="8" spans="2:42" s="12" customFormat="1" ht="15" customHeight="1" x14ac:dyDescent="0.25">
      <c r="B8" s="121" t="s">
        <v>0</v>
      </c>
      <c r="C8" s="122"/>
      <c r="D8" s="122"/>
      <c r="E8" s="11" t="s">
        <v>5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T8" s="142">
        <f ca="1">TODAY()</f>
        <v>46314</v>
      </c>
      <c r="U8" s="142"/>
      <c r="V8" s="142"/>
      <c r="W8" s="143"/>
      <c r="AF8" s="80"/>
      <c r="AG8" s="73"/>
      <c r="AI8" s="82"/>
      <c r="AJ8" s="73"/>
      <c r="AM8" s="73"/>
      <c r="AP8" s="13"/>
    </row>
    <row r="9" spans="2:42" s="12" customFormat="1" ht="15.75" thickBot="1" x14ac:dyDescent="0.3">
      <c r="B9" s="121" t="s">
        <v>6</v>
      </c>
      <c r="C9" s="122"/>
      <c r="D9" s="122"/>
      <c r="E9" s="11" t="s">
        <v>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S9" s="10"/>
      <c r="T9" s="112"/>
      <c r="U9" s="112"/>
      <c r="V9" s="112"/>
      <c r="W9" s="113"/>
      <c r="AF9" s="80"/>
      <c r="AG9" s="73"/>
      <c r="AI9" s="82"/>
      <c r="AJ9" s="73"/>
      <c r="AM9" s="73"/>
      <c r="AP9" s="13"/>
    </row>
    <row r="10" spans="2:42" s="1" customFormat="1" ht="14.25" thickTop="1" x14ac:dyDescent="0.25">
      <c r="B10" s="132" t="s">
        <v>7</v>
      </c>
      <c r="C10" s="133"/>
      <c r="D10" s="133"/>
      <c r="E10" s="133"/>
      <c r="F10" s="134"/>
      <c r="G10" s="135" t="s">
        <v>8</v>
      </c>
      <c r="H10" s="136"/>
      <c r="I10" s="139">
        <v>1</v>
      </c>
      <c r="J10" s="125"/>
      <c r="K10" s="125"/>
      <c r="L10" s="125"/>
      <c r="M10" s="125"/>
      <c r="N10" s="139">
        <f>I10+1</f>
        <v>2</v>
      </c>
      <c r="O10" s="125"/>
      <c r="P10" s="125"/>
      <c r="Q10" s="125"/>
      <c r="R10" s="140"/>
      <c r="S10" s="139">
        <f>N10+1</f>
        <v>3</v>
      </c>
      <c r="T10" s="125"/>
      <c r="U10" s="125"/>
      <c r="V10" s="125"/>
      <c r="W10" s="126"/>
      <c r="AF10" s="79"/>
      <c r="AG10" s="70"/>
      <c r="AI10" s="65"/>
      <c r="AJ10" s="70"/>
      <c r="AM10" s="70"/>
      <c r="AP10" s="3"/>
    </row>
    <row r="11" spans="2:42" s="1" customFormat="1" ht="60" customHeight="1" x14ac:dyDescent="0.25">
      <c r="B11" s="127"/>
      <c r="C11" s="128"/>
      <c r="D11" s="128"/>
      <c r="E11" s="128"/>
      <c r="F11" s="129"/>
      <c r="G11" s="137"/>
      <c r="H11" s="138"/>
      <c r="I11" s="19" t="s">
        <v>47</v>
      </c>
      <c r="J11" s="130"/>
      <c r="K11" s="130"/>
      <c r="L11" s="130"/>
      <c r="M11" s="131"/>
      <c r="N11" s="19"/>
      <c r="O11" s="130"/>
      <c r="P11" s="130"/>
      <c r="Q11" s="130"/>
      <c r="R11" s="131"/>
      <c r="S11" s="19"/>
      <c r="T11" s="130"/>
      <c r="U11" s="130"/>
      <c r="V11" s="130"/>
      <c r="W11" s="280"/>
      <c r="AC11" s="3"/>
      <c r="AD11" s="3"/>
      <c r="AF11" s="79"/>
      <c r="AG11" s="70"/>
      <c r="AI11" s="65"/>
      <c r="AJ11" s="70"/>
      <c r="AM11" s="70"/>
      <c r="AP11" s="3"/>
    </row>
    <row r="12" spans="2:42" s="1" customFormat="1" ht="15" customHeight="1" x14ac:dyDescent="0.25">
      <c r="B12" s="144" t="s">
        <v>9</v>
      </c>
      <c r="C12" s="145"/>
      <c r="D12" s="145"/>
      <c r="E12" s="145"/>
      <c r="F12" s="146"/>
      <c r="G12" s="147" t="s">
        <v>10</v>
      </c>
      <c r="H12" s="148"/>
      <c r="I12" s="151">
        <v>0</v>
      </c>
      <c r="J12" s="152"/>
      <c r="K12" s="152"/>
      <c r="L12" s="152"/>
      <c r="M12" s="153"/>
      <c r="N12" s="151">
        <v>0</v>
      </c>
      <c r="O12" s="152"/>
      <c r="P12" s="152"/>
      <c r="Q12" s="152"/>
      <c r="R12" s="153"/>
      <c r="S12" s="151">
        <v>0</v>
      </c>
      <c r="T12" s="152"/>
      <c r="U12" s="152"/>
      <c r="V12" s="152"/>
      <c r="W12" s="276"/>
      <c r="AC12" s="12"/>
      <c r="AD12" s="12"/>
      <c r="AE12" s="12"/>
      <c r="AF12" s="79"/>
      <c r="AG12" s="70"/>
      <c r="AI12" s="65"/>
      <c r="AJ12" s="70"/>
      <c r="AM12" s="70"/>
      <c r="AP12" s="3"/>
    </row>
    <row r="13" spans="2:42" s="1" customFormat="1" ht="36.75" customHeight="1" x14ac:dyDescent="0.25">
      <c r="B13" s="157"/>
      <c r="C13" s="158"/>
      <c r="D13" s="158"/>
      <c r="E13" s="158"/>
      <c r="F13" s="159"/>
      <c r="G13" s="149"/>
      <c r="H13" s="150"/>
      <c r="I13" s="154"/>
      <c r="J13" s="155"/>
      <c r="K13" s="155"/>
      <c r="L13" s="155"/>
      <c r="M13" s="156"/>
      <c r="N13" s="154"/>
      <c r="O13" s="155"/>
      <c r="P13" s="155"/>
      <c r="Q13" s="155"/>
      <c r="R13" s="156"/>
      <c r="S13" s="154"/>
      <c r="T13" s="155"/>
      <c r="U13" s="155"/>
      <c r="V13" s="155"/>
      <c r="W13" s="277"/>
      <c r="AC13" s="12"/>
      <c r="AD13" s="12"/>
      <c r="AE13" s="12"/>
      <c r="AF13" s="79"/>
      <c r="AG13" s="70"/>
      <c r="AI13" s="65"/>
      <c r="AJ13" s="70"/>
      <c r="AM13" s="70"/>
      <c r="AP13" s="3"/>
    </row>
    <row r="14" spans="2:42" s="1" customFormat="1" ht="15" customHeight="1" x14ac:dyDescent="0.25">
      <c r="B14" s="160"/>
      <c r="C14" s="158"/>
      <c r="D14" s="158"/>
      <c r="E14" s="158"/>
      <c r="F14" s="159"/>
      <c r="G14" s="149" t="s">
        <v>11</v>
      </c>
      <c r="H14" s="150"/>
      <c r="I14" s="164"/>
      <c r="J14" s="128"/>
      <c r="K14" s="128"/>
      <c r="L14" s="128"/>
      <c r="M14" s="165"/>
      <c r="N14" s="164"/>
      <c r="O14" s="128"/>
      <c r="P14" s="128"/>
      <c r="Q14" s="128"/>
      <c r="R14" s="165"/>
      <c r="S14" s="164"/>
      <c r="T14" s="128"/>
      <c r="U14" s="128"/>
      <c r="V14" s="128"/>
      <c r="W14" s="278"/>
      <c r="AC14" s="12"/>
      <c r="AD14" s="12"/>
      <c r="AE14" s="12"/>
      <c r="AF14" s="79"/>
      <c r="AG14" s="70"/>
      <c r="AI14" s="65"/>
      <c r="AJ14" s="70"/>
      <c r="AM14" s="70"/>
      <c r="AP14" s="3"/>
    </row>
    <row r="15" spans="2:42" s="1" customFormat="1" ht="45" customHeight="1" thickBot="1" x14ac:dyDescent="0.3">
      <c r="B15" s="161"/>
      <c r="C15" s="162"/>
      <c r="D15" s="162"/>
      <c r="E15" s="162"/>
      <c r="F15" s="163"/>
      <c r="G15" s="166" t="s">
        <v>12</v>
      </c>
      <c r="H15" s="167"/>
      <c r="I15" s="168" t="s">
        <v>47</v>
      </c>
      <c r="J15" s="169"/>
      <c r="K15" s="169"/>
      <c r="L15" s="169"/>
      <c r="M15" s="170"/>
      <c r="N15" s="168" t="s">
        <v>47</v>
      </c>
      <c r="O15" s="169"/>
      <c r="P15" s="169"/>
      <c r="Q15" s="169"/>
      <c r="R15" s="170"/>
      <c r="S15" s="168" t="s">
        <v>47</v>
      </c>
      <c r="T15" s="169"/>
      <c r="U15" s="169"/>
      <c r="V15" s="169"/>
      <c r="W15" s="279"/>
      <c r="AF15" s="79"/>
      <c r="AG15" s="70"/>
      <c r="AI15" s="65"/>
      <c r="AJ15" s="70"/>
      <c r="AM15" s="70"/>
      <c r="AP15" s="3"/>
    </row>
    <row r="16" spans="2:42" s="1" customFormat="1" ht="20.100000000000001" customHeight="1" x14ac:dyDescent="0.25">
      <c r="B16" s="20" t="s">
        <v>13</v>
      </c>
      <c r="F16" s="21"/>
      <c r="G16" s="171" t="s">
        <v>14</v>
      </c>
      <c r="H16" s="171"/>
      <c r="I16" s="172"/>
      <c r="J16" s="173"/>
      <c r="K16" s="173"/>
      <c r="L16" s="173"/>
      <c r="M16" s="174"/>
      <c r="N16" s="172"/>
      <c r="O16" s="173"/>
      <c r="P16" s="173"/>
      <c r="Q16" s="173"/>
      <c r="R16" s="174"/>
      <c r="S16" s="172"/>
      <c r="T16" s="173"/>
      <c r="U16" s="173"/>
      <c r="V16" s="173"/>
      <c r="W16" s="184"/>
      <c r="AF16" s="79"/>
      <c r="AG16" s="70"/>
      <c r="AI16" s="65"/>
      <c r="AJ16" s="70"/>
      <c r="AM16" s="70"/>
      <c r="AP16" s="3"/>
    </row>
    <row r="17" spans="2:42" s="1" customFormat="1" ht="20.100000000000001" customHeight="1" x14ac:dyDescent="0.25">
      <c r="B17" s="270"/>
      <c r="C17" s="271"/>
      <c r="D17" s="271"/>
      <c r="E17" s="271"/>
      <c r="F17" s="114"/>
      <c r="G17" s="178" t="s">
        <v>15</v>
      </c>
      <c r="H17" s="178"/>
      <c r="I17" s="346"/>
      <c r="J17" s="347"/>
      <c r="K17" s="181"/>
      <c r="L17" s="181"/>
      <c r="M17" s="182"/>
      <c r="N17" s="346"/>
      <c r="O17" s="347"/>
      <c r="P17" s="181"/>
      <c r="Q17" s="181"/>
      <c r="R17" s="182"/>
      <c r="S17" s="346"/>
      <c r="T17" s="347"/>
      <c r="U17" s="181"/>
      <c r="V17" s="181"/>
      <c r="W17" s="185"/>
      <c r="AF17" s="79"/>
      <c r="AG17" s="70"/>
      <c r="AI17" s="65"/>
      <c r="AJ17" s="70"/>
      <c r="AM17" s="70"/>
      <c r="AP17" s="3"/>
    </row>
    <row r="18" spans="2:42" s="1" customFormat="1" ht="20.100000000000001" customHeight="1" x14ac:dyDescent="0.25">
      <c r="B18" s="192">
        <f>D17*F17</f>
        <v>0</v>
      </c>
      <c r="C18" s="193"/>
      <c r="D18" s="193"/>
      <c r="E18" s="193"/>
      <c r="F18" s="194"/>
      <c r="G18" s="178" t="s">
        <v>16</v>
      </c>
      <c r="H18" s="178"/>
      <c r="I18" s="175"/>
      <c r="J18" s="176"/>
      <c r="K18" s="176"/>
      <c r="L18" s="176"/>
      <c r="M18" s="183"/>
      <c r="N18" s="175"/>
      <c r="O18" s="176"/>
      <c r="P18" s="176"/>
      <c r="Q18" s="176"/>
      <c r="R18" s="183"/>
      <c r="S18" s="175"/>
      <c r="T18" s="176"/>
      <c r="U18" s="176"/>
      <c r="V18" s="176"/>
      <c r="W18" s="177"/>
      <c r="AC18" s="22">
        <v>1</v>
      </c>
      <c r="AD18" s="22">
        <f>AC18+1</f>
        <v>2</v>
      </c>
      <c r="AE18" s="22">
        <f>AD18+1</f>
        <v>3</v>
      </c>
      <c r="AF18" s="273" t="s">
        <v>17</v>
      </c>
      <c r="AG18" s="70"/>
      <c r="AI18" s="65"/>
      <c r="AJ18" s="70"/>
      <c r="AM18" s="70"/>
      <c r="AP18" s="3"/>
    </row>
    <row r="19" spans="2:42" s="1" customFormat="1" ht="20.100000000000001" customHeight="1" x14ac:dyDescent="0.25">
      <c r="B19" s="192"/>
      <c r="C19" s="193"/>
      <c r="D19" s="193"/>
      <c r="E19" s="193"/>
      <c r="F19" s="194"/>
      <c r="G19" s="178" t="s">
        <v>19</v>
      </c>
      <c r="H19" s="178"/>
      <c r="I19" s="175"/>
      <c r="J19" s="176"/>
      <c r="K19" s="176"/>
      <c r="L19" s="176"/>
      <c r="M19" s="183"/>
      <c r="N19" s="175"/>
      <c r="O19" s="176"/>
      <c r="P19" s="176"/>
      <c r="Q19" s="176"/>
      <c r="R19" s="183"/>
      <c r="S19" s="175"/>
      <c r="T19" s="176"/>
      <c r="U19" s="176"/>
      <c r="V19" s="176"/>
      <c r="W19" s="177"/>
      <c r="AC19" s="200">
        <f>J11</f>
        <v>0</v>
      </c>
      <c r="AD19" s="200">
        <f>O11</f>
        <v>0</v>
      </c>
      <c r="AE19" s="200">
        <f>T11</f>
        <v>0</v>
      </c>
      <c r="AF19" s="274"/>
      <c r="AP19" s="3"/>
    </row>
    <row r="20" spans="2:42" s="1" customFormat="1" ht="20.100000000000001" customHeight="1" thickBot="1" x14ac:dyDescent="0.3">
      <c r="B20" s="23"/>
      <c r="C20" s="24"/>
      <c r="D20" s="24"/>
      <c r="E20" s="24"/>
      <c r="F20" s="25"/>
      <c r="G20" s="195" t="s">
        <v>20</v>
      </c>
      <c r="H20" s="195"/>
      <c r="I20" s="196"/>
      <c r="J20" s="197"/>
      <c r="K20" s="197"/>
      <c r="L20" s="197"/>
      <c r="M20" s="198"/>
      <c r="N20" s="196"/>
      <c r="O20" s="197"/>
      <c r="P20" s="197"/>
      <c r="Q20" s="197"/>
      <c r="R20" s="198"/>
      <c r="S20" s="196"/>
      <c r="T20" s="197"/>
      <c r="U20" s="197"/>
      <c r="V20" s="197"/>
      <c r="W20" s="199"/>
      <c r="X20" s="47"/>
      <c r="Y20" s="47"/>
      <c r="AC20" s="200"/>
      <c r="AD20" s="200"/>
      <c r="AE20" s="200"/>
      <c r="AF20" s="274"/>
      <c r="AG20" s="70"/>
      <c r="AI20" s="65"/>
      <c r="AJ20" s="70"/>
      <c r="AM20" s="70"/>
      <c r="AO20" s="272">
        <f>SUM(AO22:AO34)</f>
        <v>0</v>
      </c>
      <c r="AP20" s="176"/>
    </row>
    <row r="21" spans="2:42" s="37" customFormat="1" ht="15" customHeight="1" thickTop="1" x14ac:dyDescent="0.25">
      <c r="B21" s="26" t="s">
        <v>21</v>
      </c>
      <c r="C21" s="187" t="s">
        <v>22</v>
      </c>
      <c r="D21" s="187"/>
      <c r="E21" s="187"/>
      <c r="F21" s="187"/>
      <c r="G21" s="27" t="s">
        <v>23</v>
      </c>
      <c r="H21" s="28" t="s">
        <v>24</v>
      </c>
      <c r="I21" s="29" t="s">
        <v>25</v>
      </c>
      <c r="J21" s="27" t="s">
        <v>17</v>
      </c>
      <c r="K21" s="30" t="s">
        <v>26</v>
      </c>
      <c r="L21" s="188" t="s">
        <v>27</v>
      </c>
      <c r="M21" s="189"/>
      <c r="N21" s="33" t="s">
        <v>25</v>
      </c>
      <c r="O21" s="27" t="s">
        <v>17</v>
      </c>
      <c r="P21" s="32" t="s">
        <v>26</v>
      </c>
      <c r="Q21" s="187" t="s">
        <v>27</v>
      </c>
      <c r="R21" s="191"/>
      <c r="S21" s="34" t="s">
        <v>25</v>
      </c>
      <c r="T21" s="35" t="s">
        <v>17</v>
      </c>
      <c r="U21" s="36" t="s">
        <v>26</v>
      </c>
      <c r="V21" s="204" t="s">
        <v>27</v>
      </c>
      <c r="W21" s="205"/>
      <c r="X21" s="37" t="s">
        <v>28</v>
      </c>
      <c r="Y21" s="37" t="s">
        <v>0</v>
      </c>
      <c r="Z21" s="37" t="s">
        <v>29</v>
      </c>
      <c r="AA21" s="37" t="s">
        <v>30</v>
      </c>
      <c r="AB21" s="111" t="s">
        <v>1</v>
      </c>
      <c r="AC21" s="200"/>
      <c r="AD21" s="200"/>
      <c r="AE21" s="200"/>
      <c r="AF21" s="275"/>
      <c r="AG21" s="76" t="s">
        <v>31</v>
      </c>
      <c r="AH21" s="186" t="s">
        <v>32</v>
      </c>
      <c r="AI21" s="186"/>
      <c r="AJ21" s="186"/>
      <c r="AK21" s="186" t="s">
        <v>33</v>
      </c>
      <c r="AL21" s="186"/>
      <c r="AM21" s="186"/>
      <c r="AO21" s="281" t="s">
        <v>34</v>
      </c>
      <c r="AP21" s="282"/>
    </row>
    <row r="22" spans="2:42" s="1" customFormat="1" ht="61.5" customHeight="1" x14ac:dyDescent="0.25">
      <c r="B22" s="38">
        <v>1</v>
      </c>
      <c r="C22" s="210"/>
      <c r="D22" s="210"/>
      <c r="E22" s="210"/>
      <c r="F22" s="210"/>
      <c r="G22" s="39"/>
      <c r="H22" s="40"/>
      <c r="I22" s="41"/>
      <c r="J22" s="42" t="str">
        <f>IF($G22="","",$G22*I22)</f>
        <v/>
      </c>
      <c r="K22" s="90"/>
      <c r="L22" s="206" t="str">
        <f t="shared" ref="L22:L23" si="0">IF($I22="","No Quote",IF($K22="","","No Comply"))</f>
        <v>No Quote</v>
      </c>
      <c r="M22" s="207"/>
      <c r="N22" s="41"/>
      <c r="O22" s="42" t="str">
        <f>IF($G22="","",$G22*N22)</f>
        <v/>
      </c>
      <c r="P22" s="89"/>
      <c r="Q22" s="206" t="str">
        <f>IF($N22="","No Quote",IF($P22="","","No Comply"))</f>
        <v>No Quote</v>
      </c>
      <c r="R22" s="207"/>
      <c r="S22" s="41"/>
      <c r="T22" s="42" t="str">
        <f>IF($G22="","",$G22*S22)</f>
        <v/>
      </c>
      <c r="U22" s="89"/>
      <c r="V22" s="343" t="str">
        <f>IF($S22="","No Quote",IF($U22="","","No Comply"))</f>
        <v>No Quote</v>
      </c>
      <c r="W22" s="344"/>
      <c r="X22" s="87"/>
      <c r="Y22" s="93"/>
      <c r="Z22" s="63" t="str">
        <f>IF(X22="","",$X22*$G22)</f>
        <v/>
      </c>
      <c r="AA22" s="92"/>
      <c r="AB22" s="92"/>
      <c r="AC22" s="77" t="str">
        <f>IF(OR(K22="X",J22=""),"-",J22)</f>
        <v>-</v>
      </c>
      <c r="AD22" s="77" t="str">
        <f>IF(OR(P22="X",O22=""),"-",O22)</f>
        <v>-</v>
      </c>
      <c r="AE22" s="77" t="str">
        <f>IF(OR(U22="X",T22=""),"-",T22)</f>
        <v>-</v>
      </c>
      <c r="AF22" s="78" t="str">
        <f t="shared" ref="AF22:AF50" si="1">IFERROR(SMALL($AC22:$AE22,COUNTIF($AC22:$AE22,0)+1),"")</f>
        <v/>
      </c>
      <c r="AG22" s="74" t="str">
        <f>IF(AF22=AC22,$AC$19,IF(AF22=AD22,$AD$19,IF(AF22=AE22,$AE$19,"")))</f>
        <v/>
      </c>
      <c r="AH22" s="72" t="str">
        <f t="shared" ref="AH22:AH50" si="2">IFERROR(SMALL($AC22:$AE22,2),"")</f>
        <v/>
      </c>
      <c r="AI22" s="71" t="str">
        <f>IFERROR(IF(($AH22-$AF22)/$AF22&lt;0%,"",($AH22-$AF22)/$AF22),"")</f>
        <v/>
      </c>
      <c r="AJ22" s="74" t="str">
        <f>IFERROR(IF(AH22="","",IF(AH22=AC22,$AC$19,IF(AH22=AD22,$AD$19,IF(AH22=AE22,$AE$19,"")))),"")</f>
        <v/>
      </c>
      <c r="AK22" s="72" t="str">
        <f t="shared" ref="AK22:AK50" si="3">IFERROR(SMALL($AC22:$AE22,3),"")</f>
        <v/>
      </c>
      <c r="AL22" s="71" t="str">
        <f>IFERROR(IF((AK22-$AF22)/$AF22&lt;0%,"",(AK22-$AF22)/$AF22),"")</f>
        <v/>
      </c>
      <c r="AM22" s="74" t="str">
        <f>IFERROR(IF(AK22="","",IF(AK22=AC22,$AC$19,IF(AK22=AD22,$AD$19,IF(AK22=AE22,$AE$19,"")))),"")</f>
        <v/>
      </c>
      <c r="AO22" s="99">
        <f t="shared" ref="AO22:AO34" si="4">SUMIFS($AF$22:$AF$49,$AG$22:$AG$49,AP22)</f>
        <v>0</v>
      </c>
      <c r="AP22" s="100" t="str" cm="1">
        <f t="array" ref="AP22">IFERROR(INDEX(_xlfn.UNIQUE(_xlfn._xlws.FILTER($AG$22:$AG$49,($AG$22:$AG$49&lt;&gt;"")*($AG$22:$AG$49&lt;&gt;"-"))),ROWS($AP22:AP$22)),"")</f>
        <v/>
      </c>
    </row>
    <row r="23" spans="2:42" s="1" customFormat="1" ht="61.5" customHeight="1" x14ac:dyDescent="0.25">
      <c r="B23" s="38">
        <f>B22+1</f>
        <v>2</v>
      </c>
      <c r="C23" s="210"/>
      <c r="D23" s="210"/>
      <c r="E23" s="210"/>
      <c r="F23" s="210"/>
      <c r="G23" s="39"/>
      <c r="H23" s="40"/>
      <c r="I23" s="41"/>
      <c r="J23" s="42" t="str">
        <f t="shared" ref="J23:J49" si="5">IF($G23="","",$G23*I23)</f>
        <v/>
      </c>
      <c r="K23" s="90"/>
      <c r="L23" s="206" t="str">
        <f t="shared" si="0"/>
        <v>No Quote</v>
      </c>
      <c r="M23" s="207"/>
      <c r="N23" s="41"/>
      <c r="O23" s="42" t="str">
        <f t="shared" ref="O23:O49" si="6">IF($G23="","",$G23*N23)</f>
        <v/>
      </c>
      <c r="P23" s="89"/>
      <c r="Q23" s="206" t="str">
        <f t="shared" ref="Q23" si="7">IF($N23="","No Quote",IF($P23="","","No Comply"))</f>
        <v>No Quote</v>
      </c>
      <c r="R23" s="207"/>
      <c r="S23" s="41"/>
      <c r="T23" s="42" t="str">
        <f t="shared" ref="T23:T49" si="8">IF($G23="","",$G23*S23)</f>
        <v/>
      </c>
      <c r="U23" s="89"/>
      <c r="V23" s="206" t="str">
        <f t="shared" ref="V23" si="9">IF($S23="","No Quote",IF($U23="","","No Comply"))</f>
        <v>No Quote</v>
      </c>
      <c r="W23" s="345"/>
      <c r="X23" s="87"/>
      <c r="Y23" s="93"/>
      <c r="Z23" s="63" t="str">
        <f t="shared" ref="Z23:Z49" si="10">IF(X23="","",$X23*$G23)</f>
        <v/>
      </c>
      <c r="AA23" s="92"/>
      <c r="AB23" s="92"/>
      <c r="AC23" s="77" t="str">
        <f t="shared" ref="AC23:AC49" si="11">IF(OR(K23="X",J23=""),"-",J23)</f>
        <v>-</v>
      </c>
      <c r="AD23" s="77" t="str">
        <f t="shared" ref="AD23:AD49" si="12">IF(OR(P23="X",O23=""),"-",O23)</f>
        <v>-</v>
      </c>
      <c r="AE23" s="77" t="str">
        <f t="shared" ref="AE23:AE49" si="13">IF(OR(U23="X",T23=""),"-",T23)</f>
        <v>-</v>
      </c>
      <c r="AF23" s="78" t="str">
        <f t="shared" si="1"/>
        <v/>
      </c>
      <c r="AG23" s="74" t="str">
        <f t="shared" ref="AG23:AG49" si="14">IF(AF23=AC23,$AC$19,IF(AF23=AD23,$AD$19,IF(AF23=AE23,$AE$19,"")))</f>
        <v/>
      </c>
      <c r="AH23" s="72" t="str">
        <f t="shared" si="2"/>
        <v/>
      </c>
      <c r="AI23" s="71" t="str">
        <f t="shared" ref="AI23:AI50" si="15">IFERROR(IF(($AH23-$AF23)/$AF23&lt;0%,"",($AH23-$AF23)/$AF23),"")</f>
        <v/>
      </c>
      <c r="AJ23" s="74" t="str">
        <f t="shared" ref="AJ23:AJ49" si="16">IFERROR(IF(AH23="","",IF(AH23=AC23,$AC$19,IF(AH23=AD23,$AD$19,IF(AH23=AE23,$AE$19,"")))),"")</f>
        <v/>
      </c>
      <c r="AK23" s="72" t="str">
        <f t="shared" si="3"/>
        <v/>
      </c>
      <c r="AL23" s="71" t="str">
        <f t="shared" ref="AL23:AL49" si="17">IFERROR(IF((AK23-$AF23)/$AF23&lt;0%,"",(AK23-$AF23)/$AF23),"")</f>
        <v/>
      </c>
      <c r="AM23" s="74" t="str">
        <f t="shared" ref="AM23:AM49" si="18">IFERROR(IF(AK23="","",IF(AK23=AC23,$AC$19,IF(AK23=AD23,$AD$19,IF(AK23=AE23,$AE$19,"")))),"")</f>
        <v/>
      </c>
      <c r="AO23" s="99">
        <f t="shared" si="4"/>
        <v>0</v>
      </c>
      <c r="AP23" s="100" t="str" cm="1">
        <f t="array" ref="AP23">IFERROR(INDEX(_xlfn.UNIQUE(_xlfn._xlws.FILTER($AG$22:$AG$49,($AG$22:$AG$49&lt;&gt;"")*($AG$22:$AG$49&lt;&gt;"-"))),ROWS($AP$22:AP23)),"")</f>
        <v/>
      </c>
    </row>
    <row r="24" spans="2:42" s="1" customFormat="1" ht="61.5" customHeight="1" x14ac:dyDescent="0.25">
      <c r="B24" s="38">
        <f t="shared" ref="B24:B49" si="19">B23+1</f>
        <v>3</v>
      </c>
      <c r="C24" s="210"/>
      <c r="D24" s="210"/>
      <c r="E24" s="210"/>
      <c r="F24" s="210"/>
      <c r="G24" s="39"/>
      <c r="H24" s="40"/>
      <c r="I24" s="41"/>
      <c r="J24" s="42" t="str">
        <f t="shared" si="5"/>
        <v/>
      </c>
      <c r="K24" s="90"/>
      <c r="L24" s="206" t="str">
        <f t="shared" ref="L24:L25" si="20">IF($I24="","No Quote",IF($K24="","","No Comply"))</f>
        <v>No Quote</v>
      </c>
      <c r="M24" s="207"/>
      <c r="N24" s="41"/>
      <c r="O24" s="42" t="str">
        <f t="shared" si="6"/>
        <v/>
      </c>
      <c r="P24" s="89"/>
      <c r="Q24" s="206" t="str">
        <f t="shared" ref="Q24:Q25" si="21">IF($N24="","No Quote",IF($P24="","","No Comply"))</f>
        <v>No Quote</v>
      </c>
      <c r="R24" s="207"/>
      <c r="S24" s="41"/>
      <c r="T24" s="42" t="str">
        <f t="shared" si="8"/>
        <v/>
      </c>
      <c r="U24" s="89"/>
      <c r="V24" s="208" t="str">
        <f t="shared" ref="V24:V49" si="22">IF($S24="","No Quote",IF($U24="","","No Comply"))</f>
        <v>No Quote</v>
      </c>
      <c r="W24" s="209"/>
      <c r="X24" s="87"/>
      <c r="Y24" s="93"/>
      <c r="Z24" s="63" t="str">
        <f t="shared" si="10"/>
        <v/>
      </c>
      <c r="AA24" s="92"/>
      <c r="AB24" s="92"/>
      <c r="AC24" s="77" t="str">
        <f t="shared" si="11"/>
        <v>-</v>
      </c>
      <c r="AD24" s="77" t="str">
        <f t="shared" si="12"/>
        <v>-</v>
      </c>
      <c r="AE24" s="77" t="str">
        <f t="shared" si="13"/>
        <v>-</v>
      </c>
      <c r="AF24" s="78" t="str">
        <f t="shared" si="1"/>
        <v/>
      </c>
      <c r="AG24" s="74" t="str">
        <f t="shared" si="14"/>
        <v/>
      </c>
      <c r="AH24" s="72" t="str">
        <f t="shared" si="2"/>
        <v/>
      </c>
      <c r="AI24" s="71" t="str">
        <f t="shared" si="15"/>
        <v/>
      </c>
      <c r="AJ24" s="74" t="str">
        <f t="shared" si="16"/>
        <v/>
      </c>
      <c r="AK24" s="72" t="str">
        <f t="shared" si="3"/>
        <v/>
      </c>
      <c r="AL24" s="71" t="str">
        <f t="shared" si="17"/>
        <v/>
      </c>
      <c r="AM24" s="74" t="str">
        <f t="shared" si="18"/>
        <v/>
      </c>
      <c r="AO24" s="99">
        <f t="shared" si="4"/>
        <v>0</v>
      </c>
      <c r="AP24" s="100" t="str" cm="1">
        <f t="array" ref="AP24">IFERROR(INDEX(_xlfn.UNIQUE(_xlfn._xlws.FILTER($AG$22:$AG$49,($AG$22:$AG$49&lt;&gt;"")*($AG$22:$AG$49&lt;&gt;"-"))),ROWS($AP$22:AP24)),"")</f>
        <v/>
      </c>
    </row>
    <row r="25" spans="2:42" s="1" customFormat="1" ht="61.5" customHeight="1" x14ac:dyDescent="0.25">
      <c r="B25" s="38">
        <f>B24+1</f>
        <v>4</v>
      </c>
      <c r="C25" s="210"/>
      <c r="D25" s="210"/>
      <c r="E25" s="210"/>
      <c r="F25" s="210"/>
      <c r="G25" s="39"/>
      <c r="H25" s="40"/>
      <c r="I25" s="41"/>
      <c r="J25" s="42" t="str">
        <f t="shared" si="5"/>
        <v/>
      </c>
      <c r="K25" s="90"/>
      <c r="L25" s="206" t="str">
        <f t="shared" si="20"/>
        <v>No Quote</v>
      </c>
      <c r="M25" s="207"/>
      <c r="N25" s="41"/>
      <c r="O25" s="42" t="str">
        <f t="shared" si="6"/>
        <v/>
      </c>
      <c r="P25" s="89"/>
      <c r="Q25" s="206" t="str">
        <f t="shared" si="21"/>
        <v>No Quote</v>
      </c>
      <c r="R25" s="207"/>
      <c r="S25" s="41"/>
      <c r="T25" s="42" t="str">
        <f t="shared" si="8"/>
        <v/>
      </c>
      <c r="U25" s="89"/>
      <c r="V25" s="208" t="str">
        <f t="shared" si="22"/>
        <v>No Quote</v>
      </c>
      <c r="W25" s="209"/>
      <c r="X25" s="87"/>
      <c r="Y25" s="93"/>
      <c r="Z25" s="63" t="str">
        <f t="shared" si="10"/>
        <v/>
      </c>
      <c r="AA25" s="92"/>
      <c r="AB25" s="92"/>
      <c r="AC25" s="77" t="str">
        <f t="shared" si="11"/>
        <v>-</v>
      </c>
      <c r="AD25" s="77" t="str">
        <f t="shared" si="12"/>
        <v>-</v>
      </c>
      <c r="AE25" s="77" t="str">
        <f t="shared" si="13"/>
        <v>-</v>
      </c>
      <c r="AF25" s="78" t="str">
        <f t="shared" si="1"/>
        <v/>
      </c>
      <c r="AG25" s="74" t="str">
        <f t="shared" si="14"/>
        <v/>
      </c>
      <c r="AH25" s="72" t="str">
        <f t="shared" si="2"/>
        <v/>
      </c>
      <c r="AI25" s="71" t="str">
        <f t="shared" si="15"/>
        <v/>
      </c>
      <c r="AJ25" s="74" t="str">
        <f t="shared" si="16"/>
        <v/>
      </c>
      <c r="AK25" s="72" t="str">
        <f t="shared" si="3"/>
        <v/>
      </c>
      <c r="AL25" s="71" t="str">
        <f t="shared" si="17"/>
        <v/>
      </c>
      <c r="AM25" s="74" t="str">
        <f t="shared" si="18"/>
        <v/>
      </c>
      <c r="AO25" s="99">
        <f t="shared" si="4"/>
        <v>0</v>
      </c>
      <c r="AP25" s="100" t="str" cm="1">
        <f t="array" ref="AP25">IFERROR(INDEX(_xlfn.UNIQUE(_xlfn._xlws.FILTER($AG$22:$AG$49,($AG$22:$AG$49&lt;&gt;"")*($AG$22:$AG$49&lt;&gt;"-"))),ROWS($AP$22:AP25)),"")</f>
        <v/>
      </c>
    </row>
    <row r="26" spans="2:42" s="1" customFormat="1" ht="61.5" customHeight="1" outlineLevel="1" x14ac:dyDescent="0.25">
      <c r="B26" s="38">
        <f t="shared" si="19"/>
        <v>5</v>
      </c>
      <c r="C26" s="210"/>
      <c r="D26" s="210"/>
      <c r="E26" s="210"/>
      <c r="F26" s="210"/>
      <c r="G26" s="39"/>
      <c r="H26" s="40"/>
      <c r="I26" s="41"/>
      <c r="J26" s="42" t="str">
        <f t="shared" si="5"/>
        <v/>
      </c>
      <c r="K26" s="90"/>
      <c r="L26" s="206" t="str">
        <f t="shared" ref="L26:L49" si="23">IF($I26="","No Quote",IF($K26="","","No Comply"))</f>
        <v>No Quote</v>
      </c>
      <c r="M26" s="207"/>
      <c r="N26" s="41"/>
      <c r="O26" s="42" t="str">
        <f t="shared" si="6"/>
        <v/>
      </c>
      <c r="P26" s="89"/>
      <c r="Q26" s="206" t="str">
        <f t="shared" ref="Q26:Q49" si="24">IF($N26="","No Quote",IF($P26="","","No Comply"))</f>
        <v>No Quote</v>
      </c>
      <c r="R26" s="207"/>
      <c r="S26" s="41"/>
      <c r="T26" s="42" t="str">
        <f t="shared" si="8"/>
        <v/>
      </c>
      <c r="U26" s="89"/>
      <c r="V26" s="208" t="str">
        <f t="shared" si="22"/>
        <v>No Quote</v>
      </c>
      <c r="W26" s="209"/>
      <c r="X26" s="87"/>
      <c r="Y26" s="93"/>
      <c r="Z26" s="63" t="str">
        <f t="shared" si="10"/>
        <v/>
      </c>
      <c r="AA26" s="92"/>
      <c r="AB26" s="92"/>
      <c r="AC26" s="77" t="str">
        <f t="shared" si="11"/>
        <v>-</v>
      </c>
      <c r="AD26" s="77" t="str">
        <f t="shared" si="12"/>
        <v>-</v>
      </c>
      <c r="AE26" s="77" t="str">
        <f t="shared" si="13"/>
        <v>-</v>
      </c>
      <c r="AF26" s="78" t="str">
        <f t="shared" si="1"/>
        <v/>
      </c>
      <c r="AG26" s="74" t="str">
        <f t="shared" si="14"/>
        <v/>
      </c>
      <c r="AH26" s="72" t="str">
        <f t="shared" si="2"/>
        <v/>
      </c>
      <c r="AI26" s="71" t="str">
        <f t="shared" si="15"/>
        <v/>
      </c>
      <c r="AJ26" s="74" t="str">
        <f t="shared" si="16"/>
        <v/>
      </c>
      <c r="AK26" s="72" t="str">
        <f t="shared" si="3"/>
        <v/>
      </c>
      <c r="AL26" s="71" t="str">
        <f t="shared" si="17"/>
        <v/>
      </c>
      <c r="AM26" s="74" t="str">
        <f t="shared" si="18"/>
        <v/>
      </c>
      <c r="AO26" s="99">
        <f t="shared" si="4"/>
        <v>0</v>
      </c>
      <c r="AP26" s="100" t="str" cm="1">
        <f t="array" ref="AP26">IFERROR(INDEX(_xlfn.UNIQUE(_xlfn._xlws.FILTER($AG$22:$AG$49,($AG$22:$AG$49&lt;&gt;"")*($AG$22:$AG$49&lt;&gt;"-"))),ROWS($AP$22:AP26)),"")</f>
        <v/>
      </c>
    </row>
    <row r="27" spans="2:42" s="1" customFormat="1" ht="61.5" customHeight="1" outlineLevel="1" x14ac:dyDescent="0.25">
      <c r="B27" s="38">
        <f t="shared" si="19"/>
        <v>6</v>
      </c>
      <c r="C27" s="210"/>
      <c r="D27" s="210"/>
      <c r="E27" s="210"/>
      <c r="F27" s="210"/>
      <c r="G27" s="39"/>
      <c r="H27" s="40"/>
      <c r="I27" s="41"/>
      <c r="J27" s="42" t="str">
        <f t="shared" si="5"/>
        <v/>
      </c>
      <c r="K27" s="90"/>
      <c r="L27" s="206" t="str">
        <f t="shared" si="23"/>
        <v>No Quote</v>
      </c>
      <c r="M27" s="207"/>
      <c r="N27" s="41"/>
      <c r="O27" s="42" t="str">
        <f t="shared" si="6"/>
        <v/>
      </c>
      <c r="P27" s="89"/>
      <c r="Q27" s="206" t="str">
        <f t="shared" si="24"/>
        <v>No Quote</v>
      </c>
      <c r="R27" s="207"/>
      <c r="S27" s="41"/>
      <c r="T27" s="42" t="str">
        <f t="shared" si="8"/>
        <v/>
      </c>
      <c r="U27" s="89"/>
      <c r="V27" s="208" t="str">
        <f t="shared" si="22"/>
        <v>No Quote</v>
      </c>
      <c r="W27" s="209"/>
      <c r="X27" s="87"/>
      <c r="Y27" s="93"/>
      <c r="Z27" s="63" t="str">
        <f t="shared" si="10"/>
        <v/>
      </c>
      <c r="AA27" s="92"/>
      <c r="AB27" s="92"/>
      <c r="AC27" s="77" t="str">
        <f t="shared" si="11"/>
        <v>-</v>
      </c>
      <c r="AD27" s="77" t="str">
        <f t="shared" si="12"/>
        <v>-</v>
      </c>
      <c r="AE27" s="77" t="str">
        <f t="shared" si="13"/>
        <v>-</v>
      </c>
      <c r="AF27" s="78" t="str">
        <f t="shared" si="1"/>
        <v/>
      </c>
      <c r="AG27" s="74" t="str">
        <f t="shared" si="14"/>
        <v/>
      </c>
      <c r="AH27" s="72" t="str">
        <f t="shared" si="2"/>
        <v/>
      </c>
      <c r="AI27" s="71" t="str">
        <f t="shared" si="15"/>
        <v/>
      </c>
      <c r="AJ27" s="74" t="str">
        <f t="shared" si="16"/>
        <v/>
      </c>
      <c r="AK27" s="72" t="str">
        <f t="shared" si="3"/>
        <v/>
      </c>
      <c r="AL27" s="71" t="str">
        <f t="shared" si="17"/>
        <v/>
      </c>
      <c r="AM27" s="74" t="str">
        <f t="shared" si="18"/>
        <v/>
      </c>
      <c r="AO27" s="99">
        <f t="shared" si="4"/>
        <v>0</v>
      </c>
      <c r="AP27" s="100" t="str" cm="1">
        <f t="array" ref="AP27">IFERROR(INDEX(_xlfn.UNIQUE(_xlfn._xlws.FILTER($AG$22:$AG$49,($AG$22:$AG$49&lt;&gt;"")*($AG$22:$AG$49&lt;&gt;"-"))),ROWS($AP$22:AP27)),"")</f>
        <v/>
      </c>
    </row>
    <row r="28" spans="2:42" s="1" customFormat="1" ht="61.5" customHeight="1" outlineLevel="1" x14ac:dyDescent="0.25">
      <c r="B28" s="38">
        <f t="shared" si="19"/>
        <v>7</v>
      </c>
      <c r="C28" s="210"/>
      <c r="D28" s="210"/>
      <c r="E28" s="210"/>
      <c r="F28" s="210"/>
      <c r="G28" s="39"/>
      <c r="H28" s="40"/>
      <c r="I28" s="41"/>
      <c r="J28" s="42" t="str">
        <f t="shared" si="5"/>
        <v/>
      </c>
      <c r="K28" s="90"/>
      <c r="L28" s="206" t="str">
        <f t="shared" si="23"/>
        <v>No Quote</v>
      </c>
      <c r="M28" s="207"/>
      <c r="N28" s="41"/>
      <c r="O28" s="42" t="str">
        <f t="shared" si="6"/>
        <v/>
      </c>
      <c r="P28" s="89"/>
      <c r="Q28" s="206" t="str">
        <f t="shared" si="24"/>
        <v>No Quote</v>
      </c>
      <c r="R28" s="207"/>
      <c r="S28" s="41"/>
      <c r="T28" s="42" t="str">
        <f t="shared" si="8"/>
        <v/>
      </c>
      <c r="U28" s="89"/>
      <c r="V28" s="208" t="str">
        <f t="shared" si="22"/>
        <v>No Quote</v>
      </c>
      <c r="W28" s="209"/>
      <c r="X28" s="87"/>
      <c r="Y28" s="93"/>
      <c r="Z28" s="63" t="str">
        <f t="shared" si="10"/>
        <v/>
      </c>
      <c r="AA28" s="92"/>
      <c r="AB28" s="92"/>
      <c r="AC28" s="77" t="str">
        <f t="shared" si="11"/>
        <v>-</v>
      </c>
      <c r="AD28" s="77" t="str">
        <f t="shared" si="12"/>
        <v>-</v>
      </c>
      <c r="AE28" s="77" t="str">
        <f t="shared" si="13"/>
        <v>-</v>
      </c>
      <c r="AF28" s="78" t="str">
        <f t="shared" si="1"/>
        <v/>
      </c>
      <c r="AG28" s="74" t="str">
        <f t="shared" si="14"/>
        <v/>
      </c>
      <c r="AH28" s="72" t="str">
        <f t="shared" si="2"/>
        <v/>
      </c>
      <c r="AI28" s="71" t="str">
        <f t="shared" si="15"/>
        <v/>
      </c>
      <c r="AJ28" s="74" t="str">
        <f t="shared" si="16"/>
        <v/>
      </c>
      <c r="AK28" s="72" t="str">
        <f t="shared" si="3"/>
        <v/>
      </c>
      <c r="AL28" s="71" t="str">
        <f t="shared" si="17"/>
        <v/>
      </c>
      <c r="AM28" s="74" t="str">
        <f t="shared" si="18"/>
        <v/>
      </c>
      <c r="AO28" s="99">
        <f t="shared" si="4"/>
        <v>0</v>
      </c>
      <c r="AP28" s="100" t="str" cm="1">
        <f t="array" ref="AP28">IFERROR(INDEX(_xlfn.UNIQUE(_xlfn._xlws.FILTER($AG$22:$AG$49,($AG$22:$AG$49&lt;&gt;"")*($AG$22:$AG$49&lt;&gt;"-"))),ROWS($AP$22:AP28)),"")</f>
        <v/>
      </c>
    </row>
    <row r="29" spans="2:42" s="1" customFormat="1" ht="61.5" customHeight="1" outlineLevel="1" x14ac:dyDescent="0.25">
      <c r="B29" s="38">
        <f t="shared" si="19"/>
        <v>8</v>
      </c>
      <c r="C29" s="210"/>
      <c r="D29" s="210"/>
      <c r="E29" s="210"/>
      <c r="F29" s="210"/>
      <c r="G29" s="39"/>
      <c r="H29" s="40"/>
      <c r="I29" s="41"/>
      <c r="J29" s="42" t="str">
        <f t="shared" si="5"/>
        <v/>
      </c>
      <c r="K29" s="90"/>
      <c r="L29" s="206" t="str">
        <f t="shared" si="23"/>
        <v>No Quote</v>
      </c>
      <c r="M29" s="207"/>
      <c r="N29" s="41"/>
      <c r="O29" s="42" t="str">
        <f t="shared" si="6"/>
        <v/>
      </c>
      <c r="P29" s="89"/>
      <c r="Q29" s="206" t="str">
        <f t="shared" si="24"/>
        <v>No Quote</v>
      </c>
      <c r="R29" s="207"/>
      <c r="S29" s="41"/>
      <c r="T29" s="42" t="str">
        <f t="shared" si="8"/>
        <v/>
      </c>
      <c r="U29" s="89"/>
      <c r="V29" s="208" t="str">
        <f t="shared" si="22"/>
        <v>No Quote</v>
      </c>
      <c r="W29" s="209"/>
      <c r="X29" s="87"/>
      <c r="Y29" s="93"/>
      <c r="Z29" s="63" t="str">
        <f t="shared" si="10"/>
        <v/>
      </c>
      <c r="AA29" s="92"/>
      <c r="AB29" s="92"/>
      <c r="AC29" s="77" t="str">
        <f t="shared" si="11"/>
        <v>-</v>
      </c>
      <c r="AD29" s="77" t="str">
        <f t="shared" si="12"/>
        <v>-</v>
      </c>
      <c r="AE29" s="77" t="str">
        <f t="shared" si="13"/>
        <v>-</v>
      </c>
      <c r="AF29" s="78" t="str">
        <f t="shared" si="1"/>
        <v/>
      </c>
      <c r="AG29" s="74" t="str">
        <f t="shared" si="14"/>
        <v/>
      </c>
      <c r="AH29" s="72" t="str">
        <f t="shared" si="2"/>
        <v/>
      </c>
      <c r="AI29" s="71" t="str">
        <f t="shared" si="15"/>
        <v/>
      </c>
      <c r="AJ29" s="74" t="str">
        <f t="shared" si="16"/>
        <v/>
      </c>
      <c r="AK29" s="72" t="str">
        <f t="shared" si="3"/>
        <v/>
      </c>
      <c r="AL29" s="71" t="str">
        <f t="shared" si="17"/>
        <v/>
      </c>
      <c r="AM29" s="74" t="str">
        <f t="shared" si="18"/>
        <v/>
      </c>
      <c r="AO29" s="99">
        <f t="shared" si="4"/>
        <v>0</v>
      </c>
      <c r="AP29" s="100" t="str" cm="1">
        <f t="array" ref="AP29">IFERROR(INDEX(_xlfn.UNIQUE(_xlfn._xlws.FILTER($AG$22:$AG$49,($AG$22:$AG$49&lt;&gt;"")*($AG$22:$AG$49&lt;&gt;"-"))),ROWS($AP$22:AP29)),"")</f>
        <v/>
      </c>
    </row>
    <row r="30" spans="2:42" s="1" customFormat="1" ht="61.5" customHeight="1" outlineLevel="1" x14ac:dyDescent="0.25">
      <c r="B30" s="38">
        <f t="shared" si="19"/>
        <v>9</v>
      </c>
      <c r="C30" s="210"/>
      <c r="D30" s="210"/>
      <c r="E30" s="210"/>
      <c r="F30" s="210"/>
      <c r="G30" s="39"/>
      <c r="H30" s="40"/>
      <c r="I30" s="41"/>
      <c r="J30" s="42" t="str">
        <f t="shared" si="5"/>
        <v/>
      </c>
      <c r="K30" s="90"/>
      <c r="L30" s="206" t="str">
        <f t="shared" si="23"/>
        <v>No Quote</v>
      </c>
      <c r="M30" s="207"/>
      <c r="N30" s="41"/>
      <c r="O30" s="42" t="str">
        <f t="shared" si="6"/>
        <v/>
      </c>
      <c r="P30" s="89"/>
      <c r="Q30" s="206" t="str">
        <f t="shared" si="24"/>
        <v>No Quote</v>
      </c>
      <c r="R30" s="207"/>
      <c r="S30" s="41"/>
      <c r="T30" s="42" t="str">
        <f t="shared" si="8"/>
        <v/>
      </c>
      <c r="U30" s="89"/>
      <c r="V30" s="208" t="str">
        <f t="shared" si="22"/>
        <v>No Quote</v>
      </c>
      <c r="W30" s="209"/>
      <c r="X30" s="87"/>
      <c r="Y30" s="93"/>
      <c r="Z30" s="63" t="str">
        <f t="shared" si="10"/>
        <v/>
      </c>
      <c r="AA30" s="92"/>
      <c r="AB30" s="92"/>
      <c r="AC30" s="77" t="str">
        <f t="shared" si="11"/>
        <v>-</v>
      </c>
      <c r="AD30" s="77" t="str">
        <f t="shared" si="12"/>
        <v>-</v>
      </c>
      <c r="AE30" s="77" t="str">
        <f t="shared" si="13"/>
        <v>-</v>
      </c>
      <c r="AF30" s="78" t="str">
        <f t="shared" si="1"/>
        <v/>
      </c>
      <c r="AG30" s="74" t="str">
        <f t="shared" si="14"/>
        <v/>
      </c>
      <c r="AH30" s="72" t="str">
        <f t="shared" si="2"/>
        <v/>
      </c>
      <c r="AI30" s="71" t="str">
        <f t="shared" si="15"/>
        <v/>
      </c>
      <c r="AJ30" s="74" t="str">
        <f t="shared" si="16"/>
        <v/>
      </c>
      <c r="AK30" s="72" t="str">
        <f t="shared" si="3"/>
        <v/>
      </c>
      <c r="AL30" s="71" t="str">
        <f t="shared" si="17"/>
        <v/>
      </c>
      <c r="AM30" s="74" t="str">
        <f t="shared" si="18"/>
        <v/>
      </c>
      <c r="AO30" s="99">
        <f t="shared" si="4"/>
        <v>0</v>
      </c>
      <c r="AP30" s="100" t="str" cm="1">
        <f t="array" ref="AP30">IFERROR(INDEX(_xlfn.UNIQUE(_xlfn._xlws.FILTER($AG$22:$AG$49,($AG$22:$AG$49&lt;&gt;"")*($AG$22:$AG$49&lt;&gt;"-"))),ROWS($AP$22:AP30)),"")</f>
        <v/>
      </c>
    </row>
    <row r="31" spans="2:42" s="1" customFormat="1" ht="61.5" customHeight="1" outlineLevel="1" x14ac:dyDescent="0.25">
      <c r="B31" s="38">
        <f t="shared" si="19"/>
        <v>10</v>
      </c>
      <c r="C31" s="210"/>
      <c r="D31" s="210"/>
      <c r="E31" s="210"/>
      <c r="F31" s="210"/>
      <c r="G31" s="39"/>
      <c r="H31" s="40"/>
      <c r="I31" s="41"/>
      <c r="J31" s="42" t="str">
        <f t="shared" si="5"/>
        <v/>
      </c>
      <c r="K31" s="90"/>
      <c r="L31" s="206" t="str">
        <f t="shared" si="23"/>
        <v>No Quote</v>
      </c>
      <c r="M31" s="207"/>
      <c r="N31" s="41"/>
      <c r="O31" s="42" t="str">
        <f t="shared" si="6"/>
        <v/>
      </c>
      <c r="P31" s="89"/>
      <c r="Q31" s="206" t="str">
        <f t="shared" si="24"/>
        <v>No Quote</v>
      </c>
      <c r="R31" s="207"/>
      <c r="S31" s="41"/>
      <c r="T31" s="42" t="str">
        <f t="shared" si="8"/>
        <v/>
      </c>
      <c r="U31" s="89"/>
      <c r="V31" s="208" t="str">
        <f t="shared" si="22"/>
        <v>No Quote</v>
      </c>
      <c r="W31" s="209"/>
      <c r="X31" s="87"/>
      <c r="Y31" s="93"/>
      <c r="Z31" s="63" t="str">
        <f t="shared" si="10"/>
        <v/>
      </c>
      <c r="AA31" s="92"/>
      <c r="AB31" s="92"/>
      <c r="AC31" s="77" t="str">
        <f t="shared" si="11"/>
        <v>-</v>
      </c>
      <c r="AD31" s="77" t="str">
        <f t="shared" si="12"/>
        <v>-</v>
      </c>
      <c r="AE31" s="77" t="str">
        <f t="shared" si="13"/>
        <v>-</v>
      </c>
      <c r="AF31" s="78" t="str">
        <f t="shared" si="1"/>
        <v/>
      </c>
      <c r="AG31" s="74" t="str">
        <f t="shared" si="14"/>
        <v/>
      </c>
      <c r="AH31" s="72" t="str">
        <f t="shared" si="2"/>
        <v/>
      </c>
      <c r="AI31" s="71" t="str">
        <f t="shared" si="15"/>
        <v/>
      </c>
      <c r="AJ31" s="74" t="str">
        <f t="shared" si="16"/>
        <v/>
      </c>
      <c r="AK31" s="72" t="str">
        <f t="shared" si="3"/>
        <v/>
      </c>
      <c r="AL31" s="71" t="str">
        <f t="shared" si="17"/>
        <v/>
      </c>
      <c r="AM31" s="74" t="str">
        <f t="shared" si="18"/>
        <v/>
      </c>
      <c r="AO31" s="99">
        <f t="shared" si="4"/>
        <v>0</v>
      </c>
      <c r="AP31" s="100" t="str" cm="1">
        <f t="array" ref="AP31">IFERROR(INDEX(_xlfn.UNIQUE(_xlfn._xlws.FILTER($AG$22:$AG$49,($AG$22:$AG$49&lt;&gt;"")*($AG$22:$AG$49&lt;&gt;"-"))),ROWS($AP$22:AP31)),"")</f>
        <v/>
      </c>
    </row>
    <row r="32" spans="2:42" s="1" customFormat="1" ht="61.5" customHeight="1" outlineLevel="1" x14ac:dyDescent="0.25">
      <c r="B32" s="38">
        <f t="shared" si="19"/>
        <v>11</v>
      </c>
      <c r="C32" s="210"/>
      <c r="D32" s="210"/>
      <c r="E32" s="210"/>
      <c r="F32" s="210"/>
      <c r="G32" s="39"/>
      <c r="H32" s="40"/>
      <c r="I32" s="41"/>
      <c r="J32" s="42" t="str">
        <f t="shared" si="5"/>
        <v/>
      </c>
      <c r="K32" s="90"/>
      <c r="L32" s="206" t="str">
        <f t="shared" si="23"/>
        <v>No Quote</v>
      </c>
      <c r="M32" s="207"/>
      <c r="N32" s="41"/>
      <c r="O32" s="42" t="str">
        <f t="shared" si="6"/>
        <v/>
      </c>
      <c r="P32" s="89"/>
      <c r="Q32" s="206" t="str">
        <f t="shared" si="24"/>
        <v>No Quote</v>
      </c>
      <c r="R32" s="207"/>
      <c r="S32" s="41"/>
      <c r="T32" s="42" t="str">
        <f t="shared" si="8"/>
        <v/>
      </c>
      <c r="U32" s="89"/>
      <c r="V32" s="208" t="str">
        <f t="shared" si="22"/>
        <v>No Quote</v>
      </c>
      <c r="W32" s="209"/>
      <c r="X32" s="87"/>
      <c r="Y32" s="93"/>
      <c r="Z32" s="63" t="str">
        <f t="shared" si="10"/>
        <v/>
      </c>
      <c r="AA32" s="92"/>
      <c r="AB32" s="92"/>
      <c r="AC32" s="77" t="str">
        <f t="shared" si="11"/>
        <v>-</v>
      </c>
      <c r="AD32" s="77" t="str">
        <f t="shared" si="12"/>
        <v>-</v>
      </c>
      <c r="AE32" s="77" t="str">
        <f t="shared" si="13"/>
        <v>-</v>
      </c>
      <c r="AF32" s="78" t="str">
        <f t="shared" si="1"/>
        <v/>
      </c>
      <c r="AG32" s="74" t="str">
        <f t="shared" si="14"/>
        <v/>
      </c>
      <c r="AH32" s="72" t="str">
        <f t="shared" si="2"/>
        <v/>
      </c>
      <c r="AI32" s="71" t="str">
        <f t="shared" si="15"/>
        <v/>
      </c>
      <c r="AJ32" s="74" t="str">
        <f t="shared" si="16"/>
        <v/>
      </c>
      <c r="AK32" s="72" t="str">
        <f t="shared" si="3"/>
        <v/>
      </c>
      <c r="AL32" s="71" t="str">
        <f t="shared" si="17"/>
        <v/>
      </c>
      <c r="AM32" s="74" t="str">
        <f t="shared" si="18"/>
        <v/>
      </c>
      <c r="AO32" s="99">
        <f t="shared" si="4"/>
        <v>0</v>
      </c>
      <c r="AP32" s="100" t="str" cm="1">
        <f t="array" ref="AP32">IFERROR(INDEX(_xlfn.UNIQUE(_xlfn._xlws.FILTER($AG$22:$AG$49,($AG$22:$AG$49&lt;&gt;"")*($AG$22:$AG$49&lt;&gt;"-"))),ROWS($AP$22:AP32)),"")</f>
        <v/>
      </c>
    </row>
    <row r="33" spans="2:42" s="1" customFormat="1" ht="61.5" customHeight="1" outlineLevel="1" x14ac:dyDescent="0.25">
      <c r="B33" s="38">
        <f t="shared" si="19"/>
        <v>12</v>
      </c>
      <c r="C33" s="210"/>
      <c r="D33" s="210"/>
      <c r="E33" s="210"/>
      <c r="F33" s="210"/>
      <c r="G33" s="39"/>
      <c r="H33" s="40"/>
      <c r="I33" s="41"/>
      <c r="J33" s="42" t="str">
        <f t="shared" si="5"/>
        <v/>
      </c>
      <c r="K33" s="90"/>
      <c r="L33" s="206" t="str">
        <f t="shared" si="23"/>
        <v>No Quote</v>
      </c>
      <c r="M33" s="207"/>
      <c r="N33" s="41"/>
      <c r="O33" s="42" t="str">
        <f t="shared" si="6"/>
        <v/>
      </c>
      <c r="P33" s="89"/>
      <c r="Q33" s="206" t="str">
        <f t="shared" si="24"/>
        <v>No Quote</v>
      </c>
      <c r="R33" s="207"/>
      <c r="S33" s="41"/>
      <c r="T33" s="42" t="str">
        <f t="shared" si="8"/>
        <v/>
      </c>
      <c r="U33" s="89"/>
      <c r="V33" s="208" t="str">
        <f t="shared" si="22"/>
        <v>No Quote</v>
      </c>
      <c r="W33" s="209"/>
      <c r="X33" s="87"/>
      <c r="Y33" s="93"/>
      <c r="Z33" s="63" t="str">
        <f t="shared" si="10"/>
        <v/>
      </c>
      <c r="AA33" s="92"/>
      <c r="AB33" s="92"/>
      <c r="AC33" s="77" t="str">
        <f t="shared" si="11"/>
        <v>-</v>
      </c>
      <c r="AD33" s="77" t="str">
        <f t="shared" si="12"/>
        <v>-</v>
      </c>
      <c r="AE33" s="77" t="str">
        <f t="shared" si="13"/>
        <v>-</v>
      </c>
      <c r="AF33" s="78" t="str">
        <f t="shared" si="1"/>
        <v/>
      </c>
      <c r="AG33" s="74" t="str">
        <f t="shared" si="14"/>
        <v/>
      </c>
      <c r="AH33" s="72" t="str">
        <f t="shared" si="2"/>
        <v/>
      </c>
      <c r="AI33" s="71" t="str">
        <f t="shared" si="15"/>
        <v/>
      </c>
      <c r="AJ33" s="74" t="str">
        <f t="shared" si="16"/>
        <v/>
      </c>
      <c r="AK33" s="72" t="str">
        <f t="shared" si="3"/>
        <v/>
      </c>
      <c r="AL33" s="71" t="str">
        <f t="shared" si="17"/>
        <v/>
      </c>
      <c r="AM33" s="74" t="str">
        <f t="shared" si="18"/>
        <v/>
      </c>
      <c r="AO33" s="99">
        <f t="shared" si="4"/>
        <v>0</v>
      </c>
      <c r="AP33" s="100" t="str" cm="1">
        <f t="array" ref="AP33">IFERROR(INDEX(_xlfn.UNIQUE(_xlfn._xlws.FILTER($AG$22:$AG$49,($AG$22:$AG$49&lt;&gt;"")*($AG$22:$AG$49&lt;&gt;"-"))),ROWS($AP$22:AP33)),"")</f>
        <v/>
      </c>
    </row>
    <row r="34" spans="2:42" s="1" customFormat="1" ht="61.5" customHeight="1" outlineLevel="1" x14ac:dyDescent="0.25">
      <c r="B34" s="38">
        <f t="shared" si="19"/>
        <v>13</v>
      </c>
      <c r="C34" s="210"/>
      <c r="D34" s="210"/>
      <c r="E34" s="210"/>
      <c r="F34" s="210"/>
      <c r="G34" s="39"/>
      <c r="H34" s="40"/>
      <c r="I34" s="41"/>
      <c r="J34" s="42" t="str">
        <f t="shared" si="5"/>
        <v/>
      </c>
      <c r="K34" s="90"/>
      <c r="L34" s="206" t="str">
        <f t="shared" si="23"/>
        <v>No Quote</v>
      </c>
      <c r="M34" s="207"/>
      <c r="N34" s="41"/>
      <c r="O34" s="42" t="str">
        <f t="shared" si="6"/>
        <v/>
      </c>
      <c r="P34" s="89"/>
      <c r="Q34" s="206" t="str">
        <f t="shared" si="24"/>
        <v>No Quote</v>
      </c>
      <c r="R34" s="207"/>
      <c r="S34" s="41"/>
      <c r="T34" s="42" t="str">
        <f t="shared" si="8"/>
        <v/>
      </c>
      <c r="U34" s="89"/>
      <c r="V34" s="208" t="str">
        <f t="shared" si="22"/>
        <v>No Quote</v>
      </c>
      <c r="W34" s="209"/>
      <c r="X34" s="87"/>
      <c r="Y34" s="93"/>
      <c r="Z34" s="63" t="str">
        <f t="shared" si="10"/>
        <v/>
      </c>
      <c r="AA34" s="92"/>
      <c r="AB34" s="92"/>
      <c r="AC34" s="77" t="str">
        <f t="shared" si="11"/>
        <v>-</v>
      </c>
      <c r="AD34" s="77" t="str">
        <f t="shared" si="12"/>
        <v>-</v>
      </c>
      <c r="AE34" s="77" t="str">
        <f t="shared" si="13"/>
        <v>-</v>
      </c>
      <c r="AF34" s="78" t="str">
        <f t="shared" si="1"/>
        <v/>
      </c>
      <c r="AG34" s="74" t="str">
        <f t="shared" si="14"/>
        <v/>
      </c>
      <c r="AH34" s="72" t="str">
        <f t="shared" si="2"/>
        <v/>
      </c>
      <c r="AI34" s="71" t="str">
        <f t="shared" si="15"/>
        <v/>
      </c>
      <c r="AJ34" s="74" t="str">
        <f t="shared" si="16"/>
        <v/>
      </c>
      <c r="AK34" s="72" t="str">
        <f t="shared" si="3"/>
        <v/>
      </c>
      <c r="AL34" s="71" t="str">
        <f t="shared" si="17"/>
        <v/>
      </c>
      <c r="AM34" s="74" t="str">
        <f t="shared" si="18"/>
        <v/>
      </c>
      <c r="AO34" s="99">
        <f t="shared" si="4"/>
        <v>0</v>
      </c>
      <c r="AP34" s="100" t="str" cm="1">
        <f t="array" ref="AP34">IFERROR(INDEX(_xlfn.UNIQUE(_xlfn._xlws.FILTER($AG$22:$AG$49,($AG$22:$AG$49&lt;&gt;"")*($AG$22:$AG$49&lt;&gt;"-"))),ROWS($AP$22:AP34)),"")</f>
        <v/>
      </c>
    </row>
    <row r="35" spans="2:42" s="1" customFormat="1" ht="61.5" customHeight="1" outlineLevel="1" x14ac:dyDescent="0.25">
      <c r="B35" s="38">
        <f t="shared" si="19"/>
        <v>14</v>
      </c>
      <c r="C35" s="210"/>
      <c r="D35" s="210"/>
      <c r="E35" s="210"/>
      <c r="F35" s="210"/>
      <c r="G35" s="39"/>
      <c r="H35" s="40"/>
      <c r="I35" s="41"/>
      <c r="J35" s="42" t="str">
        <f t="shared" si="5"/>
        <v/>
      </c>
      <c r="K35" s="90"/>
      <c r="L35" s="206" t="str">
        <f t="shared" si="23"/>
        <v>No Quote</v>
      </c>
      <c r="M35" s="207"/>
      <c r="N35" s="41"/>
      <c r="O35" s="42" t="str">
        <f t="shared" si="6"/>
        <v/>
      </c>
      <c r="P35" s="89"/>
      <c r="Q35" s="206" t="str">
        <f t="shared" si="24"/>
        <v>No Quote</v>
      </c>
      <c r="R35" s="207"/>
      <c r="S35" s="41"/>
      <c r="T35" s="42" t="str">
        <f t="shared" si="8"/>
        <v/>
      </c>
      <c r="U35" s="89"/>
      <c r="V35" s="208" t="str">
        <f t="shared" si="22"/>
        <v>No Quote</v>
      </c>
      <c r="W35" s="209"/>
      <c r="X35" s="87"/>
      <c r="Y35" s="93"/>
      <c r="Z35" s="63" t="str">
        <f t="shared" si="10"/>
        <v/>
      </c>
      <c r="AA35" s="92"/>
      <c r="AB35" s="92"/>
      <c r="AC35" s="77" t="str">
        <f t="shared" si="11"/>
        <v>-</v>
      </c>
      <c r="AD35" s="77" t="str">
        <f t="shared" si="12"/>
        <v>-</v>
      </c>
      <c r="AE35" s="77" t="str">
        <f t="shared" si="13"/>
        <v>-</v>
      </c>
      <c r="AF35" s="78" t="str">
        <f t="shared" si="1"/>
        <v/>
      </c>
      <c r="AG35" s="74" t="str">
        <f t="shared" si="14"/>
        <v/>
      </c>
      <c r="AH35" s="72" t="str">
        <f t="shared" si="2"/>
        <v/>
      </c>
      <c r="AI35" s="71" t="str">
        <f t="shared" si="15"/>
        <v/>
      </c>
      <c r="AJ35" s="74" t="str">
        <f t="shared" si="16"/>
        <v/>
      </c>
      <c r="AK35" s="72" t="str">
        <f t="shared" si="3"/>
        <v/>
      </c>
      <c r="AL35" s="71" t="str">
        <f t="shared" si="17"/>
        <v/>
      </c>
      <c r="AM35" s="74" t="str">
        <f t="shared" si="18"/>
        <v/>
      </c>
      <c r="AO35" s="99">
        <f t="shared" ref="AO35:AO49" si="25">SUMIFS($AF$22:$AF$49,$AG$22:$AG$49,AP35)</f>
        <v>0</v>
      </c>
      <c r="AP35" s="100" t="str" cm="1">
        <f t="array" ref="AP35">IFERROR(INDEX(_xlfn.UNIQUE(_xlfn._xlws.FILTER($AG$22:$AG$49,($AG$22:$AG$49&lt;&gt;"")*($AG$22:$AG$49&lt;&gt;"-"))),ROWS($AP$22:AP35)),"")</f>
        <v/>
      </c>
    </row>
    <row r="36" spans="2:42" s="1" customFormat="1" ht="61.5" customHeight="1" outlineLevel="1" x14ac:dyDescent="0.25">
      <c r="B36" s="38">
        <f t="shared" si="19"/>
        <v>15</v>
      </c>
      <c r="C36" s="210"/>
      <c r="D36" s="210"/>
      <c r="E36" s="210"/>
      <c r="F36" s="210"/>
      <c r="G36" s="39"/>
      <c r="H36" s="40"/>
      <c r="I36" s="41"/>
      <c r="J36" s="42" t="str">
        <f t="shared" si="5"/>
        <v/>
      </c>
      <c r="K36" s="90"/>
      <c r="L36" s="206" t="str">
        <f t="shared" si="23"/>
        <v>No Quote</v>
      </c>
      <c r="M36" s="207"/>
      <c r="N36" s="41"/>
      <c r="O36" s="42" t="str">
        <f t="shared" si="6"/>
        <v/>
      </c>
      <c r="P36" s="89"/>
      <c r="Q36" s="206" t="str">
        <f t="shared" si="24"/>
        <v>No Quote</v>
      </c>
      <c r="R36" s="207"/>
      <c r="S36" s="41"/>
      <c r="T36" s="42" t="str">
        <f t="shared" si="8"/>
        <v/>
      </c>
      <c r="U36" s="89"/>
      <c r="V36" s="208" t="str">
        <f t="shared" si="22"/>
        <v>No Quote</v>
      </c>
      <c r="W36" s="209"/>
      <c r="X36" s="87"/>
      <c r="Y36" s="93"/>
      <c r="Z36" s="63" t="str">
        <f t="shared" si="10"/>
        <v/>
      </c>
      <c r="AA36" s="92"/>
      <c r="AB36" s="92"/>
      <c r="AC36" s="77" t="str">
        <f t="shared" si="11"/>
        <v>-</v>
      </c>
      <c r="AD36" s="77" t="str">
        <f t="shared" si="12"/>
        <v>-</v>
      </c>
      <c r="AE36" s="77" t="str">
        <f t="shared" si="13"/>
        <v>-</v>
      </c>
      <c r="AF36" s="78" t="str">
        <f t="shared" si="1"/>
        <v/>
      </c>
      <c r="AG36" s="74" t="str">
        <f t="shared" si="14"/>
        <v/>
      </c>
      <c r="AH36" s="72" t="str">
        <f t="shared" si="2"/>
        <v/>
      </c>
      <c r="AI36" s="71" t="str">
        <f t="shared" si="15"/>
        <v/>
      </c>
      <c r="AJ36" s="74" t="str">
        <f t="shared" si="16"/>
        <v/>
      </c>
      <c r="AK36" s="72" t="str">
        <f t="shared" si="3"/>
        <v/>
      </c>
      <c r="AL36" s="71" t="str">
        <f t="shared" si="17"/>
        <v/>
      </c>
      <c r="AM36" s="74" t="str">
        <f t="shared" si="18"/>
        <v/>
      </c>
      <c r="AO36" s="99">
        <f t="shared" si="25"/>
        <v>0</v>
      </c>
      <c r="AP36" s="100" t="str" cm="1">
        <f t="array" ref="AP36">IFERROR(INDEX(_xlfn.UNIQUE(_xlfn._xlws.FILTER($AG$22:$AG$49,($AG$22:$AG$49&lt;&gt;"")*($AG$22:$AG$49&lt;&gt;"-"))),ROWS($AP$22:AP36)),"")</f>
        <v/>
      </c>
    </row>
    <row r="37" spans="2:42" s="1" customFormat="1" ht="61.5" customHeight="1" outlineLevel="1" x14ac:dyDescent="0.25">
      <c r="B37" s="38">
        <f t="shared" si="19"/>
        <v>16</v>
      </c>
      <c r="C37" s="210"/>
      <c r="D37" s="210"/>
      <c r="E37" s="210"/>
      <c r="F37" s="210"/>
      <c r="G37" s="39"/>
      <c r="H37" s="40"/>
      <c r="I37" s="41"/>
      <c r="J37" s="42" t="str">
        <f t="shared" si="5"/>
        <v/>
      </c>
      <c r="K37" s="90"/>
      <c r="L37" s="206" t="str">
        <f t="shared" si="23"/>
        <v>No Quote</v>
      </c>
      <c r="M37" s="207"/>
      <c r="N37" s="41"/>
      <c r="O37" s="42" t="str">
        <f t="shared" si="6"/>
        <v/>
      </c>
      <c r="P37" s="89"/>
      <c r="Q37" s="206" t="str">
        <f t="shared" si="24"/>
        <v>No Quote</v>
      </c>
      <c r="R37" s="207"/>
      <c r="S37" s="41"/>
      <c r="T37" s="42" t="str">
        <f t="shared" si="8"/>
        <v/>
      </c>
      <c r="U37" s="89"/>
      <c r="V37" s="208" t="str">
        <f t="shared" si="22"/>
        <v>No Quote</v>
      </c>
      <c r="W37" s="209"/>
      <c r="X37" s="87"/>
      <c r="Y37" s="93"/>
      <c r="Z37" s="63" t="str">
        <f t="shared" si="10"/>
        <v/>
      </c>
      <c r="AA37" s="92"/>
      <c r="AB37" s="92"/>
      <c r="AC37" s="77" t="str">
        <f t="shared" si="11"/>
        <v>-</v>
      </c>
      <c r="AD37" s="77" t="str">
        <f t="shared" si="12"/>
        <v>-</v>
      </c>
      <c r="AE37" s="77" t="str">
        <f t="shared" si="13"/>
        <v>-</v>
      </c>
      <c r="AF37" s="78" t="str">
        <f t="shared" si="1"/>
        <v/>
      </c>
      <c r="AG37" s="74" t="str">
        <f t="shared" si="14"/>
        <v/>
      </c>
      <c r="AH37" s="72" t="str">
        <f t="shared" si="2"/>
        <v/>
      </c>
      <c r="AI37" s="71" t="str">
        <f t="shared" si="15"/>
        <v/>
      </c>
      <c r="AJ37" s="74" t="str">
        <f t="shared" si="16"/>
        <v/>
      </c>
      <c r="AK37" s="72" t="str">
        <f t="shared" si="3"/>
        <v/>
      </c>
      <c r="AL37" s="71" t="str">
        <f t="shared" si="17"/>
        <v/>
      </c>
      <c r="AM37" s="74" t="str">
        <f t="shared" si="18"/>
        <v/>
      </c>
      <c r="AO37" s="99">
        <f t="shared" si="25"/>
        <v>0</v>
      </c>
      <c r="AP37" s="100" t="str" cm="1">
        <f t="array" ref="AP37">IFERROR(INDEX(_xlfn.UNIQUE(_xlfn._xlws.FILTER($AG$22:$AG$49,($AG$22:$AG$49&lt;&gt;"")*($AG$22:$AG$49&lt;&gt;"-"))),ROWS($AP$22:AP37)),"")</f>
        <v/>
      </c>
    </row>
    <row r="38" spans="2:42" s="1" customFormat="1" ht="61.5" customHeight="1" outlineLevel="1" x14ac:dyDescent="0.25">
      <c r="B38" s="38">
        <f t="shared" si="19"/>
        <v>17</v>
      </c>
      <c r="C38" s="210"/>
      <c r="D38" s="210"/>
      <c r="E38" s="210"/>
      <c r="F38" s="210"/>
      <c r="G38" s="39"/>
      <c r="H38" s="40"/>
      <c r="I38" s="41"/>
      <c r="J38" s="42" t="str">
        <f t="shared" si="5"/>
        <v/>
      </c>
      <c r="K38" s="90"/>
      <c r="L38" s="206" t="str">
        <f t="shared" si="23"/>
        <v>No Quote</v>
      </c>
      <c r="M38" s="207"/>
      <c r="N38" s="41"/>
      <c r="O38" s="42" t="str">
        <f t="shared" si="6"/>
        <v/>
      </c>
      <c r="P38" s="89"/>
      <c r="Q38" s="206" t="str">
        <f t="shared" si="24"/>
        <v>No Quote</v>
      </c>
      <c r="R38" s="207"/>
      <c r="S38" s="41"/>
      <c r="T38" s="42" t="str">
        <f t="shared" si="8"/>
        <v/>
      </c>
      <c r="U38" s="89"/>
      <c r="V38" s="208" t="str">
        <f t="shared" si="22"/>
        <v>No Quote</v>
      </c>
      <c r="W38" s="209"/>
      <c r="X38" s="87"/>
      <c r="Y38" s="93"/>
      <c r="Z38" s="63" t="str">
        <f t="shared" si="10"/>
        <v/>
      </c>
      <c r="AA38" s="92"/>
      <c r="AB38" s="92"/>
      <c r="AC38" s="77" t="str">
        <f t="shared" si="11"/>
        <v>-</v>
      </c>
      <c r="AD38" s="77" t="str">
        <f t="shared" si="12"/>
        <v>-</v>
      </c>
      <c r="AE38" s="77" t="str">
        <f t="shared" si="13"/>
        <v>-</v>
      </c>
      <c r="AF38" s="78" t="str">
        <f t="shared" si="1"/>
        <v/>
      </c>
      <c r="AG38" s="74" t="str">
        <f t="shared" si="14"/>
        <v/>
      </c>
      <c r="AH38" s="72" t="str">
        <f t="shared" si="2"/>
        <v/>
      </c>
      <c r="AI38" s="71" t="str">
        <f t="shared" si="15"/>
        <v/>
      </c>
      <c r="AJ38" s="74" t="str">
        <f t="shared" si="16"/>
        <v/>
      </c>
      <c r="AK38" s="72" t="str">
        <f t="shared" si="3"/>
        <v/>
      </c>
      <c r="AL38" s="71" t="str">
        <f t="shared" si="17"/>
        <v/>
      </c>
      <c r="AM38" s="74" t="str">
        <f t="shared" si="18"/>
        <v/>
      </c>
      <c r="AO38" s="99">
        <f t="shared" si="25"/>
        <v>0</v>
      </c>
      <c r="AP38" s="100" t="str" cm="1">
        <f t="array" ref="AP38">IFERROR(INDEX(_xlfn.UNIQUE(_xlfn._xlws.FILTER($AG$22:$AG$49,($AG$22:$AG$49&lt;&gt;"")*($AG$22:$AG$49&lt;&gt;"-"))),ROWS($AP$22:AP38)),"")</f>
        <v/>
      </c>
    </row>
    <row r="39" spans="2:42" s="1" customFormat="1" ht="61.5" customHeight="1" outlineLevel="1" x14ac:dyDescent="0.25">
      <c r="B39" s="38">
        <f t="shared" si="19"/>
        <v>18</v>
      </c>
      <c r="C39" s="210"/>
      <c r="D39" s="210"/>
      <c r="E39" s="210"/>
      <c r="F39" s="210"/>
      <c r="G39" s="39"/>
      <c r="H39" s="40"/>
      <c r="I39" s="41"/>
      <c r="J39" s="42" t="str">
        <f t="shared" si="5"/>
        <v/>
      </c>
      <c r="K39" s="90"/>
      <c r="L39" s="206" t="str">
        <f t="shared" si="23"/>
        <v>No Quote</v>
      </c>
      <c r="M39" s="207"/>
      <c r="N39" s="41"/>
      <c r="O39" s="42" t="str">
        <f t="shared" si="6"/>
        <v/>
      </c>
      <c r="P39" s="89"/>
      <c r="Q39" s="206" t="str">
        <f t="shared" si="24"/>
        <v>No Quote</v>
      </c>
      <c r="R39" s="207"/>
      <c r="S39" s="41"/>
      <c r="T39" s="42" t="str">
        <f t="shared" si="8"/>
        <v/>
      </c>
      <c r="U39" s="89"/>
      <c r="V39" s="208" t="str">
        <f t="shared" si="22"/>
        <v>No Quote</v>
      </c>
      <c r="W39" s="209"/>
      <c r="X39" s="87"/>
      <c r="Y39" s="93"/>
      <c r="Z39" s="63" t="str">
        <f t="shared" si="10"/>
        <v/>
      </c>
      <c r="AA39" s="92"/>
      <c r="AB39" s="92"/>
      <c r="AC39" s="77" t="str">
        <f t="shared" si="11"/>
        <v>-</v>
      </c>
      <c r="AD39" s="77" t="str">
        <f t="shared" si="12"/>
        <v>-</v>
      </c>
      <c r="AE39" s="77" t="str">
        <f t="shared" si="13"/>
        <v>-</v>
      </c>
      <c r="AF39" s="78" t="str">
        <f t="shared" si="1"/>
        <v/>
      </c>
      <c r="AG39" s="74" t="str">
        <f t="shared" si="14"/>
        <v/>
      </c>
      <c r="AH39" s="72" t="str">
        <f t="shared" si="2"/>
        <v/>
      </c>
      <c r="AI39" s="71" t="str">
        <f t="shared" si="15"/>
        <v/>
      </c>
      <c r="AJ39" s="74" t="str">
        <f t="shared" si="16"/>
        <v/>
      </c>
      <c r="AK39" s="72" t="str">
        <f t="shared" si="3"/>
        <v/>
      </c>
      <c r="AL39" s="71" t="str">
        <f t="shared" si="17"/>
        <v/>
      </c>
      <c r="AM39" s="74" t="str">
        <f t="shared" si="18"/>
        <v/>
      </c>
      <c r="AO39" s="99">
        <f t="shared" si="25"/>
        <v>0</v>
      </c>
      <c r="AP39" s="100" t="str" cm="1">
        <f t="array" ref="AP39">IFERROR(INDEX(_xlfn.UNIQUE(_xlfn._xlws.FILTER($AG$22:$AG$49,($AG$22:$AG$49&lt;&gt;"")*($AG$22:$AG$49&lt;&gt;"-"))),ROWS($AP$22:AP39)),"")</f>
        <v/>
      </c>
    </row>
    <row r="40" spans="2:42" s="1" customFormat="1" ht="61.5" customHeight="1" outlineLevel="1" x14ac:dyDescent="0.25">
      <c r="B40" s="38">
        <f t="shared" si="19"/>
        <v>19</v>
      </c>
      <c r="C40" s="210"/>
      <c r="D40" s="210"/>
      <c r="E40" s="210"/>
      <c r="F40" s="210"/>
      <c r="G40" s="39"/>
      <c r="H40" s="40"/>
      <c r="I40" s="41"/>
      <c r="J40" s="42" t="str">
        <f t="shared" si="5"/>
        <v/>
      </c>
      <c r="K40" s="90"/>
      <c r="L40" s="206" t="str">
        <f t="shared" si="23"/>
        <v>No Quote</v>
      </c>
      <c r="M40" s="207"/>
      <c r="N40" s="41"/>
      <c r="O40" s="42" t="str">
        <f t="shared" si="6"/>
        <v/>
      </c>
      <c r="P40" s="89"/>
      <c r="Q40" s="206" t="str">
        <f t="shared" si="24"/>
        <v>No Quote</v>
      </c>
      <c r="R40" s="207"/>
      <c r="S40" s="41"/>
      <c r="T40" s="42" t="str">
        <f t="shared" si="8"/>
        <v/>
      </c>
      <c r="U40" s="89"/>
      <c r="V40" s="208" t="str">
        <f t="shared" si="22"/>
        <v>No Quote</v>
      </c>
      <c r="W40" s="209"/>
      <c r="X40" s="87"/>
      <c r="Y40" s="93"/>
      <c r="Z40" s="63" t="str">
        <f t="shared" si="10"/>
        <v/>
      </c>
      <c r="AA40" s="92"/>
      <c r="AB40" s="92"/>
      <c r="AC40" s="77" t="str">
        <f t="shared" si="11"/>
        <v>-</v>
      </c>
      <c r="AD40" s="77" t="str">
        <f t="shared" si="12"/>
        <v>-</v>
      </c>
      <c r="AE40" s="77" t="str">
        <f t="shared" si="13"/>
        <v>-</v>
      </c>
      <c r="AF40" s="78" t="str">
        <f t="shared" si="1"/>
        <v/>
      </c>
      <c r="AG40" s="74" t="str">
        <f t="shared" si="14"/>
        <v/>
      </c>
      <c r="AH40" s="72" t="str">
        <f t="shared" si="2"/>
        <v/>
      </c>
      <c r="AI40" s="71" t="str">
        <f t="shared" si="15"/>
        <v/>
      </c>
      <c r="AJ40" s="74" t="str">
        <f t="shared" si="16"/>
        <v/>
      </c>
      <c r="AK40" s="72" t="str">
        <f t="shared" si="3"/>
        <v/>
      </c>
      <c r="AL40" s="71" t="str">
        <f t="shared" si="17"/>
        <v/>
      </c>
      <c r="AM40" s="74" t="str">
        <f t="shared" si="18"/>
        <v/>
      </c>
      <c r="AO40" s="99">
        <f t="shared" si="25"/>
        <v>0</v>
      </c>
      <c r="AP40" s="100" t="str" cm="1">
        <f t="array" ref="AP40">IFERROR(INDEX(_xlfn.UNIQUE(_xlfn._xlws.FILTER($AG$22:$AG$49,($AG$22:$AG$49&lt;&gt;"")*($AG$22:$AG$49&lt;&gt;"-"))),ROWS($AP$22:AP40)),"")</f>
        <v/>
      </c>
    </row>
    <row r="41" spans="2:42" s="1" customFormat="1" ht="61.5" customHeight="1" outlineLevel="1" x14ac:dyDescent="0.25">
      <c r="B41" s="38">
        <f t="shared" si="19"/>
        <v>20</v>
      </c>
      <c r="C41" s="210"/>
      <c r="D41" s="210"/>
      <c r="E41" s="210"/>
      <c r="F41" s="210"/>
      <c r="G41" s="39"/>
      <c r="H41" s="40"/>
      <c r="I41" s="41"/>
      <c r="J41" s="42" t="str">
        <f t="shared" si="5"/>
        <v/>
      </c>
      <c r="K41" s="90"/>
      <c r="L41" s="206" t="str">
        <f t="shared" si="23"/>
        <v>No Quote</v>
      </c>
      <c r="M41" s="207"/>
      <c r="N41" s="41"/>
      <c r="O41" s="42" t="str">
        <f t="shared" si="6"/>
        <v/>
      </c>
      <c r="P41" s="89"/>
      <c r="Q41" s="206" t="str">
        <f t="shared" si="24"/>
        <v>No Quote</v>
      </c>
      <c r="R41" s="207"/>
      <c r="S41" s="41"/>
      <c r="T41" s="42" t="str">
        <f t="shared" si="8"/>
        <v/>
      </c>
      <c r="U41" s="89"/>
      <c r="V41" s="208" t="str">
        <f t="shared" si="22"/>
        <v>No Quote</v>
      </c>
      <c r="W41" s="209"/>
      <c r="X41" s="87"/>
      <c r="Y41" s="93"/>
      <c r="Z41" s="63" t="str">
        <f t="shared" si="10"/>
        <v/>
      </c>
      <c r="AA41" s="92"/>
      <c r="AB41" s="92"/>
      <c r="AC41" s="77" t="str">
        <f t="shared" si="11"/>
        <v>-</v>
      </c>
      <c r="AD41" s="77" t="str">
        <f t="shared" si="12"/>
        <v>-</v>
      </c>
      <c r="AE41" s="77" t="str">
        <f t="shared" si="13"/>
        <v>-</v>
      </c>
      <c r="AF41" s="78" t="str">
        <f t="shared" si="1"/>
        <v/>
      </c>
      <c r="AG41" s="74" t="str">
        <f t="shared" si="14"/>
        <v/>
      </c>
      <c r="AH41" s="72" t="str">
        <f t="shared" si="2"/>
        <v/>
      </c>
      <c r="AI41" s="71" t="str">
        <f t="shared" si="15"/>
        <v/>
      </c>
      <c r="AJ41" s="74" t="str">
        <f t="shared" si="16"/>
        <v/>
      </c>
      <c r="AK41" s="72" t="str">
        <f t="shared" si="3"/>
        <v/>
      </c>
      <c r="AL41" s="71" t="str">
        <f t="shared" si="17"/>
        <v/>
      </c>
      <c r="AM41" s="74" t="str">
        <f t="shared" si="18"/>
        <v/>
      </c>
      <c r="AO41" s="99">
        <f t="shared" si="25"/>
        <v>0</v>
      </c>
      <c r="AP41" s="100" t="str" cm="1">
        <f t="array" ref="AP41">IFERROR(INDEX(_xlfn.UNIQUE(_xlfn._xlws.FILTER($AG$22:$AG$49,($AG$22:$AG$49&lt;&gt;"")*($AG$22:$AG$49&lt;&gt;"-"))),ROWS($AP$22:AP41)),"")</f>
        <v/>
      </c>
    </row>
    <row r="42" spans="2:42" s="1" customFormat="1" ht="61.5" customHeight="1" outlineLevel="1" x14ac:dyDescent="0.25">
      <c r="B42" s="38">
        <f t="shared" si="19"/>
        <v>21</v>
      </c>
      <c r="C42" s="210"/>
      <c r="D42" s="210"/>
      <c r="E42" s="210"/>
      <c r="F42" s="210"/>
      <c r="G42" s="39"/>
      <c r="H42" s="40"/>
      <c r="I42" s="41"/>
      <c r="J42" s="42" t="str">
        <f t="shared" si="5"/>
        <v/>
      </c>
      <c r="K42" s="90"/>
      <c r="L42" s="206" t="str">
        <f t="shared" si="23"/>
        <v>No Quote</v>
      </c>
      <c r="M42" s="207"/>
      <c r="N42" s="41"/>
      <c r="O42" s="42" t="str">
        <f t="shared" si="6"/>
        <v/>
      </c>
      <c r="P42" s="89"/>
      <c r="Q42" s="206" t="str">
        <f t="shared" si="24"/>
        <v>No Quote</v>
      </c>
      <c r="R42" s="207"/>
      <c r="S42" s="41"/>
      <c r="T42" s="42" t="str">
        <f t="shared" si="8"/>
        <v/>
      </c>
      <c r="U42" s="89"/>
      <c r="V42" s="208" t="str">
        <f t="shared" si="22"/>
        <v>No Quote</v>
      </c>
      <c r="W42" s="209"/>
      <c r="X42" s="87"/>
      <c r="Y42" s="93"/>
      <c r="Z42" s="63" t="str">
        <f t="shared" si="10"/>
        <v/>
      </c>
      <c r="AA42" s="92"/>
      <c r="AB42" s="92"/>
      <c r="AC42" s="77" t="str">
        <f t="shared" si="11"/>
        <v>-</v>
      </c>
      <c r="AD42" s="77" t="str">
        <f t="shared" si="12"/>
        <v>-</v>
      </c>
      <c r="AE42" s="77" t="str">
        <f t="shared" si="13"/>
        <v>-</v>
      </c>
      <c r="AF42" s="78" t="str">
        <f t="shared" si="1"/>
        <v/>
      </c>
      <c r="AG42" s="74" t="str">
        <f t="shared" si="14"/>
        <v/>
      </c>
      <c r="AH42" s="72" t="str">
        <f t="shared" si="2"/>
        <v/>
      </c>
      <c r="AI42" s="71" t="str">
        <f t="shared" si="15"/>
        <v/>
      </c>
      <c r="AJ42" s="74" t="str">
        <f t="shared" si="16"/>
        <v/>
      </c>
      <c r="AK42" s="72" t="str">
        <f t="shared" si="3"/>
        <v/>
      </c>
      <c r="AL42" s="71" t="str">
        <f t="shared" si="17"/>
        <v/>
      </c>
      <c r="AM42" s="74" t="str">
        <f t="shared" si="18"/>
        <v/>
      </c>
      <c r="AO42" s="99">
        <f t="shared" si="25"/>
        <v>0</v>
      </c>
      <c r="AP42" s="100" t="str" cm="1">
        <f t="array" ref="AP42">IFERROR(INDEX(_xlfn.UNIQUE(_xlfn._xlws.FILTER($AG$22:$AG$49,($AG$22:$AG$49&lt;&gt;"")*($AG$22:$AG$49&lt;&gt;"-"))),ROWS($AP$22:AP42)),"")</f>
        <v/>
      </c>
    </row>
    <row r="43" spans="2:42" s="1" customFormat="1" ht="61.5" customHeight="1" outlineLevel="1" x14ac:dyDescent="0.25">
      <c r="B43" s="38">
        <f t="shared" si="19"/>
        <v>22</v>
      </c>
      <c r="C43" s="210"/>
      <c r="D43" s="210"/>
      <c r="E43" s="210"/>
      <c r="F43" s="210"/>
      <c r="G43" s="39"/>
      <c r="H43" s="40"/>
      <c r="I43" s="41"/>
      <c r="J43" s="42" t="str">
        <f t="shared" si="5"/>
        <v/>
      </c>
      <c r="K43" s="90"/>
      <c r="L43" s="206" t="str">
        <f t="shared" si="23"/>
        <v>No Quote</v>
      </c>
      <c r="M43" s="207"/>
      <c r="N43" s="41"/>
      <c r="O43" s="42" t="str">
        <f t="shared" si="6"/>
        <v/>
      </c>
      <c r="P43" s="89"/>
      <c r="Q43" s="206" t="str">
        <f t="shared" si="24"/>
        <v>No Quote</v>
      </c>
      <c r="R43" s="207"/>
      <c r="S43" s="41"/>
      <c r="T43" s="42" t="str">
        <f t="shared" si="8"/>
        <v/>
      </c>
      <c r="U43" s="89"/>
      <c r="V43" s="208" t="str">
        <f t="shared" si="22"/>
        <v>No Quote</v>
      </c>
      <c r="W43" s="209"/>
      <c r="X43" s="87"/>
      <c r="Y43" s="93"/>
      <c r="Z43" s="63" t="str">
        <f t="shared" si="10"/>
        <v/>
      </c>
      <c r="AA43" s="92"/>
      <c r="AB43" s="92"/>
      <c r="AC43" s="77" t="str">
        <f t="shared" si="11"/>
        <v>-</v>
      </c>
      <c r="AD43" s="77" t="str">
        <f t="shared" si="12"/>
        <v>-</v>
      </c>
      <c r="AE43" s="77" t="str">
        <f t="shared" si="13"/>
        <v>-</v>
      </c>
      <c r="AF43" s="78" t="str">
        <f t="shared" si="1"/>
        <v/>
      </c>
      <c r="AG43" s="74" t="str">
        <f t="shared" si="14"/>
        <v/>
      </c>
      <c r="AH43" s="72" t="str">
        <f t="shared" si="2"/>
        <v/>
      </c>
      <c r="AI43" s="71" t="str">
        <f t="shared" si="15"/>
        <v/>
      </c>
      <c r="AJ43" s="74" t="str">
        <f t="shared" si="16"/>
        <v/>
      </c>
      <c r="AK43" s="72" t="str">
        <f t="shared" si="3"/>
        <v/>
      </c>
      <c r="AL43" s="71" t="str">
        <f t="shared" si="17"/>
        <v/>
      </c>
      <c r="AM43" s="74" t="str">
        <f t="shared" si="18"/>
        <v/>
      </c>
      <c r="AO43" s="99">
        <f t="shared" si="25"/>
        <v>0</v>
      </c>
      <c r="AP43" s="100" t="str" cm="1">
        <f t="array" ref="AP43">IFERROR(INDEX(_xlfn.UNIQUE(_xlfn._xlws.FILTER($AG$22:$AG$49,($AG$22:$AG$49&lt;&gt;"")*($AG$22:$AG$49&lt;&gt;"-"))),ROWS($AP$22:AP43)),"")</f>
        <v/>
      </c>
    </row>
    <row r="44" spans="2:42" s="1" customFormat="1" ht="61.5" customHeight="1" outlineLevel="1" x14ac:dyDescent="0.25">
      <c r="B44" s="38">
        <f t="shared" si="19"/>
        <v>23</v>
      </c>
      <c r="C44" s="210"/>
      <c r="D44" s="210"/>
      <c r="E44" s="210"/>
      <c r="F44" s="210"/>
      <c r="G44" s="39"/>
      <c r="H44" s="40"/>
      <c r="I44" s="41"/>
      <c r="J44" s="42" t="str">
        <f t="shared" si="5"/>
        <v/>
      </c>
      <c r="K44" s="90"/>
      <c r="L44" s="206" t="str">
        <f t="shared" si="23"/>
        <v>No Quote</v>
      </c>
      <c r="M44" s="207"/>
      <c r="N44" s="41"/>
      <c r="O44" s="42" t="str">
        <f t="shared" si="6"/>
        <v/>
      </c>
      <c r="P44" s="89"/>
      <c r="Q44" s="206" t="str">
        <f t="shared" si="24"/>
        <v>No Quote</v>
      </c>
      <c r="R44" s="207"/>
      <c r="S44" s="41"/>
      <c r="T44" s="42" t="str">
        <f t="shared" si="8"/>
        <v/>
      </c>
      <c r="U44" s="89"/>
      <c r="V44" s="208" t="str">
        <f t="shared" si="22"/>
        <v>No Quote</v>
      </c>
      <c r="W44" s="209"/>
      <c r="X44" s="87"/>
      <c r="Y44" s="93"/>
      <c r="Z44" s="63" t="str">
        <f t="shared" si="10"/>
        <v/>
      </c>
      <c r="AA44" s="92"/>
      <c r="AB44" s="92"/>
      <c r="AC44" s="77" t="str">
        <f t="shared" si="11"/>
        <v>-</v>
      </c>
      <c r="AD44" s="77" t="str">
        <f t="shared" si="12"/>
        <v>-</v>
      </c>
      <c r="AE44" s="77" t="str">
        <f t="shared" si="13"/>
        <v>-</v>
      </c>
      <c r="AF44" s="78" t="str">
        <f t="shared" si="1"/>
        <v/>
      </c>
      <c r="AG44" s="74" t="str">
        <f t="shared" si="14"/>
        <v/>
      </c>
      <c r="AH44" s="72" t="str">
        <f t="shared" si="2"/>
        <v/>
      </c>
      <c r="AI44" s="71" t="str">
        <f t="shared" si="15"/>
        <v/>
      </c>
      <c r="AJ44" s="74" t="str">
        <f t="shared" si="16"/>
        <v/>
      </c>
      <c r="AK44" s="72" t="str">
        <f t="shared" si="3"/>
        <v/>
      </c>
      <c r="AL44" s="71" t="str">
        <f t="shared" si="17"/>
        <v/>
      </c>
      <c r="AM44" s="74" t="str">
        <f t="shared" si="18"/>
        <v/>
      </c>
      <c r="AO44" s="99">
        <f t="shared" si="25"/>
        <v>0</v>
      </c>
      <c r="AP44" s="100" t="str" cm="1">
        <f t="array" ref="AP44">IFERROR(INDEX(_xlfn.UNIQUE(_xlfn._xlws.FILTER($AG$22:$AG$49,($AG$22:$AG$49&lt;&gt;"")*($AG$22:$AG$49&lt;&gt;"-"))),ROWS($AP$22:AP44)),"")</f>
        <v/>
      </c>
    </row>
    <row r="45" spans="2:42" s="1" customFormat="1" ht="61.5" customHeight="1" outlineLevel="1" x14ac:dyDescent="0.25">
      <c r="B45" s="38">
        <f t="shared" si="19"/>
        <v>24</v>
      </c>
      <c r="C45" s="210"/>
      <c r="D45" s="210"/>
      <c r="E45" s="210"/>
      <c r="F45" s="210"/>
      <c r="G45" s="39"/>
      <c r="H45" s="40"/>
      <c r="I45" s="41"/>
      <c r="J45" s="42" t="str">
        <f t="shared" si="5"/>
        <v/>
      </c>
      <c r="K45" s="90"/>
      <c r="L45" s="206" t="str">
        <f t="shared" si="23"/>
        <v>No Quote</v>
      </c>
      <c r="M45" s="207"/>
      <c r="N45" s="41"/>
      <c r="O45" s="42" t="str">
        <f t="shared" si="6"/>
        <v/>
      </c>
      <c r="P45" s="89"/>
      <c r="Q45" s="206" t="str">
        <f t="shared" si="24"/>
        <v>No Quote</v>
      </c>
      <c r="R45" s="207"/>
      <c r="S45" s="41"/>
      <c r="T45" s="42" t="str">
        <f t="shared" si="8"/>
        <v/>
      </c>
      <c r="U45" s="89"/>
      <c r="V45" s="208" t="str">
        <f t="shared" si="22"/>
        <v>No Quote</v>
      </c>
      <c r="W45" s="209"/>
      <c r="X45" s="87"/>
      <c r="Y45" s="93"/>
      <c r="Z45" s="63" t="str">
        <f t="shared" si="10"/>
        <v/>
      </c>
      <c r="AA45" s="92"/>
      <c r="AB45" s="92"/>
      <c r="AC45" s="77" t="str">
        <f t="shared" si="11"/>
        <v>-</v>
      </c>
      <c r="AD45" s="77" t="str">
        <f t="shared" si="12"/>
        <v>-</v>
      </c>
      <c r="AE45" s="77" t="str">
        <f t="shared" si="13"/>
        <v>-</v>
      </c>
      <c r="AF45" s="78" t="str">
        <f t="shared" si="1"/>
        <v/>
      </c>
      <c r="AG45" s="74" t="str">
        <f t="shared" si="14"/>
        <v/>
      </c>
      <c r="AH45" s="72" t="str">
        <f t="shared" si="2"/>
        <v/>
      </c>
      <c r="AI45" s="71" t="str">
        <f t="shared" si="15"/>
        <v/>
      </c>
      <c r="AJ45" s="74" t="str">
        <f t="shared" si="16"/>
        <v/>
      </c>
      <c r="AK45" s="72" t="str">
        <f t="shared" si="3"/>
        <v/>
      </c>
      <c r="AL45" s="71" t="str">
        <f t="shared" si="17"/>
        <v/>
      </c>
      <c r="AM45" s="74" t="str">
        <f t="shared" si="18"/>
        <v/>
      </c>
      <c r="AO45" s="99">
        <f t="shared" si="25"/>
        <v>0</v>
      </c>
      <c r="AP45" s="100" t="str" cm="1">
        <f t="array" ref="AP45">IFERROR(INDEX(_xlfn.UNIQUE(_xlfn._xlws.FILTER($AG$22:$AG$49,($AG$22:$AG$49&lt;&gt;"")*($AG$22:$AG$49&lt;&gt;"-"))),ROWS($AP$22:AP45)),"")</f>
        <v/>
      </c>
    </row>
    <row r="46" spans="2:42" s="1" customFormat="1" ht="61.5" customHeight="1" outlineLevel="1" x14ac:dyDescent="0.25">
      <c r="B46" s="38">
        <f t="shared" si="19"/>
        <v>25</v>
      </c>
      <c r="C46" s="210"/>
      <c r="D46" s="210"/>
      <c r="E46" s="210"/>
      <c r="F46" s="210"/>
      <c r="G46" s="39"/>
      <c r="H46" s="40"/>
      <c r="I46" s="41"/>
      <c r="J46" s="42" t="str">
        <f t="shared" si="5"/>
        <v/>
      </c>
      <c r="K46" s="90"/>
      <c r="L46" s="206" t="str">
        <f t="shared" si="23"/>
        <v>No Quote</v>
      </c>
      <c r="M46" s="207"/>
      <c r="N46" s="41"/>
      <c r="O46" s="42" t="str">
        <f t="shared" si="6"/>
        <v/>
      </c>
      <c r="P46" s="89"/>
      <c r="Q46" s="206" t="str">
        <f t="shared" si="24"/>
        <v>No Quote</v>
      </c>
      <c r="R46" s="207"/>
      <c r="S46" s="41"/>
      <c r="T46" s="42" t="str">
        <f t="shared" si="8"/>
        <v/>
      </c>
      <c r="U46" s="89"/>
      <c r="V46" s="208" t="str">
        <f t="shared" si="22"/>
        <v>No Quote</v>
      </c>
      <c r="W46" s="209"/>
      <c r="X46" s="87"/>
      <c r="Y46" s="93"/>
      <c r="Z46" s="63" t="str">
        <f t="shared" si="10"/>
        <v/>
      </c>
      <c r="AA46" s="92"/>
      <c r="AB46" s="92"/>
      <c r="AC46" s="77" t="str">
        <f t="shared" si="11"/>
        <v>-</v>
      </c>
      <c r="AD46" s="77" t="str">
        <f t="shared" si="12"/>
        <v>-</v>
      </c>
      <c r="AE46" s="77" t="str">
        <f t="shared" si="13"/>
        <v>-</v>
      </c>
      <c r="AF46" s="78" t="str">
        <f t="shared" si="1"/>
        <v/>
      </c>
      <c r="AG46" s="74" t="str">
        <f t="shared" si="14"/>
        <v/>
      </c>
      <c r="AH46" s="72" t="str">
        <f t="shared" si="2"/>
        <v/>
      </c>
      <c r="AI46" s="71" t="str">
        <f t="shared" si="15"/>
        <v/>
      </c>
      <c r="AJ46" s="74" t="str">
        <f t="shared" si="16"/>
        <v/>
      </c>
      <c r="AK46" s="72" t="str">
        <f t="shared" si="3"/>
        <v/>
      </c>
      <c r="AL46" s="71" t="str">
        <f t="shared" si="17"/>
        <v/>
      </c>
      <c r="AM46" s="74" t="str">
        <f t="shared" si="18"/>
        <v/>
      </c>
      <c r="AO46" s="99">
        <f t="shared" si="25"/>
        <v>0</v>
      </c>
      <c r="AP46" s="100" t="str" cm="1">
        <f t="array" ref="AP46">IFERROR(INDEX(_xlfn.UNIQUE(_xlfn._xlws.FILTER($AG$22:$AG$49,($AG$22:$AG$49&lt;&gt;"")*($AG$22:$AG$49&lt;&gt;"-"))),ROWS($AP$22:AP46)),"")</f>
        <v/>
      </c>
    </row>
    <row r="47" spans="2:42" s="1" customFormat="1" ht="61.5" customHeight="1" outlineLevel="1" x14ac:dyDescent="0.25">
      <c r="B47" s="38">
        <f t="shared" si="19"/>
        <v>26</v>
      </c>
      <c r="C47" s="210"/>
      <c r="D47" s="210"/>
      <c r="E47" s="210"/>
      <c r="F47" s="210"/>
      <c r="G47" s="39"/>
      <c r="H47" s="40"/>
      <c r="I47" s="41"/>
      <c r="J47" s="42" t="str">
        <f t="shared" si="5"/>
        <v/>
      </c>
      <c r="K47" s="90"/>
      <c r="L47" s="206" t="str">
        <f t="shared" si="23"/>
        <v>No Quote</v>
      </c>
      <c r="M47" s="207"/>
      <c r="N47" s="41"/>
      <c r="O47" s="42" t="str">
        <f t="shared" si="6"/>
        <v/>
      </c>
      <c r="P47" s="89"/>
      <c r="Q47" s="206" t="str">
        <f t="shared" si="24"/>
        <v>No Quote</v>
      </c>
      <c r="R47" s="207"/>
      <c r="S47" s="41"/>
      <c r="T47" s="42" t="str">
        <f t="shared" si="8"/>
        <v/>
      </c>
      <c r="U47" s="89"/>
      <c r="V47" s="208" t="str">
        <f t="shared" si="22"/>
        <v>No Quote</v>
      </c>
      <c r="W47" s="209"/>
      <c r="X47" s="87"/>
      <c r="Y47" s="93"/>
      <c r="Z47" s="63" t="str">
        <f t="shared" si="10"/>
        <v/>
      </c>
      <c r="AA47" s="92"/>
      <c r="AB47" s="92"/>
      <c r="AC47" s="77" t="str">
        <f t="shared" si="11"/>
        <v>-</v>
      </c>
      <c r="AD47" s="77" t="str">
        <f t="shared" si="12"/>
        <v>-</v>
      </c>
      <c r="AE47" s="77" t="str">
        <f t="shared" si="13"/>
        <v>-</v>
      </c>
      <c r="AF47" s="78" t="str">
        <f t="shared" si="1"/>
        <v/>
      </c>
      <c r="AG47" s="74" t="str">
        <f t="shared" si="14"/>
        <v/>
      </c>
      <c r="AH47" s="72" t="str">
        <f t="shared" si="2"/>
        <v/>
      </c>
      <c r="AI47" s="71" t="str">
        <f t="shared" si="15"/>
        <v/>
      </c>
      <c r="AJ47" s="74" t="str">
        <f t="shared" si="16"/>
        <v/>
      </c>
      <c r="AK47" s="72" t="str">
        <f t="shared" si="3"/>
        <v/>
      </c>
      <c r="AL47" s="71" t="str">
        <f t="shared" si="17"/>
        <v/>
      </c>
      <c r="AM47" s="74" t="str">
        <f t="shared" si="18"/>
        <v/>
      </c>
      <c r="AO47" s="99">
        <f t="shared" si="25"/>
        <v>0</v>
      </c>
      <c r="AP47" s="100" t="str" cm="1">
        <f t="array" ref="AP47">IFERROR(INDEX(_xlfn.UNIQUE(_xlfn._xlws.FILTER($AG$22:$AG$49,($AG$22:$AG$49&lt;&gt;"")*($AG$22:$AG$49&lt;&gt;"-"))),ROWS($AP$22:AP47)),"")</f>
        <v/>
      </c>
    </row>
    <row r="48" spans="2:42" s="1" customFormat="1" ht="61.5" customHeight="1" outlineLevel="1" x14ac:dyDescent="0.25">
      <c r="B48" s="38">
        <f t="shared" si="19"/>
        <v>27</v>
      </c>
      <c r="C48" s="210"/>
      <c r="D48" s="210"/>
      <c r="E48" s="210"/>
      <c r="F48" s="210"/>
      <c r="G48" s="39"/>
      <c r="H48" s="40"/>
      <c r="I48" s="41"/>
      <c r="J48" s="42" t="str">
        <f t="shared" si="5"/>
        <v/>
      </c>
      <c r="K48" s="90"/>
      <c r="L48" s="206" t="str">
        <f t="shared" si="23"/>
        <v>No Quote</v>
      </c>
      <c r="M48" s="207"/>
      <c r="N48" s="41"/>
      <c r="O48" s="42" t="str">
        <f t="shared" si="6"/>
        <v/>
      </c>
      <c r="P48" s="89"/>
      <c r="Q48" s="206" t="str">
        <f t="shared" si="24"/>
        <v>No Quote</v>
      </c>
      <c r="R48" s="207"/>
      <c r="S48" s="41"/>
      <c r="T48" s="42" t="str">
        <f t="shared" si="8"/>
        <v/>
      </c>
      <c r="U48" s="89"/>
      <c r="V48" s="208" t="str">
        <f t="shared" si="22"/>
        <v>No Quote</v>
      </c>
      <c r="W48" s="209"/>
      <c r="X48" s="87"/>
      <c r="Y48" s="93"/>
      <c r="Z48" s="63" t="str">
        <f t="shared" si="10"/>
        <v/>
      </c>
      <c r="AA48" s="92"/>
      <c r="AB48" s="92"/>
      <c r="AC48" s="77" t="str">
        <f t="shared" si="11"/>
        <v>-</v>
      </c>
      <c r="AD48" s="77" t="str">
        <f t="shared" si="12"/>
        <v>-</v>
      </c>
      <c r="AE48" s="77" t="str">
        <f t="shared" si="13"/>
        <v>-</v>
      </c>
      <c r="AF48" s="78" t="str">
        <f t="shared" si="1"/>
        <v/>
      </c>
      <c r="AG48" s="74" t="str">
        <f t="shared" si="14"/>
        <v/>
      </c>
      <c r="AH48" s="72" t="str">
        <f t="shared" si="2"/>
        <v/>
      </c>
      <c r="AI48" s="71" t="str">
        <f t="shared" si="15"/>
        <v/>
      </c>
      <c r="AJ48" s="74" t="str">
        <f t="shared" si="16"/>
        <v/>
      </c>
      <c r="AK48" s="72" t="str">
        <f t="shared" si="3"/>
        <v/>
      </c>
      <c r="AL48" s="71" t="str">
        <f t="shared" si="17"/>
        <v/>
      </c>
      <c r="AM48" s="74" t="str">
        <f t="shared" si="18"/>
        <v/>
      </c>
      <c r="AO48" s="99">
        <f t="shared" si="25"/>
        <v>0</v>
      </c>
      <c r="AP48" s="100" t="str" cm="1">
        <f t="array" ref="AP48">IFERROR(INDEX(_xlfn.UNIQUE(_xlfn._xlws.FILTER($AG$22:$AG$49,($AG$22:$AG$49&lt;&gt;"")*($AG$22:$AG$49&lt;&gt;"-"))),ROWS($AP$22:AP48)),"")</f>
        <v/>
      </c>
    </row>
    <row r="49" spans="2:42" s="1" customFormat="1" ht="61.5" customHeight="1" outlineLevel="1" x14ac:dyDescent="0.25">
      <c r="B49" s="38">
        <f t="shared" si="19"/>
        <v>28</v>
      </c>
      <c r="C49" s="210"/>
      <c r="D49" s="210"/>
      <c r="E49" s="210"/>
      <c r="F49" s="210"/>
      <c r="G49" s="39"/>
      <c r="H49" s="40"/>
      <c r="I49" s="41"/>
      <c r="J49" s="42" t="str">
        <f t="shared" si="5"/>
        <v/>
      </c>
      <c r="K49" s="90"/>
      <c r="L49" s="206" t="str">
        <f t="shared" si="23"/>
        <v>No Quote</v>
      </c>
      <c r="M49" s="207"/>
      <c r="N49" s="41"/>
      <c r="O49" s="42" t="str">
        <f t="shared" si="6"/>
        <v/>
      </c>
      <c r="P49" s="89"/>
      <c r="Q49" s="206" t="str">
        <f t="shared" si="24"/>
        <v>No Quote</v>
      </c>
      <c r="R49" s="207"/>
      <c r="S49" s="41"/>
      <c r="T49" s="42" t="str">
        <f t="shared" si="8"/>
        <v/>
      </c>
      <c r="U49" s="89"/>
      <c r="V49" s="208" t="str">
        <f t="shared" si="22"/>
        <v>No Quote</v>
      </c>
      <c r="W49" s="209"/>
      <c r="X49" s="87"/>
      <c r="Y49" s="93"/>
      <c r="Z49" s="63" t="str">
        <f t="shared" si="10"/>
        <v/>
      </c>
      <c r="AA49" s="92"/>
      <c r="AB49" s="92"/>
      <c r="AC49" s="77" t="str">
        <f t="shared" si="11"/>
        <v>-</v>
      </c>
      <c r="AD49" s="77" t="str">
        <f t="shared" si="12"/>
        <v>-</v>
      </c>
      <c r="AE49" s="77" t="str">
        <f t="shared" si="13"/>
        <v>-</v>
      </c>
      <c r="AF49" s="78" t="str">
        <f t="shared" si="1"/>
        <v/>
      </c>
      <c r="AG49" s="74" t="str">
        <f t="shared" si="14"/>
        <v/>
      </c>
      <c r="AH49" s="72" t="str">
        <f t="shared" si="2"/>
        <v/>
      </c>
      <c r="AI49" s="71" t="str">
        <f t="shared" si="15"/>
        <v/>
      </c>
      <c r="AJ49" s="74" t="str">
        <f t="shared" si="16"/>
        <v/>
      </c>
      <c r="AK49" s="72" t="str">
        <f t="shared" si="3"/>
        <v/>
      </c>
      <c r="AL49" s="71" t="str">
        <f t="shared" si="17"/>
        <v/>
      </c>
      <c r="AM49" s="74" t="str">
        <f t="shared" si="18"/>
        <v/>
      </c>
      <c r="AO49" s="99">
        <f t="shared" si="25"/>
        <v>0</v>
      </c>
      <c r="AP49" s="100" t="str" cm="1">
        <f t="array" ref="AP49">IFERROR(INDEX(_xlfn.UNIQUE(_xlfn._xlws.FILTER($AG$22:$AG$49,($AG$22:$AG$49&lt;&gt;"")*($AG$22:$AG$49&lt;&gt;"-"))),ROWS($AP$22:AP49)),"")</f>
        <v/>
      </c>
    </row>
    <row r="50" spans="2:42" s="44" customFormat="1" ht="35.1" customHeight="1" x14ac:dyDescent="0.25">
      <c r="B50" s="222" t="s">
        <v>17</v>
      </c>
      <c r="C50" s="223"/>
      <c r="D50" s="223"/>
      <c r="E50" s="223"/>
      <c r="F50" s="223"/>
      <c r="G50" s="226" t="s">
        <v>35</v>
      </c>
      <c r="H50" s="183"/>
      <c r="I50" s="211">
        <f t="shared" ref="I50" si="26">SUMIF(K21:K49,"&lt;&gt;x",J21:J49)</f>
        <v>0</v>
      </c>
      <c r="J50" s="212"/>
      <c r="K50" s="212"/>
      <c r="L50" s="212"/>
      <c r="M50" s="213"/>
      <c r="N50" s="211">
        <f t="shared" ref="N50" si="27">SUMIF(P21:P49,"&lt;&gt;x",O21:O49)</f>
        <v>0</v>
      </c>
      <c r="O50" s="212"/>
      <c r="P50" s="212"/>
      <c r="Q50" s="212"/>
      <c r="R50" s="213"/>
      <c r="S50" s="211">
        <f t="shared" ref="S50" si="28">SUMIF(U21:U49,"&lt;&gt;x",T21:T49)</f>
        <v>0</v>
      </c>
      <c r="T50" s="212"/>
      <c r="U50" s="212"/>
      <c r="V50" s="212"/>
      <c r="W50" s="214"/>
      <c r="AC50" s="110">
        <f>SUM(AC22:AC49)</f>
        <v>0</v>
      </c>
      <c r="AD50" s="110">
        <f>SUM(AD22:AD49)</f>
        <v>0</v>
      </c>
      <c r="AE50" s="110">
        <f>SUM(AE22:AE49)</f>
        <v>0</v>
      </c>
      <c r="AF50" s="78" t="str">
        <f t="shared" si="1"/>
        <v/>
      </c>
      <c r="AG50" s="74" t="str">
        <f t="shared" ref="AG50" si="29">IF(AF50=AC50,$AC$19,IF(AF50=AD50,$AD$19,IF(AF50=AE50,$AE$19,"")))</f>
        <v/>
      </c>
      <c r="AH50" s="72">
        <f t="shared" si="2"/>
        <v>0</v>
      </c>
      <c r="AI50" s="71" t="str">
        <f t="shared" si="15"/>
        <v/>
      </c>
      <c r="AJ50" s="74">
        <f t="shared" ref="AJ50" si="30">IFERROR(IF(AH50="","",IF(AH50=AC50,$AC$19,IF(AH50=AD50,$AD$19,IF(AH50=AE50,$AE$19,"")))),"")</f>
        <v>0</v>
      </c>
      <c r="AK50" s="72">
        <f t="shared" si="3"/>
        <v>0</v>
      </c>
      <c r="AL50" s="71" t="str">
        <f t="shared" ref="AL50" si="31">IFERROR(IF((AK50-$AF50)/$AF50&lt;0%,"",(AK50-$AF50)/$AF50),"")</f>
        <v/>
      </c>
      <c r="AM50" s="74">
        <f t="shared" ref="AM50" si="32">IFERROR(IF(AK50="","",IF(AK50=AC50,$AC$19,IF(AK50=AD50,$AD$19,IF(AK50=AE50,$AE$19,"")))),"")</f>
        <v>0</v>
      </c>
      <c r="AP50" s="101"/>
    </row>
    <row r="51" spans="2:42" s="44" customFormat="1" ht="35.1" customHeight="1" outlineLevel="1" x14ac:dyDescent="0.25">
      <c r="B51" s="224"/>
      <c r="C51" s="225"/>
      <c r="D51" s="225"/>
      <c r="E51" s="225"/>
      <c r="F51" s="225"/>
      <c r="G51" s="226" t="s">
        <v>36</v>
      </c>
      <c r="H51" s="183"/>
      <c r="I51" s="211">
        <f>I50+(I50*11%)</f>
        <v>0</v>
      </c>
      <c r="J51" s="212"/>
      <c r="K51" s="212"/>
      <c r="L51" s="212"/>
      <c r="M51" s="213"/>
      <c r="N51" s="211">
        <f>N50+(N50*11%)</f>
        <v>0</v>
      </c>
      <c r="O51" s="212"/>
      <c r="P51" s="212"/>
      <c r="Q51" s="212"/>
      <c r="R51" s="213"/>
      <c r="S51" s="211">
        <f>S50+(S50*11%)</f>
        <v>0</v>
      </c>
      <c r="T51" s="212"/>
      <c r="U51" s="212"/>
      <c r="V51" s="212"/>
      <c r="W51" s="214"/>
      <c r="AC51" s="11" t="str">
        <f>IF(COUNTIF(AC22:AC49,"-")&gt;0,"No Full Item","Full Item")</f>
        <v>No Full Item</v>
      </c>
      <c r="AD51" s="11" t="str">
        <f>IF(COUNTIF(AD22:AD49,"-")&gt;0,"No Full Item","Full Item")</f>
        <v>No Full Item</v>
      </c>
      <c r="AE51" s="11" t="str">
        <f>IF(COUNTIF(AE22:AE49,"-")&gt;0,"No Full Item","Full Item")</f>
        <v>No Full Item</v>
      </c>
      <c r="AF51" s="69"/>
      <c r="AG51" s="75"/>
      <c r="AI51" s="68"/>
      <c r="AJ51" s="75"/>
      <c r="AM51" s="75"/>
      <c r="AP51" s="101"/>
    </row>
    <row r="52" spans="2:42" s="44" customFormat="1" ht="35.1" customHeight="1" x14ac:dyDescent="0.25">
      <c r="B52" s="224"/>
      <c r="C52" s="225"/>
      <c r="D52" s="225"/>
      <c r="E52" s="225"/>
      <c r="F52" s="225"/>
      <c r="G52" s="226" t="s">
        <v>37</v>
      </c>
      <c r="H52" s="183"/>
      <c r="I52" s="211"/>
      <c r="J52" s="212"/>
      <c r="K52" s="212"/>
      <c r="L52" s="212"/>
      <c r="M52" s="213"/>
      <c r="N52" s="211"/>
      <c r="O52" s="212"/>
      <c r="P52" s="212"/>
      <c r="Q52" s="212"/>
      <c r="R52" s="213"/>
      <c r="S52" s="211"/>
      <c r="T52" s="212"/>
      <c r="U52" s="212"/>
      <c r="V52" s="212"/>
      <c r="W52" s="214"/>
      <c r="AF52" s="69"/>
      <c r="AG52" s="75"/>
      <c r="AI52" s="68"/>
      <c r="AJ52" s="75"/>
      <c r="AM52" s="75"/>
      <c r="AP52" s="101"/>
    </row>
    <row r="53" spans="2:42" s="1" customFormat="1" ht="80.25" customHeight="1" x14ac:dyDescent="0.25">
      <c r="B53" s="335" t="s">
        <v>38</v>
      </c>
      <c r="C53" s="336"/>
      <c r="D53" s="336"/>
      <c r="E53" s="336"/>
      <c r="F53" s="336"/>
      <c r="G53" s="336"/>
      <c r="H53" s="337"/>
      <c r="I53" s="338"/>
      <c r="J53" s="297"/>
      <c r="K53" s="297"/>
      <c r="L53" s="297"/>
      <c r="M53" s="298"/>
      <c r="N53" s="296"/>
      <c r="O53" s="297"/>
      <c r="P53" s="297"/>
      <c r="Q53" s="297"/>
      <c r="R53" s="298"/>
      <c r="S53" s="339"/>
      <c r="T53" s="297"/>
      <c r="U53" s="297"/>
      <c r="V53" s="297"/>
      <c r="W53" s="340"/>
      <c r="AF53" s="79"/>
      <c r="AG53" s="70"/>
      <c r="AI53" s="65"/>
      <c r="AJ53" s="70"/>
      <c r="AM53" s="70"/>
      <c r="AP53" s="3"/>
    </row>
    <row r="54" spans="2:42" s="1" customFormat="1" ht="120" customHeight="1" x14ac:dyDescent="0.25">
      <c r="B54" s="228"/>
      <c r="C54" s="229"/>
      <c r="D54" s="229"/>
      <c r="E54" s="229"/>
      <c r="F54" s="229"/>
      <c r="G54" s="229"/>
      <c r="H54" s="229"/>
      <c r="I54" s="230" t="s">
        <v>39</v>
      </c>
      <c r="J54" s="231"/>
      <c r="K54" s="231"/>
      <c r="L54" s="231"/>
      <c r="M54" s="232"/>
      <c r="N54" s="230" t="s">
        <v>39</v>
      </c>
      <c r="O54" s="231"/>
      <c r="P54" s="231"/>
      <c r="Q54" s="231"/>
      <c r="R54" s="232"/>
      <c r="S54" s="246" t="s">
        <v>39</v>
      </c>
      <c r="T54" s="247"/>
      <c r="U54" s="247"/>
      <c r="V54" s="247"/>
      <c r="W54" s="248"/>
      <c r="AF54" s="79"/>
      <c r="AG54" s="70"/>
      <c r="AI54" s="65"/>
      <c r="AJ54" s="70"/>
      <c r="AM54" s="70"/>
      <c r="AP54" s="3"/>
    </row>
    <row r="55" spans="2:42" s="47" customFormat="1" ht="15" customHeight="1" x14ac:dyDescent="0.25">
      <c r="B55" s="249" t="s">
        <v>40</v>
      </c>
      <c r="C55" s="250"/>
      <c r="D55" s="250"/>
      <c r="E55" s="250"/>
      <c r="F55" s="250"/>
      <c r="G55" s="250"/>
      <c r="H55" s="251"/>
      <c r="I55" s="252" t="s">
        <v>41</v>
      </c>
      <c r="J55" s="253"/>
      <c r="K55" s="253"/>
      <c r="L55" s="253"/>
      <c r="M55" s="253"/>
      <c r="N55" s="253"/>
      <c r="O55" s="253"/>
      <c r="P55" s="288"/>
      <c r="Q55" s="61" t="s">
        <v>51</v>
      </c>
      <c r="R55" s="45"/>
      <c r="S55" s="61" t="s">
        <v>42</v>
      </c>
      <c r="T55" s="45"/>
      <c r="U55" s="45"/>
      <c r="V55" s="45"/>
      <c r="W55" s="46"/>
      <c r="AF55" s="81"/>
      <c r="AG55" s="70"/>
      <c r="AH55" s="1"/>
      <c r="AI55" s="65"/>
      <c r="AJ55" s="70"/>
      <c r="AM55" s="70"/>
      <c r="AP55" s="102"/>
    </row>
    <row r="56" spans="2:42" s="1" customFormat="1" ht="90" customHeight="1" x14ac:dyDescent="0.25">
      <c r="B56" s="258"/>
      <c r="C56" s="259"/>
      <c r="D56" s="259"/>
      <c r="E56" s="259"/>
      <c r="F56" s="259"/>
      <c r="G56" s="259"/>
      <c r="H56" s="260"/>
      <c r="I56" s="179"/>
      <c r="J56" s="180"/>
      <c r="K56" s="180"/>
      <c r="L56" s="180"/>
      <c r="M56" s="180"/>
      <c r="N56" s="180"/>
      <c r="O56" s="180"/>
      <c r="P56" s="289"/>
      <c r="Q56" s="266"/>
      <c r="R56" s="269"/>
      <c r="S56" s="266"/>
      <c r="T56" s="267"/>
      <c r="U56" s="267"/>
      <c r="V56" s="267"/>
      <c r="W56" s="268"/>
      <c r="AF56" s="79"/>
      <c r="AG56" s="70"/>
      <c r="AI56" s="65"/>
      <c r="AJ56" s="70"/>
      <c r="AM56" s="70"/>
      <c r="AP56" s="3"/>
    </row>
    <row r="57" spans="2:42" s="1" customFormat="1" ht="13.5" x14ac:dyDescent="0.25">
      <c r="B57" s="233" t="s">
        <v>47</v>
      </c>
      <c r="C57" s="234"/>
      <c r="D57" s="234"/>
      <c r="E57" s="234"/>
      <c r="F57" s="234"/>
      <c r="G57" s="234"/>
      <c r="H57" s="235"/>
      <c r="I57" s="333" t="s">
        <v>43</v>
      </c>
      <c r="J57" s="307"/>
      <c r="K57" s="307"/>
      <c r="L57" s="307" t="s">
        <v>44</v>
      </c>
      <c r="M57" s="307"/>
      <c r="N57" s="237" t="s">
        <v>45</v>
      </c>
      <c r="O57" s="237"/>
      <c r="P57" s="287"/>
      <c r="Q57" s="333" t="s">
        <v>48</v>
      </c>
      <c r="R57" s="341"/>
      <c r="S57" s="236" t="str">
        <f>IF(OR($S$50&lt;200000000,$N$50&lt;200000000,$I$50&lt;200000000),"Mochammad Rusfandy","Mochammad Rusfandy")</f>
        <v>Mochammad Rusfandy</v>
      </c>
      <c r="T57" s="237"/>
      <c r="U57" s="237"/>
      <c r="V57" s="237" t="str">
        <f>IF(OR(I50="",N50="",S50=""),"",IF(OR($S$50&gt;200000000,$N$50&gt;200000000,$I$50&gt;200000000),"Heri Gunawan",""))</f>
        <v/>
      </c>
      <c r="W57" s="254"/>
      <c r="AF57" s="79"/>
      <c r="AG57" s="70"/>
      <c r="AI57" s="65"/>
      <c r="AJ57" s="70"/>
      <c r="AM57" s="70"/>
      <c r="AP57" s="3"/>
    </row>
    <row r="58" spans="2:42" s="1" customFormat="1" ht="13.5" x14ac:dyDescent="0.25">
      <c r="B58" s="48" t="s">
        <v>46</v>
      </c>
      <c r="C58" s="49"/>
      <c r="D58" s="255">
        <f ca="1">T8</f>
        <v>46314</v>
      </c>
      <c r="E58" s="255"/>
      <c r="F58" s="255"/>
      <c r="G58" s="255"/>
      <c r="H58" s="256"/>
      <c r="I58" s="334" t="str">
        <f>IF(I57="","","Date:")</f>
        <v>Date:</v>
      </c>
      <c r="J58" s="325"/>
      <c r="K58" s="325"/>
      <c r="L58" s="325" t="str">
        <f>IF(L57="","","Date:")</f>
        <v>Date:</v>
      </c>
      <c r="M58" s="325"/>
      <c r="N58" s="242" t="str">
        <f>IF(N57="","","Date:")</f>
        <v>Date:</v>
      </c>
      <c r="O58" s="242"/>
      <c r="P58" s="286"/>
      <c r="Q58" s="334" t="s">
        <v>49</v>
      </c>
      <c r="R58" s="342"/>
      <c r="S58" s="241" t="str">
        <f>IF(S57="","","Date:")</f>
        <v>Date:</v>
      </c>
      <c r="T58" s="242"/>
      <c r="U58" s="242"/>
      <c r="V58" s="242" t="str">
        <f>IF(V57="","","Date:")</f>
        <v/>
      </c>
      <c r="W58" s="243"/>
      <c r="AF58" s="79"/>
      <c r="AG58" s="70"/>
      <c r="AI58" s="65"/>
      <c r="AJ58" s="70"/>
      <c r="AM58" s="70"/>
      <c r="AP58" s="3"/>
    </row>
    <row r="59" spans="2:42" s="1" customFormat="1" ht="15.75" customHeight="1" thickBot="1" x14ac:dyDescent="0.3">
      <c r="B59" s="283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5"/>
      <c r="AF59" s="79"/>
      <c r="AG59" s="70"/>
      <c r="AI59" s="65"/>
      <c r="AJ59" s="70"/>
      <c r="AM59" s="70"/>
      <c r="AP59" s="3"/>
    </row>
    <row r="60" spans="2:42" ht="17.25" thickTop="1" x14ac:dyDescent="0.25">
      <c r="L60" s="55"/>
      <c r="M60" s="55"/>
    </row>
    <row r="61" spans="2:42" hidden="1" x14ac:dyDescent="0.25">
      <c r="L61" s="55"/>
      <c r="M61" s="55"/>
    </row>
    <row r="62" spans="2:42" hidden="1" x14ac:dyDescent="0.25">
      <c r="J62" s="265"/>
      <c r="K62" s="244"/>
      <c r="L62" s="244"/>
      <c r="M62" s="244"/>
    </row>
    <row r="63" spans="2:42" hidden="1" x14ac:dyDescent="0.25">
      <c r="J63" s="265"/>
      <c r="K63" s="244"/>
      <c r="L63" s="244"/>
      <c r="M63" s="244"/>
    </row>
    <row r="64" spans="2:42" hidden="1" x14ac:dyDescent="0.25">
      <c r="J64" s="265"/>
      <c r="K64" s="244"/>
      <c r="L64" s="244"/>
      <c r="M64" s="244"/>
    </row>
    <row r="65" spans="4:13" hidden="1" x14ac:dyDescent="0.25">
      <c r="J65" s="265"/>
      <c r="K65" s="244"/>
      <c r="L65" s="244"/>
      <c r="M65" s="244"/>
    </row>
    <row r="66" spans="4:13" hidden="1" x14ac:dyDescent="0.25">
      <c r="J66" s="265"/>
      <c r="K66" s="244"/>
      <c r="L66" s="244"/>
      <c r="M66" s="244"/>
    </row>
    <row r="67" spans="4:13" hidden="1" x14ac:dyDescent="0.25">
      <c r="J67" s="244"/>
      <c r="K67" s="244"/>
      <c r="L67" s="244"/>
      <c r="M67" s="244"/>
    </row>
    <row r="68" spans="4:13" hidden="1" x14ac:dyDescent="0.25">
      <c r="L68" s="55"/>
      <c r="M68" s="55"/>
    </row>
    <row r="69" spans="4:13" hidden="1" x14ac:dyDescent="0.25">
      <c r="L69" s="239"/>
      <c r="M69" s="239"/>
    </row>
    <row r="72" spans="4:13" hidden="1" x14ac:dyDescent="0.25">
      <c r="D72" s="56"/>
      <c r="E72" s="56"/>
      <c r="F72" s="56"/>
      <c r="G72" s="56"/>
      <c r="H72" s="56"/>
      <c r="I72" s="56"/>
    </row>
    <row r="73" spans="4:13" hidden="1" x14ac:dyDescent="0.25">
      <c r="D73" s="56"/>
      <c r="E73" s="56"/>
      <c r="F73" s="56"/>
      <c r="G73" s="56"/>
      <c r="H73" s="56"/>
      <c r="I73" s="56"/>
    </row>
    <row r="74" spans="4:13" hidden="1" x14ac:dyDescent="0.25">
      <c r="D74" s="56"/>
      <c r="E74" s="56"/>
      <c r="F74" s="56"/>
      <c r="G74" s="56"/>
      <c r="H74" s="56"/>
      <c r="I74" s="56"/>
    </row>
    <row r="75" spans="4:13" hidden="1" x14ac:dyDescent="0.25">
      <c r="D75" s="56"/>
      <c r="E75" s="56"/>
      <c r="F75" s="56"/>
      <c r="G75" s="56"/>
      <c r="H75" s="56"/>
      <c r="I75" s="56"/>
    </row>
    <row r="76" spans="4:13" hidden="1" x14ac:dyDescent="0.25">
      <c r="D76" s="56"/>
      <c r="E76" s="56"/>
      <c r="F76" s="57"/>
      <c r="G76" s="56"/>
      <c r="H76" s="56"/>
      <c r="I76" s="56"/>
    </row>
    <row r="77" spans="4:13" ht="15" hidden="1" customHeight="1" x14ac:dyDescent="0.25">
      <c r="D77" s="56"/>
      <c r="E77" s="56"/>
      <c r="F77" s="240"/>
      <c r="G77" s="240"/>
      <c r="H77" s="240"/>
      <c r="I77" s="56"/>
    </row>
    <row r="78" spans="4:13" ht="15" hidden="1" customHeight="1" x14ac:dyDescent="0.25">
      <c r="D78" s="56"/>
      <c r="E78" s="56"/>
      <c r="F78" s="240"/>
      <c r="G78" s="240"/>
      <c r="H78" s="240"/>
      <c r="I78" s="58"/>
      <c r="J78" s="59"/>
    </row>
    <row r="79" spans="4:13" hidden="1" x14ac:dyDescent="0.25">
      <c r="D79" s="56"/>
      <c r="E79" s="56"/>
      <c r="F79" s="56"/>
      <c r="G79" s="56"/>
      <c r="H79" s="56"/>
      <c r="I79" s="56"/>
    </row>
    <row r="80" spans="4:13" hidden="1" x14ac:dyDescent="0.25">
      <c r="D80" s="56"/>
      <c r="E80" s="56"/>
      <c r="F80" s="56"/>
      <c r="G80" s="56"/>
      <c r="H80" s="56"/>
      <c r="I80" s="56"/>
    </row>
    <row r="81" spans="4:9" hidden="1" x14ac:dyDescent="0.25">
      <c r="D81" s="56"/>
      <c r="E81" s="56"/>
      <c r="F81" s="56"/>
      <c r="G81" s="56"/>
      <c r="H81" s="56"/>
      <c r="I81" s="60"/>
    </row>
    <row r="82" spans="4:9" hidden="1" x14ac:dyDescent="0.25">
      <c r="D82" s="56"/>
      <c r="E82" s="56"/>
      <c r="F82" s="56"/>
      <c r="G82" s="56"/>
      <c r="H82" s="56"/>
      <c r="I82" s="56"/>
    </row>
    <row r="83" spans="4:9" x14ac:dyDescent="0.25"/>
    <row r="84" spans="4:9" x14ac:dyDescent="0.25"/>
    <row r="85" spans="4:9" x14ac:dyDescent="0.25"/>
  </sheetData>
  <mergeCells count="232">
    <mergeCell ref="F7:Q7"/>
    <mergeCell ref="F8:Q8"/>
    <mergeCell ref="F9:Q9"/>
    <mergeCell ref="L58:M58"/>
    <mergeCell ref="N57:P57"/>
    <mergeCell ref="N58:P58"/>
    <mergeCell ref="I56:P56"/>
    <mergeCell ref="Q56:R56"/>
    <mergeCell ref="S56:W56"/>
    <mergeCell ref="S12:W13"/>
    <mergeCell ref="S14:W14"/>
    <mergeCell ref="S15:W15"/>
    <mergeCell ref="G15:H15"/>
    <mergeCell ref="I15:M15"/>
    <mergeCell ref="N15:R15"/>
    <mergeCell ref="B12:F12"/>
    <mergeCell ref="G12:H13"/>
    <mergeCell ref="I12:M13"/>
    <mergeCell ref="N12:R13"/>
    <mergeCell ref="B13:F15"/>
    <mergeCell ref="G14:H14"/>
    <mergeCell ref="I14:M14"/>
    <mergeCell ref="N14:R14"/>
    <mergeCell ref="S17:T17"/>
    <mergeCell ref="B59:W59"/>
    <mergeCell ref="I55:P55"/>
    <mergeCell ref="I57:K57"/>
    <mergeCell ref="I58:K58"/>
    <mergeCell ref="AO20:AP20"/>
    <mergeCell ref="AO21:AP21"/>
    <mergeCell ref="B4:F6"/>
    <mergeCell ref="G4:U6"/>
    <mergeCell ref="B7:D7"/>
    <mergeCell ref="T7:W7"/>
    <mergeCell ref="B8:D8"/>
    <mergeCell ref="T8:W8"/>
    <mergeCell ref="N10:R10"/>
    <mergeCell ref="S10:W10"/>
    <mergeCell ref="B11:F11"/>
    <mergeCell ref="J11:M11"/>
    <mergeCell ref="O11:R11"/>
    <mergeCell ref="T11:W11"/>
    <mergeCell ref="B9:D9"/>
    <mergeCell ref="B10:F10"/>
    <mergeCell ref="G10:H11"/>
    <mergeCell ref="I10:M10"/>
    <mergeCell ref="U17:W17"/>
    <mergeCell ref="B18:F19"/>
    <mergeCell ref="G16:H16"/>
    <mergeCell ref="I16:M16"/>
    <mergeCell ref="N16:R16"/>
    <mergeCell ref="S16:W16"/>
    <mergeCell ref="G17:H17"/>
    <mergeCell ref="I17:J17"/>
    <mergeCell ref="K17:M17"/>
    <mergeCell ref="N17:O17"/>
    <mergeCell ref="P17:R17"/>
    <mergeCell ref="B17:E17"/>
    <mergeCell ref="G20:H20"/>
    <mergeCell ref="I20:M20"/>
    <mergeCell ref="N20:R20"/>
    <mergeCell ref="S20:W20"/>
    <mergeCell ref="C21:F21"/>
    <mergeCell ref="L21:M21"/>
    <mergeCell ref="Q21:R21"/>
    <mergeCell ref="V21:W21"/>
    <mergeCell ref="G18:H18"/>
    <mergeCell ref="I18:M18"/>
    <mergeCell ref="N18:R18"/>
    <mergeCell ref="S18:W18"/>
    <mergeCell ref="AC19:AC21"/>
    <mergeCell ref="AD19:AD21"/>
    <mergeCell ref="AE19:AE21"/>
    <mergeCell ref="C23:F23"/>
    <mergeCell ref="L22:M22"/>
    <mergeCell ref="L23:M23"/>
    <mergeCell ref="Q22:R22"/>
    <mergeCell ref="Q23:R23"/>
    <mergeCell ref="V22:W22"/>
    <mergeCell ref="V23:W23"/>
    <mergeCell ref="AH21:AJ21"/>
    <mergeCell ref="AK21:AM21"/>
    <mergeCell ref="C22:F22"/>
    <mergeCell ref="C26:F26"/>
    <mergeCell ref="L26:M26"/>
    <mergeCell ref="Q26:R26"/>
    <mergeCell ref="V26:W26"/>
    <mergeCell ref="C27:F27"/>
    <mergeCell ref="L27:M27"/>
    <mergeCell ref="Q27:R27"/>
    <mergeCell ref="V27:W27"/>
    <mergeCell ref="C24:F24"/>
    <mergeCell ref="L24:M24"/>
    <mergeCell ref="Q24:R24"/>
    <mergeCell ref="V24:W24"/>
    <mergeCell ref="C25:F25"/>
    <mergeCell ref="L25:M25"/>
    <mergeCell ref="Q25:R25"/>
    <mergeCell ref="V25:W25"/>
    <mergeCell ref="AF18:AF21"/>
    <mergeCell ref="G19:H19"/>
    <mergeCell ref="I19:M19"/>
    <mergeCell ref="N19:R19"/>
    <mergeCell ref="S19:W19"/>
    <mergeCell ref="C30:F30"/>
    <mergeCell ref="L30:M30"/>
    <mergeCell ref="Q30:R30"/>
    <mergeCell ref="V30:W30"/>
    <mergeCell ref="C31:F31"/>
    <mergeCell ref="L31:M31"/>
    <mergeCell ref="Q31:R31"/>
    <mergeCell ref="V31:W31"/>
    <mergeCell ref="C28:F28"/>
    <mergeCell ref="L28:M28"/>
    <mergeCell ref="Q28:R28"/>
    <mergeCell ref="V28:W28"/>
    <mergeCell ref="C29:F29"/>
    <mergeCell ref="L29:M29"/>
    <mergeCell ref="Q29:R29"/>
    <mergeCell ref="V29:W29"/>
    <mergeCell ref="C34:F34"/>
    <mergeCell ref="L34:M34"/>
    <mergeCell ref="Q34:R34"/>
    <mergeCell ref="V34:W34"/>
    <mergeCell ref="C35:F35"/>
    <mergeCell ref="L35:M35"/>
    <mergeCell ref="Q35:R35"/>
    <mergeCell ref="V35:W35"/>
    <mergeCell ref="C32:F32"/>
    <mergeCell ref="L32:M32"/>
    <mergeCell ref="Q32:R32"/>
    <mergeCell ref="V32:W32"/>
    <mergeCell ref="C33:F33"/>
    <mergeCell ref="L33:M33"/>
    <mergeCell ref="Q33:R33"/>
    <mergeCell ref="V33:W33"/>
    <mergeCell ref="C38:F38"/>
    <mergeCell ref="L38:M38"/>
    <mergeCell ref="Q38:R38"/>
    <mergeCell ref="V38:W38"/>
    <mergeCell ref="C39:F39"/>
    <mergeCell ref="L39:M39"/>
    <mergeCell ref="Q39:R39"/>
    <mergeCell ref="V39:W39"/>
    <mergeCell ref="C36:F36"/>
    <mergeCell ref="L36:M36"/>
    <mergeCell ref="Q36:R36"/>
    <mergeCell ref="V36:W36"/>
    <mergeCell ref="C37:F37"/>
    <mergeCell ref="L37:M37"/>
    <mergeCell ref="Q37:R37"/>
    <mergeCell ref="V37:W37"/>
    <mergeCell ref="C42:F42"/>
    <mergeCell ref="L42:M42"/>
    <mergeCell ref="Q42:R42"/>
    <mergeCell ref="V42:W42"/>
    <mergeCell ref="C43:F43"/>
    <mergeCell ref="L43:M43"/>
    <mergeCell ref="Q43:R43"/>
    <mergeCell ref="V43:W43"/>
    <mergeCell ref="C40:F40"/>
    <mergeCell ref="L40:M40"/>
    <mergeCell ref="Q40:R40"/>
    <mergeCell ref="V40:W40"/>
    <mergeCell ref="C41:F41"/>
    <mergeCell ref="L41:M41"/>
    <mergeCell ref="Q41:R41"/>
    <mergeCell ref="V41:W41"/>
    <mergeCell ref="C46:F46"/>
    <mergeCell ref="L46:M46"/>
    <mergeCell ref="Q46:R46"/>
    <mergeCell ref="V46:W46"/>
    <mergeCell ref="C47:F47"/>
    <mergeCell ref="L47:M47"/>
    <mergeCell ref="Q47:R47"/>
    <mergeCell ref="V47:W47"/>
    <mergeCell ref="C44:F44"/>
    <mergeCell ref="L44:M44"/>
    <mergeCell ref="Q44:R44"/>
    <mergeCell ref="V44:W44"/>
    <mergeCell ref="C45:F45"/>
    <mergeCell ref="L45:M45"/>
    <mergeCell ref="Q45:R45"/>
    <mergeCell ref="V45:W45"/>
    <mergeCell ref="C48:F48"/>
    <mergeCell ref="L48:M48"/>
    <mergeCell ref="Q48:R48"/>
    <mergeCell ref="V48:W48"/>
    <mergeCell ref="C49:F49"/>
    <mergeCell ref="L49:M49"/>
    <mergeCell ref="Q49:R49"/>
    <mergeCell ref="V49:W49"/>
    <mergeCell ref="S58:U58"/>
    <mergeCell ref="N50:R50"/>
    <mergeCell ref="S50:W50"/>
    <mergeCell ref="N51:R51"/>
    <mergeCell ref="S57:U57"/>
    <mergeCell ref="N53:R53"/>
    <mergeCell ref="S53:W53"/>
    <mergeCell ref="N54:R54"/>
    <mergeCell ref="S54:W54"/>
    <mergeCell ref="S51:W51"/>
    <mergeCell ref="N52:R52"/>
    <mergeCell ref="S52:W52"/>
    <mergeCell ref="Q57:R57"/>
    <mergeCell ref="Q58:R58"/>
    <mergeCell ref="V57:W57"/>
    <mergeCell ref="V58:W58"/>
    <mergeCell ref="L69:M69"/>
    <mergeCell ref="F77:H78"/>
    <mergeCell ref="J62:M62"/>
    <mergeCell ref="J63:M63"/>
    <mergeCell ref="J64:M64"/>
    <mergeCell ref="J65:M65"/>
    <mergeCell ref="J66:M66"/>
    <mergeCell ref="J67:M67"/>
    <mergeCell ref="B50:F52"/>
    <mergeCell ref="G50:H50"/>
    <mergeCell ref="I50:M50"/>
    <mergeCell ref="G51:H51"/>
    <mergeCell ref="I51:M51"/>
    <mergeCell ref="B53:H53"/>
    <mergeCell ref="I53:M53"/>
    <mergeCell ref="B54:H54"/>
    <mergeCell ref="I54:M54"/>
    <mergeCell ref="G52:H52"/>
    <mergeCell ref="I52:M52"/>
    <mergeCell ref="B55:H55"/>
    <mergeCell ref="B56:H56"/>
    <mergeCell ref="B57:H57"/>
    <mergeCell ref="D58:H58"/>
    <mergeCell ref="L57:M57"/>
  </mergeCells>
  <conditionalFormatting sqref="I22:M49">
    <cfRule type="expression" dxfId="6" priority="4" stopIfTrue="1">
      <formula>$L22="No Quote"</formula>
    </cfRule>
  </conditionalFormatting>
  <conditionalFormatting sqref="N22:R49">
    <cfRule type="expression" dxfId="5" priority="3" stopIfTrue="1">
      <formula>$Q22="No Quote"</formula>
    </cfRule>
  </conditionalFormatting>
  <conditionalFormatting sqref="S22:W49">
    <cfRule type="expression" dxfId="4" priority="2" stopIfTrue="1">
      <formula>$V22="No Quote"</formula>
    </cfRule>
  </conditionalFormatting>
  <conditionalFormatting sqref="Z22:AA49">
    <cfRule type="expression" dxfId="3" priority="8" stopIfTrue="1">
      <formula>$Z22&gt;$AF22</formula>
    </cfRule>
  </conditionalFormatting>
  <conditionalFormatting sqref="AC22:AC49">
    <cfRule type="expression" dxfId="2" priority="165" stopIfTrue="1">
      <formula>$AC22=$AF22</formula>
    </cfRule>
  </conditionalFormatting>
  <conditionalFormatting sqref="AD22:AD49">
    <cfRule type="expression" dxfId="1" priority="5" stopIfTrue="1">
      <formula>$AD22=$AF22</formula>
    </cfRule>
  </conditionalFormatting>
  <conditionalFormatting sqref="AE22:AE49">
    <cfRule type="expression" dxfId="0" priority="6" stopIfTrue="1">
      <formula>$AE22=$AF22</formula>
    </cfRule>
  </conditionalFormatting>
  <dataValidations count="2">
    <dataValidation type="list" allowBlank="1" sqref="L57" xr:uid="{0C234A18-08B4-4252-95B9-242F67E42DCD}">
      <formula1>"Zulkifli Bastiandi, Teuku Syamsul Rizal, Ifit Prabowo"</formula1>
    </dataValidation>
    <dataValidation allowBlank="1" sqref="N57" xr:uid="{417848B9-4C5E-4A15-8B8C-8394596DB5C4}"/>
  </dataValidations>
  <printOptions horizontalCentered="1"/>
  <pageMargins left="0.15748031496062992" right="0" top="0.35433070866141736" bottom="0.19685039370078741" header="0.19685039370078741" footer="0.15748031496062992"/>
  <pageSetup paperSize="8" scale="82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6B79ED-603F-4DDF-B4B0-230A3D899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10V</vt:lpstr>
      <vt:lpstr>9V</vt:lpstr>
      <vt:lpstr>8V</vt:lpstr>
      <vt:lpstr>7V</vt:lpstr>
      <vt:lpstr>6V</vt:lpstr>
      <vt:lpstr>5V</vt:lpstr>
      <vt:lpstr>4V</vt:lpstr>
      <vt:lpstr>3V</vt:lpstr>
      <vt:lpstr>'10V'!Print_Area</vt:lpstr>
      <vt:lpstr>'3V'!Print_Area</vt:lpstr>
      <vt:lpstr>'4V'!Print_Area</vt:lpstr>
      <vt:lpstr>'5V'!Print_Area</vt:lpstr>
      <vt:lpstr>'6V'!Print_Area</vt:lpstr>
      <vt:lpstr>'7V'!Print_Area</vt:lpstr>
      <vt:lpstr>'8V'!Print_Area</vt:lpstr>
      <vt:lpstr>'9V'!Print_Area</vt:lpstr>
      <vt:lpstr>'3V'!Print_Titles</vt:lpstr>
      <vt:lpstr>'4V'!Print_Titles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R. Haposan Tampubolon</dc:creator>
  <cp:keywords/>
  <dc:description/>
  <cp:lastModifiedBy>R. Haposan Tampubolon</cp:lastModifiedBy>
  <cp:revision/>
  <cp:lastPrinted>2026-05-18T02:12:51Z</cp:lastPrinted>
  <dcterms:created xsi:type="dcterms:W3CDTF">2017-11-03T04:20:53Z</dcterms:created>
  <dcterms:modified xsi:type="dcterms:W3CDTF">2026-10-19T07:10:02Z</dcterms:modified>
  <cp:category/>
  <cp:contentStatus/>
</cp:coreProperties>
</file>