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updateLinks="always" codeName="ThisWorkbook" defaultThemeVersion="166925"/>
  <mc:AlternateContent xmlns:mc="http://schemas.openxmlformats.org/markup-compatibility/2006">
    <mc:Choice Requires="x15">
      <x15ac:absPath xmlns:x15ac="http://schemas.microsoft.com/office/spreadsheetml/2010/11/ac" url="https://alamtri-my.sharepoint.com/personal/rhaposan_alamtri_com/Documents/Web/EProcurement/bidder-list/"/>
    </mc:Choice>
  </mc:AlternateContent>
  <xr:revisionPtr revIDLastSave="1" documentId="13_ncr:1_{3AFC0DD6-BDA2-4D84-A77A-F849DFB03E09}" xr6:coauthVersionLast="47" xr6:coauthVersionMax="47" xr10:uidLastSave="{E57940D8-61D9-4462-B032-3C0BB7C4531B}"/>
  <bookViews>
    <workbookView xWindow="-120" yWindow="-120" windowWidth="20730" windowHeight="11040" xr2:uid="{48B38197-6F1E-47A4-82D6-F3D366FC3706}"/>
  </bookViews>
  <sheets>
    <sheet name="Email" sheetId="1" r:id="rId1"/>
  </sheets>
  <functionGroups builtInGroupCount="19"/>
  <externalReferences>
    <externalReference r:id="rId2"/>
  </externalReferences>
  <definedNames>
    <definedName name="_xleta.AND" hidden="1" xlm="1">#NAME?</definedName>
    <definedName name="_xleta.IF" hidden="1" xlm="1">#NAME?</definedName>
    <definedName name="_xleta.VLOOKUP" hidden="1" xlm="1">#NAME?</definedName>
    <definedName name="_xlpm.k" hidden="1" xlm="1">#NAME?</definedName>
    <definedName name="_xlpm.x" hidden="1" xlm="1">#NAME?</definedName>
    <definedName name="_xlnm.Print_Area" localSheetId="0">Email!$A$1:$K$12</definedName>
  </definedNames>
  <calcPr calcId="191028"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1" i="1" l="1"/>
  <c r="B5" i="1"/>
  <c r="C5" i="1" s="1"/>
  <c r="J2" i="1" a="1"/>
  <c r="J2" i="1" s="1"/>
  <c r="E2" i="1" a="1"/>
  <c r="E2" i="1" s="1"/>
  <c r="H8" i="1" a="1"/>
  <c r="H8" i="1" s="1"/>
  <c r="C8" i="1"/>
  <c r="H2" i="1"/>
  <c r="I2" i="1" s="1"/>
  <c r="G2" i="1"/>
  <c r="H5" i="1" a="1"/>
  <c r="H5" i="1" s="1"/>
  <c r="A11" i="1" l="1"/>
  <c r="H11" i="1" l="1"/>
  <c r="C11" i="1"/>
  <c r="D11" i="1" l="1" a="1"/>
  <c r="D11" i="1" s="1"/>
  <c r="D7" i="1" s="1"/>
  <c r="D8" i="1" s="1" a="1"/>
  <c r="D8" i="1" s="1"/>
  <c r="D5" i="1" l="1" a="1"/>
  <c r="D5" i="1" s="1"/>
  <c r="O5" i="1" s="1"/>
  <c r="F2" i="1" l="1" a="1"/>
  <c r="F2" i="1" s="1"/>
  <c r="A5"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<sst xmlns="http://schemas.openxmlformats.org/spreadsheetml/2006/main" count="32" uniqueCount="29">
  <si>
    <t>No PR
(PR Release)</t>
  </si>
  <si>
    <t>No PR
(PO Proc)</t>
  </si>
  <si>
    <t>No RFQ</t>
  </si>
  <si>
    <t>Revisi</t>
  </si>
  <si>
    <t>PIC Buyer</t>
  </si>
  <si>
    <t>ID</t>
  </si>
  <si>
    <t>Attach
TC</t>
  </si>
  <si>
    <t>Z:\Folder Management\04. Report Management\Database Admin\PR\PR100010451\R0\CQS PR100010451 - Pengadaan Lime Stone Untuk Tahun 2025 - tahap 2.xlsm</t>
  </si>
  <si>
    <t>Subject</t>
  </si>
  <si>
    <t>Company</t>
  </si>
  <si>
    <t>Name</t>
  </si>
  <si>
    <t>To</t>
  </si>
  <si>
    <t>cc</t>
  </si>
  <si>
    <t/>
  </si>
  <si>
    <t>edy.efendi@adaro.com; miftahul.jannah@adaro.com; Sylvia.Trianasari@adaro.com; Fanti.Elvira@adaro.com; mochammad.rusfandy@adaro.com</t>
  </si>
  <si>
    <t>Attach
PR PO Release/PO Proc/CQS</t>
  </si>
  <si>
    <t>Attach
Bidderlist/Quote/CQS approval</t>
  </si>
  <si>
    <t>Price Actual
(Rp)</t>
  </si>
  <si>
    <t>User</t>
  </si>
  <si>
    <t>\</t>
  </si>
  <si>
    <t>Invited Vendors</t>
  </si>
  <si>
    <t>Previous
Submit Quotation</t>
  </si>
  <si>
    <t>Est. Price
(Rp)</t>
  </si>
  <si>
    <t>Closing date</t>
  </si>
  <si>
    <t>Previous
PO Winner</t>
  </si>
  <si>
    <t>D:\PR\PR100010691 - Sparepart Air Regulator dan Fire Alarm System\02. Bidderlist &amp; Quotation\R2\PR100010691 (Line 3)R2 - Sparepart Air Regulator dan Fire Alarm System.xlsm</t>
  </si>
  <si>
    <t>No PR
(Release PO/Proforma PO/Surat Penunjukan)</t>
  </si>
  <si>
    <t>&lt;span style=""color:#0066FF""&gt;&lt;b&gt;</t>
  </si>
  <si>
    <t>nurlaila@alamtri.com;
made.apriliani@alamtri.com;
arfanie.arbi@alamtri.com;
sandra.yolanda@alamtri.com;
andi.supriadi02@alamtri.com;
bayu.darmawan@alamtri.com;
muhammad.rijani@alamtri.com;
muhammad.yuniansyah@alamtri.com;
firdaus.luthfy@alamtri.com;
fazal.ridwan@alamtri.com;
mochammad.rusfandy@alamtri.com;
Rajudinnoor@alamtri.com;
agustinus.adi@alamtri.com;
dian.styadi@alamtri.com;
arthur.bramiyana@alamtri.com;
zulkifli.bastiandi@alamtri.com;
teuku.rizal@alamtri.com;
edy.suprayitno@alamtri.com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</si>
</sst>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_(* #,##0.00_);_(* \(#,##0.00\);_(* &quot;-&quot;??_);_(@_)"/>
    <numFmt numFmtId="165" formatCode="dd\ mmm\ yyyy"/>
    <numFmt numFmtId="166" formatCode="_(* #,##0_);_(* \(#,##0\);_(* &quot;-&quot;??_);_(@_)"/>
    <numFmt numFmtId="167" formatCode="&quot;Saving Cost&quot;\ #,##0.00%;\ &quot;Lost Cost&quot;\ \-#,##0.00%"/>
  </numFmts>
  <fonts count="13" x14ac:knownFonts="1">
    <font>
      <sz val="11"/>
      <color theme="1"/>
      <name val="Palatino Linotype"/>
      <family val="2"/>
    </font>
    <font>
      <sz val="11"/>
      <color theme="1"/>
      <name val="Palatino Linotype"/>
      <family val="2"/>
    </font>
    <font>
      <u/>
      <sz val="11"/>
      <color theme="10"/>
      <name val="Palatino Linotype"/>
      <family val="2"/>
    </font>
    <font>
      <sz val="8"/>
      <color theme="1"/>
      <name val="Palatino Linotype"/>
      <family val="1"/>
    </font>
    <font>
      <sz val="8"/>
      <color theme="0" tint="-0.34998626667073579"/>
      <name val="Palatino Linotype"/>
      <family val="1"/>
    </font>
    <font>
      <sz val="6"/>
      <color theme="1"/>
      <name val="Palatino Linotype"/>
      <family val="1"/>
    </font>
    <font>
      <sz val="8"/>
      <color rgb="FFFF0000"/>
      <name val="Palatino Linotype"/>
      <family val="1"/>
    </font>
    <font>
      <sz val="5"/>
      <color theme="0" tint="-0.34998626667073579"/>
      <name val="Palatino Linotype"/>
      <family val="1"/>
    </font>
    <font>
      <sz val="6"/>
      <color rgb="FFFF0000"/>
      <name val="Palatino Linotype"/>
      <family val="1"/>
    </font>
    <font>
      <sz val="4"/>
      <color theme="1"/>
      <name val="Palatino Linotype"/>
      <family val="1"/>
    </font>
    <font>
      <sz val="8"/>
      <name val="Palatino Linotype"/>
      <family val="1"/>
    </font>
    <font>
      <sz val="5"/>
      <color theme="1"/>
      <name val="Palatino Linotype"/>
      <family val="1"/>
    </font>
    <font>
      <sz val="11"/>
      <color theme="1"/>
      <name val="Times New Roman"/>
      <family val="2"/>
      <charset val="1"/>
    </font>
  </fonts>
  <fills count="7">
    <fill>
      <patternFill patternType="none"/>
    </fill>
    <fill>
      <patternFill patternType="gray125"/>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theme="7"/>
        <bgColor indexed="64"/>
      </patternFill>
    </fill>
    <fill>
      <patternFill patternType="solid">
        <fgColor theme="6" tint="0.7999816888943144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auto="1"/>
      </left>
      <right/>
      <top/>
      <bottom/>
      <diagonal/>
    </border>
    <border>
      <left/>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5">
    <xf numFmtId="0" fontId="0" fillId="0" borderId="0"/>
    <xf numFmtId="164"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xf numFmtId="0" fontId="12" fillId="0" borderId="0"/>
  </cellStyleXfs>
  <cellXfs count="63">
    <xf numFmtId="0" fontId="0" fillId="0" borderId="0" xfId="0"/>
    <xf numFmtId="0" fontId="4" fillId="0" borderId="0" xfId="0" applyFont="1"/>
    <xf numFmtId="0" fontId="4" fillId="0" borderId="0" xfId="0" applyFont="1" applyAlignment="1">
      <alignment horizontal="center" vertical="center" wrapText="1"/>
    </xf>
    <xf numFmtId="3" fontId="4" fillId="0" borderId="0" xfId="1" applyNumberFormat="1" applyFont="1" applyAlignment="1">
      <alignment horizontal="center" vertical="center" wrapText="1"/>
    </xf>
    <xf numFmtId="0" fontId="7" fillId="0" borderId="0" xfId="0" applyFont="1" applyAlignment="1">
      <alignment horizontal="center" vertical="center" wrapText="1"/>
    </xf>
    <xf numFmtId="0" fontId="8" fillId="2" borderId="0" xfId="0" applyFont="1" applyFill="1" applyAlignment="1">
      <alignment horizontal="center" vertical="center" wrapText="1"/>
    </xf>
    <xf numFmtId="0" fontId="6" fillId="2" borderId="0" xfId="0" applyFont="1" applyFill="1"/>
    <xf numFmtId="0" fontId="6" fillId="2" borderId="2" xfId="0" applyFont="1" applyFill="1" applyBorder="1" applyAlignment="1">
      <alignment horizontal="center" vertical="center" wrapText="1"/>
    </xf>
    <xf numFmtId="10" fontId="6" fillId="2" borderId="0" xfId="2" applyNumberFormat="1" applyFont="1" applyFill="1" applyAlignment="1">
      <alignment horizontal="center" vertical="center" wrapText="1"/>
    </xf>
    <xf numFmtId="0" fontId="6" fillId="2" borderId="2" xfId="0" applyFont="1" applyFill="1" applyBorder="1"/>
    <xf numFmtId="0" fontId="6" fillId="0" borderId="0" xfId="0" applyFont="1"/>
    <xf numFmtId="0" fontId="6" fillId="2" borderId="0" xfId="0" applyFont="1" applyFill="1" applyAlignment="1">
      <alignment horizontal="center" vertical="center" wrapText="1"/>
    </xf>
    <xf numFmtId="0" fontId="6" fillId="0" borderId="0" xfId="0" applyFont="1" applyAlignment="1">
      <alignment horizontal="center" vertical="center" wrapText="1"/>
    </xf>
    <xf numFmtId="0" fontId="6" fillId="0" borderId="0" xfId="0" applyFont="1" applyAlignment="1">
      <alignment horizontal="center" vertical="center"/>
    </xf>
    <xf numFmtId="166" fontId="6" fillId="2" borderId="0" xfId="1" applyNumberFormat="1" applyFont="1" applyFill="1" applyAlignment="1">
      <alignment horizontal="center" vertical="center" wrapText="1"/>
    </xf>
    <xf numFmtId="0" fontId="3" fillId="3" borderId="1" xfId="0" applyFont="1" applyFill="1" applyBorder="1" applyAlignment="1" applyProtection="1">
      <alignment horizontal="center" vertical="center" wrapText="1"/>
      <protection hidden="1"/>
    </xf>
    <xf numFmtId="0" fontId="3" fillId="4" borderId="1" xfId="0" applyFont="1" applyFill="1" applyBorder="1" applyAlignment="1" applyProtection="1">
      <alignment horizontal="center" vertical="center" wrapText="1"/>
      <protection hidden="1"/>
    </xf>
    <xf numFmtId="0" fontId="3" fillId="5" borderId="1" xfId="0" applyFont="1" applyFill="1" applyBorder="1" applyAlignment="1" applyProtection="1">
      <alignment horizontal="center" vertical="center" wrapText="1"/>
      <protection hidden="1"/>
    </xf>
    <xf numFmtId="0" fontId="3" fillId="6" borderId="1" xfId="0" applyFont="1" applyFill="1" applyBorder="1" applyAlignment="1" applyProtection="1">
      <alignment horizontal="center" vertical="center" wrapText="1"/>
      <protection hidden="1"/>
    </xf>
    <xf numFmtId="0" fontId="3" fillId="6" borderId="3" xfId="0" applyFont="1" applyFill="1" applyBorder="1" applyAlignment="1" applyProtection="1">
      <alignment horizontal="center" vertical="center" wrapText="1"/>
      <protection hidden="1"/>
    </xf>
    <xf numFmtId="0" fontId="3" fillId="6" borderId="1" xfId="0" applyFont="1" applyFill="1" applyBorder="1" applyAlignment="1" applyProtection="1">
      <alignment horizontal="center" vertical="center"/>
      <protection hidden="1"/>
    </xf>
    <xf numFmtId="0" fontId="5" fillId="0" borderId="8" xfId="0" applyFont="1" applyBorder="1" applyAlignment="1" applyProtection="1">
      <alignment horizontal="center" vertical="center"/>
      <protection hidden="1"/>
    </xf>
    <xf numFmtId="0" fontId="5" fillId="0" borderId="9" xfId="0" applyFont="1" applyBorder="1" applyAlignment="1" applyProtection="1">
      <alignment horizontal="center" vertical="center"/>
      <protection hidden="1"/>
    </xf>
    <xf numFmtId="0" fontId="5" fillId="0" borderId="1" xfId="0" applyFont="1" applyBorder="1" applyAlignment="1" applyProtection="1">
      <alignment horizontal="center" vertical="center"/>
      <protection hidden="1"/>
    </xf>
    <xf numFmtId="0" fontId="9" fillId="0" borderId="1" xfId="0" applyFont="1" applyBorder="1" applyAlignment="1" applyProtection="1">
      <alignment horizontal="center" vertical="center" wrapText="1"/>
      <protection hidden="1"/>
    </xf>
    <xf numFmtId="0" fontId="3" fillId="2" borderId="2" xfId="0" applyFont="1" applyFill="1" applyBorder="1" applyProtection="1">
      <protection hidden="1"/>
    </xf>
    <xf numFmtId="0" fontId="3" fillId="2" borderId="0" xfId="0" applyFont="1" applyFill="1" applyProtection="1">
      <protection hidden="1"/>
    </xf>
    <xf numFmtId="0" fontId="3" fillId="2" borderId="1" xfId="0" applyFont="1" applyFill="1" applyBorder="1" applyProtection="1">
      <protection hidden="1"/>
    </xf>
    <xf numFmtId="0" fontId="5" fillId="0" borderId="1" xfId="0" applyFont="1" applyBorder="1" applyAlignment="1" applyProtection="1">
      <alignment horizontal="center" vertical="center" wrapText="1"/>
      <protection hidden="1"/>
    </xf>
    <xf numFmtId="0" fontId="3" fillId="2" borderId="1" xfId="0" applyFont="1" applyFill="1" applyBorder="1" applyAlignment="1" applyProtection="1">
      <alignment horizontal="left" vertical="center" wrapText="1"/>
      <protection hidden="1"/>
    </xf>
    <xf numFmtId="0" fontId="3" fillId="2" borderId="1" xfId="0" applyFont="1" applyFill="1" applyBorder="1" applyAlignment="1" applyProtection="1">
      <alignment horizontal="center" vertical="center" wrapText="1"/>
      <protection hidden="1"/>
    </xf>
    <xf numFmtId="3" fontId="5" fillId="0" borderId="1" xfId="1" applyNumberFormat="1" applyFont="1" applyBorder="1" applyAlignment="1" applyProtection="1">
      <alignment horizontal="center" vertical="center" wrapText="1"/>
      <protection hidden="1"/>
    </xf>
    <xf numFmtId="0" fontId="3" fillId="0" borderId="7" xfId="0" applyFont="1" applyBorder="1" applyAlignment="1" applyProtection="1">
      <alignment horizontal="center" vertical="center" wrapText="1"/>
      <protection locked="0" hidden="1"/>
    </xf>
    <xf numFmtId="0" fontId="3" fillId="0" borderId="1" xfId="0" applyFont="1" applyBorder="1" applyAlignment="1" applyProtection="1">
      <alignment horizontal="center" vertical="center" wrapText="1"/>
      <protection hidden="1"/>
    </xf>
    <xf numFmtId="0" fontId="5" fillId="0" borderId="8" xfId="0" applyFont="1" applyBorder="1" applyAlignment="1" applyProtection="1">
      <alignment horizontal="center" vertical="center"/>
      <protection locked="0" hidden="1"/>
    </xf>
    <xf numFmtId="0" fontId="6" fillId="2" borderId="0" xfId="0" applyFont="1" applyFill="1" applyProtection="1">
      <protection hidden="1"/>
    </xf>
    <xf numFmtId="0" fontId="10" fillId="2" borderId="0" xfId="0" applyFont="1" applyFill="1" applyAlignment="1" applyProtection="1">
      <alignment horizontal="center" vertical="center"/>
      <protection hidden="1"/>
    </xf>
    <xf numFmtId="0" fontId="3" fillId="2" borderId="4" xfId="0" applyFont="1" applyFill="1" applyBorder="1" applyProtection="1">
      <protection hidden="1"/>
    </xf>
    <xf numFmtId="0" fontId="6" fillId="2" borderId="0" xfId="0" applyFont="1" applyFill="1" applyAlignment="1" applyProtection="1">
      <alignment horizontal="center" vertical="center" wrapText="1"/>
      <protection hidden="1"/>
    </xf>
    <xf numFmtId="0" fontId="3" fillId="2" borderId="0" xfId="0" applyFont="1" applyFill="1" applyAlignment="1" applyProtection="1">
      <alignment horizontal="center" vertical="center" wrapText="1"/>
      <protection hidden="1"/>
    </xf>
    <xf numFmtId="0" fontId="3" fillId="2" borderId="4" xfId="0" applyFont="1" applyFill="1" applyBorder="1" applyAlignment="1" applyProtection="1">
      <alignment horizontal="center" vertical="center" wrapText="1"/>
      <protection hidden="1"/>
    </xf>
    <xf numFmtId="0" fontId="3" fillId="2" borderId="5" xfId="0" applyFont="1" applyFill="1" applyBorder="1" applyProtection="1">
      <protection hidden="1"/>
    </xf>
    <xf numFmtId="0" fontId="3" fillId="2" borderId="6" xfId="0" applyFont="1" applyFill="1" applyBorder="1" applyProtection="1">
      <protection hidden="1"/>
    </xf>
    <xf numFmtId="0" fontId="11" fillId="0" borderId="1" xfId="0" applyFont="1" applyBorder="1" applyAlignment="1" applyProtection="1">
      <alignment horizontal="center" vertical="center" wrapText="1"/>
      <protection locked="0" hidden="1"/>
    </xf>
    <xf numFmtId="0" fontId="3" fillId="2" borderId="0" xfId="0" applyFont="1" applyFill="1" applyProtection="1">
      <protection hidden="1"/>
    </xf>
    <xf numFmtId="0" fontId="3" fillId="0" borderId="1" xfId="0" applyFont="1" applyBorder="1" applyAlignment="1" applyProtection="1">
      <alignment horizontal="center" vertical="center" wrapText="1"/>
      <protection hidden="1"/>
    </xf>
    <xf numFmtId="165" fontId="5" fillId="0" borderId="1" xfId="0" applyNumberFormat="1" applyFont="1" applyBorder="1" applyAlignment="1" applyProtection="1">
      <alignment horizontal="center" vertical="center" wrapText="1"/>
      <protection hidden="1"/>
    </xf>
    <xf numFmtId="0" fontId="3" fillId="6" borderId="1" xfId="0" applyFont="1" applyFill="1" applyBorder="1" applyAlignment="1" applyProtection="1">
      <alignment horizontal="center" vertical="center" wrapText="1"/>
      <protection hidden="1"/>
    </xf>
    <xf numFmtId="0" fontId="5" fillId="0" borderId="1" xfId="3" applyFont="1" applyBorder="1" applyAlignment="1" applyProtection="1">
      <alignment horizontal="center" vertical="center" wrapText="1"/>
      <protection hidden="1"/>
    </xf>
    <xf numFmtId="0" fontId="3" fillId="2" borderId="1" xfId="0" applyFont="1" applyFill="1" applyBorder="1" applyProtection="1">
      <protection hidden="1"/>
    </xf>
    <xf numFmtId="3" fontId="3" fillId="0" borderId="1" xfId="1" applyNumberFormat="1" applyFont="1" applyBorder="1" applyAlignment="1" applyProtection="1">
      <alignment horizontal="center" vertical="center" wrapText="1"/>
      <protection hidden="1"/>
    </xf>
    <xf numFmtId="0" fontId="3" fillId="0" borderId="8" xfId="0" applyFont="1" applyBorder="1" applyAlignment="1" applyProtection="1">
      <alignment horizontal="center" vertical="center" wrapText="1"/>
      <protection hidden="1"/>
    </xf>
    <xf numFmtId="0" fontId="3" fillId="0" borderId="10" xfId="0" applyFont="1" applyBorder="1" applyAlignment="1" applyProtection="1">
      <alignment horizontal="center" vertical="center" wrapText="1"/>
      <protection hidden="1"/>
    </xf>
    <xf numFmtId="0" fontId="3" fillId="2" borderId="10" xfId="0" applyFont="1" applyFill="1" applyBorder="1" applyProtection="1">
      <protection hidden="1"/>
    </xf>
    <xf numFmtId="0" fontId="3" fillId="0" borderId="9" xfId="0" applyFont="1" applyBorder="1" applyAlignment="1" applyProtection="1">
      <alignment horizontal="center" vertical="center" wrapText="1"/>
      <protection hidden="1"/>
    </xf>
    <xf numFmtId="0" fontId="5" fillId="0" borderId="8" xfId="0" applyFont="1" applyBorder="1" applyAlignment="1" applyProtection="1">
      <alignment horizontal="center" vertical="center" wrapText="1"/>
      <protection hidden="1"/>
    </xf>
    <xf numFmtId="0" fontId="5" fillId="0" borderId="10" xfId="0" applyFont="1" applyBorder="1" applyAlignment="1" applyProtection="1">
      <alignment horizontal="center" vertical="center" wrapText="1"/>
      <protection hidden="1"/>
    </xf>
    <xf numFmtId="0" fontId="5" fillId="0" borderId="9" xfId="0" applyFont="1" applyBorder="1" applyAlignment="1" applyProtection="1">
      <alignment horizontal="center" vertical="center" wrapText="1"/>
      <protection hidden="1"/>
    </xf>
    <xf numFmtId="0" fontId="3" fillId="6" borderId="8" xfId="0" applyFont="1" applyFill="1" applyBorder="1" applyAlignment="1" applyProtection="1">
      <alignment horizontal="center" vertical="center" wrapText="1"/>
      <protection hidden="1"/>
    </xf>
    <xf numFmtId="0" fontId="3" fillId="6" borderId="9" xfId="0" applyFont="1" applyFill="1" applyBorder="1" applyAlignment="1" applyProtection="1">
      <alignment horizontal="center" vertical="center" wrapText="1"/>
      <protection hidden="1"/>
    </xf>
    <xf numFmtId="0" fontId="3" fillId="6" borderId="10" xfId="0" applyFont="1" applyFill="1" applyBorder="1" applyAlignment="1" applyProtection="1">
      <alignment horizontal="center" vertical="center" wrapText="1"/>
      <protection hidden="1"/>
    </xf>
    <xf numFmtId="167" fontId="3" fillId="6" borderId="8" xfId="2" applyNumberFormat="1" applyFont="1" applyFill="1" applyBorder="1" applyAlignment="1" applyProtection="1">
      <alignment horizontal="center" vertical="center" wrapText="1"/>
      <protection hidden="1"/>
    </xf>
    <xf numFmtId="167" fontId="3" fillId="6" borderId="10" xfId="2" applyNumberFormat="1" applyFont="1" applyFill="1" applyBorder="1" applyAlignment="1" applyProtection="1">
      <alignment horizontal="center" vertical="center" wrapText="1"/>
      <protection hidden="1"/>
    </xf>
  </cellXfs>
  <cellStyles count="5">
    <cellStyle name="Comma" xfId="1" builtinId="3"/>
    <cellStyle name="Hyperlink" xfId="3" builtinId="8"/>
    <cellStyle name="Normal" xfId="0" builtinId="0"/>
    <cellStyle name="Normal 4" xfId="4" xr:uid="{1123917C-C02F-4811-891F-CB4FA9396362}"/>
    <cellStyle name="Percent" xfId="2" builtinId="5"/>
  </cellStyles>
  <dxfs count="26">
    <dxf>
      <fill>
        <patternFill>
          <bgColor theme="7"/>
        </patternFill>
      </fill>
    </dxf>
    <dxf>
      <fill>
        <patternFill>
          <bgColor theme="7" tint="0.59996337778862885"/>
        </patternFill>
      </fill>
    </dxf>
    <dxf>
      <fill>
        <patternFill>
          <bgColor rgb="FFFFFF00"/>
        </patternFill>
      </fill>
    </dxf>
    <dxf>
      <fill>
        <patternFill>
          <bgColor theme="7" tint="0.79998168889431442"/>
        </patternFill>
      </fill>
    </dxf>
    <dxf>
      <font>
        <color theme="0"/>
      </font>
      <fill>
        <patternFill>
          <bgColor rgb="FFFF0000"/>
        </patternFill>
      </fill>
    </dxf>
    <dxf>
      <fill>
        <patternFill>
          <bgColor rgb="FFFFC000"/>
        </patternFill>
      </fill>
    </dxf>
    <dxf>
      <font>
        <color theme="0"/>
      </font>
      <fill>
        <patternFill>
          <bgColor rgb="FF00B0F0"/>
        </patternFill>
      </fill>
    </dxf>
    <dxf>
      <font>
        <color auto="1"/>
      </font>
      <fill>
        <patternFill>
          <bgColor theme="9" tint="0.59996337778862885"/>
        </patternFill>
      </fill>
    </dxf>
    <dxf>
      <fill>
        <patternFill>
          <bgColor theme="0" tint="-0.14996795556505021"/>
        </patternFill>
      </fill>
    </dxf>
    <dxf>
      <fill>
        <patternFill>
          <bgColor theme="3" tint="0.89996032593768116"/>
        </patternFill>
      </fill>
    </dxf>
    <dxf>
      <fill>
        <patternFill>
          <bgColor theme="8" tint="0.79998168889431442"/>
        </patternFill>
      </fill>
    </dxf>
    <dxf>
      <fill>
        <patternFill>
          <bgColor theme="3" tint="0.89996032593768116"/>
        </patternFill>
      </fill>
    </dxf>
    <dxf>
      <font>
        <color theme="0"/>
      </font>
      <fill>
        <patternFill>
          <bgColor rgb="FFFF0000"/>
        </patternFill>
      </fill>
    </dxf>
    <dxf>
      <fill>
        <patternFill>
          <bgColor rgb="FFFFFF00"/>
        </patternFill>
      </fill>
    </dxf>
    <dxf>
      <fill>
        <patternFill>
          <bgColor theme="7" tint="0.79998168889431442"/>
        </patternFill>
      </fill>
    </dxf>
    <dxf>
      <font>
        <color theme="0"/>
      </font>
      <fill>
        <patternFill>
          <bgColor rgb="FFFF0000"/>
        </patternFill>
      </fill>
    </dxf>
    <dxf>
      <fill>
        <patternFill>
          <bgColor rgb="FFFFC000"/>
        </patternFill>
      </fill>
    </dxf>
    <dxf>
      <font>
        <color theme="0"/>
      </font>
      <fill>
        <patternFill>
          <bgColor rgb="FF00B0F0"/>
        </patternFill>
      </fill>
    </dxf>
    <dxf>
      <font>
        <color auto="1"/>
      </font>
      <fill>
        <patternFill>
          <bgColor theme="9" tint="0.59996337778862885"/>
        </patternFill>
      </fill>
    </dxf>
    <dxf>
      <fill>
        <patternFill>
          <bgColor theme="0" tint="-0.14996795556505021"/>
        </patternFill>
      </fill>
    </dxf>
    <dxf>
      <fill>
        <patternFill>
          <bgColor theme="3" tint="0.89996032593768116"/>
        </patternFill>
      </fill>
    </dxf>
    <dxf>
      <fill>
        <patternFill>
          <bgColor theme="8" tint="0.79998168889431442"/>
        </patternFill>
      </fill>
    </dxf>
    <dxf>
      <fill>
        <patternFill>
          <bgColor theme="3" tint="0.89996032593768116"/>
        </patternFill>
      </fill>
    </dxf>
    <dxf>
      <font>
        <color theme="0"/>
      </font>
      <fill>
        <patternFill>
          <bgColor rgb="FFFF0000"/>
        </patternFill>
      </fill>
    </dxf>
    <dxf>
      <fill>
        <patternFill>
          <bgColor theme="9"/>
        </patternFill>
      </fill>
    </dxf>
    <dxf>
      <fill>
        <patternFill>
          <bgColor rgb="FF92D050"/>
        </patternFill>
      </fill>
    </dxf>
  </dxfs>
  <tableStyles count="1" defaultTableStyle="TableStyleMedium2" defaultPivotStyle="PivotStyleLight16">
    <tableStyle name="Invisible" pivot="0" table="0" count="0" xr9:uid="{8435E3C3-76C9-4BD1-9351-55655F149676}"/>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9</xdr:col>
      <xdr:colOff>15037</xdr:colOff>
      <xdr:row>0</xdr:row>
      <xdr:rowOff>262526</xdr:rowOff>
    </xdr:from>
    <xdr:to>
      <xdr:col>10</xdr:col>
      <xdr:colOff>619665</xdr:colOff>
      <xdr:row>4</xdr:row>
      <xdr:rowOff>819978</xdr:rowOff>
    </xdr:to>
    <xdr:grpSp>
      <xdr:nvGrpSpPr>
        <xdr:cNvPr id="18" name="Group 17">
          <a:extLst>
            <a:ext uri="{FF2B5EF4-FFF2-40B4-BE49-F238E27FC236}">
              <a16:creationId xmlns:a16="http://schemas.microsoft.com/office/drawing/2014/main" id="{F28A1A03-2E5C-BE58-2304-11A0C59B444F}"/>
            </a:ext>
          </a:extLst>
        </xdr:cNvPr>
        <xdr:cNvGrpSpPr/>
      </xdr:nvGrpSpPr>
      <xdr:grpSpPr>
        <a:xfrm>
          <a:off x="6053887" y="262526"/>
          <a:ext cx="1309478" cy="2071927"/>
          <a:chOff x="6013175" y="4057426"/>
          <a:chExt cx="1308650" cy="2071704"/>
        </a:xfrm>
      </xdr:grpSpPr>
      <xdr:grpSp>
        <xdr:nvGrpSpPr>
          <xdr:cNvPr id="9" name="Group 8">
            <a:extLst>
              <a:ext uri="{FF2B5EF4-FFF2-40B4-BE49-F238E27FC236}">
                <a16:creationId xmlns:a16="http://schemas.microsoft.com/office/drawing/2014/main" id="{36047916-728B-E415-562C-46F94C0A7441}"/>
              </a:ext>
            </a:extLst>
          </xdr:cNvPr>
          <xdr:cNvGrpSpPr/>
        </xdr:nvGrpSpPr>
        <xdr:grpSpPr>
          <a:xfrm>
            <a:off x="6013175" y="4057426"/>
            <a:ext cx="1054092" cy="1939171"/>
            <a:chOff x="5996610" y="3767534"/>
            <a:chExt cx="1054092" cy="1939184"/>
          </a:xfrm>
        </xdr:grpSpPr>
        <xdr:grpSp>
          <xdr:nvGrpSpPr>
            <xdr:cNvPr id="11" name="Group 10">
              <a:extLst>
                <a:ext uri="{FF2B5EF4-FFF2-40B4-BE49-F238E27FC236}">
                  <a16:creationId xmlns:a16="http://schemas.microsoft.com/office/drawing/2014/main" id="{1712FB1F-83CF-2110-DE28-EAC88590077B}"/>
                </a:ext>
              </a:extLst>
            </xdr:cNvPr>
            <xdr:cNvGrpSpPr/>
          </xdr:nvGrpSpPr>
          <xdr:grpSpPr>
            <a:xfrm>
              <a:off x="6243025" y="3767534"/>
              <a:ext cx="807677" cy="1856293"/>
              <a:chOff x="7756832" y="2424520"/>
              <a:chExt cx="808215" cy="1741065"/>
            </a:xfrm>
          </xdr:grpSpPr>
          <xdr:grpSp>
            <xdr:nvGrpSpPr>
              <xdr:cNvPr id="10" name="Group 9">
                <a:extLst>
                  <a:ext uri="{FF2B5EF4-FFF2-40B4-BE49-F238E27FC236}">
                    <a16:creationId xmlns:a16="http://schemas.microsoft.com/office/drawing/2014/main" id="{C7CAD3EB-DAFD-EF9D-9F64-1C238983652F}"/>
                  </a:ext>
                </a:extLst>
              </xdr:cNvPr>
              <xdr:cNvGrpSpPr/>
            </xdr:nvGrpSpPr>
            <xdr:grpSpPr>
              <a:xfrm>
                <a:off x="7756832" y="2424520"/>
                <a:ext cx="808215" cy="1138560"/>
                <a:chOff x="7756832" y="2424520"/>
                <a:chExt cx="808215" cy="1138560"/>
              </a:xfrm>
            </xdr:grpSpPr>
            <xdr:sp macro="[0]!Get_file" textlink="">
              <xdr:nvSpPr>
                <xdr:cNvPr id="13" name="Rectangle: Rounded Corners 12">
                  <a:extLst>
                    <a:ext uri="{FF2B5EF4-FFF2-40B4-BE49-F238E27FC236}">
                      <a16:creationId xmlns:a16="http://schemas.microsoft.com/office/drawing/2014/main" id="{2448DEA5-72D3-EC5B-47C0-B5D3806ECAA3}"/>
                    </a:ext>
                  </a:extLst>
                </xdr:cNvPr>
                <xdr:cNvSpPr/>
              </xdr:nvSpPr>
              <xdr:spPr>
                <a:xfrm>
                  <a:off x="7781085" y="3308343"/>
                  <a:ext cx="757759" cy="25473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sz="800">
                      <a:latin typeface="Palatino Linotype" panose="02040502050505030304" pitchFamily="18" charset="0"/>
                    </a:rPr>
                    <a:t>Get File</a:t>
                  </a:r>
                </a:p>
              </xdr:txBody>
            </xdr:sp>
            <xdr:sp macro="[0]!Release_PR" textlink="">
              <xdr:nvSpPr>
                <xdr:cNvPr id="2" name="Rectangle: Rounded Corners 1">
                  <a:extLst>
                    <a:ext uri="{FF2B5EF4-FFF2-40B4-BE49-F238E27FC236}">
                      <a16:creationId xmlns:a16="http://schemas.microsoft.com/office/drawing/2014/main" id="{DDDBC4BE-3D16-0EE8-1703-326445A3BED6}"/>
                    </a:ext>
                  </a:extLst>
                </xdr:cNvPr>
                <xdr:cNvSpPr/>
              </xdr:nvSpPr>
              <xdr:spPr>
                <a:xfrm>
                  <a:off x="7756836" y="2424520"/>
                  <a:ext cx="808211" cy="25572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en-US" sz="800">
                      <a:latin typeface="Palatino Linotype" panose="02040502050505030304" pitchFamily="18" charset="0"/>
                    </a:rPr>
                    <a:t>Release PR</a:t>
                  </a:r>
                </a:p>
              </xdr:txBody>
            </xdr:sp>
            <xdr:sp macro="[0]!PO_User" textlink="">
              <xdr:nvSpPr>
                <xdr:cNvPr id="3" name="Rectangle: Rounded Corners 2">
                  <a:extLst>
                    <a:ext uri="{FF2B5EF4-FFF2-40B4-BE49-F238E27FC236}">
                      <a16:creationId xmlns:a16="http://schemas.microsoft.com/office/drawing/2014/main" id="{F621EDF6-25C6-270F-F737-EFFBE1C65FEB}"/>
                    </a:ext>
                  </a:extLst>
                </xdr:cNvPr>
                <xdr:cNvSpPr/>
              </xdr:nvSpPr>
              <xdr:spPr>
                <a:xfrm>
                  <a:off x="7756836" y="2715237"/>
                  <a:ext cx="807813" cy="25572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t">
                  <a:noAutofit/>
                </a:bodyPr>
                <a:lstStyle/>
                <a:p>
                  <a:pPr algn="ctr"/>
                  <a:r>
                    <a:rPr lang="en-US" sz="800">
                      <a:latin typeface="Palatino Linotype" panose="02040502050505030304" pitchFamily="18" charset="0"/>
                    </a:rPr>
                    <a:t>PO Proc</a:t>
                  </a:r>
                </a:p>
              </xdr:txBody>
            </xdr:sp>
            <xdr:sp macro="[0]!Release_PO" textlink="">
              <xdr:nvSpPr>
                <xdr:cNvPr id="5" name="Rectangle: Rounded Corners 4">
                  <a:extLst>
                    <a:ext uri="{FF2B5EF4-FFF2-40B4-BE49-F238E27FC236}">
                      <a16:creationId xmlns:a16="http://schemas.microsoft.com/office/drawing/2014/main" id="{20F41101-8F7F-9454-3938-09F0B46F0F86}"/>
                    </a:ext>
                  </a:extLst>
                </xdr:cNvPr>
                <xdr:cNvSpPr/>
              </xdr:nvSpPr>
              <xdr:spPr>
                <a:xfrm>
                  <a:off x="7756832" y="3018994"/>
                  <a:ext cx="805497" cy="25572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en-US" sz="800">
                      <a:latin typeface="Palatino Linotype" panose="02040502050505030304" pitchFamily="18" charset="0"/>
                    </a:rPr>
                    <a:t>Release PO</a:t>
                  </a:r>
                </a:p>
              </xdr:txBody>
            </xdr:sp>
          </xdr:grpSp>
          <xdr:grpSp>
            <xdr:nvGrpSpPr>
              <xdr:cNvPr id="7" name="Group 6">
                <a:extLst>
                  <a:ext uri="{FF2B5EF4-FFF2-40B4-BE49-F238E27FC236}">
                    <a16:creationId xmlns:a16="http://schemas.microsoft.com/office/drawing/2014/main" id="{40CD1DEA-4D69-EC74-E7CF-E64D1D688C0E}"/>
                  </a:ext>
                </a:extLst>
              </xdr:cNvPr>
              <xdr:cNvGrpSpPr/>
            </xdr:nvGrpSpPr>
            <xdr:grpSpPr>
              <a:xfrm>
                <a:off x="7854247" y="3607271"/>
                <a:ext cx="613380" cy="558314"/>
                <a:chOff x="7919176" y="2832846"/>
                <a:chExt cx="612552" cy="558314"/>
              </a:xfrm>
            </xdr:grpSpPr>
            <xdr:sp macro="[0]!Clear_save" textlink="">
              <xdr:nvSpPr>
                <xdr:cNvPr id="23" name="Rectangle: Rounded Corners 22">
                  <a:extLst>
                    <a:ext uri="{FF2B5EF4-FFF2-40B4-BE49-F238E27FC236}">
                      <a16:creationId xmlns:a16="http://schemas.microsoft.com/office/drawing/2014/main" id="{1F13DE72-ED6B-4721-93D9-DEDAC72216EF}"/>
                    </a:ext>
                  </a:extLst>
                </xdr:cNvPr>
                <xdr:cNvSpPr/>
              </xdr:nvSpPr>
              <xdr:spPr>
                <a:xfrm>
                  <a:off x="7938883" y="3135841"/>
                  <a:ext cx="573139" cy="25531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lang="en-US" sz="800">
                      <a:latin typeface="Palatino Linotype" panose="02040502050505030304" pitchFamily="18" charset="0"/>
                    </a:rPr>
                    <a:t>QUIT</a:t>
                  </a:r>
                </a:p>
              </xdr:txBody>
            </xdr:sp>
            <xdr:sp macro="[0]!Clear_content" textlink="">
              <xdr:nvSpPr>
                <xdr:cNvPr id="8" name="Rectangle: Rounded Corners 7">
                  <a:extLst>
                    <a:ext uri="{FF2B5EF4-FFF2-40B4-BE49-F238E27FC236}">
                      <a16:creationId xmlns:a16="http://schemas.microsoft.com/office/drawing/2014/main" id="{B51850AD-9FC4-4A66-BF9E-39480B5C16B7}"/>
                    </a:ext>
                  </a:extLst>
                </xdr:cNvPr>
                <xdr:cNvSpPr/>
              </xdr:nvSpPr>
              <xdr:spPr>
                <a:xfrm>
                  <a:off x="7919176" y="2832846"/>
                  <a:ext cx="612552" cy="25531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lang="en-US" sz="800">
                      <a:latin typeface="Palatino Linotype" panose="02040502050505030304" pitchFamily="18" charset="0"/>
                    </a:rPr>
                    <a:t>CLEAR</a:t>
                  </a:r>
                </a:p>
              </xdr:txBody>
            </xdr:sp>
          </xdr:grpSp>
        </xdr:grpSp>
        <xdr:sp macro="[0]!get_contract" textlink="">
          <xdr:nvSpPr>
            <xdr:cNvPr id="6" name="Rectangle: Rounded Corners 5">
              <a:extLst>
                <a:ext uri="{FF2B5EF4-FFF2-40B4-BE49-F238E27FC236}">
                  <a16:creationId xmlns:a16="http://schemas.microsoft.com/office/drawing/2014/main" id="{856FE369-9B81-46A6-BB22-D0E66A76CB27}"/>
                </a:ext>
              </a:extLst>
            </xdr:cNvPr>
            <xdr:cNvSpPr/>
          </xdr:nvSpPr>
          <xdr:spPr>
            <a:xfrm>
              <a:off x="5996610" y="4613414"/>
              <a:ext cx="248478" cy="1093304"/>
            </a:xfrm>
            <a:prstGeom prst="round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sz="700">
                  <a:solidFill>
                    <a:schemeClr val="bg1"/>
                  </a:solidFill>
                  <a:latin typeface="Palatino Linotype" panose="02040502050505030304" pitchFamily="18" charset="0"/>
                </a:rPr>
                <a:t>CONTRACT</a:t>
              </a:r>
            </a:p>
          </xdr:txBody>
        </xdr:sp>
      </xdr:grpSp>
      <xdr:sp macro="[0]!Proforma_PO" textlink="">
        <xdr:nvSpPr>
          <xdr:cNvPr id="12" name="Rectangle: Rounded Corners 11">
            <a:extLst>
              <a:ext uri="{FF2B5EF4-FFF2-40B4-BE49-F238E27FC236}">
                <a16:creationId xmlns:a16="http://schemas.microsoft.com/office/drawing/2014/main" id="{2BDC3E3B-FDEC-4049-8D7C-416ACC02C67D}"/>
              </a:ext>
            </a:extLst>
          </xdr:cNvPr>
          <xdr:cNvSpPr/>
        </xdr:nvSpPr>
        <xdr:spPr>
          <a:xfrm>
            <a:off x="7073347" y="4654825"/>
            <a:ext cx="248478" cy="1474305"/>
          </a:xfrm>
          <a:prstGeom prst="round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sz="700">
                <a:solidFill>
                  <a:schemeClr val="bg1"/>
                </a:solidFill>
                <a:latin typeface="Palatino Linotype" panose="02040502050505030304" pitchFamily="18" charset="0"/>
              </a:rPr>
              <a:t>PROFORMA </a:t>
            </a:r>
          </a:p>
          <a:p>
            <a:pPr algn="ctr"/>
            <a:endParaRPr lang="en-US" sz="700">
              <a:solidFill>
                <a:schemeClr val="bg1"/>
              </a:solidFill>
              <a:latin typeface="Palatino Linotype" panose="02040502050505030304" pitchFamily="18" charset="0"/>
            </a:endParaRPr>
          </a:p>
          <a:p>
            <a:pPr algn="ctr"/>
            <a:r>
              <a:rPr lang="en-US" sz="700">
                <a:solidFill>
                  <a:schemeClr val="bg1"/>
                </a:solidFill>
                <a:latin typeface="Palatino Linotype" panose="02040502050505030304" pitchFamily="18" charset="0"/>
              </a:rPr>
              <a:t>PO</a:t>
            </a:r>
          </a:p>
        </xdr:txBody>
      </xdr:sp>
    </xdr:grpSp>
    <xdr:clientData/>
  </xdr:twoCellAnchor>
  <xdr:twoCellAnchor>
    <xdr:from>
      <xdr:col>9</xdr:col>
      <xdr:colOff>265526</xdr:colOff>
      <xdr:row>4</xdr:row>
      <xdr:rowOff>1010478</xdr:rowOff>
    </xdr:from>
    <xdr:to>
      <xdr:col>10</xdr:col>
      <xdr:colOff>369177</xdr:colOff>
      <xdr:row>6</xdr:row>
      <xdr:rowOff>356151</xdr:rowOff>
    </xdr:to>
    <xdr:sp macro="[0]!Surat_Penunjukan" textlink="">
      <xdr:nvSpPr>
        <xdr:cNvPr id="14" name="Rectangle: Rounded Corners 13">
          <a:extLst>
            <a:ext uri="{FF2B5EF4-FFF2-40B4-BE49-F238E27FC236}">
              <a16:creationId xmlns:a16="http://schemas.microsoft.com/office/drawing/2014/main" id="{D7F62F58-A4F7-4643-902F-B13365451273}"/>
            </a:ext>
          </a:extLst>
        </xdr:cNvPr>
        <xdr:cNvSpPr/>
      </xdr:nvSpPr>
      <xdr:spPr>
        <a:xfrm>
          <a:off x="6311830" y="2526195"/>
          <a:ext cx="807673" cy="430695"/>
        </a:xfrm>
        <a:prstGeom prst="roundRec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en-US" sz="800">
              <a:solidFill>
                <a:sysClr val="windowText" lastClr="000000"/>
              </a:solidFill>
              <a:latin typeface="Palatino Linotype" panose="02040502050505030304" pitchFamily="18" charset="0"/>
            </a:rPr>
            <a:t>Surat Penunjukan</a:t>
          </a:r>
        </a:p>
      </xdr:txBody>
    </xdr:sp>
    <xdr:clientData/>
  </xdr:twoCellAnchor>
  <xdr:twoCellAnchor>
    <xdr:from>
      <xdr:col>9</xdr:col>
      <xdr:colOff>364434</xdr:colOff>
      <xdr:row>4</xdr:row>
      <xdr:rowOff>646043</xdr:rowOff>
    </xdr:from>
    <xdr:to>
      <xdr:col>10</xdr:col>
      <xdr:colOff>298174</xdr:colOff>
      <xdr:row>4</xdr:row>
      <xdr:rowOff>969065</xdr:rowOff>
    </xdr:to>
    <xdr:sp macro="[0]!Draft_PO" textlink="">
      <xdr:nvSpPr>
        <xdr:cNvPr id="4" name="Rectangle: Rounded Corners 3">
          <a:extLst>
            <a:ext uri="{FF2B5EF4-FFF2-40B4-BE49-F238E27FC236}">
              <a16:creationId xmlns:a16="http://schemas.microsoft.com/office/drawing/2014/main" id="{60B54CC1-C985-7CAD-F4A2-70B6B2FBCB9A}"/>
            </a:ext>
          </a:extLst>
        </xdr:cNvPr>
        <xdr:cNvSpPr/>
      </xdr:nvSpPr>
      <xdr:spPr>
        <a:xfrm>
          <a:off x="6410738" y="2161760"/>
          <a:ext cx="637762" cy="323022"/>
        </a:xfrm>
        <a:prstGeom prst="roundRect">
          <a:avLst/>
        </a:prstGeom>
        <a:solidFill>
          <a:schemeClr val="accent3">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800">
              <a:latin typeface="Palatino Linotype" panose="02040502050505030304" pitchFamily="18" charset="0"/>
            </a:rPr>
            <a:t>Draft PO</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D:\Aplikasi%20Data\New%20Aplikasi\Admin%20-%20RHT.xlsm" TargetMode="External"/><Relationship Id="rId1" Type="http://schemas.openxmlformats.org/officeDocument/2006/relationships/externalLinkPath" Target="Admin%20-%20RH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board"/>
      <sheetName val="RFQ Admin"/>
      <sheetName val="List of Companies"/>
      <sheetName val="PVendor"/>
      <sheetName val="Vendor_365"/>
      <sheetName val="Contract"/>
      <sheetName val="Support"/>
      <sheetName val="Initial_Corebusiness"/>
      <sheetName val="Report"/>
      <sheetName val="Sheet1"/>
      <sheetName val="Sheet3"/>
      <sheetName val="SUM Report"/>
      <sheetName val="List Name Phone"/>
      <sheetName val="List of Items WS"/>
      <sheetName val="Admin - RHT"/>
    </sheetNames>
    <sheetDataSet>
      <sheetData sheetId="0"/>
      <sheetData sheetId="1">
        <row r="6">
          <cell r="B6" t="str">
            <v>PR100010510 (Line 2)</v>
          </cell>
          <cell r="C6" t="str">
            <v>General Over Haul (GOH)  3G2</v>
          </cell>
          <cell r="D6" t="str">
            <v>Trakindo Utama, PT</v>
          </cell>
          <cell r="E6" t="str">
            <v/>
          </cell>
          <cell r="F6" t="str">
            <v/>
          </cell>
          <cell r="G6" t="str">
            <v/>
          </cell>
          <cell r="H6" t="str">
            <v>SLAMET</v>
          </cell>
          <cell r="I6">
            <v>45867</v>
          </cell>
          <cell r="J6" t="str">
            <v>Tech Main</v>
          </cell>
          <cell r="K6" t="str">
            <v>B &amp; J</v>
          </cell>
          <cell r="L6" t="str">
            <v>CTR</v>
          </cell>
          <cell r="M6">
            <v>6</v>
          </cell>
          <cell r="N6" t="str">
            <v>RH</v>
          </cell>
          <cell r="O6" t="str">
            <v>robertiagus.haposan@alamtri.com</v>
          </cell>
          <cell r="P6">
            <v>179653</v>
          </cell>
          <cell r="Q6">
            <v>2874448000</v>
          </cell>
          <cell r="R6" t="str">
            <v>CANCEL</v>
          </cell>
          <cell r="S6" t="str">
            <v>Akan dibuatkan setelah diketahui hasilnya sesuai Line 1 PR10510</v>
          </cell>
          <cell r="T6" t="str">
            <v>MSW</v>
          </cell>
          <cell r="U6" t="str">
            <v>Trakindo Utama, PT</v>
          </cell>
          <cell r="V6" t="str">
            <v>Trakindo Utama, PT</v>
          </cell>
          <cell r="W6" t="str">
            <v>1 of 1</v>
          </cell>
          <cell r="X6" t="str">
            <v>1 of 1</v>
          </cell>
          <cell r="Y6">
            <v>45868</v>
          </cell>
          <cell r="Z6">
            <v>45869</v>
          </cell>
          <cell r="AC6" t="str">
            <v xml:space="preserve"> of </v>
          </cell>
          <cell r="AD6" t="str">
            <v xml:space="preserve"> of </v>
          </cell>
          <cell r="AF6" t="str">
            <v/>
          </cell>
          <cell r="AI6" t="str">
            <v xml:space="preserve"> of </v>
          </cell>
          <cell r="AJ6" t="str">
            <v xml:space="preserve"> of </v>
          </cell>
          <cell r="AL6" t="str">
            <v/>
          </cell>
          <cell r="AM6">
            <v>0.70833333333333337</v>
          </cell>
          <cell r="AN6" t="str">
            <v>Trakindo Utama, PT</v>
          </cell>
          <cell r="AO6" t="str">
            <v/>
          </cell>
          <cell r="AT6">
            <v>45869</v>
          </cell>
          <cell r="AU6">
            <v>45905</v>
          </cell>
          <cell r="AV6">
            <v>45903</v>
          </cell>
          <cell r="AW6">
            <v>45939</v>
          </cell>
          <cell r="AX6">
            <v>5.1428571428571432</v>
          </cell>
          <cell r="AZ6" t="str">
            <v/>
          </cell>
          <cell r="BA6" t="str">
            <v/>
          </cell>
          <cell r="BB6" t="str">
            <v>Completed</v>
          </cell>
          <cell r="BC6" t="str">
            <v>PR100010510</v>
          </cell>
        </row>
        <row r="7">
          <cell r="B7" t="str">
            <v>PR100010079 (Aug 25)</v>
          </cell>
          <cell r="C7" t="str">
            <v>Sewa Trafo JPI 35MVA   (1 Januari 2025 sd 31 Desember 2025)</v>
          </cell>
          <cell r="D7" t="str">
            <v>Adaro Minerals Indonesia Tbk, PT</v>
          </cell>
          <cell r="E7" t="str">
            <v>Adaro Minerals Indonesia Tbk, PT</v>
          </cell>
          <cell r="F7" t="str">
            <v/>
          </cell>
          <cell r="G7" t="str">
            <v/>
          </cell>
          <cell r="H7" t="str">
            <v>GUNARA FERY FAHNANI</v>
          </cell>
          <cell r="I7">
            <v>45917</v>
          </cell>
          <cell r="J7" t="str">
            <v>Tech Main</v>
          </cell>
          <cell r="K7" t="str">
            <v>J</v>
          </cell>
          <cell r="L7" t="str">
            <v>CTR</v>
          </cell>
          <cell r="N7" t="str">
            <v>RH</v>
          </cell>
          <cell r="O7" t="str">
            <v>robertiagus.haposan@alamtri.com</v>
          </cell>
          <cell r="P7">
            <v>4545</v>
          </cell>
          <cell r="Q7">
            <v>72720000</v>
          </cell>
          <cell r="R7" t="str">
            <v>PO Sign Vendor</v>
          </cell>
          <cell r="T7" t="str">
            <v>MSW</v>
          </cell>
          <cell r="U7" t="str">
            <v>Adaro Minerals Indonesia Tbk, PT</v>
          </cell>
          <cell r="V7" t="str">
            <v>Adaro Minerals Indonesia Tbk, PT</v>
          </cell>
          <cell r="W7" t="str">
            <v>1 of 1</v>
          </cell>
          <cell r="X7" t="str">
            <v>1 of 1</v>
          </cell>
          <cell r="Z7" t="str">
            <v/>
          </cell>
          <cell r="AC7" t="str">
            <v xml:space="preserve"> of </v>
          </cell>
          <cell r="AD7" t="str">
            <v xml:space="preserve"> of </v>
          </cell>
          <cell r="AF7" t="str">
            <v/>
          </cell>
          <cell r="AI7" t="str">
            <v xml:space="preserve"> of </v>
          </cell>
          <cell r="AJ7" t="str">
            <v xml:space="preserve"> of </v>
          </cell>
          <cell r="AM7">
            <v>0.70833333333333337</v>
          </cell>
          <cell r="AN7" t="str">
            <v>Adaro Minerals Indonesia Tbk, PT</v>
          </cell>
          <cell r="AO7" t="str">
            <v/>
          </cell>
          <cell r="AP7" t="str">
            <v>PO25000726</v>
          </cell>
          <cell r="AQ7">
            <v>69239123</v>
          </cell>
          <cell r="AT7">
            <v>45917</v>
          </cell>
          <cell r="AU7">
            <v>45947</v>
          </cell>
          <cell r="AV7">
            <v>45919</v>
          </cell>
          <cell r="AW7">
            <v>45949</v>
          </cell>
          <cell r="AX7">
            <v>4.2857142857142856</v>
          </cell>
          <cell r="AZ7" t="str">
            <v/>
          </cell>
          <cell r="BA7" t="str">
            <v/>
          </cell>
          <cell r="BB7" t="str">
            <v>Completed</v>
          </cell>
          <cell r="BC7" t="str">
            <v>PR100010079</v>
          </cell>
        </row>
        <row r="8">
          <cell r="B8" t="str">
            <v>PR100010147</v>
          </cell>
          <cell r="C8" t="str">
            <v>pengadaan bed material  tahun 2025</v>
          </cell>
          <cell r="E8" t="str">
            <v>Sembilan Jaya Abadi Resources, PT
Inti Dwijaya Sentosa, CV
Silica Maju Bersama, CV
Indoalam Mineral Persada, CV
Berkat Daya Laksana, CV
Jara Silica, PT
Sibara Bestari Indonesia, PT
Silica Jayaraya Mineral, PT
Sibelco Lautan Mineral, PT</v>
          </cell>
          <cell r="F8" t="str">
            <v>Sembilan Jaya Abadi Resources, PT
Inti Dwijaya Sentosa, CV
Berkat Daya Laksana, CV</v>
          </cell>
          <cell r="G8" t="str">
            <v>R0
3 of 9
21 Mar 25</v>
          </cell>
          <cell r="H8" t="str">
            <v>ARIES KURNIAWAN</v>
          </cell>
          <cell r="I8">
            <v>45887</v>
          </cell>
          <cell r="J8" t="str">
            <v>Tech Main</v>
          </cell>
          <cell r="K8" t="str">
            <v>B</v>
          </cell>
          <cell r="L8" t="str">
            <v>BID</v>
          </cell>
          <cell r="M8" t="str">
            <v>0103</v>
          </cell>
          <cell r="N8" t="str">
            <v>RH</v>
          </cell>
          <cell r="O8" t="str">
            <v>robertiagus.haposan@alamtri.com</v>
          </cell>
          <cell r="P8">
            <v>5010</v>
          </cell>
          <cell r="Q8">
            <v>80160000</v>
          </cell>
          <cell r="R8" t="str">
            <v>PO Sign Vendor</v>
          </cell>
          <cell r="S8" t="str">
            <v>switch ke second lowest karena BDL tidak memenuhi AVL</v>
          </cell>
          <cell r="T8" t="str">
            <v>MSW</v>
          </cell>
          <cell r="U8" t="str">
            <v>Sembilan Jaya Abadi Resources, PT
Inti Dwijaya Sentosa, CV
Silica Maju Bersama, CV
Indoalam Mineral Persada, CV
Berkat Daya Laksana, CV
Jara Silica, PT
Sibara Bestari Indonesia, PT
Silica Jayaraya Mineral, PT
Sibelco Lautan Mineral, PT</v>
          </cell>
          <cell r="V8" t="str">
            <v>Sembilan Jaya Abadi Resources, PT
Inti Dwijaya Sentosa, CV
Berkat Daya Laksana, CV</v>
          </cell>
          <cell r="W8" t="str">
            <v>9 of 9</v>
          </cell>
          <cell r="X8" t="str">
            <v>3 of 9</v>
          </cell>
          <cell r="Y8">
            <v>45730</v>
          </cell>
          <cell r="Z8">
            <v>45737</v>
          </cell>
          <cell r="AC8" t="str">
            <v xml:space="preserve"> of </v>
          </cell>
          <cell r="AD8" t="str">
            <v xml:space="preserve"> of </v>
          </cell>
          <cell r="AF8" t="str">
            <v/>
          </cell>
          <cell r="AI8" t="str">
            <v xml:space="preserve"> of </v>
          </cell>
          <cell r="AJ8" t="str">
            <v xml:space="preserve"> of </v>
          </cell>
          <cell r="AL8" t="str">
            <v/>
          </cell>
          <cell r="AM8">
            <v>0.70833333333333337</v>
          </cell>
          <cell r="AN8" t="str">
            <v>Sembilan Jaya Abadi Resources, PT</v>
          </cell>
          <cell r="AO8" t="str">
            <v>tri.mariono@yahoo.com</v>
          </cell>
          <cell r="AP8" t="str">
            <v>PO25000722</v>
          </cell>
          <cell r="AQ8">
            <v>82500000</v>
          </cell>
          <cell r="AR8">
            <v>45741</v>
          </cell>
          <cell r="AS8">
            <v>45770</v>
          </cell>
          <cell r="AT8">
            <v>45917</v>
          </cell>
          <cell r="AU8">
            <v>45940</v>
          </cell>
          <cell r="AV8">
            <v>45919</v>
          </cell>
          <cell r="AW8">
            <v>45942</v>
          </cell>
          <cell r="AX8">
            <v>3.2857142857142856</v>
          </cell>
          <cell r="AZ8" t="str">
            <v/>
          </cell>
          <cell r="BA8" t="str">
            <v/>
          </cell>
          <cell r="BB8" t="str">
            <v>Completed</v>
          </cell>
          <cell r="BC8" t="str">
            <v>PR100010147</v>
          </cell>
        </row>
        <row r="9">
          <cell r="B9" t="str">
            <v>PR100010593</v>
          </cell>
          <cell r="C9" t="str">
            <v>Perbaikan &amp; Pemeliharaan Lift Passenger</v>
          </cell>
          <cell r="D9" t="str">
            <v>Sakura Elevator Indonesia Corp, PT</v>
          </cell>
          <cell r="E9" t="str">
            <v/>
          </cell>
          <cell r="F9" t="str">
            <v/>
          </cell>
          <cell r="G9" t="str">
            <v/>
          </cell>
          <cell r="H9" t="str">
            <v>DEDE SUDARJI</v>
          </cell>
          <cell r="I9">
            <v>45901</v>
          </cell>
          <cell r="J9" t="str">
            <v>Tech Main</v>
          </cell>
          <cell r="K9" t="str">
            <v>B &amp; J</v>
          </cell>
          <cell r="L9" t="str">
            <v>IOM</v>
          </cell>
          <cell r="M9">
            <v>9</v>
          </cell>
          <cell r="N9" t="str">
            <v>RH</v>
          </cell>
          <cell r="O9" t="str">
            <v>robertiagus.haposan@alamtri.com</v>
          </cell>
          <cell r="P9">
            <v>4967</v>
          </cell>
          <cell r="Q9">
            <v>79472000</v>
          </cell>
          <cell r="R9" t="str">
            <v>PO Sign Vendor</v>
          </cell>
          <cell r="T9" t="str">
            <v>MSW</v>
          </cell>
          <cell r="U9" t="str">
            <v>Sakura Elevator Indonesia Corp, PT</v>
          </cell>
          <cell r="V9" t="str">
            <v>Sakura Elevator Indonesia Corp, PT</v>
          </cell>
          <cell r="W9" t="str">
            <v>1 of 1</v>
          </cell>
          <cell r="X9" t="str">
            <v>1 of 1</v>
          </cell>
          <cell r="Y9">
            <v>45890</v>
          </cell>
          <cell r="Z9">
            <v>45891</v>
          </cell>
          <cell r="AC9" t="str">
            <v xml:space="preserve"> of </v>
          </cell>
          <cell r="AD9" t="str">
            <v xml:space="preserve"> of </v>
          </cell>
          <cell r="AF9" t="str">
            <v/>
          </cell>
          <cell r="AI9" t="str">
            <v xml:space="preserve"> of </v>
          </cell>
          <cell r="AJ9" t="str">
            <v xml:space="preserve"> of </v>
          </cell>
          <cell r="AL9" t="str">
            <v/>
          </cell>
          <cell r="AM9">
            <v>0.70833333333333337</v>
          </cell>
          <cell r="AN9" t="str">
            <v>Sakura Elevator Indonesia Corp, PT</v>
          </cell>
          <cell r="AO9" t="str">
            <v>indra.d.w.idw@gmail.com; sales1@sakuraelevator.co.id</v>
          </cell>
          <cell r="AP9" t="str">
            <v>PO25000767</v>
          </cell>
          <cell r="AQ9">
            <v>38000000</v>
          </cell>
          <cell r="AR9">
            <v>45930</v>
          </cell>
          <cell r="AS9">
            <v>45930</v>
          </cell>
          <cell r="AT9">
            <v>45930</v>
          </cell>
          <cell r="AU9">
            <v>45939</v>
          </cell>
          <cell r="AV9">
            <v>45932</v>
          </cell>
          <cell r="AW9">
            <v>45941</v>
          </cell>
          <cell r="AX9">
            <v>1.2857142857142858</v>
          </cell>
          <cell r="AZ9" t="str">
            <v/>
          </cell>
          <cell r="BA9" t="str">
            <v/>
          </cell>
          <cell r="BB9" t="str">
            <v>Completed</v>
          </cell>
          <cell r="BC9" t="str">
            <v>PR100010593</v>
          </cell>
        </row>
        <row r="10">
          <cell r="B10" t="str">
            <v>PR100010622</v>
          </cell>
          <cell r="C10" t="str">
            <v>UPS System Trafo CSS</v>
          </cell>
          <cell r="E10" t="str">
            <v/>
          </cell>
          <cell r="F10" t="str">
            <v/>
          </cell>
          <cell r="G10" t="str">
            <v/>
          </cell>
          <cell r="H10" t="str">
            <v>IFIT PRABOWO</v>
          </cell>
          <cell r="I10">
            <v>45894</v>
          </cell>
          <cell r="J10" t="str">
            <v>Tech Main</v>
          </cell>
          <cell r="K10" t="str">
            <v>B</v>
          </cell>
          <cell r="L10" t="str">
            <v>BID</v>
          </cell>
          <cell r="M10">
            <v>241</v>
          </cell>
          <cell r="N10" t="str">
            <v>RH</v>
          </cell>
          <cell r="O10" t="str">
            <v>robertiagus.haposan@alamtri.com</v>
          </cell>
          <cell r="P10">
            <v>3150</v>
          </cell>
          <cell r="Q10">
            <v>50400000</v>
          </cell>
          <cell r="R10" t="str">
            <v>CANCEL</v>
          </cell>
          <cell r="S10" t="str">
            <v>Menunggu PR di 365, sudah ada tetapi di handel oleh Pak Rajudin PC0126-000000016</v>
          </cell>
          <cell r="T10" t="str">
            <v>MSW</v>
          </cell>
          <cell r="U10" t="str">
            <v>Kin Kitra Kencana, PT
Gema Industrial, PT
Gading Mas Utama, PT
Perwira Sentra Officindo, PT
Alfa Teknik Mandiri Makmur, PT
Afghan Jaya Abadi, PT
Petrocom Nusa Synergy, PT
Antares Jaya Gemilang Prima, PT</v>
          </cell>
          <cell r="V10" t="str">
            <v>Perwira Sentra Officindo, PT</v>
          </cell>
          <cell r="W10" t="str">
            <v>8 of 8</v>
          </cell>
          <cell r="X10" t="str">
            <v>1 of 8</v>
          </cell>
          <cell r="Y10">
            <v>45897</v>
          </cell>
          <cell r="Z10">
            <v>45904</v>
          </cell>
          <cell r="AA10" t="str">
            <v>Perwira Sentra Officindo, PT
Gevana, PT
Anugrah Mandiri Putra Tabalong, PT
Pacific Tractor Indonesia, PT
Vhipa Mulia Pratama, PT
Sola Anugerah Oilfield, PT
Stanindo Artha Langgeng, PT
Promitra Prima Indonesia, PT
Indo Tehnik Tanjung Tabalong, PT</v>
          </cell>
          <cell r="AB10" t="str">
            <v>Perwira Sentra Officindo, PT
Gevana, PT
Anugrah Mandiri Putra Tabalong, PT
Pacific Tractor Indonesia, PT
Sola Anugerah Oilfield, PT
Promitra Prima Indonesia, PT</v>
          </cell>
          <cell r="AC10" t="str">
            <v>9 of 9</v>
          </cell>
          <cell r="AD10" t="str">
            <v>6 of 9</v>
          </cell>
          <cell r="AE10">
            <v>45917</v>
          </cell>
          <cell r="AF10">
            <v>45924</v>
          </cell>
          <cell r="AI10" t="str">
            <v xml:space="preserve"> of </v>
          </cell>
          <cell r="AJ10" t="str">
            <v xml:space="preserve"> of </v>
          </cell>
          <cell r="AL10" t="str">
            <v/>
          </cell>
          <cell r="AM10">
            <v>0.70833333333333337</v>
          </cell>
          <cell r="AO10" t="str">
            <v/>
          </cell>
          <cell r="AR10">
            <v>45929</v>
          </cell>
          <cell r="AS10">
            <v>45995</v>
          </cell>
          <cell r="AW10" t="str">
            <v/>
          </cell>
          <cell r="AX10" t="str">
            <v/>
          </cell>
          <cell r="AZ10" t="str">
            <v/>
          </cell>
          <cell r="BA10" t="str">
            <v/>
          </cell>
          <cell r="BB10" t="str">
            <v/>
          </cell>
          <cell r="BC10" t="str">
            <v>PR100010622</v>
          </cell>
        </row>
        <row r="11">
          <cell r="B11" t="str">
            <v>PR100010682 (Line 1-4)</v>
          </cell>
          <cell r="C11" t="str">
            <v>Sparepart Panel Electrical</v>
          </cell>
          <cell r="D11" t="str">
            <v>Cipta Semesta Lestari, PT - Line 1,2 (BLV)
Anugrah Mandiri Putra Tabalong, PT - Line 3
Borneo Maju Jaya, PT - Line 4
Raja Listrik Indonesia, PT - Line 6
Antares Jaya Gemilang Prima, PT - Line 5,7</v>
          </cell>
          <cell r="E11" t="str">
            <v>Antares Jaya Gemilang Prima, PT
Greentek Elektrikal Indonesia, PT
Borneo Maju Jaya, PT
Perwira Sentra Officindo, PT
Raja Listrik Indonesia, PT
Borneo Karya Jaya, CV
Edmi Indonesia, PT
Anugrah Mandiri Putra Tabalong, PT
Sola Anugerah Oilfield, PT
Gema Industrial, PT
Promitra Prima Indonesia, PT</v>
          </cell>
          <cell r="F11" t="str">
            <v>Antares Jaya Gemilang Prima, PT
Perwira Sentra Officindo, PT
Gema Industrial, PT
Promitra Prima Indonesia, PT</v>
          </cell>
          <cell r="G11" t="str">
            <v>R0
4 of 11
19 Sep 25</v>
          </cell>
          <cell r="H11" t="str">
            <v>DEDE SUDARJI</v>
          </cell>
          <cell r="I11">
            <v>45909</v>
          </cell>
          <cell r="J11" t="str">
            <v>Tech Main</v>
          </cell>
          <cell r="K11" t="str">
            <v>B</v>
          </cell>
          <cell r="L11" t="str">
            <v>BID</v>
          </cell>
          <cell r="M11">
            <v>254</v>
          </cell>
          <cell r="N11" t="str">
            <v>RH</v>
          </cell>
          <cell r="O11" t="str">
            <v>robertiagus.haposan@alamtri.com</v>
          </cell>
          <cell r="P11">
            <v>2550.6302999999998</v>
          </cell>
          <cell r="Q11">
            <v>40810084.799999997</v>
          </cell>
          <cell r="R11" t="str">
            <v>Completed Sign PO</v>
          </cell>
          <cell r="T11" t="str">
            <v>MSW</v>
          </cell>
          <cell r="U11" t="str">
            <v>Antares Jaya Gemilang Prima, PT
Greentek Elektrikal Indonesia, PT
Borneo Maju Jaya, PT
Perwira Sentra Officindo, PT
Raja Listrik Indonesia, PT
Borneo Karya Jaya, CV
Edmi Indonesia, PT
Anugrah Mandiri Putra Tabalong, PT
Sola Anugerah Oilfield, PT
Gema Industrial, PT
Promitra Prima Indonesia, PT</v>
          </cell>
          <cell r="V11" t="str">
            <v>Antares Jaya Gemilang Prima, PT
Perwira Sentra Officindo, PT
Gema Industrial, PT
Promitra Prima Indonesia, PT</v>
          </cell>
          <cell r="W11" t="str">
            <v>11 of 11</v>
          </cell>
          <cell r="X11" t="str">
            <v>4 of 11</v>
          </cell>
          <cell r="Y11">
            <v>45912</v>
          </cell>
          <cell r="Z11">
            <v>45919</v>
          </cell>
          <cell r="AC11" t="str">
            <v xml:space="preserve"> of </v>
          </cell>
          <cell r="AD11" t="str">
            <v xml:space="preserve"> of </v>
          </cell>
          <cell r="AF11" t="str">
            <v/>
          </cell>
          <cell r="AI11" t="str">
            <v xml:space="preserve"> of </v>
          </cell>
          <cell r="AJ11" t="str">
            <v xml:space="preserve"> of </v>
          </cell>
          <cell r="AL11" t="str">
            <v/>
          </cell>
          <cell r="AM11">
            <v>0.70833333333333337</v>
          </cell>
          <cell r="AN11" t="str">
            <v>Gema Industrial, PT</v>
          </cell>
          <cell r="AO11" t="str">
            <v>marketing@gema-industrial.com</v>
          </cell>
          <cell r="AP11" t="str">
            <v>PO25000786</v>
          </cell>
          <cell r="AQ11">
            <v>23300000</v>
          </cell>
          <cell r="AR11">
            <v>45929</v>
          </cell>
          <cell r="AS11">
            <v>45933</v>
          </cell>
          <cell r="AT11">
            <v>45939</v>
          </cell>
          <cell r="AU11">
            <v>45975</v>
          </cell>
          <cell r="AV11">
            <v>45939</v>
          </cell>
          <cell r="AW11">
            <v>45975</v>
          </cell>
          <cell r="AX11">
            <v>5.1428571428571432</v>
          </cell>
          <cell r="AY11">
            <v>45975</v>
          </cell>
          <cell r="AZ11" t="str">
            <v/>
          </cell>
          <cell r="BA11" t="str">
            <v/>
          </cell>
          <cell r="BB11" t="str">
            <v>Completed</v>
          </cell>
          <cell r="BC11" t="str">
            <v>PR100010682</v>
          </cell>
        </row>
        <row r="12">
          <cell r="B12" t="str">
            <v>PR100010691 (Line 3)</v>
          </cell>
          <cell r="C12" t="str">
            <v>Sparepart Air Regulator dan Fire Alarm System</v>
          </cell>
          <cell r="D12" t="str">
            <v>Kin Kitra Kencana, PT - Line 3</v>
          </cell>
          <cell r="E12" t="str">
            <v/>
          </cell>
          <cell r="F12" t="str">
            <v/>
          </cell>
          <cell r="G12" t="str">
            <v/>
          </cell>
          <cell r="H12" t="str">
            <v>DEDE SUDARJI</v>
          </cell>
          <cell r="I12">
            <v>45916</v>
          </cell>
          <cell r="J12" t="str">
            <v>Tech Main</v>
          </cell>
          <cell r="K12" t="str">
            <v>B</v>
          </cell>
          <cell r="L12" t="str">
            <v>BID</v>
          </cell>
          <cell r="M12">
            <v>261</v>
          </cell>
          <cell r="N12" t="str">
            <v>RH</v>
          </cell>
          <cell r="O12" t="str">
            <v>robertiagus.haposan@alamtri.com</v>
          </cell>
          <cell r="P12">
            <v>1176.24</v>
          </cell>
          <cell r="Q12">
            <v>18819840</v>
          </cell>
          <cell r="R12" t="str">
            <v>CANCEL</v>
          </cell>
          <cell r="S12" t="str">
            <v>Dokumen pendukung - done GMU dan NAM
Untuk Line 3 di CANCEL CQS krn ada kenaikan harga dari PGS sehingga di rebid kembali
PC0126-000000893</v>
          </cell>
          <cell r="T12" t="str">
            <v>MSW</v>
          </cell>
          <cell r="U12" t="str">
            <v>Kin Kitra Kencana, PT
Promitra Prima Indonesia, PT
Norgantara Andalan Mandiri Indonesia, PT
Perwira Sentra Officindo, PT
Alfa Teknik Mandiri Makmur, PT
Gading Mas Utama, PT
Sola Anugerah Oilfield, PT
Gema Industrial, PT
Putera Instrumenindo, PT
Afghan Jaya Abadi, PT
Mitra Energi Abadi, PT
Panca Global Solusindo, PT
ODG Indonesia, PT
Jaga Karya Mandiri, PT
Berkat Keselamatan Dunia, PT</v>
          </cell>
          <cell r="V12" t="str">
            <v>Norgantara Andalan Mandiri Indonesia, PT
Perwira Sentra Officindo, PT
Gading Mas Utama, PT
Panca Global Solusindo, PT</v>
          </cell>
          <cell r="W12" t="str">
            <v>15 of 15</v>
          </cell>
          <cell r="X12" t="str">
            <v>4 of 15</v>
          </cell>
          <cell r="Y12">
            <v>45918</v>
          </cell>
          <cell r="Z12">
            <v>45925</v>
          </cell>
          <cell r="AA12" t="str">
            <v>Panca Global Solusindo, PT
Gema Industrial, PT
Kin Kitra Kencana, PT
Petrocom Nusa Synergy, PT
Indo Tehnik Tanjung Tabalong, PT
Alfa Teknik Mandiri Makmur, PT
Perwira Sentra Officindo, PT
Stanindo Artha Langgeng, PT
Ganesha Wirya Pratama, PT
Emkaha, PT</v>
          </cell>
          <cell r="AB12" t="str">
            <v>Kin Kitra Kencana, PT</v>
          </cell>
          <cell r="AC12" t="str">
            <v>10 of 10</v>
          </cell>
          <cell r="AD12" t="str">
            <v>1 of 10</v>
          </cell>
          <cell r="AE12">
            <v>45988</v>
          </cell>
          <cell r="AF12">
            <v>45995</v>
          </cell>
          <cell r="AG12" t="str">
            <v>Kin Kitra Kencana, PT
Lienetic Jaya, PT
Gevana, PT
Gama Tritunggal Pratama, PT
Adhigana Perkasa Mandiri, PT
Wahana Safety Indonesia, PT
Cahaya Mitra Saftindo, PT
Indo Tehnik Tanjung Tabalong, PT
Tentra Eka Pratama, PT
Vhipa Mulia Pratama, PT
Gading Mas Utama, PT
Panca Global Solusindo, PT</v>
          </cell>
          <cell r="AH12" t="str">
            <v>Kin Kitra Kencana, PT
Lienetic Jaya, PT
Wahana Safety Indonesia, PT
Gading Mas Utama, PT</v>
          </cell>
          <cell r="AI12" t="str">
            <v>12 of 12</v>
          </cell>
          <cell r="AJ12" t="str">
            <v>4 of 12</v>
          </cell>
          <cell r="AK12">
            <v>46008</v>
          </cell>
          <cell r="AL12">
            <v>46014</v>
          </cell>
          <cell r="AM12">
            <v>0.70833333333333337</v>
          </cell>
          <cell r="AN12" t="str">
            <v>Kin Kitra Kencana, PT</v>
          </cell>
          <cell r="AO12" t="str">
            <v/>
          </cell>
          <cell r="AP12" t="str">
            <v>6100-PC0626-00165</v>
          </cell>
          <cell r="AQ12">
            <v>15900000</v>
          </cell>
          <cell r="AR12">
            <v>46021</v>
          </cell>
          <cell r="AS12">
            <v>46065</v>
          </cell>
          <cell r="AW12" t="str">
            <v/>
          </cell>
          <cell r="AX12" t="str">
            <v/>
          </cell>
          <cell r="AZ12" t="str">
            <v/>
          </cell>
          <cell r="BA12" t="str">
            <v/>
          </cell>
          <cell r="BB12" t="str">
            <v/>
          </cell>
          <cell r="BC12" t="str">
            <v>PR100010691</v>
          </cell>
        </row>
        <row r="13">
          <cell r="B13" t="str">
            <v>PR100010686</v>
          </cell>
          <cell r="C13" t="str">
            <v>Jasa Pengadaan &amp; Pemasang Battery Set</v>
          </cell>
          <cell r="D13" t="str">
            <v>Gema Industrial, PT - Line 1</v>
          </cell>
          <cell r="E13" t="str">
            <v/>
          </cell>
          <cell r="F13" t="str">
            <v/>
          </cell>
          <cell r="G13" t="str">
            <v/>
          </cell>
          <cell r="H13" t="str">
            <v>DEDE SUDARJI</v>
          </cell>
          <cell r="I13">
            <v>45916</v>
          </cell>
          <cell r="J13" t="str">
            <v>Tech Eng</v>
          </cell>
          <cell r="K13" t="str">
            <v>B &amp; J</v>
          </cell>
          <cell r="L13" t="str">
            <v>BID</v>
          </cell>
          <cell r="M13">
            <v>260</v>
          </cell>
          <cell r="N13" t="str">
            <v>RH</v>
          </cell>
          <cell r="O13" t="str">
            <v>robertiagus.haposan@alamtri.com</v>
          </cell>
          <cell r="P13">
            <v>65333</v>
          </cell>
          <cell r="Q13">
            <v>1045328000</v>
          </cell>
          <cell r="R13" t="str">
            <v>CANCEL</v>
          </cell>
          <cell r="S13" t="str">
            <v>Di CANCEL dan pindah ke PC0125-000000144</v>
          </cell>
          <cell r="T13" t="str">
            <v>MSW</v>
          </cell>
          <cell r="U13" t="str">
            <v>Gema Industrial, PT
Putera Instrumenindo, PT
Antares Jaya Gemilang Prima, PT
Kin Kitra Kencana, PT
Gading Mas Utama, PT
Westindo Esa Perkasa, PT
Gridtech Indonesia, PT
Borneo Maju Jaya, PT
Adhigana Perkasa Mandiri, PT
Andalan Mutu Energi, PT
ANP Engineering, PT
Cakra Perkasa Jayamulia, PT
Global Energitama, PT
Power System Indonesia, PT
Dwijaya Sentral Sarana, PT
Jaya Induksi Elektrik, PT</v>
          </cell>
          <cell r="V13" t="str">
            <v>Westindo Esa Perkasa, PT
Gridtech Indonesia, PT
Jaya Induksi Elektrik, PT</v>
          </cell>
          <cell r="W13" t="str">
            <v>16 of 16</v>
          </cell>
          <cell r="X13" t="str">
            <v>3 of 16</v>
          </cell>
          <cell r="Y13">
            <v>45918</v>
          </cell>
          <cell r="Z13">
            <v>45925</v>
          </cell>
          <cell r="AC13" t="str">
            <v xml:space="preserve"> of </v>
          </cell>
          <cell r="AD13" t="str">
            <v xml:space="preserve"> of </v>
          </cell>
          <cell r="AF13" t="str">
            <v/>
          </cell>
          <cell r="AI13" t="str">
            <v xml:space="preserve"> of </v>
          </cell>
          <cell r="AJ13" t="str">
            <v xml:space="preserve"> of </v>
          </cell>
          <cell r="AM13">
            <v>0.70833333333333337</v>
          </cell>
          <cell r="AO13" t="str">
            <v/>
          </cell>
          <cell r="AR13">
            <v>45929</v>
          </cell>
          <cell r="AW13" t="str">
            <v/>
          </cell>
          <cell r="AX13" t="str">
            <v/>
          </cell>
          <cell r="AZ13" t="str">
            <v/>
          </cell>
          <cell r="BA13" t="str">
            <v/>
          </cell>
          <cell r="BB13" t="str">
            <v/>
          </cell>
          <cell r="BC13" t="str">
            <v>PR100010686</v>
          </cell>
        </row>
        <row r="14">
          <cell r="B14" t="str">
            <v>PR100010639</v>
          </cell>
          <cell r="C14" t="str">
            <v>Pembelian Tablet Biofill</v>
          </cell>
          <cell r="D14" t="str">
            <v>Berkat Amira, CV</v>
          </cell>
          <cell r="E14" t="str">
            <v>Vhipa Mulia Pratama, PT
Berkat Amira, CV
Cahaya Murni, CV
Sehati, CV
Haji Usnan, CV
Indo Tehnik Tanjung Tabalong, PT
Perwira Sentra Officindo, PT
Anugrah Mandiri Putra Tabalong, PT
Sarana Prima Lestari, CV
Sola Anugerah Oilfield, PT</v>
          </cell>
          <cell r="F14" t="str">
            <v>Vhipa Mulia Pratama, PT
Berkat Amira, CV
Sehati, CV
Haji Usnan, CV
Perwira Sentra Officindo, PT
Anugrah Mandiri Putra Tabalong, PT
Sarana Prima Lestari, CV
Sola Anugerah Oilfield, PT</v>
          </cell>
          <cell r="G14" t="str">
            <v>R0
8 of 10
24 Sep 25</v>
          </cell>
          <cell r="H14" t="str">
            <v>FEBRIANA MERINDA</v>
          </cell>
          <cell r="I14">
            <v>45917</v>
          </cell>
          <cell r="J14" t="str">
            <v>HSE</v>
          </cell>
          <cell r="K14" t="str">
            <v>B</v>
          </cell>
          <cell r="L14" t="str">
            <v>BID</v>
          </cell>
          <cell r="M14">
            <v>259</v>
          </cell>
          <cell r="N14" t="str">
            <v>RH</v>
          </cell>
          <cell r="O14" t="str">
            <v>robertiagus.haposan@alamtri.com</v>
          </cell>
          <cell r="P14">
            <v>233.8</v>
          </cell>
          <cell r="Q14">
            <v>3740800</v>
          </cell>
          <cell r="R14" t="str">
            <v>Completed Sign PO</v>
          </cell>
          <cell r="T14" t="str">
            <v>MSW</v>
          </cell>
          <cell r="U14" t="str">
            <v>Vhipa Mulia Pratama, PT
Berkat Amira, CV
Cahaya Murni, CV
Sehati, CV
Haji Usnan, CV
Indo Tehnik Tanjung Tabalong, PT
Perwira Sentra Officindo, PT
Anugrah Mandiri Putra Tabalong, PT
Sarana Prima Lestari, CV
Sola Anugerah Oilfield, PT</v>
          </cell>
          <cell r="V14" t="str">
            <v>Vhipa Mulia Pratama, PT
Berkat Amira, CV
Sehati, CV
Haji Usnan, CV
Perwira Sentra Officindo, PT
Anugrah Mandiri Putra Tabalong, PT
Sarana Prima Lestari, CV
Sola Anugerah Oilfield, PT</v>
          </cell>
          <cell r="W14" t="str">
            <v>10 of 10</v>
          </cell>
          <cell r="X14" t="str">
            <v>8 of 10</v>
          </cell>
          <cell r="Y14">
            <v>45917</v>
          </cell>
          <cell r="Z14">
            <v>45924</v>
          </cell>
          <cell r="AC14" t="str">
            <v xml:space="preserve"> of </v>
          </cell>
          <cell r="AD14" t="str">
            <v xml:space="preserve"> of </v>
          </cell>
          <cell r="AF14" t="str">
            <v/>
          </cell>
          <cell r="AI14" t="str">
            <v xml:space="preserve"> of </v>
          </cell>
          <cell r="AJ14" t="str">
            <v xml:space="preserve"> of </v>
          </cell>
          <cell r="AM14">
            <v>0.70833333333333337</v>
          </cell>
          <cell r="AN14" t="str">
            <v>Haji Usnan Electric, CV</v>
          </cell>
          <cell r="AO14" t="str">
            <v>hji.usnan@gmail.com</v>
          </cell>
          <cell r="AP14" t="str">
            <v>PO25000785</v>
          </cell>
          <cell r="AQ14">
            <v>1500000</v>
          </cell>
          <cell r="AR14">
            <v>45929</v>
          </cell>
          <cell r="AS14">
            <v>45933</v>
          </cell>
          <cell r="AT14">
            <v>45939</v>
          </cell>
          <cell r="AU14">
            <v>45968</v>
          </cell>
          <cell r="AV14">
            <v>45939</v>
          </cell>
          <cell r="AW14">
            <v>45968</v>
          </cell>
          <cell r="AX14">
            <v>4.1428571428571432</v>
          </cell>
          <cell r="AY14">
            <v>45968</v>
          </cell>
          <cell r="AZ14" t="str">
            <v/>
          </cell>
          <cell r="BA14" t="str">
            <v/>
          </cell>
          <cell r="BB14" t="str">
            <v>Completed</v>
          </cell>
          <cell r="BC14" t="str">
            <v>PR100010639</v>
          </cell>
        </row>
        <row r="15">
          <cell r="B15" t="str">
            <v>PR100010164</v>
          </cell>
          <cell r="C15" t="str">
            <v>Pengadaan Bahan Kimia &amp; Pemberian Jasa Perawatan Periode Tahun 2026 - 2028 (see attachment)</v>
          </cell>
          <cell r="D15" t="str">
            <v>Kurita Indonesia, PT</v>
          </cell>
          <cell r="E15" t="str">
            <v/>
          </cell>
          <cell r="F15" t="str">
            <v/>
          </cell>
          <cell r="G15" t="str">
            <v/>
          </cell>
          <cell r="H15" t="str">
            <v>DENI SUHENDRA</v>
          </cell>
          <cell r="I15">
            <v>45873</v>
          </cell>
          <cell r="J15" t="str">
            <v>Tech Op</v>
          </cell>
          <cell r="K15" t="str">
            <v>J</v>
          </cell>
          <cell r="L15" t="str">
            <v>TDR</v>
          </cell>
          <cell r="M15" t="str">
            <v>TENDER</v>
          </cell>
          <cell r="N15" t="str">
            <v>RH</v>
          </cell>
          <cell r="O15" t="str">
            <v>robertiagus.haposan@alamtri.com</v>
          </cell>
          <cell r="P15">
            <v>234868.8</v>
          </cell>
          <cell r="Q15">
            <v>3757900800</v>
          </cell>
          <cell r="R15" t="str">
            <v>Completed Contract</v>
          </cell>
          <cell r="T15" t="str">
            <v>MSW</v>
          </cell>
          <cell r="U15" t="str">
            <v>Kurita Indonesia, PT
Ecolab International Indonesia, PT
Powerindo Kimia Mineral, PT
Metito Indonesia, PT
Lautan Air Indonesia, PT
Strivechem Indonesia, PT</v>
          </cell>
          <cell r="V15" t="str">
            <v>Kurita Indonesia, PT
Powerindo Kimia Mineral, PT
Metito Indonesia, PT
Lautan Air Indonesia, PT
Strivechem Indonesia, PT</v>
          </cell>
          <cell r="W15" t="str">
            <v>6 of 6</v>
          </cell>
          <cell r="X15" t="str">
            <v>5 of 6</v>
          </cell>
          <cell r="Z15">
            <v>45861</v>
          </cell>
          <cell r="AC15" t="str">
            <v xml:space="preserve"> of </v>
          </cell>
          <cell r="AD15" t="str">
            <v xml:space="preserve"> of </v>
          </cell>
          <cell r="AF15" t="str">
            <v/>
          </cell>
          <cell r="AI15" t="str">
            <v xml:space="preserve"> of </v>
          </cell>
          <cell r="AJ15" t="str">
            <v xml:space="preserve"> of </v>
          </cell>
          <cell r="AL15" t="str">
            <v/>
          </cell>
          <cell r="AM15">
            <v>0.70833333333333337</v>
          </cell>
          <cell r="AN15" t="str">
            <v>Kurita Indonesia, PT</v>
          </cell>
          <cell r="AO15" t="str">
            <v>r.padlani12@kurita-water.com</v>
          </cell>
          <cell r="AQ15">
            <v>16811784000</v>
          </cell>
          <cell r="AR15">
            <v>45839</v>
          </cell>
          <cell r="AS15">
            <v>46303</v>
          </cell>
          <cell r="AT15">
            <v>45993</v>
          </cell>
          <cell r="AU15">
            <v>45993</v>
          </cell>
          <cell r="AV15">
            <v>45993</v>
          </cell>
          <cell r="AW15">
            <v>45993</v>
          </cell>
          <cell r="AX15" t="str">
            <v/>
          </cell>
          <cell r="AZ15" t="str">
            <v/>
          </cell>
          <cell r="BA15" t="str">
            <v/>
          </cell>
          <cell r="BB15" t="str">
            <v>Late Completed</v>
          </cell>
          <cell r="BC15" t="str">
            <v>PR100010164</v>
          </cell>
        </row>
        <row r="16">
          <cell r="B16" t="str">
            <v>PR100010658</v>
          </cell>
          <cell r="C16" t="str">
            <v>Sparepart Panel Box RP-2001E Fire Alarm System</v>
          </cell>
          <cell r="D16" t="str">
            <v>Sinto Cahaya Tanamo, PT - Line 1</v>
          </cell>
          <cell r="E16" t="str">
            <v/>
          </cell>
          <cell r="F16" t="str">
            <v/>
          </cell>
          <cell r="G16" t="str">
            <v/>
          </cell>
          <cell r="H16" t="str">
            <v>DEDE SUDARJI</v>
          </cell>
          <cell r="I16">
            <v>45902</v>
          </cell>
          <cell r="J16" t="str">
            <v>Tech Main</v>
          </cell>
          <cell r="K16" t="str">
            <v>B</v>
          </cell>
          <cell r="L16" t="str">
            <v>BID</v>
          </cell>
          <cell r="M16">
            <v>249</v>
          </cell>
          <cell r="N16" t="str">
            <v>RH</v>
          </cell>
          <cell r="O16" t="str">
            <v>robertiagus.haposan@alamtri.com</v>
          </cell>
          <cell r="P16">
            <v>6794</v>
          </cell>
          <cell r="Q16">
            <v>108704000</v>
          </cell>
          <cell r="R16" t="str">
            <v>CANCEL</v>
          </cell>
          <cell r="S16" t="str">
            <v>Menunggu PR di 365 PC0125-000000922</v>
          </cell>
          <cell r="T16" t="str">
            <v>MSW</v>
          </cell>
          <cell r="U16" t="str">
            <v>Putera Instrumenindo, PT
Vhipa Mulia Pratama, PT
Lienetic Jaya, PT
Gema Industrial, PT
Gading Mas Utama, PT
Norgantara Andalan Mandiri Indonesia, PT
Antares Jaya Gemilang Prima, PT
ODG Indonesia, PT
Swahusada Guna Instrumentasi, PT
Total Solusi Instrument, PT
Lima Makmur Jaya, PT
PM Control System, PT
Adhigana Perkasa Mandiri, PT
Kin Kitra Kencana, PT</v>
          </cell>
          <cell r="V16" t="str">
            <v>ODG Indonesia, PT</v>
          </cell>
          <cell r="W16" t="str">
            <v>14 of 14</v>
          </cell>
          <cell r="X16" t="str">
            <v>1 of 14</v>
          </cell>
          <cell r="Y16">
            <v>45904</v>
          </cell>
          <cell r="Z16">
            <v>45911</v>
          </cell>
          <cell r="AA16" t="str">
            <v>ODG Indonesia, PT
Mitra Energi Abadi, PT
Antares Jaya Gemilang Prima, PT
Adhigana Perkasa Mandiri, PT
Totalfire Indonesia, PT
Monotaro Indonesia, PT
Norgantara Andalan Mandiri Indonesia, PT
Panca Global Solusindo, PT
Petrocom Nusa Synergy, PT
Jaga Karya Mandiri, PT
Berlian Sejahtera Teknik, PT
Berkat Keselamatan Dunia, PT
Honeywell Indonesia, PT
Multindo Technology Utama, PT
Mitra Cipta Hardi Elektrindo, PT
Depot Safety</v>
          </cell>
          <cell r="AB16" t="str">
            <v>ODG Indonesia, PT
Norgantara Andalan Mandiri Indonesia, PT
Jaga Karya Mandiri, PT
Multindo Technology Utama, PT</v>
          </cell>
          <cell r="AC16" t="str">
            <v>16 of 16</v>
          </cell>
          <cell r="AD16" t="str">
            <v>4 of 16</v>
          </cell>
          <cell r="AE16">
            <v>45922</v>
          </cell>
          <cell r="AF16">
            <v>45929</v>
          </cell>
          <cell r="AI16" t="str">
            <v xml:space="preserve"> of </v>
          </cell>
          <cell r="AJ16" t="str">
            <v xml:space="preserve"> of </v>
          </cell>
          <cell r="AL16" t="str">
            <v/>
          </cell>
          <cell r="AM16">
            <v>0.70833333333333337</v>
          </cell>
          <cell r="AN16" t="str">
            <v>ODG Nusantara Jaya, PT</v>
          </cell>
          <cell r="AO16" t="str">
            <v/>
          </cell>
          <cell r="AR16">
            <v>45931</v>
          </cell>
          <cell r="AS16">
            <v>45958</v>
          </cell>
          <cell r="AW16" t="str">
            <v/>
          </cell>
          <cell r="AX16" t="str">
            <v/>
          </cell>
          <cell r="AZ16" t="str">
            <v/>
          </cell>
          <cell r="BA16" t="str">
            <v/>
          </cell>
          <cell r="BB16" t="str">
            <v/>
          </cell>
          <cell r="BC16" t="str">
            <v>PR100010658</v>
          </cell>
        </row>
        <row r="17">
          <cell r="B17" t="str">
            <v>PR100010454</v>
          </cell>
          <cell r="C17" t="str">
            <v>Pembelian Coil Closing Release Schneider Part  to ACB IBT</v>
          </cell>
          <cell r="D17" t="str">
            <v>Borneo Maju Jaya, PT - Line 1 &amp; 3</v>
          </cell>
          <cell r="E17" t="str">
            <v>Borneo Maju Jaya, PT
Antares Jaya Gemilang Prima, PT
Vhipa Mulia Pratama, PT
Greentek Elektrikal Indonesia, PT
Ganesha Wirya Pratama, PT
Axel Jaya Cakraniaga, PT
Perwira Sentra Officindo, PT
Gema Industrial, PT
Berlian Sejahtera Teknik, PT</v>
          </cell>
          <cell r="F17" t="str">
            <v>Vhipa Mulia Pratama, PT
Greentek Elektrikal Indonesia, PT
Ganesha Wirya Pratama, PT
Axel Jaya Cakraniaga, PT
Perwira Sentra Officindo, PT
Gema Industrial, PT</v>
          </cell>
          <cell r="G17" t="str">
            <v>R0
6 of 9
26 Jun 25</v>
          </cell>
          <cell r="H17" t="str">
            <v>SLAMET</v>
          </cell>
          <cell r="I17">
            <v>45825</v>
          </cell>
          <cell r="J17" t="str">
            <v>DGOM</v>
          </cell>
          <cell r="K17" t="str">
            <v>B</v>
          </cell>
          <cell r="L17" t="str">
            <v>BID</v>
          </cell>
          <cell r="M17" t="str">
            <v>0184</v>
          </cell>
          <cell r="N17" t="str">
            <v>RH</v>
          </cell>
          <cell r="O17" t="str">
            <v>robertiagus.haposan@alamtri.com</v>
          </cell>
          <cell r="P17">
            <v>1960</v>
          </cell>
          <cell r="Q17">
            <v>31360000</v>
          </cell>
          <cell r="R17" t="str">
            <v>PO Sign Vendor</v>
          </cell>
          <cell r="T17" t="str">
            <v>MSW</v>
          </cell>
          <cell r="U17" t="str">
            <v>Borneo Maju Jaya, PT
Antares Jaya Gemilang Prima, PT
Vhipa Mulia Pratama, PT
Greentek Elektrikal Indonesia, PT
Ganesha Wirya Pratama, PT
Axel Jaya Cakraniaga, PT
Perwira Sentra Officindo, PT
Gema Industrial, PT
Berlian Sejahtera Teknik, PT</v>
          </cell>
          <cell r="V17" t="str">
            <v>Vhipa Mulia Pratama, PT
Greentek Elektrikal Indonesia, PT
Ganesha Wirya Pratama, PT
Axel Jaya Cakraniaga, PT
Perwira Sentra Officindo, PT
Gema Industrial, PT</v>
          </cell>
          <cell r="W17" t="str">
            <v>9 of 9</v>
          </cell>
          <cell r="X17" t="str">
            <v>6 of 9</v>
          </cell>
          <cell r="Y17">
            <v>45827</v>
          </cell>
          <cell r="Z17">
            <v>45834</v>
          </cell>
          <cell r="AC17" t="str">
            <v xml:space="preserve"> of </v>
          </cell>
          <cell r="AD17" t="str">
            <v xml:space="preserve"> of </v>
          </cell>
          <cell r="AF17" t="str">
            <v/>
          </cell>
          <cell r="AI17" t="str">
            <v xml:space="preserve"> of </v>
          </cell>
          <cell r="AJ17" t="str">
            <v xml:space="preserve"> of </v>
          </cell>
          <cell r="AM17">
            <v>0.70833333333333337</v>
          </cell>
          <cell r="AN17" t="str">
            <v>Gema Industrial, PT</v>
          </cell>
          <cell r="AO17" t="str">
            <v>marketing@gema-industrial.com</v>
          </cell>
          <cell r="AP17" t="str">
            <v>PO25000575</v>
          </cell>
          <cell r="AQ17">
            <v>22760000</v>
          </cell>
          <cell r="AR17">
            <v>45840</v>
          </cell>
          <cell r="AS17">
            <v>45876</v>
          </cell>
          <cell r="AT17">
            <v>45880</v>
          </cell>
          <cell r="AU17">
            <v>45978</v>
          </cell>
          <cell r="AV17">
            <v>45887</v>
          </cell>
          <cell r="AW17">
            <v>45985</v>
          </cell>
          <cell r="AX17">
            <v>14</v>
          </cell>
          <cell r="AZ17" t="str">
            <v/>
          </cell>
          <cell r="BA17" t="str">
            <v/>
          </cell>
          <cell r="BB17" t="str">
            <v>Late Completed</v>
          </cell>
          <cell r="BC17" t="str">
            <v>PR100010454</v>
          </cell>
        </row>
        <row r="18">
          <cell r="B18" t="str">
            <v>PR100010400</v>
          </cell>
          <cell r="C18" t="str">
            <v>Jasa Adjusment Valve 3G1 &amp; 3G3 DG IBT</v>
          </cell>
          <cell r="D18" t="str">
            <v>Trakindo Utama, PT</v>
          </cell>
          <cell r="E18" t="str">
            <v>Trakindo Utama, PT (Tanjung)</v>
          </cell>
          <cell r="F18" t="str">
            <v/>
          </cell>
          <cell r="G18" t="str">
            <v/>
          </cell>
          <cell r="H18" t="str">
            <v>SLAMET</v>
          </cell>
          <cell r="I18">
            <v>45852</v>
          </cell>
          <cell r="J18" t="str">
            <v>Tech Main</v>
          </cell>
          <cell r="K18" t="str">
            <v>J</v>
          </cell>
          <cell r="L18" t="str">
            <v>CTR</v>
          </cell>
          <cell r="M18">
            <v>5</v>
          </cell>
          <cell r="N18" t="str">
            <v>RH</v>
          </cell>
          <cell r="O18" t="str">
            <v>robertiagus.haposan@alamtri.com</v>
          </cell>
          <cell r="P18">
            <v>1547</v>
          </cell>
          <cell r="Q18">
            <v>24752000</v>
          </cell>
          <cell r="R18" t="str">
            <v>Completed Sign PO Contract</v>
          </cell>
          <cell r="T18" t="str">
            <v>MSW</v>
          </cell>
          <cell r="U18" t="str">
            <v>Trakindo Utama, PT (Tanjung)</v>
          </cell>
          <cell r="V18" t="str">
            <v>Trakindo Utama, PT</v>
          </cell>
          <cell r="W18" t="str">
            <v>1 of 1</v>
          </cell>
          <cell r="X18" t="str">
            <v>1 of 1</v>
          </cell>
          <cell r="Y18">
            <v>45854</v>
          </cell>
          <cell r="Z18">
            <v>45855</v>
          </cell>
          <cell r="AC18" t="str">
            <v xml:space="preserve"> of </v>
          </cell>
          <cell r="AD18" t="str">
            <v xml:space="preserve"> of </v>
          </cell>
          <cell r="AF18" t="str">
            <v/>
          </cell>
          <cell r="AI18" t="str">
            <v xml:space="preserve"> of </v>
          </cell>
          <cell r="AJ18" t="str">
            <v xml:space="preserve"> of </v>
          </cell>
          <cell r="AM18">
            <v>0.70833333333333337</v>
          </cell>
          <cell r="AN18" t="str">
            <v>Trakindo Utama, PT</v>
          </cell>
          <cell r="AO18" t="str">
            <v>hjuniater.sidauruk@trakindo.co.id</v>
          </cell>
          <cell r="AP18" t="str">
            <v>PO25000538</v>
          </cell>
          <cell r="AQ18">
            <v>37115774</v>
          </cell>
          <cell r="AT18">
            <v>45867</v>
          </cell>
          <cell r="AU18">
            <v>45905</v>
          </cell>
          <cell r="AV18">
            <v>45870</v>
          </cell>
          <cell r="AW18">
            <v>45908</v>
          </cell>
          <cell r="AX18">
            <v>5.4285714285714288</v>
          </cell>
          <cell r="AY18">
            <v>45891</v>
          </cell>
          <cell r="AZ18" t="str">
            <v/>
          </cell>
          <cell r="BA18" t="str">
            <v/>
          </cell>
          <cell r="BB18" t="str">
            <v>Completed</v>
          </cell>
          <cell r="BC18" t="str">
            <v>PR100010400</v>
          </cell>
        </row>
        <row r="19">
          <cell r="B19" t="str">
            <v>PR100009893</v>
          </cell>
          <cell r="C19" t="str">
            <v>Pembeliaan part for Flip Flow Screen</v>
          </cell>
          <cell r="E19" t="str">
            <v>Kin Kitra Kencana, PT
Putera Instrumenindo, PT
Putra Andalan Perkasa, PT
Alfa Teknik Mandiri Makmur, PT
Sinar Surya Lestari, PT
Outsourcindo, PT
Loka Manggala, PT
Artam Borneo Automatika, PT</v>
          </cell>
          <cell r="F19" t="str">
            <v>Kin Kitra Kencana, PT
Alfa Teknik Mandiri Makmur, PT
Artam Borneo Automatika, PT</v>
          </cell>
          <cell r="G19" t="str">
            <v>R0
3 of 8
31 Jan 25</v>
          </cell>
          <cell r="H19" t="str">
            <v>RIZKY AGUSTINA</v>
          </cell>
          <cell r="I19">
            <v>45677</v>
          </cell>
          <cell r="J19" t="str">
            <v>Tech Main</v>
          </cell>
          <cell r="K19" t="str">
            <v>B</v>
          </cell>
          <cell r="L19" t="str">
            <v>BID</v>
          </cell>
          <cell r="M19" t="str">
            <v>0017</v>
          </cell>
          <cell r="N19" t="str">
            <v>RH</v>
          </cell>
          <cell r="O19" t="str">
            <v>robertiagus.haposan@alamtri.com</v>
          </cell>
          <cell r="P19">
            <v>9457.5</v>
          </cell>
          <cell r="Q19">
            <v>151320000</v>
          </cell>
          <cell r="R19" t="str">
            <v>Completed Sign PO</v>
          </cell>
          <cell r="T19" t="str">
            <v>MSW</v>
          </cell>
          <cell r="U19" t="str">
            <v>Kin Kitra Kencana, PT
Putera Instrumenindo, PT
Putra Andalan Perkasa, PT
Alfa Teknik Mandiri Makmur, PT
Sinar Surya Lestari, PT
Outsourcindo, PT
Loka Manggala, PT
Artam Borneo Automatika, PT</v>
          </cell>
          <cell r="V19" t="str">
            <v>Kin Kitra Kencana, PT
Alfa Teknik Mandiri Makmur, PT
Artam Borneo Automatika, PT</v>
          </cell>
          <cell r="W19" t="str">
            <v>8 of 8</v>
          </cell>
          <cell r="X19" t="str">
            <v>3 of 8</v>
          </cell>
          <cell r="Y19">
            <v>45677</v>
          </cell>
          <cell r="Z19">
            <v>45688</v>
          </cell>
          <cell r="AC19" t="str">
            <v xml:space="preserve"> of </v>
          </cell>
          <cell r="AD19" t="str">
            <v xml:space="preserve"> of </v>
          </cell>
          <cell r="AF19" t="str">
            <v/>
          </cell>
          <cell r="AI19" t="str">
            <v xml:space="preserve"> of </v>
          </cell>
          <cell r="AJ19" t="str">
            <v xml:space="preserve"> of </v>
          </cell>
          <cell r="AM19">
            <v>0.70833333333333337</v>
          </cell>
          <cell r="AN19" t="str">
            <v>Kin Kitra Kencana, PT</v>
          </cell>
          <cell r="AO19" t="str">
            <v>ptkinkitrakencana@gmail.com; teguhkin999@gmail.com</v>
          </cell>
          <cell r="AP19" t="str">
            <v>PO25000156</v>
          </cell>
          <cell r="AQ19">
            <v>218700000</v>
          </cell>
          <cell r="AR19">
            <v>45692</v>
          </cell>
          <cell r="AS19">
            <v>45727</v>
          </cell>
          <cell r="AT19">
            <v>45730</v>
          </cell>
          <cell r="AU19">
            <v>45856</v>
          </cell>
          <cell r="AV19">
            <v>45734</v>
          </cell>
          <cell r="AW19">
            <v>45860</v>
          </cell>
          <cell r="AX19">
            <v>18</v>
          </cell>
          <cell r="AY19">
            <v>45797</v>
          </cell>
          <cell r="AZ19" t="str">
            <v/>
          </cell>
          <cell r="BA19" t="str">
            <v/>
          </cell>
          <cell r="BB19" t="str">
            <v>Late Completed</v>
          </cell>
          <cell r="BC19" t="str">
            <v>PR100009893</v>
          </cell>
        </row>
        <row r="20">
          <cell r="B20" t="str">
            <v>PR100010079 (Jun 25)</v>
          </cell>
          <cell r="C20" t="str">
            <v>Sewa Trafo JPI 35MVA   (1 Januari 2025 sd 31 Desember 2025)</v>
          </cell>
          <cell r="D20" t="str">
            <v>Adaro Minerals Indonesia Tbk, PT</v>
          </cell>
          <cell r="E20" t="str">
            <v>Adaro Minerals Indonesia Tbk, PT</v>
          </cell>
          <cell r="F20" t="str">
            <v/>
          </cell>
          <cell r="G20" t="str">
            <v/>
          </cell>
          <cell r="H20" t="str">
            <v>GUNARA FERY FAHNANI</v>
          </cell>
          <cell r="I20">
            <v>45854</v>
          </cell>
          <cell r="J20" t="str">
            <v>Tech Main</v>
          </cell>
          <cell r="K20" t="str">
            <v>J</v>
          </cell>
          <cell r="L20" t="str">
            <v>CTR</v>
          </cell>
          <cell r="N20" t="str">
            <v>RH</v>
          </cell>
          <cell r="O20" t="str">
            <v>robertiagus.haposan@alamtri.com</v>
          </cell>
          <cell r="P20">
            <v>4545</v>
          </cell>
          <cell r="Q20">
            <v>72720000</v>
          </cell>
          <cell r="R20" t="str">
            <v>PO Sign Vendor</v>
          </cell>
          <cell r="T20" t="str">
            <v>MSW</v>
          </cell>
          <cell r="U20" t="str">
            <v>Adaro Minerals Indonesia Tbk, PT</v>
          </cell>
          <cell r="V20" t="str">
            <v>Adaro Minerals Indonesia Tbk, PT</v>
          </cell>
          <cell r="W20" t="str">
            <v>1 of 1</v>
          </cell>
          <cell r="X20" t="str">
            <v>1 of 1</v>
          </cell>
          <cell r="Z20" t="str">
            <v/>
          </cell>
          <cell r="AC20" t="str">
            <v xml:space="preserve"> of </v>
          </cell>
          <cell r="AD20" t="str">
            <v xml:space="preserve"> of </v>
          </cell>
          <cell r="AF20" t="str">
            <v/>
          </cell>
          <cell r="AI20" t="str">
            <v xml:space="preserve"> of </v>
          </cell>
          <cell r="AJ20" t="str">
            <v xml:space="preserve"> of </v>
          </cell>
          <cell r="AM20">
            <v>0.70833333333333337</v>
          </cell>
          <cell r="AN20" t="str">
            <v>Adaro Minerals Indonesia Tbk, PT</v>
          </cell>
          <cell r="AO20" t="str">
            <v/>
          </cell>
          <cell r="AP20" t="str">
            <v>PO25000493</v>
          </cell>
          <cell r="AQ20">
            <v>69230633</v>
          </cell>
          <cell r="AT20">
            <v>45854</v>
          </cell>
          <cell r="AU20">
            <v>45886</v>
          </cell>
          <cell r="AV20">
            <v>45859</v>
          </cell>
          <cell r="AW20">
            <v>45891</v>
          </cell>
          <cell r="AX20">
            <v>4.5714285714285712</v>
          </cell>
          <cell r="AY20">
            <v>45859</v>
          </cell>
          <cell r="AZ20" t="str">
            <v/>
          </cell>
          <cell r="BA20" t="str">
            <v/>
          </cell>
          <cell r="BB20" t="str">
            <v>Completed</v>
          </cell>
          <cell r="BC20" t="str">
            <v>PR100010079</v>
          </cell>
        </row>
        <row r="21">
          <cell r="B21" t="str">
            <v>PR100010079 (Jul 25)</v>
          </cell>
          <cell r="C21" t="str">
            <v>Sewa Trafo JPI 35MVA   (1 Januari 2025 sd 31 Desember 2025)</v>
          </cell>
          <cell r="D21" t="str">
            <v>Adaro Minerals Indonesia Tbk, PT</v>
          </cell>
          <cell r="E21" t="str">
            <v>Adaro Minerals Indonesia Tbk, PT</v>
          </cell>
          <cell r="F21" t="str">
            <v/>
          </cell>
          <cell r="G21" t="str">
            <v/>
          </cell>
          <cell r="H21" t="str">
            <v>GUNARA FERY FAHNANI</v>
          </cell>
          <cell r="I21">
            <v>45876</v>
          </cell>
          <cell r="J21" t="str">
            <v>Tech Main</v>
          </cell>
          <cell r="K21" t="str">
            <v>J</v>
          </cell>
          <cell r="L21" t="str">
            <v>CTR</v>
          </cell>
          <cell r="N21" t="str">
            <v>RH</v>
          </cell>
          <cell r="O21" t="str">
            <v>robertiagus.haposan@alamtri.com</v>
          </cell>
          <cell r="P21">
            <v>4545</v>
          </cell>
          <cell r="Q21">
            <v>72720000</v>
          </cell>
          <cell r="R21" t="str">
            <v>PO Sign Vendor</v>
          </cell>
          <cell r="T21" t="str">
            <v>MSW</v>
          </cell>
          <cell r="U21" t="str">
            <v>Adaro Minerals Indonesia Tbk, PT</v>
          </cell>
          <cell r="V21" t="str">
            <v>Adaro Minerals Indonesia Tbk, PT</v>
          </cell>
          <cell r="W21" t="str">
            <v>1 of 1</v>
          </cell>
          <cell r="X21" t="str">
            <v>1 of 1</v>
          </cell>
          <cell r="Z21" t="str">
            <v/>
          </cell>
          <cell r="AC21" t="str">
            <v xml:space="preserve"> of </v>
          </cell>
          <cell r="AD21" t="str">
            <v xml:space="preserve"> of </v>
          </cell>
          <cell r="AF21" t="str">
            <v/>
          </cell>
          <cell r="AI21" t="str">
            <v xml:space="preserve"> of </v>
          </cell>
          <cell r="AJ21" t="str">
            <v xml:space="preserve"> of </v>
          </cell>
          <cell r="AM21">
            <v>0.70833333333333337</v>
          </cell>
          <cell r="AN21" t="str">
            <v>Adaro Minerals Indonesia Tbk, PT</v>
          </cell>
          <cell r="AO21" t="str">
            <v/>
          </cell>
          <cell r="AP21" t="str">
            <v>PO25000577</v>
          </cell>
          <cell r="AQ21">
            <v>69141478</v>
          </cell>
          <cell r="AT21">
            <v>45876</v>
          </cell>
          <cell r="AU21">
            <v>45908</v>
          </cell>
          <cell r="AV21">
            <v>45881</v>
          </cell>
          <cell r="AW21">
            <v>45913</v>
          </cell>
          <cell r="AX21">
            <v>4.5714285714285712</v>
          </cell>
          <cell r="AY21">
            <v>45888</v>
          </cell>
          <cell r="AZ21" t="str">
            <v/>
          </cell>
          <cell r="BA21" t="str">
            <v/>
          </cell>
          <cell r="BB21" t="str">
            <v>Completed</v>
          </cell>
          <cell r="BC21" t="str">
            <v>PR100010079</v>
          </cell>
        </row>
        <row r="22">
          <cell r="B22" t="str">
            <v>PR100010088</v>
          </cell>
          <cell r="C22" t="str">
            <v>Solenoid Valve Spray Turbine</v>
          </cell>
          <cell r="E22" t="str">
            <v>Kin Kitra Kencana, PT
Promitra Prima Indonesia, PT
Dayaniaga Ekaselaras, PT
Gamako Ekakarsa, PT
Dycom Engineering, PT
Rande Buana Teknik, PT</v>
          </cell>
          <cell r="F22" t="str">
            <v>Kin Kitra Kencana, PT
Promitra Prima Indonesia, PT
Dayaniaga Ekaselaras, PT
Gamako Ekakarsa, PT
Rande Buana Teknik, PT</v>
          </cell>
          <cell r="G22" t="str">
            <v>R2
5 of 6
11 Apr 25</v>
          </cell>
          <cell r="H22" t="str">
            <v>DEDE SUDARJI</v>
          </cell>
          <cell r="I22">
            <v>45752</v>
          </cell>
          <cell r="J22" t="str">
            <v>INV</v>
          </cell>
          <cell r="K22" t="str">
            <v>B</v>
          </cell>
          <cell r="L22" t="str">
            <v>BID</v>
          </cell>
          <cell r="M22" t="str">
            <v>0082</v>
          </cell>
          <cell r="N22" t="str">
            <v>RH</v>
          </cell>
          <cell r="O22" t="str">
            <v>robertiagus.haposan@alamtri.com</v>
          </cell>
          <cell r="P22">
            <v>5908</v>
          </cell>
          <cell r="Q22">
            <v>94528000</v>
          </cell>
          <cell r="R22" t="str">
            <v>Completed Sign PO</v>
          </cell>
          <cell r="T22" t="str">
            <v>MSW</v>
          </cell>
          <cell r="U22" t="str">
            <v>Lienetic Jaya, PT
ANP Engineering, PT
Dycom Engineering, PT
Gamako Ekakarsa, PT
Putera Instrumenindo, PT
Kin Kitra Kencana, PT
Petrocom Nusa Synergy, PT
Gema Industrial, PT
ODG Indonesia, PT</v>
          </cell>
          <cell r="W22" t="str">
            <v>9 of 9</v>
          </cell>
          <cell r="X22" t="str">
            <v xml:space="preserve"> of 9</v>
          </cell>
          <cell r="Y22">
            <v>45706</v>
          </cell>
          <cell r="Z22">
            <v>45713</v>
          </cell>
          <cell r="AA22" t="str">
            <v>Gamako Ekakarsa, PT
Kin Kitra Kencana, PT
Antares Jaya Gemilang Prima, PT
Gading Mas Utama, PT
Mulya Jatra, PT
Dielektrika Persada Teknik, PT
Promitra Prima Indonesia, PT
Buana Cahayatama, PT</v>
          </cell>
          <cell r="AB22" t="str">
            <v>Promitra Prima Indonesia, PT</v>
          </cell>
          <cell r="AC22" t="str">
            <v>8 of 8</v>
          </cell>
          <cell r="AD22" t="str">
            <v>1 of 8</v>
          </cell>
          <cell r="AE22">
            <v>45715</v>
          </cell>
          <cell r="AF22">
            <v>45722</v>
          </cell>
          <cell r="AG22" t="str">
            <v>Kin Kitra Kencana, PT
Promitra Prima Indonesia, PT
Dayaniaga Ekaselaras, PT
Gamako Ekakarsa, PT
Dycom Engineering, PT
Rande Buana Teknik, PT</v>
          </cell>
          <cell r="AH22" t="str">
            <v>Kin Kitra Kencana, PT
Promitra Prima Indonesia, PT
Dayaniaga Ekaselaras, PT
Gamako Ekakarsa, PT
Rande Buana Teknik, PT</v>
          </cell>
          <cell r="AI22" t="str">
            <v>6 of 6</v>
          </cell>
          <cell r="AJ22" t="str">
            <v>5 of 6</v>
          </cell>
          <cell r="AK22">
            <v>45734</v>
          </cell>
          <cell r="AL22">
            <v>45758</v>
          </cell>
          <cell r="AM22">
            <v>0.70833333333333337</v>
          </cell>
          <cell r="AN22" t="str">
            <v>Gamako Ekakarsa, PT</v>
          </cell>
          <cell r="AO22" t="str">
            <v>sales@gamako.co.id</v>
          </cell>
          <cell r="AP22" t="str">
            <v>PO25000350</v>
          </cell>
          <cell r="AQ22">
            <v>114796000</v>
          </cell>
          <cell r="AR22">
            <v>45762</v>
          </cell>
          <cell r="AS22">
            <v>45783</v>
          </cell>
          <cell r="AT22">
            <v>45796</v>
          </cell>
          <cell r="AU22">
            <v>45880</v>
          </cell>
          <cell r="AV22">
            <v>45810</v>
          </cell>
          <cell r="AW22">
            <v>45894</v>
          </cell>
          <cell r="AX22">
            <v>12</v>
          </cell>
          <cell r="AY22">
            <v>45866</v>
          </cell>
          <cell r="AZ22" t="str">
            <v/>
          </cell>
          <cell r="BA22" t="str">
            <v/>
          </cell>
          <cell r="BB22" t="str">
            <v>Late Completed</v>
          </cell>
          <cell r="BC22" t="str">
            <v>PR100010088</v>
          </cell>
        </row>
        <row r="23">
          <cell r="B23" t="str">
            <v>PR100010075</v>
          </cell>
          <cell r="C23" t="str">
            <v>SLO (Sertifikasi Laik Operasi) GENSET area Tambang dan Plant PLTU</v>
          </cell>
          <cell r="E23" t="str">
            <v>Perizindo Sumber Teknik, PT
Rafa Pratama Zahirah, PT
Sabda Duta Paramitha, PT
Andalan Mutu Energi, PT
Fajero Karya Jaya, PT
Radifela Lintek Indonesia, PT
Berkah Energi Safety, PT
Prima Teknik System, PT
Sucofindo, PT</v>
          </cell>
          <cell r="F23" t="str">
            <v>Perizindo Sumber Teknik, PT
Sucofindo, PT</v>
          </cell>
          <cell r="G23" t="str">
            <v>R2
2 of 9
11 Apr 25</v>
          </cell>
          <cell r="H23" t="str">
            <v>SLAMET</v>
          </cell>
          <cell r="I23">
            <v>45762</v>
          </cell>
          <cell r="J23" t="str">
            <v>HSE</v>
          </cell>
          <cell r="K23" t="str">
            <v>J</v>
          </cell>
          <cell r="L23" t="str">
            <v>BID</v>
          </cell>
          <cell r="M23" t="str">
            <v>0086</v>
          </cell>
          <cell r="N23" t="str">
            <v>RH</v>
          </cell>
          <cell r="O23" t="str">
            <v>robertiagus.haposan@alamtri.com</v>
          </cell>
          <cell r="P23">
            <v>5200.3846000000003</v>
          </cell>
          <cell r="Q23">
            <v>83206153.600000009</v>
          </cell>
          <cell r="R23" t="str">
            <v>PO Sign Vendor</v>
          </cell>
          <cell r="T23" t="str">
            <v>MSW</v>
          </cell>
          <cell r="U23" t="str">
            <v>Dankha Dian Kurnia, PT
Surveyor Indonesia, PT
Ketel Uap Indonesia, PT
Radifela Lintek Indonesia, PT
Global Sertifikasi Jaya, PT
Sucofindo, PT
Perizindo Sumber Teknik, PT</v>
          </cell>
          <cell r="V23" t="str">
            <v>Perizindo Sumber Teknik, PT</v>
          </cell>
          <cell r="W23" t="str">
            <v>7 of 7</v>
          </cell>
          <cell r="X23" t="str">
            <v>1 of 7</v>
          </cell>
          <cell r="Y23">
            <v>45708</v>
          </cell>
          <cell r="Z23">
            <v>45715</v>
          </cell>
          <cell r="AA23" t="str">
            <v>Perizindo Sumber Teknik, PT
Sucofindo, PT
Sabda Duta Paramitha, PT
Andalan Mutu Energi, PT
Surveyor Indonesia, PT
Mandiri Tangguh Perkasa Indonesia, PT
Etikon Rekayasa Teknik, PT
Servo Garda Pratama, PT
Deria Cahaya Gemilang, PT
Arexas Indonesia, PT</v>
          </cell>
          <cell r="AB23" t="str">
            <v>Perizindo Sumber Teknik, PT</v>
          </cell>
          <cell r="AC23" t="str">
            <v>10 of 10</v>
          </cell>
          <cell r="AD23" t="str">
            <v>1 of 10</v>
          </cell>
          <cell r="AE23">
            <v>45719</v>
          </cell>
          <cell r="AF23">
            <v>45726</v>
          </cell>
          <cell r="AG23" t="str">
            <v>Perizindo Sumber Teknik, PT
Rafa Pratama Zahirah, PT
Sabda Duta Paramitha, PT
Andalan Mutu Energi, PT
Fajero Karya Jaya, PT
Radifela Lintek Indonesia, PT
Berkah Energi Safety, PT
Prima Teknik System, PT
Sucofindo, PT</v>
          </cell>
          <cell r="AH23" t="str">
            <v>Perizindo Sumber Teknik, PT
Sucofindo, PT</v>
          </cell>
          <cell r="AI23" t="str">
            <v>9 of 9</v>
          </cell>
          <cell r="AJ23" t="str">
            <v>2 of 9</v>
          </cell>
          <cell r="AK23">
            <v>45734</v>
          </cell>
          <cell r="AL23">
            <v>45758</v>
          </cell>
          <cell r="AM23">
            <v>0.70833333333333337</v>
          </cell>
          <cell r="AN23" t="str">
            <v>Sucofindo, PT</v>
          </cell>
          <cell r="AO23" t="str">
            <v>octavia@sucofindo.co.id; juniyanto@sucofindo.co.id;
c.anugrahno@sucofindo.co.id;
pidekso.kusumadatu@sucofindo.co.id; ismanto@sucofindo.co.id; customer.service@sucofindo.co.id</v>
          </cell>
          <cell r="AP23" t="str">
            <v>PO25000329R1</v>
          </cell>
          <cell r="AQ23">
            <v>127000000</v>
          </cell>
          <cell r="AR23">
            <v>45743</v>
          </cell>
          <cell r="AS23">
            <v>45867</v>
          </cell>
          <cell r="AT23">
            <v>45869</v>
          </cell>
          <cell r="AU23">
            <v>45905</v>
          </cell>
          <cell r="AV23">
            <v>45870</v>
          </cell>
          <cell r="AW23">
            <v>45906</v>
          </cell>
          <cell r="AX23">
            <v>5.1428571428571432</v>
          </cell>
          <cell r="AY23">
            <v>45905</v>
          </cell>
          <cell r="AZ23" t="str">
            <v/>
          </cell>
          <cell r="BA23" t="str">
            <v/>
          </cell>
          <cell r="BB23" t="str">
            <v>Late Completed</v>
          </cell>
          <cell r="BC23" t="str">
            <v>PR100010075</v>
          </cell>
        </row>
        <row r="24">
          <cell r="B24" t="str">
            <v>PR100010115</v>
          </cell>
          <cell r="C24" t="str">
            <v>Sparepart DPLevel Transmitter Boiler</v>
          </cell>
          <cell r="E24" t="str">
            <v>ABB Power Grids Indonesia, PT
ABB Sakti Industri, PT
ANP Engineering, PT
Gading Mas Utama, PT
Gema Industrial, PT
Gevana, PT
Greentek Elektrikal Indonesia, PT
Kin Kitra Kencana, PT
Lienetic Jaya, PT
Trimitra Bangun Karyatama, PT</v>
          </cell>
          <cell r="F24" t="str">
            <v>Gading Mas Utama, PT
Gema Industrial, PT
Gevana, PT
Greentek Elektrikal Indonesia, PT
Trimitra Bangun Karyatama, PT</v>
          </cell>
          <cell r="G24" t="str">
            <v>R0
5 of 10
03 Mar 25</v>
          </cell>
          <cell r="H24" t="str">
            <v>DEDE SUDARJI</v>
          </cell>
          <cell r="I24">
            <v>45708</v>
          </cell>
          <cell r="J24" t="str">
            <v>Tech Main</v>
          </cell>
          <cell r="K24" t="str">
            <v>B</v>
          </cell>
          <cell r="L24" t="str">
            <v>BID</v>
          </cell>
          <cell r="M24" t="str">
            <v>0087</v>
          </cell>
          <cell r="N24" t="str">
            <v>RH</v>
          </cell>
          <cell r="O24" t="str">
            <v>robertiagus.haposan@alamtri.com</v>
          </cell>
          <cell r="P24">
            <v>2600</v>
          </cell>
          <cell r="Q24">
            <v>41600000</v>
          </cell>
          <cell r="R24" t="str">
            <v>Completed Sign PO</v>
          </cell>
          <cell r="T24" t="str">
            <v>MSW</v>
          </cell>
          <cell r="U24" t="str">
            <v>ABB Power Grids Indonesia, PT
ABB Sakti Industri, PT
ANP Engineering, PT
Gading Mas Utama, PT
Gema Industrial, PT
Gevana, PT
Greentek Elektrikal Indonesia, PT
Kin Kitra Kencana, PT
Lienetic Jaya, PT
Trimitra Bangun Karyatama, PT</v>
          </cell>
          <cell r="V24" t="str">
            <v>Gading Mas Utama, PT
Gema Industrial, PT
Gevana, PT
Greentek Elektrikal Indonesia, PT
Trimitra Bangun Karyatama, PT</v>
          </cell>
          <cell r="W24" t="str">
            <v>10 of 10</v>
          </cell>
          <cell r="X24" t="str">
            <v>5 of 10</v>
          </cell>
          <cell r="Y24">
            <v>45712</v>
          </cell>
          <cell r="Z24">
            <v>45719</v>
          </cell>
          <cell r="AC24" t="str">
            <v xml:space="preserve"> of </v>
          </cell>
          <cell r="AD24" t="str">
            <v xml:space="preserve"> of </v>
          </cell>
          <cell r="AF24" t="str">
            <v/>
          </cell>
          <cell r="AI24" t="str">
            <v xml:space="preserve"> of </v>
          </cell>
          <cell r="AJ24" t="str">
            <v xml:space="preserve"> of </v>
          </cell>
          <cell r="AL24" t="str">
            <v/>
          </cell>
          <cell r="AM24">
            <v>0.70833333333333337</v>
          </cell>
          <cell r="AN24" t="str">
            <v>Gading Mas Utama, PT</v>
          </cell>
          <cell r="AO24" t="str">
            <v>sales@gmu.co.id; marta.l@cbn.net.id</v>
          </cell>
          <cell r="AP24" t="str">
            <v>PO25000213</v>
          </cell>
          <cell r="AQ24">
            <v>35250000</v>
          </cell>
          <cell r="AR24">
            <v>45723</v>
          </cell>
          <cell r="AS24">
            <v>45733</v>
          </cell>
          <cell r="AT24">
            <v>45743</v>
          </cell>
          <cell r="AU24">
            <v>45842</v>
          </cell>
          <cell r="AV24">
            <v>45744</v>
          </cell>
          <cell r="AW24">
            <v>45843</v>
          </cell>
          <cell r="AX24">
            <v>14.142857142857142</v>
          </cell>
          <cell r="AY24">
            <v>45828</v>
          </cell>
          <cell r="AZ24" t="str">
            <v/>
          </cell>
          <cell r="BA24" t="str">
            <v/>
          </cell>
          <cell r="BB24" t="str">
            <v>Late Completed</v>
          </cell>
          <cell r="BC24" t="str">
            <v>PR100010115</v>
          </cell>
        </row>
        <row r="25">
          <cell r="B25" t="str">
            <v>PR100010135</v>
          </cell>
          <cell r="C25" t="str">
            <v>Sosial Mapping PT Makmur Sejahtera Wisesa Periode 2025</v>
          </cell>
          <cell r="E25" t="str">
            <v>Sucofindo, PT
Sahabat Investasi Indotama, PT
Karya Masyarakat Mandiri, PT
Cendekia Muda Sejahtera, PT
Synergi Solusi, PT
Banua Raya Persada, PT</v>
          </cell>
          <cell r="F25" t="str">
            <v>Sucofindo, PT
Sahabat Investasi Indotama, PT
Karya Masyarakat Mandiri, PT
Cendekia Muda Sejahtera, PT</v>
          </cell>
          <cell r="G25" t="str">
            <v>R0
4 of 6
24 Mar 25</v>
          </cell>
          <cell r="H25" t="str">
            <v>M FIKRY MAULANA</v>
          </cell>
          <cell r="I25">
            <v>45876</v>
          </cell>
          <cell r="J25" t="str">
            <v>HR</v>
          </cell>
          <cell r="K25" t="str">
            <v>J</v>
          </cell>
          <cell r="L25" t="str">
            <v>BID</v>
          </cell>
          <cell r="N25" t="str">
            <v>RH</v>
          </cell>
          <cell r="O25" t="str">
            <v>robertiagus.haposan@alamtri.com</v>
          </cell>
          <cell r="P25">
            <v>6204.97</v>
          </cell>
          <cell r="Q25">
            <v>99279520</v>
          </cell>
          <cell r="R25" t="str">
            <v>PO Sign Vendor</v>
          </cell>
          <cell r="T25" t="str">
            <v>MSW</v>
          </cell>
          <cell r="U25" t="str">
            <v>Sucofindo, PT
Sahabat Investasi Indotama, PT
Karya Masyarakat Mandiri, PT
Cendekia Muda Sejahtera, PT
Synergi Solusi, PT
Banua Raya Persada, PT</v>
          </cell>
          <cell r="V25" t="str">
            <v>Sucofindo, PT
Sahabat Investasi Indotama, PT
Karya Masyarakat Mandiri, PT
Cendekia Muda Sejahtera, PT</v>
          </cell>
          <cell r="W25" t="str">
            <v>6 of 6</v>
          </cell>
          <cell r="X25" t="str">
            <v>4 of 6</v>
          </cell>
          <cell r="Y25">
            <v>45733</v>
          </cell>
          <cell r="Z25">
            <v>45740</v>
          </cell>
          <cell r="AC25" t="str">
            <v xml:space="preserve"> of </v>
          </cell>
          <cell r="AD25" t="str">
            <v xml:space="preserve"> of </v>
          </cell>
          <cell r="AF25" t="str">
            <v/>
          </cell>
          <cell r="AI25" t="str">
            <v xml:space="preserve"> of </v>
          </cell>
          <cell r="AJ25" t="str">
            <v xml:space="preserve"> of </v>
          </cell>
          <cell r="AL25" t="str">
            <v/>
          </cell>
          <cell r="AM25">
            <v>0.70833333333333337</v>
          </cell>
          <cell r="AN25" t="str">
            <v>Cendekia Muda Sejahtera, CV</v>
          </cell>
          <cell r="AO25" t="str">
            <v>bintangara@gmail.com</v>
          </cell>
          <cell r="AP25" t="str">
            <v>PO25000574</v>
          </cell>
          <cell r="AQ25">
            <v>140270700</v>
          </cell>
          <cell r="AR25">
            <v>45756</v>
          </cell>
          <cell r="AS25">
            <v>45867</v>
          </cell>
          <cell r="AT25">
            <v>45876</v>
          </cell>
          <cell r="AU25">
            <v>45940</v>
          </cell>
          <cell r="AV25">
            <v>45880</v>
          </cell>
          <cell r="AW25">
            <v>45944</v>
          </cell>
          <cell r="AX25">
            <v>9.1428571428571423</v>
          </cell>
          <cell r="AZ25" t="str">
            <v/>
          </cell>
          <cell r="BA25" t="str">
            <v/>
          </cell>
          <cell r="BB25" t="str">
            <v>Completed</v>
          </cell>
          <cell r="BC25" t="str">
            <v>PR100010135</v>
          </cell>
        </row>
        <row r="26">
          <cell r="B26" t="str">
            <v>PR100009976 (Line 3)</v>
          </cell>
          <cell r="C26" t="str">
            <v>Sparepart Actuator Control Valve</v>
          </cell>
          <cell r="E26" t="str">
            <v>Lienetic Jaya, PT
Duta Sarana Engineering, PT
Alfa Teknik Mandiri Makmur, PT
Adijaya Mitra Perkasa, PT
Firetech Perkasa, PT
Lima Makmur Jaya, PT
Maju Langgeng Mandiri, PT
Hanju Nusantara Power, PT
Afghan Jaya Abadi, PT
Norgantara Andalan Mandiri Indonesia, PT
ODG Indonesia, PT</v>
          </cell>
          <cell r="F26" t="str">
            <v>Alfa Teknik Mandiri Makmur, PT</v>
          </cell>
          <cell r="G26" t="str">
            <v>R2
1 of 11
09 May 25</v>
          </cell>
          <cell r="H26" t="str">
            <v>DEDE SUDARJI</v>
          </cell>
          <cell r="I26">
            <v>45678</v>
          </cell>
          <cell r="J26" t="str">
            <v>Tech Main</v>
          </cell>
          <cell r="K26" t="str">
            <v>B</v>
          </cell>
          <cell r="L26" t="str">
            <v>BID</v>
          </cell>
          <cell r="M26" t="str">
            <v>0038</v>
          </cell>
          <cell r="N26" t="str">
            <v>RH</v>
          </cell>
          <cell r="O26" t="str">
            <v>robertiagus.haposan@alamtri.com</v>
          </cell>
          <cell r="P26">
            <v>1311</v>
          </cell>
          <cell r="Q26">
            <v>20976000</v>
          </cell>
          <cell r="R26" t="str">
            <v>Completed Sign PO</v>
          </cell>
          <cell r="T26" t="str">
            <v>MSW</v>
          </cell>
          <cell r="U26" t="str">
            <v>Putranata Adi Mandiri, PT
Outsourcindo, PT
Kin Kitra Kencana, PT
Putera Instrumenindo, PT
Casa Terra Mandiri Indonesia, PT
Artam Borneo Automatika, PT
Total Solusi Instrument, PT
Petrocom Nusa Synergy, PT
Festo, PT
Arita Prima Indonesia Tbk, PT
Sahabat Energi Persada, PT</v>
          </cell>
          <cell r="V26" t="str">
            <v>Kin Kitra Kencana, PT
Casa Terra Mandiri Indonesia, PT
Artam Borneo Automatika, PT
Petrocom Nusa Synergy, PT</v>
          </cell>
          <cell r="W26" t="str">
            <v>11 of 11</v>
          </cell>
          <cell r="X26" t="str">
            <v>4 of 11</v>
          </cell>
          <cell r="Y26">
            <v>45679</v>
          </cell>
          <cell r="Z26">
            <v>45692</v>
          </cell>
          <cell r="AA26" t="str">
            <v>Artam Borneo Automatika, PT
Alfa Teknik Mandiri Makmur, PT
Dwijaya Sentral Sarana, PT
Antares Jaya Gemilang Prima, PT
Gema Industrial, PT
Andalan Tiga Berlian, PT
KSB Sales Indonesia, PT
Mitra Wira Pratama, PT
Lamindo Prima Mandiri, PT
Cakra Instrumindo Utama, PT
Axel Jaya Cakraniaga, PT</v>
          </cell>
          <cell r="AB26" t="str">
            <v>Artam Borneo Automatika, PT</v>
          </cell>
          <cell r="AC26" t="str">
            <v>11 of 11</v>
          </cell>
          <cell r="AD26" t="str">
            <v>1 of 11</v>
          </cell>
          <cell r="AE26">
            <v>45701</v>
          </cell>
          <cell r="AF26">
            <v>45708</v>
          </cell>
          <cell r="AG26" t="str">
            <v>Lienetic Jaya, PT
Duta Sarana Engineering, PT
Alfa Teknik Mandiri Makmur, PT
Adijaya Mitra Perkasa, PT
Firetech Perkasa, PT
Lima Makmur Jaya, PT
Maju Langgeng Mandiri, PT
Hanju Nusantara Power, PT
Afghan Jaya Abadi, PT
Norgantara Andalan Mandiri Indonesia, PT
ODG Indonesia, PT</v>
          </cell>
          <cell r="AH26" t="str">
            <v>Alfa Teknik Mandiri Makmur, PT</v>
          </cell>
          <cell r="AI26" t="str">
            <v>11 of 11</v>
          </cell>
          <cell r="AJ26" t="str">
            <v>1 of 11</v>
          </cell>
          <cell r="AK26">
            <v>45769</v>
          </cell>
          <cell r="AL26">
            <v>45786</v>
          </cell>
          <cell r="AM26">
            <v>0.70833333333333337</v>
          </cell>
          <cell r="AN26" t="str">
            <v>Alfa Teknik Mandiri Makmur, PT</v>
          </cell>
          <cell r="AO26" t="str">
            <v>sales.atmm@gmail.com; alex_atmm@yahoo.com</v>
          </cell>
          <cell r="AP26" t="str">
            <v>PO25000412</v>
          </cell>
          <cell r="AQ26">
            <v>4500000</v>
          </cell>
          <cell r="AR26">
            <v>45793</v>
          </cell>
          <cell r="AS26">
            <v>45804</v>
          </cell>
          <cell r="AT26">
            <v>45826</v>
          </cell>
          <cell r="AU26">
            <v>45877</v>
          </cell>
          <cell r="AV26">
            <v>45833</v>
          </cell>
          <cell r="AW26">
            <v>45884</v>
          </cell>
          <cell r="AX26">
            <v>7.2857142857142856</v>
          </cell>
          <cell r="AY26">
            <v>45877</v>
          </cell>
          <cell r="AZ26" t="str">
            <v/>
          </cell>
          <cell r="BA26" t="str">
            <v/>
          </cell>
          <cell r="BB26" t="str">
            <v>Late Completed</v>
          </cell>
          <cell r="BC26" t="str">
            <v>PR100009976</v>
          </cell>
        </row>
        <row r="27">
          <cell r="B27" t="str">
            <v>PR100010228</v>
          </cell>
          <cell r="C27" t="str">
            <v>Insulation Tester (meger) Fluke 1550C 5kV</v>
          </cell>
          <cell r="E27" t="str">
            <v>Berkat Pratama Teknik, CV
Greentek Elektrikal Indonesia, PT
Vhipa Mulia Pratama, PT
Gema Industrial, PT
Alfa Teknik Mandiri Makmur, PT
Narmada Setia, PT
Siwali Swantika, PT</v>
          </cell>
          <cell r="F27" t="str">
            <v>Greentek Elektrikal Indonesia, PT
Gema Industrial, PT
Narmada Setia, PT
Siwali Swantika, PT</v>
          </cell>
          <cell r="G27" t="str">
            <v>R0
4 of 7
11 Apr 25</v>
          </cell>
          <cell r="H27" t="str">
            <v>DEDE SUDARJI</v>
          </cell>
          <cell r="I27">
            <v>45741</v>
          </cell>
          <cell r="J27" t="str">
            <v>Tech Main</v>
          </cell>
          <cell r="K27" t="str">
            <v>B</v>
          </cell>
          <cell r="L27" t="str">
            <v>BID</v>
          </cell>
          <cell r="M27" t="str">
            <v>0106</v>
          </cell>
          <cell r="N27" t="str">
            <v>RH</v>
          </cell>
          <cell r="O27" t="str">
            <v>robertiagus.haposan@alamtri.com</v>
          </cell>
          <cell r="P27">
            <v>5165</v>
          </cell>
          <cell r="Q27">
            <v>82640000</v>
          </cell>
          <cell r="R27" t="str">
            <v>Completed Sign PO</v>
          </cell>
          <cell r="T27" t="str">
            <v>MSW</v>
          </cell>
          <cell r="U27" t="str">
            <v>Berkat Pratama Teknik, CV
Greentek Elektrikal Indonesia, PT
Vhipa Mulia Pratama, PT
Gema Industrial, PT
Alfa Teknik Mandiri Makmur, PT
Narmada Setia, PT
Siwali Swantika, PT</v>
          </cell>
          <cell r="V27" t="str">
            <v>Greentek Elektrikal Indonesia, PT
Gema Industrial, PT
Narmada Setia, PT
Siwali Swantika, PT</v>
          </cell>
          <cell r="W27" t="str">
            <v>7 of 7</v>
          </cell>
          <cell r="X27" t="str">
            <v>4 of 7</v>
          </cell>
          <cell r="Y27">
            <v>45743</v>
          </cell>
          <cell r="Z27">
            <v>45758</v>
          </cell>
          <cell r="AC27" t="str">
            <v xml:space="preserve"> of </v>
          </cell>
          <cell r="AD27" t="str">
            <v xml:space="preserve"> of </v>
          </cell>
          <cell r="AF27" t="str">
            <v/>
          </cell>
          <cell r="AI27" t="str">
            <v xml:space="preserve"> of </v>
          </cell>
          <cell r="AJ27" t="str">
            <v xml:space="preserve"> of </v>
          </cell>
          <cell r="AL27" t="str">
            <v/>
          </cell>
          <cell r="AM27">
            <v>0.70833333333333337</v>
          </cell>
          <cell r="AN27" t="str">
            <v>Narmada Setia, PT</v>
          </cell>
          <cell r="AO27" t="str">
            <v>narmadasetia.bekasi@nrs.co.id; office@nrs.co.id; marketingnatasyanarma@gmail.com; anita.grafitra@nsetia.id</v>
          </cell>
          <cell r="AP27" t="str">
            <v>PO25000570</v>
          </cell>
          <cell r="AQ27">
            <v>109099000</v>
          </cell>
          <cell r="AR27">
            <v>45762</v>
          </cell>
          <cell r="AS27">
            <v>45873</v>
          </cell>
          <cell r="AT27">
            <v>45876</v>
          </cell>
          <cell r="AU27">
            <v>45975</v>
          </cell>
          <cell r="AV27">
            <v>45881</v>
          </cell>
          <cell r="AW27">
            <v>45980</v>
          </cell>
          <cell r="AX27">
            <v>14.142857142857142</v>
          </cell>
          <cell r="AY27">
            <v>45975</v>
          </cell>
          <cell r="AZ27" t="str">
            <v/>
          </cell>
          <cell r="BA27" t="str">
            <v/>
          </cell>
          <cell r="BB27" t="str">
            <v>Late Completed</v>
          </cell>
          <cell r="BC27" t="str">
            <v>PR100010228</v>
          </cell>
        </row>
        <row r="28">
          <cell r="B28" t="str">
            <v>PR100010246</v>
          </cell>
          <cell r="C28" t="str">
            <v>Jasa purifikasi oli trafo Genset IBT 2 x 2500 Kva - IBT Mekar Putih</v>
          </cell>
          <cell r="E28" t="str">
            <v>Gridtech Indonesia, PT
Graha Usaha Teknik, PT
Agape Trikarsa Libratama, PT
Duta Sarana Engineering, PT
Powerindo Inti Persada, PT
Mardika Sarana Engineering, PT
Mulya Jatra, PT
Sanggadelima Nusantara, PT
Dielektrika Persada Teknik, PT
Benteng Reka Energi, PT
Pahala Mitra Elektrik, PT
Petrolab Services, PT</v>
          </cell>
          <cell r="F28" t="str">
            <v>Graha Usaha Teknik, PT
Agape Trikarsa Libratama, PT
Mardika Sarana Engineering, PT
Pahala Mitra Elektrik, PT
Petrolab Services, PT</v>
          </cell>
          <cell r="G28" t="str">
            <v>R0
5 of 12
11 Apr 25</v>
          </cell>
          <cell r="H28" t="str">
            <v>SLAMET</v>
          </cell>
          <cell r="I28">
            <v>45742</v>
          </cell>
          <cell r="J28" t="str">
            <v>Tech Main</v>
          </cell>
          <cell r="K28" t="str">
            <v>J</v>
          </cell>
          <cell r="L28" t="str">
            <v>BID</v>
          </cell>
          <cell r="M28" t="str">
            <v>0107</v>
          </cell>
          <cell r="N28" t="str">
            <v>RH</v>
          </cell>
          <cell r="O28" t="str">
            <v>robertiagus.haposan@alamtri.com</v>
          </cell>
          <cell r="P28">
            <v>7000</v>
          </cell>
          <cell r="Q28">
            <v>112000000</v>
          </cell>
          <cell r="R28" t="str">
            <v>Completed Sign PO</v>
          </cell>
          <cell r="T28" t="str">
            <v>MSW</v>
          </cell>
          <cell r="U28" t="str">
            <v>Gridtech Indonesia, PT
Graha Usaha Teknik, PT
Agape Trikarsa Libratama, PT
Duta Sarana Engineering, PT
Powerindo Inti Persada, PT
Mardika Sarana Engineering, PT
Mulya Jatra, PT
Sanggadelima Nusantara, PT
Dielektrika Persada Teknik, PT
Benteng Reka Energi, PT
Pahala Mitra Elektrik, PT
Petrolab Services, PT</v>
          </cell>
          <cell r="V28" t="str">
            <v>Graha Usaha Teknik, PT
Agape Trikarsa Libratama, PT
Mardika Sarana Engineering, PT
Pahala Mitra Elektrik, PT
Petrolab Services, PT</v>
          </cell>
          <cell r="W28" t="str">
            <v>12 of 12</v>
          </cell>
          <cell r="X28" t="str">
            <v>5 of 12</v>
          </cell>
          <cell r="Y28">
            <v>45744</v>
          </cell>
          <cell r="Z28">
            <v>45758</v>
          </cell>
          <cell r="AC28" t="str">
            <v xml:space="preserve"> of </v>
          </cell>
          <cell r="AD28" t="str">
            <v xml:space="preserve"> of </v>
          </cell>
          <cell r="AF28" t="str">
            <v/>
          </cell>
          <cell r="AI28" t="str">
            <v xml:space="preserve"> of </v>
          </cell>
          <cell r="AJ28" t="str">
            <v xml:space="preserve"> of </v>
          </cell>
          <cell r="AL28" t="str">
            <v/>
          </cell>
          <cell r="AM28">
            <v>0.70833333333333337</v>
          </cell>
          <cell r="AN28" t="str">
            <v>Duta Sarana Engineering, PT</v>
          </cell>
          <cell r="AO28" t="str">
            <v>danny@dutasaranaeng.com; andry@dutasaranaeng.com</v>
          </cell>
          <cell r="AP28" t="str">
            <v>PO25000320R2</v>
          </cell>
          <cell r="AQ28">
            <v>71000000</v>
          </cell>
          <cell r="AR28">
            <v>45762</v>
          </cell>
          <cell r="AS28">
            <v>45840</v>
          </cell>
          <cell r="AT28">
            <v>45840</v>
          </cell>
          <cell r="AU28">
            <v>45904</v>
          </cell>
          <cell r="AV28">
            <v>45915</v>
          </cell>
          <cell r="AW28">
            <v>45979</v>
          </cell>
          <cell r="AX28">
            <v>9.1428571428571423</v>
          </cell>
          <cell r="AY28">
            <v>45904</v>
          </cell>
          <cell r="AZ28" t="str">
            <v/>
          </cell>
          <cell r="BA28" t="str">
            <v/>
          </cell>
          <cell r="BB28" t="str">
            <v>Late Completed</v>
          </cell>
          <cell r="BC28" t="str">
            <v>PR100010246</v>
          </cell>
        </row>
        <row r="29">
          <cell r="B29" t="str">
            <v>PR100010251</v>
          </cell>
          <cell r="C29" t="str">
            <v>Analisa Sample serbuk gergaji dan analisa sample deposit ( Kerak )</v>
          </cell>
          <cell r="E29" t="str">
            <v>Sucofindo, PT
Carsurin, PT
Tribhakti Inspektama, PT
IOL Indonesia, PT
SGS Indonesia, PT
Intertek Utama Services, PT</v>
          </cell>
          <cell r="F29" t="str">
            <v>Tribhakti Inspektama, PT
IOL Indonesia, PT
SGS Indonesia, PT
Intertek Utama Services, PT</v>
          </cell>
          <cell r="G29" t="str">
            <v>R0
4 of 6
23 Apr 25</v>
          </cell>
          <cell r="H29" t="str">
            <v>JUNAWAN KAUNO</v>
          </cell>
          <cell r="I29">
            <v>45757</v>
          </cell>
          <cell r="J29" t="str">
            <v>Tech Eng</v>
          </cell>
          <cell r="K29" t="str">
            <v>J</v>
          </cell>
          <cell r="L29" t="str">
            <v>BID</v>
          </cell>
          <cell r="M29" t="str">
            <v>0128</v>
          </cell>
          <cell r="N29" t="str">
            <v>RH</v>
          </cell>
          <cell r="O29" t="str">
            <v>robertiagus.haposan@alamtri.com</v>
          </cell>
          <cell r="P29">
            <v>2150</v>
          </cell>
          <cell r="Q29">
            <v>34400000</v>
          </cell>
          <cell r="R29" t="str">
            <v>Completed Sign PO</v>
          </cell>
          <cell r="T29" t="str">
            <v>MSW</v>
          </cell>
          <cell r="U29" t="str">
            <v>Sucofindo, PT
Carsurin, PT
Tribhakti Inspektama, PT
IOL Indonesia, PT
SGS Indonesia, PT
Intertek Utama Services, PT</v>
          </cell>
          <cell r="V29" t="str">
            <v>Tribhakti Inspektama, PT
IOL Indonesia, PT
SGS Indonesia, PT
Intertek Utama Services, PT</v>
          </cell>
          <cell r="W29" t="str">
            <v>6 of 6</v>
          </cell>
          <cell r="X29" t="str">
            <v>4 of 6</v>
          </cell>
          <cell r="Y29">
            <v>45761</v>
          </cell>
          <cell r="Z29">
            <v>45770</v>
          </cell>
          <cell r="AC29" t="str">
            <v xml:space="preserve"> of </v>
          </cell>
          <cell r="AD29" t="str">
            <v xml:space="preserve"> of </v>
          </cell>
          <cell r="AF29" t="str">
            <v/>
          </cell>
          <cell r="AI29" t="str">
            <v xml:space="preserve"> of </v>
          </cell>
          <cell r="AJ29" t="str">
            <v xml:space="preserve"> of </v>
          </cell>
          <cell r="AL29" t="str">
            <v/>
          </cell>
          <cell r="AM29">
            <v>0.5</v>
          </cell>
          <cell r="AN29" t="str">
            <v>IOL Indonesia, PT</v>
          </cell>
          <cell r="AO29" t="str">
            <v>iol.indonesia@bureauveritas.com;
tidar.surti@bureauveritas.com</v>
          </cell>
          <cell r="AP29" t="str">
            <v>PO25000409</v>
          </cell>
          <cell r="AQ29">
            <v>21000000</v>
          </cell>
          <cell r="AR29">
            <v>45775</v>
          </cell>
          <cell r="AS29">
            <v>45783</v>
          </cell>
          <cell r="AT29">
            <v>45825</v>
          </cell>
          <cell r="AU29">
            <v>45877</v>
          </cell>
          <cell r="AV29">
            <v>45842</v>
          </cell>
          <cell r="AW29">
            <v>45894</v>
          </cell>
          <cell r="AX29">
            <v>7.4285714285714288</v>
          </cell>
          <cell r="AY29">
            <v>45877</v>
          </cell>
          <cell r="AZ29" t="str">
            <v/>
          </cell>
          <cell r="BA29" t="str">
            <v/>
          </cell>
          <cell r="BB29" t="str">
            <v>Late Completed</v>
          </cell>
          <cell r="BC29" t="str">
            <v>PR100010251</v>
          </cell>
        </row>
        <row r="30">
          <cell r="B30" t="str">
            <v>PR100010284 (Line 1,2,5)</v>
          </cell>
          <cell r="C30" t="str">
            <v>Pembelian Part WTP &amp; Demin Plant</v>
          </cell>
          <cell r="E30" t="str">
            <v>Wiya System Solution, PT
Antares Jaya Gemilang Prima, PT
Andalan Tiga Berlian, PT
Artam Borneo Automatika, PT
Kin Kitra Kencana, PT
Mulia Solusindo, PT
Alfa Teknik Mandiri Makmur, PT
Pohon Mas Sejahtera, PT
Sola Anugerah Oilfield, PT
Golden Pratama Engineering, PT
Kin Kitra Kencana, PT
Yabestindo Mitra Utama, PT</v>
          </cell>
          <cell r="F30" t="str">
            <v>Wiya System Solution, PT
Antares Jaya Gemilang Prima, PT
Sola Anugerah Oilfield, PT
Golden Pratama Engineering, PT</v>
          </cell>
          <cell r="G30" t="str">
            <v>R1
4 of 12
22 May 25</v>
          </cell>
          <cell r="H30" t="str">
            <v>RIZKY AGUSTINA</v>
          </cell>
          <cell r="I30">
            <v>45768</v>
          </cell>
          <cell r="J30" t="str">
            <v>Tech Main</v>
          </cell>
          <cell r="K30" t="str">
            <v>B</v>
          </cell>
          <cell r="L30" t="str">
            <v>BID</v>
          </cell>
          <cell r="M30" t="str">
            <v>0129</v>
          </cell>
          <cell r="N30" t="str">
            <v>RH</v>
          </cell>
          <cell r="O30" t="str">
            <v>robertiagus.haposan@alamtri.com</v>
          </cell>
          <cell r="P30">
            <v>665.46379999999999</v>
          </cell>
          <cell r="Q30">
            <v>10647420.800000001</v>
          </cell>
          <cell r="R30" t="str">
            <v>Completed Sign PO</v>
          </cell>
          <cell r="T30" t="str">
            <v>MSW</v>
          </cell>
          <cell r="U30" t="str">
            <v>Andalan Tiga Berlian, PT
Artam Borneo Automatika, PT
Wiya System Solution, PT
Vhipa Mulia Pratama, PT
Lienetic Jaya, PT
Dwi Surya Abadi Kharisma, PT
Kin Kitra Kencana, PT
Gamako Ekakarsa, PT
Arita Prima Indonesia Tbk, PT
Alfa Teknik Mandiri Makmur, PT
Hikmah Jaya Sentosa, PT
Sola Anugerah Oilfield, PT
Maju Langgeng Mandiri, PT
Dwijaya Sentral Sarana, PT
Afghan Jaya Abadi, PT</v>
          </cell>
          <cell r="V30" t="str">
            <v>Wiya System Solution, PT</v>
          </cell>
          <cell r="W30" t="str">
            <v>15 of 15</v>
          </cell>
          <cell r="X30" t="str">
            <v>1 of 15</v>
          </cell>
          <cell r="Y30">
            <v>45769</v>
          </cell>
          <cell r="Z30">
            <v>45776</v>
          </cell>
          <cell r="AA30" t="str">
            <v>Wiya System Solution, PT
Antares Jaya Gemilang Prima, PT
Andalan Tiga Berlian, PT
Artam Borneo Automatika, PT
Kin Kitra Kencana, PT
Mulia Solusindo, PT
Alfa Teknik Mandiri Makmur, PT
Pohon Mas Sejahtera, PT
Sola Anugerah Oilfield, PT
Golden Pratama Engineering, PT
Kin Kitra Kencana, PT
Yabestindo Mitra Utama, PT</v>
          </cell>
          <cell r="AB30" t="str">
            <v>Wiya System Solution, PT
Antares Jaya Gemilang Prima, PT
Sola Anugerah Oilfield, PT
Golden Pratama Engineering, PT</v>
          </cell>
          <cell r="AC30" t="str">
            <v>12 of 12</v>
          </cell>
          <cell r="AD30" t="str">
            <v>4 of 12</v>
          </cell>
          <cell r="AE30">
            <v>45790</v>
          </cell>
          <cell r="AF30">
            <v>45799</v>
          </cell>
          <cell r="AI30" t="str">
            <v xml:space="preserve"> of </v>
          </cell>
          <cell r="AJ30" t="str">
            <v xml:space="preserve"> of </v>
          </cell>
          <cell r="AL30" t="str">
            <v/>
          </cell>
          <cell r="AM30">
            <v>0.70833333333333337</v>
          </cell>
          <cell r="AN30" t="str">
            <v>Antares Jaya Gemilang Prima, PT</v>
          </cell>
          <cell r="AO30" t="str">
            <v>info@pt-antares.com; antares.jgp@gmail.com</v>
          </cell>
          <cell r="AP30" t="str">
            <v>PO25000472</v>
          </cell>
          <cell r="AQ30">
            <v>37470000</v>
          </cell>
          <cell r="AR30">
            <v>45804</v>
          </cell>
          <cell r="AS30">
            <v>45827</v>
          </cell>
          <cell r="AT30">
            <v>45842</v>
          </cell>
          <cell r="AU30">
            <v>45975</v>
          </cell>
          <cell r="AV30">
            <v>45856</v>
          </cell>
          <cell r="AW30">
            <v>45989</v>
          </cell>
          <cell r="AX30">
            <v>19</v>
          </cell>
          <cell r="AY30">
            <v>45975</v>
          </cell>
          <cell r="AZ30" t="str">
            <v/>
          </cell>
          <cell r="BA30" t="str">
            <v/>
          </cell>
          <cell r="BB30" t="str">
            <v>Late Completed</v>
          </cell>
          <cell r="BC30" t="str">
            <v>PR100010284</v>
          </cell>
        </row>
        <row r="31">
          <cell r="B31" t="str">
            <v>PR100010295</v>
          </cell>
          <cell r="C31" t="str">
            <v>Sparepart panel modifikasi MOV</v>
          </cell>
          <cell r="E31" t="str">
            <v>Perwira Sentra Officindo, PT
Antares Jaya Gemilang Prima, PT
Gading Mas Utama, PT
Greentek Elektrikal Indonesia, PT
Gema Industrial, PT
Alfa Teknik Mandiri Makmur, PT</v>
          </cell>
          <cell r="F31" t="str">
            <v>Perwira Sentra Officindo, PT
Antares Jaya Gemilang Prima, PT
Gading Mas Utama, PT
Greentek Elektrikal Indonesia, PT
Gema Industrial, PT
Alfa Teknik Mandiri Makmur, PT</v>
          </cell>
          <cell r="G31" t="str">
            <v>R1
6 of 6
16 May 25</v>
          </cell>
          <cell r="H31" t="str">
            <v>DEDE SUDARJI</v>
          </cell>
          <cell r="I31">
            <v>45772</v>
          </cell>
          <cell r="J31" t="str">
            <v>Tech Main</v>
          </cell>
          <cell r="K31" t="str">
            <v>B</v>
          </cell>
          <cell r="L31" t="str">
            <v>BID</v>
          </cell>
          <cell r="M31" t="str">
            <v>0139</v>
          </cell>
          <cell r="N31" t="str">
            <v>RH</v>
          </cell>
          <cell r="O31" t="str">
            <v>robertiagus.haposan@alamtri.com</v>
          </cell>
          <cell r="P31">
            <v>761.25419999999997</v>
          </cell>
          <cell r="Q31">
            <v>12180067.199999999</v>
          </cell>
          <cell r="R31" t="str">
            <v>Completed Sign PO</v>
          </cell>
          <cell r="T31" t="str">
            <v>MSW</v>
          </cell>
          <cell r="U31" t="str">
            <v>Perwira Sentra Officindo, PT
Alfa Teknik Mandiri Makmur, PT
Gema Industrial, PT
Gading Mas Utama, PT
Greentek Elektrikal Indonesia, PT
Antares Jaya Gemilang Prima, PT
Vhipa Mulia Pratama, PT
Simenteknindo, PT</v>
          </cell>
          <cell r="V31" t="str">
            <v>Perwira Sentra Officindo, PT
Antares Jaya Gemilang Prima, PT</v>
          </cell>
          <cell r="W31" t="str">
            <v>8 of 8</v>
          </cell>
          <cell r="X31" t="str">
            <v>2 of 8</v>
          </cell>
          <cell r="Y31">
            <v>45772</v>
          </cell>
          <cell r="Z31">
            <v>45779</v>
          </cell>
          <cell r="AA31" t="str">
            <v>Perwira Sentra Officindo, PT
Antares Jaya Gemilang Prima, PT
Gading Mas Utama, PT
Greentek Elektrikal Indonesia, PT
Gema Industrial, PT
Alfa Teknik Mandiri Makmur, PT</v>
          </cell>
          <cell r="AB31" t="str">
            <v>Perwira Sentra Officindo, PT
Antares Jaya Gemilang Prima, PT
Gading Mas Utama, PT
Greentek Elektrikal Indonesia, PT
Gema Industrial, PT
Alfa Teknik Mandiri Makmur, PT</v>
          </cell>
          <cell r="AC31" t="str">
            <v>6 of 6</v>
          </cell>
          <cell r="AD31" t="str">
            <v>6 of 6</v>
          </cell>
          <cell r="AE31">
            <v>45784</v>
          </cell>
          <cell r="AF31">
            <v>45793</v>
          </cell>
          <cell r="AI31" t="str">
            <v xml:space="preserve"> of </v>
          </cell>
          <cell r="AJ31" t="str">
            <v xml:space="preserve"> of </v>
          </cell>
          <cell r="AL31" t="str">
            <v/>
          </cell>
          <cell r="AM31">
            <v>0.70833333333333337</v>
          </cell>
          <cell r="AN31" t="str">
            <v>Gema Industrial, PT</v>
          </cell>
          <cell r="AO31" t="str">
            <v>marketing@gema-industrial.com</v>
          </cell>
          <cell r="AP31" t="str">
            <v>PO25000424R1</v>
          </cell>
          <cell r="AQ31">
            <v>12085000</v>
          </cell>
          <cell r="AR31">
            <v>45796</v>
          </cell>
          <cell r="AS31">
            <v>45813</v>
          </cell>
          <cell r="AT31">
            <v>45827</v>
          </cell>
          <cell r="AU31">
            <v>45932</v>
          </cell>
          <cell r="AV31">
            <v>45842</v>
          </cell>
          <cell r="AW31">
            <v>45947</v>
          </cell>
          <cell r="AX31">
            <v>15</v>
          </cell>
          <cell r="AY31">
            <v>45918</v>
          </cell>
          <cell r="AZ31" t="str">
            <v/>
          </cell>
          <cell r="BA31" t="str">
            <v/>
          </cell>
          <cell r="BB31" t="str">
            <v>Late Completed</v>
          </cell>
          <cell r="BC31" t="str">
            <v>PR100010295</v>
          </cell>
        </row>
        <row r="32">
          <cell r="B32" t="str">
            <v>PR100010291</v>
          </cell>
          <cell r="C32" t="str">
            <v>Tools Hydraulic Spindle for Electrical</v>
          </cell>
          <cell r="E32" t="str">
            <v>Banjar Bearing Sentosa, PT
SLS Bearindo, PT
Alfa Teknik Mandiri Makmur, PT
Perwira Sentra Officindo, PT
Fortuna Anekamulti Gemilang, PT
Vhipa Mulia Pratama, PT
Monotaro Indonesia, PT
Samudra Bearing, PT
Satu Aneka Bering, PT
Rollent Indonesia, PT</v>
          </cell>
          <cell r="F32" t="str">
            <v>Banjar Bearing Sentosa, PT
Perwira Sentra Officindo, PT
Fortuna Anekamulti Gemilang, PT
Vhipa Mulia Pratama, PT</v>
          </cell>
          <cell r="G32" t="str">
            <v>R0
4 of 10
02 May 25</v>
          </cell>
          <cell r="H32" t="str">
            <v>DEDE SUDARJI</v>
          </cell>
          <cell r="I32">
            <v>45772</v>
          </cell>
          <cell r="J32" t="str">
            <v>Tech Main</v>
          </cell>
          <cell r="K32" t="str">
            <v>B</v>
          </cell>
          <cell r="L32" t="str">
            <v>BID</v>
          </cell>
          <cell r="M32" t="str">
            <v>0140</v>
          </cell>
          <cell r="N32" t="str">
            <v>RH</v>
          </cell>
          <cell r="O32" t="str">
            <v>robertiagus.haposan@alamtri.com</v>
          </cell>
          <cell r="P32">
            <v>750</v>
          </cell>
          <cell r="Q32">
            <v>12000000</v>
          </cell>
          <cell r="R32" t="str">
            <v>Completed Sign PO</v>
          </cell>
          <cell r="T32" t="str">
            <v>MSW</v>
          </cell>
          <cell r="U32" t="str">
            <v>Banjar Bearing Sentosa, PT
SLS Bearindo, PT
Alfa Teknik Mandiri Makmur, PT
Perwira Sentra Officindo, PT
Fortuna Anekamulti Gemilang, PT
Vhipa Mulia Pratama, PT
Monotaro Indonesia, PT
Samudra Bearing, PT
Satu Aneka Bering, PT
Rollent Indonesia, PT</v>
          </cell>
          <cell r="V32" t="str">
            <v>Banjar Bearing Sentosa, PT
Perwira Sentra Officindo, PT
Fortuna Anekamulti Gemilang, PT
Vhipa Mulia Pratama, PT</v>
          </cell>
          <cell r="W32" t="str">
            <v>10 of 10</v>
          </cell>
          <cell r="X32" t="str">
            <v>4 of 10</v>
          </cell>
          <cell r="Y32">
            <v>45772</v>
          </cell>
          <cell r="Z32">
            <v>45779</v>
          </cell>
          <cell r="AC32" t="str">
            <v xml:space="preserve"> of </v>
          </cell>
          <cell r="AD32" t="str">
            <v xml:space="preserve"> of </v>
          </cell>
          <cell r="AF32" t="str">
            <v/>
          </cell>
          <cell r="AI32" t="str">
            <v xml:space="preserve"> of </v>
          </cell>
          <cell r="AJ32" t="str">
            <v xml:space="preserve"> of </v>
          </cell>
          <cell r="AL32" t="str">
            <v/>
          </cell>
          <cell r="AM32">
            <v>0.70833333333333337</v>
          </cell>
          <cell r="AN32" t="str">
            <v>Banjar Bearing Sentosa, PT</v>
          </cell>
          <cell r="AO32" t="str">
            <v>bbsbjm@banjarbearing.com; eddy@bbs.banjarbearing.com; surya@bbs.banjarbearing.com</v>
          </cell>
          <cell r="AP32" t="str">
            <v>PO25000357</v>
          </cell>
          <cell r="AQ32">
            <v>11150000</v>
          </cell>
          <cell r="AR32">
            <v>45784</v>
          </cell>
          <cell r="AS32">
            <v>45793</v>
          </cell>
          <cell r="AT32">
            <v>45799</v>
          </cell>
          <cell r="AU32">
            <v>45870</v>
          </cell>
          <cell r="AV32">
            <v>45810</v>
          </cell>
          <cell r="AW32">
            <v>45881</v>
          </cell>
          <cell r="AX32">
            <v>10.142857142857142</v>
          </cell>
          <cell r="AY32">
            <v>45820</v>
          </cell>
          <cell r="AZ32" t="str">
            <v/>
          </cell>
          <cell r="BA32" t="str">
            <v/>
          </cell>
          <cell r="BB32" t="str">
            <v>Completed</v>
          </cell>
          <cell r="BC32" t="str">
            <v>PR100010291</v>
          </cell>
        </row>
        <row r="33">
          <cell r="B33" t="str">
            <v>PR100010304</v>
          </cell>
          <cell r="C33" t="str">
            <v>Sparepart Air Compressor Gardner Denver</v>
          </cell>
          <cell r="E33" t="str">
            <v>Kin Kitra Kencana, PT
Fadnov Airtech Indonesia, PT
Reftech Jaya Optima, PT
Putera Instrumenindo, PT
Gama Tritunggal Pratama, PT
Phoenix Bumiputera, PT</v>
          </cell>
          <cell r="F33" t="str">
            <v>Kin Kitra Kencana, PT
Fadnov Airtech Indonesia, PT
Reftech Jaya Optima, PT
Phoenix Bumiputera, PT</v>
          </cell>
          <cell r="G33" t="str">
            <v>R1
4 of 6
16 May 25</v>
          </cell>
          <cell r="H33" t="str">
            <v>DEDE SUDARJI</v>
          </cell>
          <cell r="I33">
            <v>45772</v>
          </cell>
          <cell r="J33" t="str">
            <v>Antares Jaya Gemilang Prima, PT
Elang Mas Indoasia, PT</v>
          </cell>
          <cell r="K33" t="str">
            <v>B</v>
          </cell>
          <cell r="L33" t="str">
            <v>BID</v>
          </cell>
          <cell r="M33" t="str">
            <v>0141</v>
          </cell>
          <cell r="N33" t="str">
            <v>RH</v>
          </cell>
          <cell r="O33" t="str">
            <v>robertiagus.haposan@alamtri.com</v>
          </cell>
          <cell r="P33">
            <v>4915</v>
          </cell>
          <cell r="Q33">
            <v>78640000</v>
          </cell>
          <cell r="R33" t="str">
            <v>Completed Sign PO</v>
          </cell>
          <cell r="T33" t="str">
            <v>MSW</v>
          </cell>
          <cell r="U33" t="str">
            <v>Kin Kitra Kencana, PT
Phoenix Bumiputera, PT
Gama Tritunggal Pratama, PT
Pacific Tractor Indonesia, PT
Fadnov Airtech Indonesia, PT
Putera Instrumenindo, PT
Alfa Teknik Mandiri Makmur, PT
Sola Anugerah Oilfield, PT
Lienetic Jaya, PT
Putra Andalan Perkasa, PT
Reftech Jaya Optima, PT
Anugrah Cipta Energy, CV
Riyadi Putra Makmur, PT</v>
          </cell>
          <cell r="V33" t="str">
            <v>Fadnov Airtech Indonesia, PT
Reftech Jaya Optima, PT</v>
          </cell>
          <cell r="W33" t="str">
            <v>13 of 13</v>
          </cell>
          <cell r="X33" t="str">
            <v>2 of 13</v>
          </cell>
          <cell r="Y33">
            <v>45772</v>
          </cell>
          <cell r="Z33">
            <v>45779</v>
          </cell>
          <cell r="AA33" t="str">
            <v>Kin Kitra Kencana, PT
Fadnov Airtech Indonesia, PT
Reftech Jaya Optima, PT
Putera Instrumenindo, PT
Gama Tritunggal Pratama, PT
Phoenix Bumiputera, PT</v>
          </cell>
          <cell r="AB33" t="str">
            <v>Kin Kitra Kencana, PT
Fadnov Airtech Indonesia, PT
Reftech Jaya Optima, PT
Phoenix Bumiputera, PT</v>
          </cell>
          <cell r="AC33" t="str">
            <v>6 of 6</v>
          </cell>
          <cell r="AD33" t="str">
            <v>4 of 6</v>
          </cell>
          <cell r="AE33">
            <v>45784</v>
          </cell>
          <cell r="AF33">
            <v>45793</v>
          </cell>
          <cell r="AI33" t="str">
            <v xml:space="preserve"> of </v>
          </cell>
          <cell r="AJ33" t="str">
            <v xml:space="preserve"> of </v>
          </cell>
          <cell r="AL33" t="str">
            <v/>
          </cell>
          <cell r="AM33">
            <v>0.70833333333333337</v>
          </cell>
          <cell r="AN33" t="str">
            <v>Phoenix Bumiputera, PT</v>
          </cell>
          <cell r="AO33" t="str">
            <v>phoenix.bp@phoenixbumiputera.com; aditya.h@phoenixbumiputera.com; marketing1@phoenixbumiputera.com</v>
          </cell>
          <cell r="AP33" t="str">
            <v>PO25000453</v>
          </cell>
          <cell r="AQ33">
            <v>96000000</v>
          </cell>
          <cell r="AR33">
            <v>45797</v>
          </cell>
          <cell r="AS33">
            <v>45839</v>
          </cell>
          <cell r="AT33">
            <v>45839</v>
          </cell>
          <cell r="AU33">
            <v>45919</v>
          </cell>
          <cell r="AV33">
            <v>45842</v>
          </cell>
          <cell r="AW33">
            <v>45922</v>
          </cell>
          <cell r="AX33">
            <v>11.428571428571429</v>
          </cell>
          <cell r="AY33">
            <v>45919</v>
          </cell>
          <cell r="AZ33" t="str">
            <v/>
          </cell>
          <cell r="BA33" t="str">
            <v/>
          </cell>
          <cell r="BB33" t="str">
            <v>Late Completed</v>
          </cell>
          <cell r="BC33" t="str">
            <v>PR100010304</v>
          </cell>
        </row>
        <row r="34">
          <cell r="B34" t="str">
            <v>PR100010353</v>
          </cell>
          <cell r="C34" t="str">
            <v>Sparepart solenoid Valve Air Compressor for WO10761118</v>
          </cell>
          <cell r="E34" t="str">
            <v>Gama Tritunggal Pratama, PT
Putera Instrumenindo, PT
Kin Kitra Kencana, PT
Fadnov Airtech Indonesia, PT
Tentra Eka Pratama, PT
Phoenix Bumiputera, PT
Seltech Utama, PT
General Supply &amp; Services Indonesia, PT</v>
          </cell>
          <cell r="F34" t="str">
            <v>Fadnov Airtech Indonesia, PT
Tentra Eka Pratama, PT
Phoenix Bumiputera, PT
Seltech Utama, PT</v>
          </cell>
          <cell r="G34" t="str">
            <v>R0
4 of 8
22 May 25</v>
          </cell>
          <cell r="H34" t="str">
            <v>DEDE SUDARJI</v>
          </cell>
          <cell r="I34">
            <v>45790</v>
          </cell>
          <cell r="J34" t="str">
            <v>Tech Main</v>
          </cell>
          <cell r="K34" t="str">
            <v>B</v>
          </cell>
          <cell r="L34" t="str">
            <v>BID</v>
          </cell>
          <cell r="M34" t="str">
            <v>0143</v>
          </cell>
          <cell r="N34" t="str">
            <v>RH</v>
          </cell>
          <cell r="O34" t="str">
            <v>robertiagus.haposan@alamtri.com</v>
          </cell>
          <cell r="P34">
            <v>4485.6000000000004</v>
          </cell>
          <cell r="Q34">
            <v>71769600</v>
          </cell>
          <cell r="R34" t="str">
            <v>Completed Sign PO</v>
          </cell>
          <cell r="T34" t="str">
            <v>MSW</v>
          </cell>
          <cell r="U34" t="str">
            <v>Gama Tritunggal Pratama, PT
Putera Instrumenindo, PT
Kin Kitra Kencana, PT
Fadnov Airtech Indonesia, PT
Tentra Eka Pratama, PT
Phoenix Bumiputera, PT
Seltech Utama, PT
General Supply &amp; Services Indonesia, PT</v>
          </cell>
          <cell r="V34" t="str">
            <v>Fadnov Airtech Indonesia, PT
Tentra Eka Pratama, PT
Phoenix Bumiputera, PT
Seltech Utama, PT</v>
          </cell>
          <cell r="W34" t="str">
            <v>8 of 8</v>
          </cell>
          <cell r="X34" t="str">
            <v>4 of 8</v>
          </cell>
          <cell r="Y34">
            <v>45790</v>
          </cell>
          <cell r="Z34">
            <v>45799</v>
          </cell>
          <cell r="AC34" t="str">
            <v xml:space="preserve"> of </v>
          </cell>
          <cell r="AD34" t="str">
            <v xml:space="preserve"> of </v>
          </cell>
          <cell r="AF34" t="str">
            <v/>
          </cell>
          <cell r="AI34" t="str">
            <v xml:space="preserve"> of </v>
          </cell>
          <cell r="AJ34" t="str">
            <v xml:space="preserve"> of </v>
          </cell>
          <cell r="AL34" t="str">
            <v/>
          </cell>
          <cell r="AM34">
            <v>0.70833333333333337</v>
          </cell>
          <cell r="AN34" t="str">
            <v>Fadnov Airtech Indonesia, PT</v>
          </cell>
          <cell r="AO34" t="str">
            <v>nurul.habibi@fadnovairtech.com; marketing@fadnovairtech.com</v>
          </cell>
          <cell r="AP34" t="str">
            <v>PO25000623</v>
          </cell>
          <cell r="AQ34">
            <v>99576000</v>
          </cell>
          <cell r="AR34">
            <v>45804</v>
          </cell>
          <cell r="AS34">
            <v>45887</v>
          </cell>
          <cell r="AT34">
            <v>45902</v>
          </cell>
          <cell r="AU34">
            <v>45996</v>
          </cell>
          <cell r="AV34">
            <v>45910</v>
          </cell>
          <cell r="AW34">
            <v>46004</v>
          </cell>
          <cell r="AX34">
            <v>13.428571428571429</v>
          </cell>
          <cell r="AY34">
            <v>45996</v>
          </cell>
          <cell r="AZ34" t="str">
            <v/>
          </cell>
          <cell r="BA34" t="str">
            <v/>
          </cell>
          <cell r="BB34" t="str">
            <v>Late Completed</v>
          </cell>
          <cell r="BC34" t="str">
            <v>PR100010353</v>
          </cell>
        </row>
        <row r="35">
          <cell r="B35" t="str">
            <v>PR100010351 (Line 2)</v>
          </cell>
          <cell r="C35" t="str">
            <v>Sparepart Addressable Field Modules &amp; Pull Station Fire Alarm System</v>
          </cell>
          <cell r="E35" t="str">
            <v>Gema Industrial, PT
Perwira Sentra Officindo, PT
Promitra Prima Indonesia, PT
Dunia Saftindo, PT
Adhigana Perkasa Mandiri, PT
Bhakti Ratutama Jaya, PT
Berlian Sejahtera Teknik, PT
Antares Jaya Gemilang Prima, PT
Norgantara Andalan Mandiri Indonesia, PT
Gama Tritunggal Pratama, PT
Alfa Teknik Mandiri Makmur, PT</v>
          </cell>
          <cell r="F35" t="str">
            <v>Dunia Saftindo, PT
Bhakti Ratutama Jaya, PT
Norgantara Andalan Mandiri Indonesia, PT</v>
          </cell>
          <cell r="G35" t="str">
            <v>R0
3 of 11
11 Jun 25</v>
          </cell>
          <cell r="H35" t="str">
            <v>DEDE SUDARJI</v>
          </cell>
          <cell r="I35">
            <v>45797</v>
          </cell>
          <cell r="J35" t="str">
            <v>Tech Main</v>
          </cell>
          <cell r="K35" t="str">
            <v>B</v>
          </cell>
          <cell r="L35" t="str">
            <v>BID</v>
          </cell>
          <cell r="M35" t="str">
            <v>0159</v>
          </cell>
          <cell r="N35" t="str">
            <v>RH</v>
          </cell>
          <cell r="O35" t="str">
            <v>robertiagus.haposan@alamtri.com</v>
          </cell>
          <cell r="P35">
            <v>980</v>
          </cell>
          <cell r="Q35">
            <v>15680000</v>
          </cell>
          <cell r="R35" t="str">
            <v>Completed Sign PO</v>
          </cell>
          <cell r="T35" t="str">
            <v>MSW</v>
          </cell>
          <cell r="U35" t="str">
            <v>Gema Industrial, PT
Perwira Sentra Officindo, PT
Promitra Prima Indonesia, PT
Dunia Saftindo, PT
Adhigana Perkasa Mandiri, PT
Bhakti Ratutama Jaya, PT
Berlian Sejahtera Teknik, PT
Antares Jaya Gemilang Prima, PT
Norgantara Andalan Mandiri Indonesia, PT
Gama Tritunggal Pratama, PT
Alfa Teknik Mandiri Makmur, PT</v>
          </cell>
          <cell r="V35" t="str">
            <v>Dunia Saftindo, PT
Bhakti Ratutama Jaya, PT
Norgantara Andalan Mandiri Indonesia, PT</v>
          </cell>
          <cell r="W35" t="str">
            <v>11 of 11</v>
          </cell>
          <cell r="X35" t="str">
            <v>3 of 11</v>
          </cell>
          <cell r="Y35">
            <v>45802</v>
          </cell>
          <cell r="Z35">
            <v>45819</v>
          </cell>
          <cell r="AC35" t="str">
            <v xml:space="preserve"> of </v>
          </cell>
          <cell r="AD35" t="str">
            <v xml:space="preserve"> of </v>
          </cell>
          <cell r="AF35" t="str">
            <v/>
          </cell>
          <cell r="AI35" t="str">
            <v xml:space="preserve"> of </v>
          </cell>
          <cell r="AJ35" t="str">
            <v xml:space="preserve"> of </v>
          </cell>
          <cell r="AL35" t="str">
            <v/>
          </cell>
          <cell r="AM35">
            <v>0.70833333333333337</v>
          </cell>
          <cell r="AN35" t="str">
            <v>Norgantara Andalan Mandiri Indonesia, PT</v>
          </cell>
          <cell r="AO35" t="str">
            <v>gilang@ptnam.com</v>
          </cell>
          <cell r="AP35" t="str">
            <v>PO25000454</v>
          </cell>
          <cell r="AQ35">
            <v>29910000</v>
          </cell>
          <cell r="AR35">
            <v>45824</v>
          </cell>
          <cell r="AS35">
            <v>45839</v>
          </cell>
          <cell r="AT35">
            <v>45839</v>
          </cell>
          <cell r="AU35">
            <v>45932</v>
          </cell>
          <cell r="AV35">
            <v>45842</v>
          </cell>
          <cell r="AW35">
            <v>45935</v>
          </cell>
          <cell r="AX35">
            <v>13.285714285714286</v>
          </cell>
          <cell r="AY35">
            <v>45932</v>
          </cell>
          <cell r="AZ35" t="str">
            <v/>
          </cell>
          <cell r="BA35" t="str">
            <v/>
          </cell>
          <cell r="BB35" t="str">
            <v>Late Completed</v>
          </cell>
          <cell r="BC35" t="str">
            <v>PR100010351</v>
          </cell>
        </row>
        <row r="36">
          <cell r="B36" t="str">
            <v>PR100010348</v>
          </cell>
          <cell r="C36" t="str">
            <v>Sparepart Power Distribution Board &amp; HVAC Contactor</v>
          </cell>
          <cell r="E36" t="str">
            <v>Alfa Teknik Mandiri Makmur, PT
Borneo Maju Jaya, PT
Promitra Prima Indonesia, PT
Stanindo Artha Langgeng, PT
Trimitra Bangun Karyatama, PT
Anugrah Mandiri Putra Tabalong, PT
Borneo Karya Jaya, CV
Vhipa Mulia Pratama, PT
Perwira Sentra Officindo, PT
Rande Buana Teknik, PT</v>
          </cell>
          <cell r="F36" t="str">
            <v>Trimitra Bangun Karyatama, PT
Perwira Sentra Officindo, PT
Rande Buana Teknik, PT</v>
          </cell>
          <cell r="G36" t="str">
            <v>R0
3 of 10
11 Jun 25</v>
          </cell>
          <cell r="H36" t="str">
            <v>DEDE SUDARJI</v>
          </cell>
          <cell r="I36">
            <v>45817</v>
          </cell>
          <cell r="J36" t="str">
            <v>Tech Main</v>
          </cell>
          <cell r="K36" t="str">
            <v>B</v>
          </cell>
          <cell r="L36" t="str">
            <v>BID</v>
          </cell>
          <cell r="M36" t="str">
            <v>0158</v>
          </cell>
          <cell r="N36" t="str">
            <v>RH</v>
          </cell>
          <cell r="O36" t="str">
            <v>robertiagus.haposan@alamtri.com</v>
          </cell>
          <cell r="P36">
            <v>5222.4799999999996</v>
          </cell>
          <cell r="Q36">
            <v>83559680</v>
          </cell>
          <cell r="R36" t="str">
            <v>Completed Sign PO</v>
          </cell>
          <cell r="T36" t="str">
            <v>MSW</v>
          </cell>
          <cell r="U36" t="str">
            <v>Alfa Teknik Mandiri Makmur, PT
Borneo Maju Jaya, PT
Promitra Prima Indonesia, PT
Stanindo Artha Langgeng, PT
Trimitra Bangun Karyatama, PT
Anugrah Mandiri Putra Tabalong, PT
Borneo Karya Jaya, CV
Vhipa Mulia Pratama, PT
Perwira Sentra Officindo, PT
Rande Buana Teknik, PT</v>
          </cell>
          <cell r="V36" t="str">
            <v>Trimitra Bangun Karyatama, PT
Perwira Sentra Officindo, PT
Rande Buana Teknik, PT</v>
          </cell>
          <cell r="W36" t="str">
            <v>10 of 10</v>
          </cell>
          <cell r="X36" t="str">
            <v>3 of 10</v>
          </cell>
          <cell r="Y36">
            <v>45799</v>
          </cell>
          <cell r="Z36">
            <v>45819</v>
          </cell>
          <cell r="AC36" t="str">
            <v xml:space="preserve"> of </v>
          </cell>
          <cell r="AD36" t="str">
            <v xml:space="preserve"> of </v>
          </cell>
          <cell r="AF36" t="str">
            <v/>
          </cell>
          <cell r="AI36" t="str">
            <v xml:space="preserve"> of </v>
          </cell>
          <cell r="AJ36" t="str">
            <v xml:space="preserve"> of </v>
          </cell>
          <cell r="AL36" t="str">
            <v/>
          </cell>
          <cell r="AM36">
            <v>0.70833333333333337</v>
          </cell>
          <cell r="AN36" t="str">
            <v>Perwira Sentra Officindo, PT</v>
          </cell>
          <cell r="AO36" t="str">
            <v>d_santos63@yahoo.com</v>
          </cell>
          <cell r="AP36" t="str">
            <v>PO25000475</v>
          </cell>
          <cell r="AQ36">
            <v>17510600</v>
          </cell>
          <cell r="AR36">
            <v>45824</v>
          </cell>
          <cell r="AS36">
            <v>45838</v>
          </cell>
          <cell r="AT36">
            <v>45856</v>
          </cell>
          <cell r="AU36">
            <v>45887</v>
          </cell>
          <cell r="AV36">
            <v>45870</v>
          </cell>
          <cell r="AW36">
            <v>45901</v>
          </cell>
          <cell r="AX36">
            <v>4.4285714285714288</v>
          </cell>
          <cell r="AZ36" t="str">
            <v/>
          </cell>
          <cell r="BA36" t="str">
            <v/>
          </cell>
          <cell r="BB36" t="str">
            <v>Late Completed</v>
          </cell>
          <cell r="BC36" t="str">
            <v>PR100010348</v>
          </cell>
        </row>
        <row r="37">
          <cell r="B37" t="str">
            <v>PR100010340 (Line 1,2,6)</v>
          </cell>
          <cell r="C37" t="str">
            <v>Sparepart Cable Electrical Instrument</v>
          </cell>
          <cell r="D37" t="str">
            <v>Gema Industrial, PT (Line 2)</v>
          </cell>
          <cell r="E37" t="str">
            <v/>
          </cell>
          <cell r="F37" t="str">
            <v/>
          </cell>
          <cell r="G37" t="str">
            <v/>
          </cell>
          <cell r="H37" t="str">
            <v>DEDE SUDARJI</v>
          </cell>
          <cell r="I37">
            <v>45797</v>
          </cell>
          <cell r="J37" t="str">
            <v>Tech Main</v>
          </cell>
          <cell r="K37" t="str">
            <v>B</v>
          </cell>
          <cell r="L37" t="str">
            <v>BID</v>
          </cell>
          <cell r="M37" t="str">
            <v>0157</v>
          </cell>
          <cell r="N37" t="str">
            <v>RH</v>
          </cell>
          <cell r="O37" t="str">
            <v>robertiagus.haposan@alamtri.com</v>
          </cell>
          <cell r="P37">
            <v>2400</v>
          </cell>
          <cell r="Q37">
            <v>38400000</v>
          </cell>
          <cell r="R37" t="str">
            <v>CANCEL</v>
          </cell>
          <cell r="S37" t="str">
            <v xml:space="preserve">ada kenaikan harga sehingga di rebid
PC0126-000000510 </v>
          </cell>
          <cell r="T37" t="str">
            <v>MSW</v>
          </cell>
          <cell r="U37" t="str">
            <v>Alfa Teknik Mandiri Makmur, PT
Perwira Sentra Officindo, PT
Aka Prima Komputindo, PT
Antares Jaya Gemilang Prima, PT
Kin Kitra Kencana, PT
Anugrah Mandiri Putra Tabalong, PT
Gevana, PT
Greentek Elektrikal Indonesia, PT
Gema Industrial, PT
Berkat Pratama Teknik, CV</v>
          </cell>
          <cell r="V37" t="str">
            <v>Perwira Sentra Officindo, PT
Gevana, PT
Gema Industrial, PT</v>
          </cell>
          <cell r="W37" t="str">
            <v>10 of 10</v>
          </cell>
          <cell r="X37" t="str">
            <v>3 of 10</v>
          </cell>
          <cell r="Y37">
            <v>45799</v>
          </cell>
          <cell r="Z37">
            <v>45806</v>
          </cell>
          <cell r="AA37" t="str">
            <v>Gema Industrial, PT
Perwira Sentra Officindo, PT
Gevana, PT
JJ-LAPP Cable Indonesia, PT
Greentek Elektrikal Indonesia, PT
Alfa Teknik Mandiri Makmur, PT
Borneo Maju Jaya, PT
Sola Anugerah Oilfield, PT
Berkat Pratama Teknik, CV
Ganesha Wirya Pratama, PT
Axel Jaya Cakraniaga, PT
Gridtech Indonesia, PT</v>
          </cell>
          <cell r="AB37" t="str">
            <v>Gema Industrial, PT
Perwira Sentra Officindo, PT
Gevana, PT
Ganesha Wirya Pratama, PT
Axel Jaya Cakraniaga, PT</v>
          </cell>
          <cell r="AC37" t="str">
            <v>12 of 12</v>
          </cell>
          <cell r="AD37" t="str">
            <v>5 of 12</v>
          </cell>
          <cell r="AE37">
            <v>46030</v>
          </cell>
          <cell r="AF37">
            <v>46037</v>
          </cell>
          <cell r="AI37" t="str">
            <v xml:space="preserve"> of </v>
          </cell>
          <cell r="AJ37" t="str">
            <v xml:space="preserve"> of </v>
          </cell>
          <cell r="AL37" t="str">
            <v/>
          </cell>
          <cell r="AM37">
            <v>0.70833333333333337</v>
          </cell>
          <cell r="AN37" t="str">
            <v>Gema Industrial, PT</v>
          </cell>
          <cell r="AO37" t="str">
            <v/>
          </cell>
          <cell r="AP37" t="str">
            <v>PO25000565</v>
          </cell>
          <cell r="AQ37">
            <v>46838500</v>
          </cell>
          <cell r="AR37">
            <v>45824</v>
          </cell>
          <cell r="AS37">
            <v>45874</v>
          </cell>
          <cell r="AT37">
            <v>45875</v>
          </cell>
          <cell r="AU37">
            <v>45912</v>
          </cell>
          <cell r="AW37">
            <v>37</v>
          </cell>
          <cell r="AX37">
            <v>5.2857142857142856</v>
          </cell>
          <cell r="AZ37" t="str">
            <v/>
          </cell>
          <cell r="BA37" t="str">
            <v/>
          </cell>
          <cell r="BB37" t="str">
            <v>Late Completed</v>
          </cell>
          <cell r="BC37" t="str">
            <v>PR100010340</v>
          </cell>
        </row>
        <row r="38">
          <cell r="B38" t="str">
            <v>PR100010350</v>
          </cell>
          <cell r="C38" t="str">
            <v>Jasa install, pengujian Relay EMCP Monitor 3G3 dan  include Pengadaan Modul Easygen untuk DG 3G4 IBT</v>
          </cell>
          <cell r="E38" t="str">
            <v>EMKAHA, PT
Panca Global Solusindo, PT
Technical South East Asia, PT
PM Control System, PT
Barcol Nusantara, PT
Global Energy Tama, PT</v>
          </cell>
          <cell r="F38" t="str">
            <v>Emkaha, PT
Panca Global Solusindo, PT
PM Control System, PT</v>
          </cell>
          <cell r="G38" t="str">
            <v>R0
3 of 6
05 Jun 25</v>
          </cell>
          <cell r="H38" t="str">
            <v>SLAMET</v>
          </cell>
          <cell r="I38">
            <v>45797</v>
          </cell>
          <cell r="J38" t="str">
            <v>Tech Main</v>
          </cell>
          <cell r="K38" t="str">
            <v>J</v>
          </cell>
          <cell r="L38" t="str">
            <v>BID</v>
          </cell>
          <cell r="M38" t="str">
            <v>0153</v>
          </cell>
          <cell r="N38" t="str">
            <v>RH</v>
          </cell>
          <cell r="O38" t="str">
            <v>robertiagus.haposan@alamtri.com</v>
          </cell>
          <cell r="P38">
            <v>6879</v>
          </cell>
          <cell r="Q38">
            <v>110064000</v>
          </cell>
          <cell r="R38" t="str">
            <v>Completed Sign PO</v>
          </cell>
          <cell r="T38" t="str">
            <v>MSW</v>
          </cell>
          <cell r="U38" t="str">
            <v>EMKAHA, PT
Panca Global Solusindo, PT
Technical South East Asia, PT
PM Control System, PT
Barcol Nusantara, PT
Global Energy Tama, PT</v>
          </cell>
          <cell r="V38" t="str">
            <v>Emkaha, PT
Panca Global Solusindo, PT
PM Control System, PT</v>
          </cell>
          <cell r="W38" t="str">
            <v>6 of 6</v>
          </cell>
          <cell r="X38" t="str">
            <v>3 of 6</v>
          </cell>
          <cell r="Y38">
            <v>45799</v>
          </cell>
          <cell r="Z38">
            <v>45813</v>
          </cell>
          <cell r="AC38" t="str">
            <v xml:space="preserve"> of </v>
          </cell>
          <cell r="AD38" t="str">
            <v xml:space="preserve"> of </v>
          </cell>
          <cell r="AF38" t="str">
            <v/>
          </cell>
          <cell r="AI38" t="str">
            <v xml:space="preserve"> of </v>
          </cell>
          <cell r="AJ38" t="str">
            <v xml:space="preserve"> of </v>
          </cell>
          <cell r="AL38" t="str">
            <v/>
          </cell>
          <cell r="AM38">
            <v>0.70833333333333337</v>
          </cell>
          <cell r="AN38" t="str">
            <v>Emkaha, PT</v>
          </cell>
          <cell r="AO38" t="str">
            <v>narto.emkaha@gmail.com; Mukhlis.emkaha@gmail.com</v>
          </cell>
          <cell r="AP38" t="str">
            <v>PO25000558</v>
          </cell>
          <cell r="AQ38">
            <v>156200000</v>
          </cell>
          <cell r="AR38">
            <v>45817</v>
          </cell>
          <cell r="AS38">
            <v>45873</v>
          </cell>
          <cell r="AT38">
            <v>45875</v>
          </cell>
          <cell r="AU38">
            <v>45933</v>
          </cell>
          <cell r="AV38">
            <v>45903</v>
          </cell>
          <cell r="AW38">
            <v>45961</v>
          </cell>
          <cell r="AX38">
            <v>8.2857142857142865</v>
          </cell>
          <cell r="AY38">
            <v>45910</v>
          </cell>
          <cell r="AZ38" t="str">
            <v/>
          </cell>
          <cell r="BA38" t="str">
            <v/>
          </cell>
          <cell r="BB38" t="str">
            <v>Late Completed</v>
          </cell>
          <cell r="BC38" t="str">
            <v>Folder tidak ditemukan</v>
          </cell>
        </row>
        <row r="39">
          <cell r="B39" t="str">
            <v>PR100010359</v>
          </cell>
          <cell r="C39" t="str">
            <v>Sparepart Hooter Sirine CHP for WO10759374 &amp; WO10767770</v>
          </cell>
          <cell r="E39" t="str">
            <v>Perwira Sentra Officindo, PT
Alfa Teknik Mandiri Makmur, PT
Wahana Safety Indonesia, PT
Gevana, PT
Kawan Lama Solusi, PT
Berkat Keselamatan Dunia, PT
Bhakti Ratutama Jaya, PT
Bintang Anugrah Sehati, PT
Growrich Indonesia, PT
Dunia Saftindo, PT
Cahaya Mitra Saftindo, PT</v>
          </cell>
          <cell r="F39" t="str">
            <v>Perwira Sentra Officindo, PT
Wahana Safety Indonesia, PT
Gevana, PT
Bhakti Ratutama Jaya, PT
Dunia Saftindo, PT
Cahaya Mitra Saftindo, PT</v>
          </cell>
          <cell r="G39" t="str">
            <v>R0
6 of 11
04 Jun 25</v>
          </cell>
          <cell r="H39" t="str">
            <v>DEDE SUDARJI</v>
          </cell>
          <cell r="I39">
            <v>45797</v>
          </cell>
          <cell r="J39" t="str">
            <v>Tech Main</v>
          </cell>
          <cell r="K39" t="str">
            <v>B</v>
          </cell>
          <cell r="L39" t="str">
            <v>BID</v>
          </cell>
          <cell r="M39" t="str">
            <v>0156</v>
          </cell>
          <cell r="N39" t="str">
            <v>RH</v>
          </cell>
          <cell r="O39" t="str">
            <v>robertiagus.haposan@alamtri.com</v>
          </cell>
          <cell r="P39">
            <v>1270</v>
          </cell>
          <cell r="Q39">
            <v>20320000</v>
          </cell>
          <cell r="R39" t="str">
            <v>Completed Sign PO</v>
          </cell>
          <cell r="T39" t="str">
            <v>MSW</v>
          </cell>
          <cell r="U39" t="str">
            <v>Perwira Sentra Officindo, PT
Alfa Teknik Mandiri Makmur, PT
Wahana Safety Indonesia, PT
Gevana, PT
Kawan Lama Solusi, PT
Berkat Keselamatan Dunia, PT
Bhakti Ratutama Jaya, PT
Bintang Anugrah Sehati, PT
Growrich Indonesia, PT
Dunia Saftindo, PT
Cahaya Mitra Saftindo, PT</v>
          </cell>
          <cell r="V39" t="str">
            <v>Perwira Sentra Officindo, PT
Wahana Safety Indonesia, PT
Gevana, PT
Bhakti Ratutama Jaya, PT
Dunia Saftindo, PT
Cahaya Mitra Saftindo, PT</v>
          </cell>
          <cell r="W39" t="str">
            <v>11 of 11</v>
          </cell>
          <cell r="X39" t="str">
            <v>6 of 11</v>
          </cell>
          <cell r="Y39">
            <v>45799</v>
          </cell>
          <cell r="Z39">
            <v>45812</v>
          </cell>
          <cell r="AC39" t="str">
            <v xml:space="preserve"> of </v>
          </cell>
          <cell r="AD39" t="str">
            <v xml:space="preserve"> of </v>
          </cell>
          <cell r="AI39" t="str">
            <v xml:space="preserve"> of </v>
          </cell>
          <cell r="AJ39" t="str">
            <v xml:space="preserve"> of </v>
          </cell>
          <cell r="AL39" t="str">
            <v/>
          </cell>
          <cell r="AM39">
            <v>0.70833333333333337</v>
          </cell>
          <cell r="AN39" t="str">
            <v>Bhakti Ratutama Jaya, PT</v>
          </cell>
          <cell r="AO39" t="str">
            <v>bhaktiratutama2005@gmail.com</v>
          </cell>
          <cell r="AP39" t="str">
            <v>PO25000486</v>
          </cell>
          <cell r="AQ39">
            <v>22800000</v>
          </cell>
          <cell r="AR39">
            <v>45820</v>
          </cell>
          <cell r="AS39">
            <v>45827</v>
          </cell>
          <cell r="AT39">
            <v>45853</v>
          </cell>
          <cell r="AU39">
            <v>45884</v>
          </cell>
          <cell r="AV39">
            <v>45856</v>
          </cell>
          <cell r="AW39">
            <v>45887</v>
          </cell>
          <cell r="AX39">
            <v>4.4285714285714288</v>
          </cell>
          <cell r="AY39">
            <v>45869</v>
          </cell>
          <cell r="AZ39" t="str">
            <v/>
          </cell>
          <cell r="BA39" t="str">
            <v/>
          </cell>
          <cell r="BB39" t="str">
            <v>Late Completed</v>
          </cell>
          <cell r="BC39" t="str">
            <v>PR100010359</v>
          </cell>
        </row>
        <row r="40">
          <cell r="B40" t="str">
            <v>PR100010260</v>
          </cell>
          <cell r="C40" t="str">
            <v>Jasa perbaikan dan sparepart penggantian bearing Generator dan Seal Head  DG Cat 3516 IBT (3G3)</v>
          </cell>
          <cell r="D40" t="str">
            <v>Trakindo Utama, PT (Tanjung)</v>
          </cell>
          <cell r="E40" t="str">
            <v>Trakindo Utama, PT (Tanjung)</v>
          </cell>
          <cell r="F40" t="str">
            <v/>
          </cell>
          <cell r="G40" t="str">
            <v/>
          </cell>
          <cell r="H40" t="str">
            <v>SLAMET</v>
          </cell>
          <cell r="I40">
            <v>45803</v>
          </cell>
          <cell r="J40" t="str">
            <v>Tech Main</v>
          </cell>
          <cell r="K40" t="str">
            <v>J</v>
          </cell>
          <cell r="L40" t="str">
            <v>CTR</v>
          </cell>
          <cell r="N40" t="str">
            <v>RH</v>
          </cell>
          <cell r="O40" t="str">
            <v>robertiagus.haposan@alamtri.com</v>
          </cell>
          <cell r="P40">
            <v>6658.8</v>
          </cell>
          <cell r="Q40">
            <v>106540800</v>
          </cell>
          <cell r="R40" t="str">
            <v>Completed Sign PO Contract</v>
          </cell>
          <cell r="T40" t="str">
            <v>MSW</v>
          </cell>
          <cell r="U40" t="str">
            <v>Trakindo Utama, PT (Tanjung)</v>
          </cell>
          <cell r="V40" t="str">
            <v>Trakindo Utama, PT</v>
          </cell>
          <cell r="W40" t="str">
            <v>1 of 1</v>
          </cell>
          <cell r="X40" t="str">
            <v>1 of 1</v>
          </cell>
          <cell r="Z40" t="str">
            <v/>
          </cell>
          <cell r="AC40" t="str">
            <v xml:space="preserve"> of </v>
          </cell>
          <cell r="AD40" t="str">
            <v xml:space="preserve"> of </v>
          </cell>
          <cell r="AF40" t="str">
            <v/>
          </cell>
          <cell r="AI40" t="str">
            <v xml:space="preserve"> of </v>
          </cell>
          <cell r="AJ40" t="str">
            <v xml:space="preserve"> of </v>
          </cell>
          <cell r="AL40" t="str">
            <v/>
          </cell>
          <cell r="AM40">
            <v>0.70833333333333337</v>
          </cell>
          <cell r="AN40" t="str">
            <v>Trakindo Utama, PT</v>
          </cell>
          <cell r="AO40" t="str">
            <v>hjuniater.sidauruk@trakindo.co.id</v>
          </cell>
          <cell r="AP40" t="str">
            <v>PO25000371R1</v>
          </cell>
          <cell r="AQ40">
            <v>98515243</v>
          </cell>
          <cell r="AT40">
            <v>45838</v>
          </cell>
          <cell r="AU40">
            <v>45905</v>
          </cell>
          <cell r="AV40">
            <v>45842</v>
          </cell>
          <cell r="AW40">
            <v>45909</v>
          </cell>
          <cell r="AX40">
            <v>9.5714285714285712</v>
          </cell>
          <cell r="AY40">
            <v>45905</v>
          </cell>
          <cell r="AZ40" t="str">
            <v/>
          </cell>
          <cell r="BA40" t="str">
            <v/>
          </cell>
          <cell r="BB40" t="str">
            <v>Late Completed</v>
          </cell>
          <cell r="BC40" t="str">
            <v>PR100010260</v>
          </cell>
        </row>
        <row r="41">
          <cell r="B41" t="str">
            <v>PR100010396 (Line1,2,4)</v>
          </cell>
          <cell r="C41" t="str">
            <v>Pembelian Material DIgitalisasi (2025 Electrifikasi)</v>
          </cell>
          <cell r="E41" t="str">
            <v>Greentek Elektrikal Indonesia, PT
Perwira Sentra Officindo, PT
ALKS, CV
Quartee Technologies, PT
Gevana, PT
Alfa Teknik Mandiri Makmur, PT
Berkat Pratama Teknik, CV
Gema Industrial, PT
Antares Jaya Gemilang Prima, PT</v>
          </cell>
          <cell r="F41" t="str">
            <v>Greentek Elektrikal Indonesia, PT
ALKS, CV
Gevana, PT
Gema Industrial, PT
Antares Jaya Gemilang Prima, PT</v>
          </cell>
          <cell r="G41" t="str">
            <v>R0
5 of 9
11 Jun 25</v>
          </cell>
          <cell r="H41" t="str">
            <v>GUNARA FERY FAHNANI</v>
          </cell>
          <cell r="I41">
            <v>45803</v>
          </cell>
          <cell r="J41" t="str">
            <v>Tech Main</v>
          </cell>
          <cell r="K41" t="str">
            <v>B</v>
          </cell>
          <cell r="L41" t="str">
            <v>BID</v>
          </cell>
          <cell r="M41" t="str">
            <v>0163</v>
          </cell>
          <cell r="N41" t="str">
            <v>RH</v>
          </cell>
          <cell r="O41" t="str">
            <v>robertiagus.haposan@alamtri.com</v>
          </cell>
          <cell r="P41">
            <v>3863.8528000000001</v>
          </cell>
          <cell r="Q41">
            <v>61821644.800000004</v>
          </cell>
          <cell r="R41" t="str">
            <v>Completed Sign PO</v>
          </cell>
          <cell r="T41" t="str">
            <v>MSW</v>
          </cell>
          <cell r="U41" t="str">
            <v>Greentek Elektrikal Indonesia, PT
Perwira Sentra Officindo, PT
ALKS, CV
Quartee Technologies, PT
Gevana, PT
Alfa Teknik Mandiri Makmur, PT
Berkat Pratama Teknik, CV
Gema Industrial, PT
Antares Jaya Gemilang Prima, PT</v>
          </cell>
          <cell r="V41" t="str">
            <v>Greentek Elektrikal Indonesia, PT
ALKS, CV
Gevana, PT
Gema Industrial, PT
Antares Jaya Gemilang Prima, PT</v>
          </cell>
          <cell r="W41" t="str">
            <v>9 of 9</v>
          </cell>
          <cell r="X41" t="str">
            <v>5 of 9</v>
          </cell>
          <cell r="Y41">
            <v>45804</v>
          </cell>
          <cell r="Z41">
            <v>45819</v>
          </cell>
          <cell r="AC41" t="str">
            <v xml:space="preserve"> of </v>
          </cell>
          <cell r="AD41" t="str">
            <v xml:space="preserve"> of </v>
          </cell>
          <cell r="AF41" t="str">
            <v/>
          </cell>
          <cell r="AI41" t="str">
            <v xml:space="preserve"> of </v>
          </cell>
          <cell r="AJ41" t="str">
            <v xml:space="preserve"> of </v>
          </cell>
          <cell r="AL41" t="str">
            <v/>
          </cell>
          <cell r="AM41">
            <v>0.70833333333333337</v>
          </cell>
          <cell r="AN41" t="str">
            <v>Greentek Elektrikal Indonesia, PT</v>
          </cell>
          <cell r="AO41" t="str">
            <v>rendym@greentechinternational.com</v>
          </cell>
          <cell r="AP41" t="str">
            <v>PO25000547</v>
          </cell>
          <cell r="AQ41">
            <v>37733000</v>
          </cell>
          <cell r="AR41">
            <v>45824</v>
          </cell>
          <cell r="AS41">
            <v>45862</v>
          </cell>
          <cell r="AT41">
            <v>45869</v>
          </cell>
          <cell r="AU41">
            <v>45905</v>
          </cell>
          <cell r="AV41">
            <v>45870</v>
          </cell>
          <cell r="AW41">
            <v>45906</v>
          </cell>
          <cell r="AX41">
            <v>5.1428571428571432</v>
          </cell>
          <cell r="AY41">
            <v>45919</v>
          </cell>
          <cell r="AZ41">
            <v>13</v>
          </cell>
          <cell r="BA41">
            <v>490529</v>
          </cell>
          <cell r="BB41" t="str">
            <v>Late Completed</v>
          </cell>
          <cell r="BC41" t="str">
            <v>PR100010396</v>
          </cell>
        </row>
        <row r="42">
          <cell r="B42" t="str">
            <v>PR100010397</v>
          </cell>
          <cell r="C42" t="str">
            <v>Spare Part DCS For WO10771996</v>
          </cell>
          <cell r="E42" t="str">
            <v>Alfa Teknik Mandiri Makmur, PT
Gema Industrial, PT
ALKS, CV
Quartee Technologies, PT
Perwira Sentra Officindo, PT
Alfa Teknik Mandiri Makmur, PT
Ganesha Wirya Pratama, PT
Gevana, PT
Century, CV
Indoparts, CV</v>
          </cell>
          <cell r="F42" t="str">
            <v>ALKS, CV
Alfa Teknik Mandiri Makmur, PT
Ganesha Wirya Pratama, PT
Gevana, PT</v>
          </cell>
          <cell r="G42" t="str">
            <v>R0
4 of 10
12 Jun 25</v>
          </cell>
          <cell r="H42" t="str">
            <v>DEDE SUDARJI</v>
          </cell>
          <cell r="I42">
            <v>45803</v>
          </cell>
          <cell r="J42" t="str">
            <v>Tech Main</v>
          </cell>
          <cell r="K42" t="str">
            <v>B</v>
          </cell>
          <cell r="L42" t="str">
            <v>BID</v>
          </cell>
          <cell r="M42" t="str">
            <v>0164</v>
          </cell>
          <cell r="N42" t="str">
            <v>RH</v>
          </cell>
          <cell r="O42" t="str">
            <v>robertiagus.haposan@alamtri.com</v>
          </cell>
          <cell r="P42">
            <v>2423</v>
          </cell>
          <cell r="Q42">
            <v>38768000</v>
          </cell>
          <cell r="R42" t="str">
            <v>PO Sign Vendor</v>
          </cell>
          <cell r="T42" t="str">
            <v>MSW</v>
          </cell>
          <cell r="U42" t="str">
            <v>Alfa Teknik Mandiri Makmur, PT
Gema Industrial, PT
ALKS, CV
Quartee Technologies, PT
Perwira Sentra Officindo, PT
Alfa Teknik Mandiri Makmur, PT
Ganesha Wirya Pratama, PT
Gevana, PT
Century, CV
Indoparts, CV</v>
          </cell>
          <cell r="V42" t="str">
            <v>ALKS, CV
Alfa Teknik Mandiri Makmur, PT
Ganesha Wirya Pratama, PT
Gevana, PT</v>
          </cell>
          <cell r="W42" t="str">
            <v>10 of 10</v>
          </cell>
          <cell r="X42" t="str">
            <v>4 of 10</v>
          </cell>
          <cell r="Y42">
            <v>45804</v>
          </cell>
          <cell r="Z42">
            <v>45820</v>
          </cell>
          <cell r="AC42" t="str">
            <v xml:space="preserve"> of </v>
          </cell>
          <cell r="AD42" t="str">
            <v xml:space="preserve"> of </v>
          </cell>
          <cell r="AF42" t="str">
            <v/>
          </cell>
          <cell r="AI42" t="str">
            <v xml:space="preserve"> of </v>
          </cell>
          <cell r="AJ42" t="str">
            <v xml:space="preserve"> of </v>
          </cell>
          <cell r="AL42" t="str">
            <v/>
          </cell>
          <cell r="AM42">
            <v>0.70833333333333337</v>
          </cell>
          <cell r="AN42" t="str">
            <v>Alfa Teknik Mandiri Makmur, PT</v>
          </cell>
          <cell r="AO42" t="str">
            <v>sales.atmm@gmail.com; alex_atmm@yahoo.com</v>
          </cell>
          <cell r="AP42" t="str">
            <v>PO25000604</v>
          </cell>
          <cell r="AQ42">
            <v>28380000</v>
          </cell>
          <cell r="AR42">
            <v>45826</v>
          </cell>
          <cell r="AS42">
            <v>45877</v>
          </cell>
          <cell r="AT42">
            <v>45887</v>
          </cell>
          <cell r="AU42">
            <v>45912</v>
          </cell>
          <cell r="AV42">
            <v>45891</v>
          </cell>
          <cell r="AW42">
            <v>45916</v>
          </cell>
          <cell r="AX42">
            <v>3.5714285714285716</v>
          </cell>
          <cell r="AZ42" t="str">
            <v/>
          </cell>
          <cell r="BA42" t="str">
            <v/>
          </cell>
          <cell r="BB42" t="str">
            <v>Late Completed</v>
          </cell>
          <cell r="BC42" t="str">
            <v>PR100010397</v>
          </cell>
        </row>
        <row r="43">
          <cell r="B43" t="str">
            <v>PR100010399</v>
          </cell>
          <cell r="C43" t="str">
            <v>Spare Part Transmitter Boiler for WO10772130</v>
          </cell>
          <cell r="E43" t="str">
            <v>Gevana, PT
Putera Instrumenindo, PT
Kin Kitra Kencana, PT
Gading Mas Utama, PT
Promitra Prima Indonesia, PT
Gema Industrial, PT
Greentek Elektrikal Indonesia, PT
ANP Engineering, PT
Dayaniaga Ekaselaras, PT</v>
          </cell>
          <cell r="F43" t="str">
            <v>Gevana, PT
Putera Instrumenindo, PT
Gading Mas Utama, PT
Gema Industrial, PT
Dayaniaga Ekaselaras, PT</v>
          </cell>
          <cell r="G43" t="str">
            <v>R0
5 of 9
11 Jun 25</v>
          </cell>
          <cell r="H43" t="str">
            <v>DEDE SUDARJI</v>
          </cell>
          <cell r="I43">
            <v>45803</v>
          </cell>
          <cell r="J43" t="str">
            <v>Tech Main</v>
          </cell>
          <cell r="K43" t="str">
            <v>B</v>
          </cell>
          <cell r="L43" t="str">
            <v>BID</v>
          </cell>
          <cell r="M43" t="str">
            <v>0165</v>
          </cell>
          <cell r="N43" t="str">
            <v>RH</v>
          </cell>
          <cell r="O43" t="str">
            <v>robertiagus.haposan@alamtri.com</v>
          </cell>
          <cell r="P43">
            <v>3691.0922</v>
          </cell>
          <cell r="Q43">
            <v>59057475.200000003</v>
          </cell>
          <cell r="R43" t="str">
            <v>Completed Sign PO</v>
          </cell>
          <cell r="T43" t="str">
            <v>MSW</v>
          </cell>
          <cell r="U43" t="str">
            <v>Gevana, PT
Putera Instrumenindo, PT
Kin Kitra Kencana, PT
Gading Mas Utama, PT
Promitra Prima Indonesia, PT
Gema Industrial, PT
Greentek Elektrikal Indonesia, PT
ANP Engineering, PT
Dayaniaga Ekaselaras, PT</v>
          </cell>
          <cell r="V43" t="str">
            <v>Gevana, PT
Putera Instrumenindo, PT
Gading Mas Utama, PT
Gema Industrial, PT
Dayaniaga Ekaselaras, PT</v>
          </cell>
          <cell r="W43" t="str">
            <v>9 of 9</v>
          </cell>
          <cell r="X43" t="str">
            <v>5 of 9</v>
          </cell>
          <cell r="Y43">
            <v>45804</v>
          </cell>
          <cell r="Z43">
            <v>45819</v>
          </cell>
          <cell r="AC43" t="str">
            <v xml:space="preserve"> of </v>
          </cell>
          <cell r="AD43" t="str">
            <v xml:space="preserve"> of </v>
          </cell>
          <cell r="AF43" t="str">
            <v/>
          </cell>
          <cell r="AI43" t="str">
            <v xml:space="preserve"> of </v>
          </cell>
          <cell r="AJ43" t="str">
            <v xml:space="preserve"> of </v>
          </cell>
          <cell r="AL43" t="str">
            <v/>
          </cell>
          <cell r="AM43">
            <v>0.70833333333333337</v>
          </cell>
          <cell r="AN43" t="str">
            <v>Gevana, PT</v>
          </cell>
          <cell r="AO43" t="str">
            <v>charlierobiansa7@gmail.com; eviedenny277@gmail.com</v>
          </cell>
          <cell r="AP43" t="str">
            <v>PO25000572</v>
          </cell>
          <cell r="AQ43">
            <v>74275000</v>
          </cell>
          <cell r="AR43">
            <v>45824</v>
          </cell>
          <cell r="AS43">
            <v>45875</v>
          </cell>
          <cell r="AT43">
            <v>45876</v>
          </cell>
          <cell r="AU43">
            <v>45933</v>
          </cell>
          <cell r="AV43">
            <v>45880</v>
          </cell>
          <cell r="AW43">
            <v>45937</v>
          </cell>
          <cell r="AX43">
            <v>8.1428571428571423</v>
          </cell>
          <cell r="AZ43" t="str">
            <v/>
          </cell>
          <cell r="BA43" t="str">
            <v/>
          </cell>
          <cell r="BB43" t="str">
            <v>Late Completed</v>
          </cell>
          <cell r="BC43" t="str">
            <v>PR100010399</v>
          </cell>
        </row>
        <row r="44">
          <cell r="B44" t="str">
            <v>PR100010380</v>
          </cell>
          <cell r="C44" t="str">
            <v>Pembelian Asset Trafo 2500kVA</v>
          </cell>
          <cell r="E44" t="str">
            <v xml:space="preserve">Berkat Pratama Teknik, CV
Duta Sarana Engineering, PT
Borneo Maju Jaya, PT
Greentek Elektrikal Indonesia, PT
Sola Anugerah Oilfield, PT
Takana Redho Indonesia, PT
Rande Buana Teknik, PT
Anugrah Mandiri Putra Tabalong, PT
Dayaniaga Ekaselaras, PT
Afghan Jaya Abadi, PT
Gading Mas Utama, PT
Gridtech Indonesia, PT
Kin Kitra Kencana, PT
Jashen Mitra Sinergi, PT
Duta Sarana Engineering, PT
Bambang Djaja, PT
Triputra Electric Abadi, PT
Graha Sumber Prima Elektronik, PT
</v>
          </cell>
          <cell r="F44" t="str">
            <v>Duta Sarana Engineering, PT
Borneo Maju Jaya, PT
Sola Anugerah Oilfield, PT
Rande Buana Teknik, PT
Gridtech Indonesia, PT
Bambang Djaja, PT
Graha Sumber Prima Elektronik, PT</v>
          </cell>
          <cell r="G44" t="str">
            <v>R0
7 of 19
05 Jun 25</v>
          </cell>
          <cell r="H44" t="str">
            <v>GUNARA FERY FAHNANI</v>
          </cell>
          <cell r="I44">
            <v>45803</v>
          </cell>
          <cell r="J44" t="str">
            <v>Tech Main</v>
          </cell>
          <cell r="K44" t="str">
            <v>B</v>
          </cell>
          <cell r="L44" t="str">
            <v>BID</v>
          </cell>
          <cell r="M44" t="str">
            <v>0162</v>
          </cell>
          <cell r="N44" t="str">
            <v>RH</v>
          </cell>
          <cell r="O44" t="str">
            <v>robertiagus.haposan@alamtri.com</v>
          </cell>
          <cell r="P44">
            <v>22300</v>
          </cell>
          <cell r="Q44">
            <v>356800000</v>
          </cell>
          <cell r="R44" t="str">
            <v>Completed Sign PO</v>
          </cell>
          <cell r="T44" t="str">
            <v>MSW</v>
          </cell>
          <cell r="U44" t="str">
            <v xml:space="preserve">Berkat Pratama Teknik, CV
Duta Sarana Engineering, PT
Borneo Maju Jaya, PT
Greentek Elektrikal Indonesia, PT
Sola Anugerah Oilfield, PT
Takana Redho Indonesia, PT
Rande Buana Teknik, PT
Anugrah Mandiri Putra Tabalong, PT
Dayaniaga Ekaselaras, PT
Afghan Jaya Abadi, PT
Gading Mas Utama, PT
Gridtech Indonesia, PT
Kin Kitra Kencana, PT
Jashen Mitra Sinergi, PT
Duta Sarana Engineering, PT
Bambang Djaja, PT
Triputra Electric Abadi, PT
Graha Sumber Prima Elektronik, PT
</v>
          </cell>
          <cell r="V44" t="str">
            <v>Duta Sarana Engineering, PT
Borneo Maju Jaya, PT
Sola Anugerah Oilfield, PT
Rande Buana Teknik, PT
Gridtech Indonesia, PT
Bambang Djaja, PT
Graha Sumber Prima Elektronik, PT</v>
          </cell>
          <cell r="W44" t="str">
            <v>19 of 19</v>
          </cell>
          <cell r="X44" t="str">
            <v>7 of 19</v>
          </cell>
          <cell r="Y44">
            <v>45803</v>
          </cell>
          <cell r="Z44">
            <v>45813</v>
          </cell>
          <cell r="AC44" t="str">
            <v xml:space="preserve"> of </v>
          </cell>
          <cell r="AD44" t="str">
            <v xml:space="preserve"> of </v>
          </cell>
          <cell r="AF44" t="str">
            <v/>
          </cell>
          <cell r="AI44" t="str">
            <v xml:space="preserve"> of </v>
          </cell>
          <cell r="AJ44" t="str">
            <v xml:space="preserve"> of </v>
          </cell>
          <cell r="AL44" t="str">
            <v/>
          </cell>
          <cell r="AM44">
            <v>0.70833333333333337</v>
          </cell>
          <cell r="AN44" t="str">
            <v>Borneo Maju Jaya, PT</v>
          </cell>
          <cell r="AO44" t="str">
            <v>welas@borneomajujaya.com</v>
          </cell>
          <cell r="AP44" t="str">
            <v>PO25000494</v>
          </cell>
          <cell r="AQ44">
            <v>382950000</v>
          </cell>
          <cell r="AR44">
            <v>45824</v>
          </cell>
          <cell r="AS44">
            <v>45845</v>
          </cell>
          <cell r="AT44">
            <v>45854</v>
          </cell>
          <cell r="AU44">
            <v>45886</v>
          </cell>
          <cell r="AV44">
            <v>45856</v>
          </cell>
          <cell r="AW44">
            <v>45888</v>
          </cell>
          <cell r="AX44">
            <v>4.5714285714285712</v>
          </cell>
          <cell r="AY44">
            <v>45933</v>
          </cell>
          <cell r="AZ44">
            <v>45</v>
          </cell>
          <cell r="BA44">
            <v>19147500</v>
          </cell>
          <cell r="BB44" t="str">
            <v>Late Completed</v>
          </cell>
          <cell r="BC44" t="str">
            <v>PR100010380</v>
          </cell>
        </row>
        <row r="45">
          <cell r="B45" t="str">
            <v>PR100010385</v>
          </cell>
          <cell r="C45" t="str">
            <v>Rental Office MSW Jakarta Periode Mei - Oktober 2025</v>
          </cell>
          <cell r="D45" t="str">
            <v>AlamTri Power Indonesia, PT</v>
          </cell>
          <cell r="E45" t="str">
            <v>AlamTri Power Indonesia, PT</v>
          </cell>
          <cell r="F45" t="str">
            <v/>
          </cell>
          <cell r="G45" t="str">
            <v/>
          </cell>
          <cell r="H45" t="str">
            <v>M FIKRY MAULANA</v>
          </cell>
          <cell r="I45">
            <v>45803</v>
          </cell>
          <cell r="J45" t="str">
            <v>HR</v>
          </cell>
          <cell r="K45" t="str">
            <v>B</v>
          </cell>
          <cell r="L45" t="str">
            <v>CTR</v>
          </cell>
          <cell r="N45" t="str">
            <v>RH</v>
          </cell>
          <cell r="O45" t="str">
            <v>robertiagus.haposan@alamtri.com</v>
          </cell>
          <cell r="P45">
            <v>31863.360000000001</v>
          </cell>
          <cell r="Q45">
            <v>509813760</v>
          </cell>
          <cell r="R45" t="str">
            <v>Completed Sign PO Contract</v>
          </cell>
          <cell r="T45" t="str">
            <v>MSW</v>
          </cell>
          <cell r="U45" t="str">
            <v>AlamTri Power Indonesia, PT</v>
          </cell>
          <cell r="V45" t="str">
            <v>AlamTri Power Indonesia, PT</v>
          </cell>
          <cell r="W45" t="str">
            <v>1 of 1</v>
          </cell>
          <cell r="X45" t="str">
            <v>1 of 1</v>
          </cell>
          <cell r="Z45" t="str">
            <v/>
          </cell>
          <cell r="AC45" t="str">
            <v xml:space="preserve"> of </v>
          </cell>
          <cell r="AD45" t="str">
            <v xml:space="preserve"> of </v>
          </cell>
          <cell r="AF45" t="str">
            <v/>
          </cell>
          <cell r="AI45" t="str">
            <v xml:space="preserve"> of </v>
          </cell>
          <cell r="AJ45" t="str">
            <v xml:space="preserve"> of </v>
          </cell>
          <cell r="AL45" t="str">
            <v/>
          </cell>
          <cell r="AM45">
            <v>0.70833333333333337</v>
          </cell>
          <cell r="AN45" t="str">
            <v>AlamTri Power Indonesia, PT</v>
          </cell>
          <cell r="AO45" t="str">
            <v>totok.hardjanto@adaro.com</v>
          </cell>
          <cell r="AP45" t="str">
            <v>PO25000404</v>
          </cell>
          <cell r="AQ45">
            <v>513000000</v>
          </cell>
          <cell r="AT45">
            <v>45820</v>
          </cell>
          <cell r="AU45">
            <v>45851</v>
          </cell>
          <cell r="AV45">
            <v>45824</v>
          </cell>
          <cell r="AW45">
            <v>45855</v>
          </cell>
          <cell r="AX45">
            <v>4.4285714285714288</v>
          </cell>
          <cell r="AY45">
            <v>45827</v>
          </cell>
          <cell r="AZ45" t="str">
            <v/>
          </cell>
          <cell r="BA45" t="str">
            <v/>
          </cell>
          <cell r="BB45" t="str">
            <v>Completed</v>
          </cell>
          <cell r="BC45" t="str">
            <v>PR100010385</v>
          </cell>
        </row>
        <row r="46">
          <cell r="B46" t="str">
            <v>PR100010402</v>
          </cell>
          <cell r="C46" t="str">
            <v>Spare part Temperature Transmitter for WO10763301</v>
          </cell>
          <cell r="E46" t="str">
            <v>Riyana Dinamika Mandiri, PT
Sola Anugerah Oilfield, PT
Gevana, PT
Antares Jaya Gemilang Prima, PT
Endress+Hauser Indonesia, PT
Gading Mas Utama, PT
Gema Industrial, PT
Alfa Teknik Mandiri Makmur, PT
Dayaniaga Ekaselaras, PT
Perwira Sentra Officindo, PT</v>
          </cell>
          <cell r="F46" t="str">
            <v>Riyana Dinamika Mandiri, PT
Gevana, PT
Gading Mas Utama, PT</v>
          </cell>
          <cell r="G46" t="str">
            <v>R0
3 of 10
12 Jun 25</v>
          </cell>
          <cell r="H46" t="str">
            <v>DEDE SUDARJI</v>
          </cell>
          <cell r="I46">
            <v>45805</v>
          </cell>
          <cell r="J46" t="str">
            <v>Tech Main</v>
          </cell>
          <cell r="K46" t="str">
            <v>B</v>
          </cell>
          <cell r="L46" t="str">
            <v>BID</v>
          </cell>
          <cell r="M46" t="str">
            <v>0171</v>
          </cell>
          <cell r="N46" t="str">
            <v>RH</v>
          </cell>
          <cell r="O46" t="str">
            <v>robertiagus.haposan@alamtri.com</v>
          </cell>
          <cell r="P46">
            <v>1778</v>
          </cell>
          <cell r="Q46">
            <v>28448000</v>
          </cell>
          <cell r="R46" t="str">
            <v>Completed Sign PO</v>
          </cell>
          <cell r="T46" t="str">
            <v>MSW</v>
          </cell>
          <cell r="U46" t="str">
            <v>Riyana Dinamika Mandiri, PT
Sola Anugerah Oilfield, PT
Gevana, PT
Antares Jaya Gemilang Prima, PT
Endress+Hauser Indonesia, PT
Gading Mas Utama, PT
Gema Industrial, PT
Alfa Teknik Mandiri Makmur, PT
Dayaniaga Ekaselaras, PT
Perwira Sentra Officindo, PT</v>
          </cell>
          <cell r="V46" t="str">
            <v>Riyana Dinamika Mandiri, PT
Gevana, PT
Gading Mas Utama, PT</v>
          </cell>
          <cell r="W46" t="str">
            <v>10 of 10</v>
          </cell>
          <cell r="X46" t="str">
            <v>3 of 10</v>
          </cell>
          <cell r="Y46">
            <v>45807</v>
          </cell>
          <cell r="Z46">
            <v>45820</v>
          </cell>
          <cell r="AC46" t="str">
            <v xml:space="preserve"> of </v>
          </cell>
          <cell r="AD46" t="str">
            <v xml:space="preserve"> of </v>
          </cell>
          <cell r="AF46" t="str">
            <v/>
          </cell>
          <cell r="AI46" t="str">
            <v xml:space="preserve"> of </v>
          </cell>
          <cell r="AJ46" t="str">
            <v xml:space="preserve"> of </v>
          </cell>
          <cell r="AL46" t="str">
            <v/>
          </cell>
          <cell r="AM46">
            <v>0.70833333333333337</v>
          </cell>
          <cell r="AN46" t="str">
            <v>Gevana, PT</v>
          </cell>
          <cell r="AO46" t="str">
            <v>charlierobiansa7@gmail.com; eviedenny277@gmail.com</v>
          </cell>
          <cell r="AP46" t="str">
            <v>PO25000557</v>
          </cell>
          <cell r="AQ46">
            <v>69283500</v>
          </cell>
          <cell r="AR46">
            <v>45826</v>
          </cell>
          <cell r="AS46">
            <v>45869</v>
          </cell>
          <cell r="AT46">
            <v>45870</v>
          </cell>
          <cell r="AU46">
            <v>45912</v>
          </cell>
          <cell r="AV46">
            <v>45880</v>
          </cell>
          <cell r="AW46">
            <v>45922</v>
          </cell>
          <cell r="AX46">
            <v>6</v>
          </cell>
          <cell r="AY46">
            <v>45922</v>
          </cell>
          <cell r="AZ46" t="str">
            <v/>
          </cell>
          <cell r="BA46" t="str">
            <v/>
          </cell>
          <cell r="BB46" t="str">
            <v>Late Completed</v>
          </cell>
          <cell r="BC46" t="str">
            <v>PR100010402</v>
          </cell>
        </row>
        <row r="47">
          <cell r="B47" t="str">
            <v>PR100010419 (Line 1-2)</v>
          </cell>
          <cell r="C47" t="str">
            <v>Sparepart pH Analyzer for WO10746379</v>
          </cell>
          <cell r="E47" t="str">
            <v>Gevana, PT
Trimitra Bangun Karyatama, PT
Putera Instrumenindo, PT
Gading Mas Utama, PT
Raja Listrik Indonesia, PT
Lienetic Jaya, PT
Promitra Prima Indonesia, PT</v>
          </cell>
          <cell r="F47" t="str">
            <v>Gevana, PT
Trimitra Bangun Karyatama, PT
Putera Instrumenindo, PT
Gading Mas Utama, PT
Promitra Prima Indonesia, PT</v>
          </cell>
          <cell r="G47" t="str">
            <v>R1
5 of 7
07 Jul 25</v>
          </cell>
          <cell r="H47" t="str">
            <v>DEDE SUDARJI</v>
          </cell>
          <cell r="I47">
            <v>45820</v>
          </cell>
          <cell r="J47" t="str">
            <v>Tech Main</v>
          </cell>
          <cell r="K47" t="str">
            <v>B</v>
          </cell>
          <cell r="L47" t="str">
            <v>BID</v>
          </cell>
          <cell r="M47" t="str">
            <v>0176</v>
          </cell>
          <cell r="N47" t="str">
            <v>RH</v>
          </cell>
          <cell r="O47" t="str">
            <v>robertiagus.haposan@alamtri.com</v>
          </cell>
          <cell r="P47">
            <v>3579</v>
          </cell>
          <cell r="Q47">
            <v>57264000</v>
          </cell>
          <cell r="R47" t="str">
            <v>Completed Sign PO</v>
          </cell>
          <cell r="T47" t="str">
            <v>MSW</v>
          </cell>
          <cell r="U47" t="str">
            <v>Gading Mas Utama, PT
Gema Industrial, PT
Gevana, PT
Greentek Elektrikal Indonesia, PT
Trimitra Bangun Karyatama, PT
ANP Engineering, PT
Axel Jaya Cakraniaga, PT
Promitra Prima Indonesia, PT
Kin Kitra Kencana, PT
Stanindo Artha Langgeng, PT
Antares Jaya Gemilang Prima, PT
Putera Instrumenindo, PT</v>
          </cell>
          <cell r="V47" t="str">
            <v>Gevana, PT
Trimitra Bangun Karyatama, PT</v>
          </cell>
          <cell r="W47" t="str">
            <v>12 of 12</v>
          </cell>
          <cell r="X47" t="str">
            <v>2 of 12</v>
          </cell>
          <cell r="Y47">
            <v>45820</v>
          </cell>
          <cell r="Z47">
            <v>45827</v>
          </cell>
          <cell r="AA47" t="str">
            <v>Gevana, PT
Trimitra Bangun Karyatama, PT
Putera Instrumenindo, PT
Gading Mas Utama, PT
Raja Listrik Indonesia, PT
Lienetic Jaya, PT
Promitra Prima Indonesia, PT</v>
          </cell>
          <cell r="AB47" t="str">
            <v>Gevana, PT
Trimitra Bangun Karyatama, PT
Putera Instrumenindo, PT
Gading Mas Utama, PT
Promitra Prima Indonesia, PT</v>
          </cell>
          <cell r="AC47" t="str">
            <v>7 of 7</v>
          </cell>
          <cell r="AD47" t="str">
            <v>5 of 7</v>
          </cell>
          <cell r="AE47">
            <v>45838</v>
          </cell>
          <cell r="AF47">
            <v>45845</v>
          </cell>
          <cell r="AI47" t="str">
            <v xml:space="preserve"> of </v>
          </cell>
          <cell r="AJ47" t="str">
            <v xml:space="preserve"> of </v>
          </cell>
          <cell r="AL47" t="str">
            <v/>
          </cell>
          <cell r="AM47">
            <v>0.70833333333333337</v>
          </cell>
          <cell r="AN47" t="str">
            <v>Gading Mas Utama, PT</v>
          </cell>
          <cell r="AO47" t="str">
            <v>sales@gmu.co.id; marta.l@cbn.net.id</v>
          </cell>
          <cell r="AP47" t="str">
            <v>PO25000677</v>
          </cell>
          <cell r="AQ47">
            <v>30025000</v>
          </cell>
          <cell r="AR47">
            <v>45869</v>
          </cell>
          <cell r="AS47">
            <v>45890</v>
          </cell>
          <cell r="AT47">
            <v>45902</v>
          </cell>
          <cell r="AU47">
            <v>46003</v>
          </cell>
          <cell r="AV47">
            <v>45910</v>
          </cell>
          <cell r="AW47">
            <v>46011</v>
          </cell>
          <cell r="AX47">
            <v>14.428571428571429</v>
          </cell>
          <cell r="AZ47" t="str">
            <v/>
          </cell>
          <cell r="BA47" t="str">
            <v/>
          </cell>
          <cell r="BB47" t="str">
            <v>Late Completed</v>
          </cell>
          <cell r="BC47" t="str">
            <v>PR100010419</v>
          </cell>
        </row>
        <row r="48">
          <cell r="B48" t="str">
            <v>PR100010418 (Line 1-2)</v>
          </cell>
          <cell r="C48" t="str">
            <v>Sparepart Conductivity Analyzer for WO10746320</v>
          </cell>
          <cell r="E48" t="str">
            <v>Gading Mas Utama, PT
Kin Kitra Kencana, PT
Antares Jaya Gemilang Prima, PT
Gema Industrial, PT
Greentek Elektrikal Indonesia, PT
Trimitra Bangun Karyatama, PT
Axel Jaya Cakraniaga, PT
Promitra Prima Indonesia, PT
Stanindo Artha Langgeng, PT
Putera Instrumenindo, PT</v>
          </cell>
          <cell r="F48" t="str">
            <v>Gading Mas Utama, PT	
Antares Jaya Gemilang Prima, PT	
Greentek Elektrikal Indonesia, PT
Axel Jaya Cakraniaga, PT	
Promitra Prima Indonesia, PT</v>
          </cell>
          <cell r="G48" t="str">
            <v>R0
5 of 10
19 Jun 25</v>
          </cell>
          <cell r="H48" t="str">
            <v>DEDE SUDARJI</v>
          </cell>
          <cell r="I48">
            <v>45813</v>
          </cell>
          <cell r="J48" t="str">
            <v>Tech Main</v>
          </cell>
          <cell r="K48" t="str">
            <v>B</v>
          </cell>
          <cell r="L48" t="str">
            <v>BID</v>
          </cell>
          <cell r="M48">
            <v>177</v>
          </cell>
          <cell r="N48" t="str">
            <v>RH</v>
          </cell>
          <cell r="O48" t="str">
            <v>robertiagus.haposan@alamtri.com</v>
          </cell>
          <cell r="P48">
            <v>3126</v>
          </cell>
          <cell r="Q48">
            <v>50016000</v>
          </cell>
          <cell r="R48" t="str">
            <v>Completed Sign PO</v>
          </cell>
          <cell r="T48" t="str">
            <v>MSW</v>
          </cell>
          <cell r="U48" t="str">
            <v>Gading Mas Utama, PT
Kin Kitra Kencana, PT
Antares Jaya Gemilang Prima, PT
Gema Industrial, PT
Greentek Elektrikal Indonesia, PT
Trimitra Bangun Karyatama, PT
Axel Jaya Cakraniaga, PT
Promitra Prima Indonesia, PT
Stanindo Artha Langgeng, PT
Putera Instrumenindo, PT</v>
          </cell>
          <cell r="V48" t="str">
            <v>Gading Mas Utama, PT	
Antares Jaya Gemilang Prima, PT	
Greentek Elektrikal Indonesia, PT
Axel Jaya Cakraniaga, PT	
Promitra Prima Indonesia, PT</v>
          </cell>
          <cell r="W48" t="str">
            <v>10 of 10</v>
          </cell>
          <cell r="X48" t="str">
            <v>5 of 10</v>
          </cell>
          <cell r="Y48">
            <v>45820</v>
          </cell>
          <cell r="Z48">
            <v>45827</v>
          </cell>
          <cell r="AC48" t="str">
            <v xml:space="preserve"> of </v>
          </cell>
          <cell r="AD48" t="str">
            <v xml:space="preserve"> of </v>
          </cell>
          <cell r="AF48" t="str">
            <v/>
          </cell>
          <cell r="AI48" t="str">
            <v xml:space="preserve"> of </v>
          </cell>
          <cell r="AJ48" t="str">
            <v xml:space="preserve"> of </v>
          </cell>
          <cell r="AL48" t="str">
            <v/>
          </cell>
          <cell r="AM48">
            <v>0.70833333333333337</v>
          </cell>
          <cell r="AN48" t="str">
            <v>Gading Mas Utama, PT</v>
          </cell>
          <cell r="AO48" t="str">
            <v>sales@gmu.co.id; marta.l@cbn.net.id</v>
          </cell>
          <cell r="AP48" t="str">
            <v>PO25000618</v>
          </cell>
          <cell r="AQ48">
            <v>39149000</v>
          </cell>
          <cell r="AR48">
            <v>45838</v>
          </cell>
          <cell r="AS48">
            <v>45887</v>
          </cell>
          <cell r="AT48">
            <v>45889</v>
          </cell>
          <cell r="AU48">
            <v>45996</v>
          </cell>
          <cell r="AV48">
            <v>45891</v>
          </cell>
          <cell r="AW48">
            <v>45998</v>
          </cell>
          <cell r="AX48">
            <v>15.285714285714286</v>
          </cell>
          <cell r="AZ48" t="str">
            <v/>
          </cell>
          <cell r="BA48" t="str">
            <v/>
          </cell>
          <cell r="BB48" t="str">
            <v>Late Completed</v>
          </cell>
          <cell r="BC48" t="str">
            <v>PR100010418</v>
          </cell>
        </row>
        <row r="49">
          <cell r="B49" t="str">
            <v>PR100010410 (Line 1 &amp; 3)</v>
          </cell>
          <cell r="C49" t="str">
            <v>Material untuk kebutuhan DG IBT 3G3 &amp; 3G4</v>
          </cell>
          <cell r="D49" t="str">
            <v>Bima Kaltim Utama, PT - Line 1
Sumberdaya Sewatama, PT - Line 3</v>
          </cell>
          <cell r="E49" t="str">
            <v>Bima Kaltim Utama, PT
Haji Usnan, CV
Dunia Saftindo, PT
Wahana Safety Indonesia, PT
Sehati, CV
Berkat Keselamatan Dunia, PT
Sarana Prima Lestari, CV
Ranadityo Sukses Makmur, PT
Vhipa Mulia Pratama, PT
Sinar Surya Lestari, PT</v>
          </cell>
          <cell r="F49" t="str">
            <v>Bima Kaltim Utama, PT
Dunia Saftindo, PT
Sehati, CV
Ranadityo Sukses Makmur, PT</v>
          </cell>
          <cell r="G49" t="str">
            <v>R0
4 of 10
19 Jun 25</v>
          </cell>
          <cell r="H49" t="str">
            <v>SLAMET</v>
          </cell>
          <cell r="I49">
            <v>45813</v>
          </cell>
          <cell r="J49" t="str">
            <v>Tech Main</v>
          </cell>
          <cell r="K49" t="str">
            <v>B</v>
          </cell>
          <cell r="L49" t="str">
            <v>BID</v>
          </cell>
          <cell r="M49" t="str">
            <v>0178</v>
          </cell>
          <cell r="N49" t="str">
            <v>RH</v>
          </cell>
          <cell r="O49" t="str">
            <v>robertiagus.haposan@alamtri.com</v>
          </cell>
          <cell r="P49">
            <v>170.88079999999999</v>
          </cell>
          <cell r="Q49">
            <v>2734092.8</v>
          </cell>
          <cell r="R49" t="str">
            <v>Completed Sign PO</v>
          </cell>
          <cell r="T49" t="str">
            <v>MSW</v>
          </cell>
          <cell r="U49" t="str">
            <v>Bima Kaltim Utama, PT
Haji Usnan, CV
Dunia Saftindo, PT
Wahana Safety Indonesia, PT
Sehati, CV
Berkat Keselamatan Dunia, PT
Sarana Prima Lestari, CV
Ranadityo Sukses Makmur, PT
Vhipa Mulia Pratama, PT
Sinar Surya Lestari, PT</v>
          </cell>
          <cell r="V49" t="str">
            <v>Bima Kaltim Utama, PT
Dunia Saftindo, PT
Sehati, CV
Ranadityo Sukses Makmur, PT</v>
          </cell>
          <cell r="W49" t="str">
            <v>10 of 10</v>
          </cell>
          <cell r="X49" t="str">
            <v>4 of 10</v>
          </cell>
          <cell r="Y49">
            <v>45820</v>
          </cell>
          <cell r="Z49">
            <v>45827</v>
          </cell>
          <cell r="AC49" t="str">
            <v xml:space="preserve"> of </v>
          </cell>
          <cell r="AD49" t="str">
            <v xml:space="preserve"> of </v>
          </cell>
          <cell r="AF49" t="str">
            <v/>
          </cell>
          <cell r="AI49" t="str">
            <v xml:space="preserve"> of </v>
          </cell>
          <cell r="AJ49" t="str">
            <v xml:space="preserve"> of </v>
          </cell>
          <cell r="AL49" t="str">
            <v/>
          </cell>
          <cell r="AM49">
            <v>0.70833333333333337</v>
          </cell>
          <cell r="AN49" t="str">
            <v>Bima Kaltim Utama, PT</v>
          </cell>
          <cell r="AO49" t="str">
            <v>rera.bimakaltim@yahoo.com; albert.bimautama@yahoo.com; rya_bimakaltim@yahoo.com</v>
          </cell>
          <cell r="AP49" t="str">
            <v>PO25000532</v>
          </cell>
          <cell r="AQ49">
            <v>6540000</v>
          </cell>
          <cell r="AR49">
            <v>45838</v>
          </cell>
          <cell r="AS49">
            <v>45854</v>
          </cell>
          <cell r="AT49">
            <v>45863</v>
          </cell>
          <cell r="AU49">
            <v>45884</v>
          </cell>
          <cell r="AV49">
            <v>45869</v>
          </cell>
          <cell r="AW49">
            <v>45890</v>
          </cell>
          <cell r="AX49">
            <v>3</v>
          </cell>
          <cell r="AY49">
            <v>45910</v>
          </cell>
          <cell r="AZ49">
            <v>20</v>
          </cell>
          <cell r="BA49">
            <v>196200</v>
          </cell>
          <cell r="BB49" t="str">
            <v>Late Completed</v>
          </cell>
          <cell r="BC49" t="str">
            <v>PR100010410</v>
          </cell>
        </row>
        <row r="50">
          <cell r="B50" t="str">
            <v>PR100010423</v>
          </cell>
          <cell r="C50" t="str">
            <v>Penggunaan Coal bulan May 2025 Operation Dept</v>
          </cell>
          <cell r="D50" t="str">
            <v>Adaro Indonesia, PT</v>
          </cell>
          <cell r="E50" t="str">
            <v>Adaro Indonesia, PT</v>
          </cell>
          <cell r="F50" t="str">
            <v/>
          </cell>
          <cell r="G50" t="str">
            <v/>
          </cell>
          <cell r="H50" t="str">
            <v>ARIES KURNIAWAN</v>
          </cell>
          <cell r="I50">
            <v>45813</v>
          </cell>
          <cell r="J50" t="str">
            <v>Tech OP</v>
          </cell>
          <cell r="K50" t="str">
            <v>B</v>
          </cell>
          <cell r="L50" t="str">
            <v>CTR</v>
          </cell>
          <cell r="N50" t="str">
            <v>RH</v>
          </cell>
          <cell r="O50" t="str">
            <v>robertiagus.haposan@alamtri.com</v>
          </cell>
          <cell r="P50">
            <v>449163</v>
          </cell>
          <cell r="Q50">
            <v>7186608000</v>
          </cell>
          <cell r="R50" t="str">
            <v>PO Sign Vendor</v>
          </cell>
          <cell r="T50" t="str">
            <v>MSW</v>
          </cell>
          <cell r="U50" t="str">
            <v>Adaro Indonesia, PT</v>
          </cell>
          <cell r="V50" t="str">
            <v>Adaro Indonesia, PT</v>
          </cell>
          <cell r="W50" t="str">
            <v>1 of 1</v>
          </cell>
          <cell r="X50" t="str">
            <v>1 of 1</v>
          </cell>
          <cell r="Z50" t="str">
            <v/>
          </cell>
          <cell r="AC50" t="str">
            <v xml:space="preserve"> of </v>
          </cell>
          <cell r="AD50" t="str">
            <v xml:space="preserve"> of </v>
          </cell>
          <cell r="AF50" t="str">
            <v/>
          </cell>
          <cell r="AI50" t="str">
            <v xml:space="preserve"> of </v>
          </cell>
          <cell r="AJ50" t="str">
            <v xml:space="preserve"> of </v>
          </cell>
          <cell r="AL50" t="str">
            <v/>
          </cell>
          <cell r="AM50">
            <v>0.70833333333333337</v>
          </cell>
          <cell r="AN50" t="str">
            <v>Adaro Indonesia, PT</v>
          </cell>
          <cell r="AO50" t="str">
            <v>mulyadi@adaro.com; rachman.hakim@adaro.com; Shipping@adaro.com</v>
          </cell>
          <cell r="AP50" t="str">
            <v>PO25000399</v>
          </cell>
          <cell r="AQ50">
            <v>6061702405.1999998</v>
          </cell>
          <cell r="AT50">
            <v>45820</v>
          </cell>
          <cell r="AU50">
            <v>45851</v>
          </cell>
          <cell r="AV50">
            <v>45824</v>
          </cell>
          <cell r="AW50">
            <v>45855</v>
          </cell>
          <cell r="AX50">
            <v>4.4285714285714288</v>
          </cell>
          <cell r="AY50">
            <v>45807</v>
          </cell>
          <cell r="AZ50" t="str">
            <v/>
          </cell>
          <cell r="BA50" t="str">
            <v/>
          </cell>
          <cell r="BB50" t="str">
            <v>Completed</v>
          </cell>
          <cell r="BC50" t="str">
            <v>PR100010423</v>
          </cell>
        </row>
        <row r="51">
          <cell r="B51" t="str">
            <v>PR100010410 (Line 2)</v>
          </cell>
          <cell r="C51" t="str">
            <v>Material untuk kebutuhan DG IBT 3G3 &amp; 3G4</v>
          </cell>
          <cell r="D51" t="str">
            <v>Bima Kaltim Utama, PT - Line 1
Sumberdaya Sewatama, PT - Line 3</v>
          </cell>
          <cell r="E51" t="str">
            <v>Trakindo Utama, PT (Tanjung)</v>
          </cell>
          <cell r="F51" t="str">
            <v/>
          </cell>
          <cell r="G51" t="str">
            <v/>
          </cell>
          <cell r="H51" t="str">
            <v>SLAMET</v>
          </cell>
          <cell r="I51">
            <v>45813</v>
          </cell>
          <cell r="J51" t="str">
            <v>Tech Main</v>
          </cell>
          <cell r="K51" t="str">
            <v>B</v>
          </cell>
          <cell r="L51" t="str">
            <v>CTR</v>
          </cell>
          <cell r="M51" t="str">
            <v>0005</v>
          </cell>
          <cell r="N51" t="str">
            <v>RH</v>
          </cell>
          <cell r="O51" t="str">
            <v>robertiagus.haposan@alamtri.com</v>
          </cell>
          <cell r="P51">
            <v>104</v>
          </cell>
          <cell r="Q51">
            <v>1664000</v>
          </cell>
          <cell r="R51" t="str">
            <v>Completed Sign PO Contract</v>
          </cell>
          <cell r="T51" t="str">
            <v>MSW</v>
          </cell>
          <cell r="U51" t="str">
            <v>Trakindo Utama, PT (Tanjung)</v>
          </cell>
          <cell r="V51" t="str">
            <v>Trakindo Utama, PT</v>
          </cell>
          <cell r="W51" t="str">
            <v>1 of 1</v>
          </cell>
          <cell r="X51" t="str">
            <v>1 of 1</v>
          </cell>
          <cell r="Y51">
            <v>45820</v>
          </cell>
          <cell r="Z51">
            <v>45821</v>
          </cell>
          <cell r="AC51" t="str">
            <v xml:space="preserve"> of </v>
          </cell>
          <cell r="AD51" t="str">
            <v xml:space="preserve"> of </v>
          </cell>
          <cell r="AF51" t="str">
            <v/>
          </cell>
          <cell r="AI51" t="str">
            <v xml:space="preserve"> of </v>
          </cell>
          <cell r="AJ51" t="str">
            <v xml:space="preserve"> of </v>
          </cell>
          <cell r="AL51" t="str">
            <v/>
          </cell>
          <cell r="AM51">
            <v>0.70833333333333337</v>
          </cell>
          <cell r="AN51" t="str">
            <v>Trakindo Utama, PT</v>
          </cell>
          <cell r="AO51" t="str">
            <v>hjuniater.sidauruk@trakindo.co.id</v>
          </cell>
          <cell r="AP51" t="str">
            <v>PO25000413</v>
          </cell>
          <cell r="AQ51">
            <v>2090800</v>
          </cell>
          <cell r="AT51">
            <v>45825</v>
          </cell>
          <cell r="AU51">
            <v>45849</v>
          </cell>
          <cell r="AV51">
            <v>45827</v>
          </cell>
          <cell r="AW51">
            <v>45851</v>
          </cell>
          <cell r="AX51">
            <v>3.4285714285714284</v>
          </cell>
          <cell r="AY51">
            <v>45833</v>
          </cell>
          <cell r="AZ51" t="str">
            <v/>
          </cell>
          <cell r="BA51" t="str">
            <v/>
          </cell>
          <cell r="BB51" t="str">
            <v>Completed</v>
          </cell>
          <cell r="BC51" t="str">
            <v>PR100010410</v>
          </cell>
        </row>
        <row r="52">
          <cell r="B52" t="str">
            <v>PR100010455</v>
          </cell>
          <cell r="C52" t="str">
            <v>Material untuk PM DG 2 x 40 Kva Support  ATS</v>
          </cell>
          <cell r="E52" t="str">
            <v>Bima Kaltim Utama, PT
Alfa Teknik Mandiri Makmur, PT
Pacific Tractor Indonesia, PT
Blessindo Prima Sarana, PT
Vando Teknik Solusi, PT
Berkat Pratama Teknik, CV
Perwira Sentra Officindo, PT
Sentrapart Niaga Utama, PT</v>
          </cell>
          <cell r="F52" t="str">
            <v>Bima Kaltim Utama, PT
Alfa Teknik Mandiri Makmur, PT
Pacific Tractor Indonesia, PT
Blessindo Prima Sarana, PT
Perwira Sentra Officindo, PT</v>
          </cell>
          <cell r="G52" t="str">
            <v>R0
5 of 8
17 Jul 25</v>
          </cell>
          <cell r="H52" t="str">
            <v>SLAMET</v>
          </cell>
          <cell r="I52">
            <v>45825</v>
          </cell>
          <cell r="J52" t="str">
            <v>Tech Main</v>
          </cell>
          <cell r="K52" t="str">
            <v>B</v>
          </cell>
          <cell r="L52" t="str">
            <v>BID</v>
          </cell>
          <cell r="M52" t="str">
            <v>0185</v>
          </cell>
          <cell r="N52" t="str">
            <v>RH</v>
          </cell>
          <cell r="O52" t="str">
            <v>robertiagus.haposan@alamtri.com</v>
          </cell>
          <cell r="P52">
            <v>214.73519999999999</v>
          </cell>
          <cell r="Q52">
            <v>3435763.1999999997</v>
          </cell>
          <cell r="R52" t="str">
            <v>Completed Sign PO</v>
          </cell>
          <cell r="T52" t="str">
            <v>MSW</v>
          </cell>
          <cell r="U52" t="str">
            <v>Bima Kaltim Utama, PT
Alfa Teknik Mandiri Makmur, PT
Pacific Tractor Indonesia, PT
Blessindo Prima Sarana, PT
Vando Teknik Solusi, PT
Berkat Pratama Teknik, CV
Perwira Sentra Officindo, PT
Sentrapart Niaga Utama, PT</v>
          </cell>
          <cell r="V52" t="str">
            <v>Bima Kaltim Utama, PT
Alfa Teknik Mandiri Makmur, PT
Pacific Tractor Indonesia, PT
Blessindo Prima Sarana, PT
Perwira Sentra Officindo, PT</v>
          </cell>
          <cell r="W52" t="str">
            <v>8 of 8</v>
          </cell>
          <cell r="X52" t="str">
            <v>5 of 8</v>
          </cell>
          <cell r="Y52">
            <v>45848</v>
          </cell>
          <cell r="Z52">
            <v>45855</v>
          </cell>
          <cell r="AC52" t="str">
            <v xml:space="preserve"> of </v>
          </cell>
          <cell r="AD52" t="str">
            <v xml:space="preserve"> of </v>
          </cell>
          <cell r="AF52" t="str">
            <v/>
          </cell>
          <cell r="AI52" t="str">
            <v xml:space="preserve"> of </v>
          </cell>
          <cell r="AJ52" t="str">
            <v xml:space="preserve"> of </v>
          </cell>
          <cell r="AL52" t="str">
            <v/>
          </cell>
          <cell r="AM52">
            <v>0.70833333333333337</v>
          </cell>
          <cell r="AN52" t="str">
            <v>Bima Kaltim Utama, PT</v>
          </cell>
          <cell r="AO52" t="str">
            <v>rera.bimakaltim@yahoo.com; albert.bimautama@yahoo.com; rya_bimakaltim@yahoo.com</v>
          </cell>
          <cell r="AP52" t="str">
            <v>PO25000576</v>
          </cell>
          <cell r="AQ52">
            <v>3840000</v>
          </cell>
          <cell r="AR52">
            <v>45862</v>
          </cell>
          <cell r="AS52">
            <v>45869</v>
          </cell>
          <cell r="AT52">
            <v>45876</v>
          </cell>
          <cell r="AU52">
            <v>45905</v>
          </cell>
          <cell r="AV52">
            <v>45891</v>
          </cell>
          <cell r="AW52">
            <v>45920</v>
          </cell>
          <cell r="AX52">
            <v>4.1428571428571432</v>
          </cell>
          <cell r="AY52">
            <v>45902</v>
          </cell>
          <cell r="AZ52" t="str">
            <v/>
          </cell>
          <cell r="BA52" t="str">
            <v/>
          </cell>
          <cell r="BB52" t="str">
            <v>Late Completed</v>
          </cell>
          <cell r="BC52" t="str">
            <v>PR100010455</v>
          </cell>
        </row>
        <row r="53">
          <cell r="B53" t="str">
            <v>PR100010440</v>
          </cell>
          <cell r="C53" t="str">
            <v>Sparepart Control System for WO10776268 dan WO10774217</v>
          </cell>
          <cell r="D53" t="str">
            <v>ALKS, CV
Antares Jaya Gemilang Prima, PT</v>
          </cell>
          <cell r="E53" t="str">
            <v>ALKS, CV
Axel Jaya Cakraniaga, PT
Antares Jaya Gemilang Prima, PT
Kin Kitra Kencana, PT
Putera Instrumenindo, PT
Simenteknindo, PT
Raja Listrik Indonesia, PT
Perwira Sentra Officindo, PT
Vhipa Mulia Pratama, PT
Sehati, CV</v>
          </cell>
          <cell r="F53" t="str">
            <v>ALKS, CV
Axel Jaya Cakraniaga, PT
Antares Jaya Gemilang Prima, PT
Raja Listrik Indonesia, PT</v>
          </cell>
          <cell r="G53" t="str">
            <v>R1
4 of 10
07 Jul 25</v>
          </cell>
          <cell r="H53" t="str">
            <v>DEDE SUDARJI</v>
          </cell>
          <cell r="I53">
            <v>45826</v>
          </cell>
          <cell r="J53" t="str">
            <v>Tech Main</v>
          </cell>
          <cell r="K53" t="str">
            <v>B</v>
          </cell>
          <cell r="L53" t="str">
            <v>BID</v>
          </cell>
          <cell r="M53" t="str">
            <v>0183</v>
          </cell>
          <cell r="N53" t="str">
            <v>RH</v>
          </cell>
          <cell r="O53" t="str">
            <v>robertiagus.haposan@alamtri.com</v>
          </cell>
          <cell r="P53">
            <v>1228</v>
          </cell>
          <cell r="Q53">
            <v>19648000</v>
          </cell>
          <cell r="R53" t="str">
            <v>Completed Sign PO</v>
          </cell>
          <cell r="T53" t="str">
            <v>MSW</v>
          </cell>
          <cell r="U53" t="str">
            <v>ALKS, CV
Gema Industrial, PT
Quartee Technologies, PT
Simenteknindo, PT
Raja Listrik Indonesia, PT
Kin Kitra Kencana, PT
Viktori Profindo Automation, PT
Axel Jaya Cakraniaga, PT
Lamindo Prima Mandiri, PT</v>
          </cell>
          <cell r="V53" t="str">
            <v>ALKS, CV
Axel Jaya Cakraniaga, PT</v>
          </cell>
          <cell r="W53" t="str">
            <v>9 of 9</v>
          </cell>
          <cell r="X53" t="str">
            <v>2 of 9</v>
          </cell>
          <cell r="Y53">
            <v>45826</v>
          </cell>
          <cell r="Z53">
            <v>45833</v>
          </cell>
          <cell r="AA53" t="str">
            <v>ALKS, CV
Axel Jaya Cakraniaga, PT
Antares Jaya Gemilang Prima, PT
Kin Kitra Kencana, PT
Putera Instrumenindo, PT
Simenteknindo, PT
Raja Listrik Indonesia, PT
Perwira Sentra Officindo, PT
Vhipa Mulia Pratama, PT
Sehati, CV</v>
          </cell>
          <cell r="AB53" t="str">
            <v>ALKS, CV
Axel Jaya Cakraniaga, PT
Antares Jaya Gemilang Prima, PT
Raja Listrik Indonesia, PT</v>
          </cell>
          <cell r="AC53" t="str">
            <v>10 of 10</v>
          </cell>
          <cell r="AD53" t="str">
            <v>4 of 10</v>
          </cell>
          <cell r="AE53">
            <v>45838</v>
          </cell>
          <cell r="AF53">
            <v>45845</v>
          </cell>
          <cell r="AI53" t="str">
            <v xml:space="preserve"> of </v>
          </cell>
          <cell r="AJ53" t="str">
            <v xml:space="preserve"> of </v>
          </cell>
          <cell r="AL53" t="str">
            <v/>
          </cell>
          <cell r="AM53">
            <v>0.70833333333333337</v>
          </cell>
          <cell r="AN53" t="str">
            <v>Antares Jaya Gemilang Prima, PT</v>
          </cell>
          <cell r="AO53" t="str">
            <v>info@pt-antares.com; antares.jgp@gmail.com</v>
          </cell>
          <cell r="AP53" t="str">
            <v>PO25000611</v>
          </cell>
          <cell r="AQ53">
            <v>16060000</v>
          </cell>
          <cell r="AR53">
            <v>45863</v>
          </cell>
          <cell r="AS53">
            <v>45877</v>
          </cell>
          <cell r="AT53">
            <v>45890</v>
          </cell>
          <cell r="AU53">
            <v>45940</v>
          </cell>
          <cell r="AV53">
            <v>45891</v>
          </cell>
          <cell r="AW53">
            <v>45941</v>
          </cell>
          <cell r="AX53">
            <v>7.1428571428571432</v>
          </cell>
          <cell r="AY53">
            <v>45940</v>
          </cell>
          <cell r="AZ53" t="str">
            <v/>
          </cell>
          <cell r="BA53" t="str">
            <v/>
          </cell>
          <cell r="BB53" t="str">
            <v>Late Completed</v>
          </cell>
          <cell r="BC53" t="str">
            <v>PR100010440</v>
          </cell>
        </row>
        <row r="54">
          <cell r="B54" t="str">
            <v>PR100010284 (Line 3,4,6)</v>
          </cell>
          <cell r="C54" t="str">
            <v>Pembelian Part WTP &amp; Demin Plant</v>
          </cell>
          <cell r="E54" t="str">
            <v>Wiya System Solution, PT
Antares Jaya Gemilang Prima, PT
Andalan Tiga Berlian, PT
Artam Borneo Automatika, PT
Kin Kitra Kencana, PT
Mulia Solusindo, PT
Alfa Teknik Mandiri Makmur, PT
Pohon Mas Sejahtera, PT
Sola Anugerah Oilfield, PT
Golden Pratama Engineering, PT
Kin Kitra Kencana, PT
Yabestindo Mitra Utama, PT</v>
          </cell>
          <cell r="F54" t="str">
            <v>Wiya System Solution, PT
Antares Jaya Gemilang Prima, PT
Sola Anugerah Oilfield, PT
Golden Pratama Engineering, PT</v>
          </cell>
          <cell r="G54" t="str">
            <v>R1
4 of 12
22 May 25</v>
          </cell>
          <cell r="H54" t="str">
            <v>RIZKY AGUSTINA</v>
          </cell>
          <cell r="I54">
            <v>45768</v>
          </cell>
          <cell r="J54" t="str">
            <v>Tech Main</v>
          </cell>
          <cell r="K54" t="str">
            <v>B</v>
          </cell>
          <cell r="L54" t="str">
            <v>BID</v>
          </cell>
          <cell r="M54" t="str">
            <v>0129</v>
          </cell>
          <cell r="N54" t="str">
            <v>RH</v>
          </cell>
          <cell r="O54" t="str">
            <v>robertiagus.haposan@alamtri.com</v>
          </cell>
          <cell r="P54">
            <v>737.70609999999999</v>
          </cell>
          <cell r="Q54">
            <v>11803297.6</v>
          </cell>
          <cell r="R54" t="str">
            <v>Completed Sign PO</v>
          </cell>
          <cell r="T54" t="str">
            <v>MSW</v>
          </cell>
          <cell r="U54" t="str">
            <v>Andalan Tiga Berlian, PT
Artam Borneo Automatika, PT
Wiya System Solution, PT
Vhipa Mulia Pratama, PT
Lienetic Jaya, PT
Dwi Surya Abadi Kharisma, PT
Kin Kitra Kencana, PT
Gamako Ekakarsa, PT
Arita Prima Indonesia Tbk, PT
Alfa Teknik Mandiri Makmur, PT
Hikmah Jaya Sentosa, PT
Sola Anugerah Oilfield, PT
Maju Langgeng Mandiri, PT
Dwijaya Sentral Sarana, PT
Afghan Jaya Abadi, PT</v>
          </cell>
          <cell r="V54" t="str">
            <v>Wiya System Solution, PT</v>
          </cell>
          <cell r="W54" t="str">
            <v>15 of 15</v>
          </cell>
          <cell r="X54" t="str">
            <v>1 of 15</v>
          </cell>
          <cell r="Y54">
            <v>45769</v>
          </cell>
          <cell r="Z54">
            <v>45776</v>
          </cell>
          <cell r="AA54" t="str">
            <v>Wiya System Solution, PT
Antares Jaya Gemilang Prima, PT
Andalan Tiga Berlian, PT
Artam Borneo Automatika, PT
Kin Kitra Kencana, PT
Mulia Solusindo, PT
Alfa Teknik Mandiri Makmur, PT
Pohon Mas Sejahtera, PT
Sola Anugerah Oilfield, PT
Golden Pratama Engineering, PT
Kin Kitra Kencana, PT
Yabestindo Mitra Utama, PT</v>
          </cell>
          <cell r="AB54" t="str">
            <v>Wiya System Solution, PT
Antares Jaya Gemilang Prima, PT
Sola Anugerah Oilfield, PT
Golden Pratama Engineering, PT</v>
          </cell>
          <cell r="AC54" t="str">
            <v>12 of 12</v>
          </cell>
          <cell r="AD54" t="str">
            <v>4 of 12</v>
          </cell>
          <cell r="AE54">
            <v>45790</v>
          </cell>
          <cell r="AF54">
            <v>45799</v>
          </cell>
          <cell r="AI54" t="str">
            <v xml:space="preserve"> of </v>
          </cell>
          <cell r="AJ54" t="str">
            <v xml:space="preserve"> of </v>
          </cell>
          <cell r="AL54" t="str">
            <v/>
          </cell>
          <cell r="AM54">
            <v>0.70833333333333337</v>
          </cell>
          <cell r="AN54" t="str">
            <v>Wiya System Solution, PT</v>
          </cell>
          <cell r="AO54" t="str">
            <v>shelly.eva@wiya-system.com; teodorus.w@wiya-system.com</v>
          </cell>
          <cell r="AP54" t="str">
            <v>PO25000474</v>
          </cell>
          <cell r="AQ54">
            <v>24955258</v>
          </cell>
          <cell r="AR54">
            <v>45804</v>
          </cell>
          <cell r="AS54">
            <v>45827</v>
          </cell>
          <cell r="AT54">
            <v>45842</v>
          </cell>
          <cell r="AU54">
            <v>45905</v>
          </cell>
          <cell r="AV54">
            <v>45856</v>
          </cell>
          <cell r="AW54">
            <v>45919</v>
          </cell>
          <cell r="AX54">
            <v>9</v>
          </cell>
          <cell r="AZ54" t="str">
            <v/>
          </cell>
          <cell r="BA54" t="str">
            <v/>
          </cell>
          <cell r="BB54" t="str">
            <v>Late Completed</v>
          </cell>
          <cell r="BC54" t="str">
            <v>PR100010284</v>
          </cell>
        </row>
        <row r="55">
          <cell r="B55" t="str">
            <v>PR100010451</v>
          </cell>
          <cell r="C55" t="str">
            <v>Pengadaan Lime Stone Untuk Tahun 2025 (Tahap 2 )</v>
          </cell>
          <cell r="D55" t="str">
            <v>Sembilan Jaya Abadi Resources, PT</v>
          </cell>
          <cell r="E55" t="str">
            <v>Sembilan Jaya Abadi Resources, PT
Rembang Bangun Persada, PT
Wangun Sari Pratama, PT
Kiko Energy Indonesia, PT</v>
          </cell>
          <cell r="F55" t="str">
            <v>Kiko Energy Indonesia, PT
Sembilan Jaya Abadi Resources, PT</v>
          </cell>
          <cell r="G55" t="str">
            <v>R1
2 of 4
01 Aug 25</v>
          </cell>
          <cell r="H55" t="str">
            <v>ARIES KURNIAWAN</v>
          </cell>
          <cell r="I55">
            <v>45876</v>
          </cell>
          <cell r="J55" t="str">
            <v>Tech Op</v>
          </cell>
          <cell r="K55" t="str">
            <v>B</v>
          </cell>
          <cell r="L55" t="str">
            <v>BID</v>
          </cell>
          <cell r="M55" t="str">
            <v>0187</v>
          </cell>
          <cell r="N55" t="str">
            <v>RH</v>
          </cell>
          <cell r="O55" t="str">
            <v>robertiagus.haposan@alamtri.com</v>
          </cell>
          <cell r="P55">
            <v>5112</v>
          </cell>
          <cell r="Q55">
            <v>81792000</v>
          </cell>
          <cell r="R55" t="str">
            <v>Completed Sign PO</v>
          </cell>
          <cell r="T55" t="str">
            <v>MSW</v>
          </cell>
          <cell r="U55" t="str">
            <v>Sembilan Jaya Abadi Resources, PT
Rembang Bangun Persada, PT
Wangun Sari Pratama, PT
Kiko Energy Indonesia, PT</v>
          </cell>
          <cell r="V55" t="str">
            <v>Kiko Energy Indonesia, PT</v>
          </cell>
          <cell r="W55" t="str">
            <v>4 of 4</v>
          </cell>
          <cell r="X55" t="str">
            <v>1 of 4</v>
          </cell>
          <cell r="Y55">
            <v>45832</v>
          </cell>
          <cell r="Z55">
            <v>45839</v>
          </cell>
          <cell r="AA55" t="str">
            <v>Sembilan Jaya Abadi Resources, PT
Rembang Bangun Persada, PT
Wangun Sari Pratama, PT
Kiko Energy Indonesia, PT</v>
          </cell>
          <cell r="AB55" t="str">
            <v>Kiko Energy Indonesia, PT
Sembilan Jaya Abadi Resources, PT</v>
          </cell>
          <cell r="AC55" t="str">
            <v>4 of 4</v>
          </cell>
          <cell r="AD55" t="str">
            <v>2 of 4</v>
          </cell>
          <cell r="AE55">
            <v>45863</v>
          </cell>
          <cell r="AF55">
            <v>45870</v>
          </cell>
          <cell r="AI55" t="str">
            <v xml:space="preserve"> of </v>
          </cell>
          <cell r="AJ55" t="str">
            <v xml:space="preserve"> of </v>
          </cell>
          <cell r="AL55" t="str">
            <v/>
          </cell>
          <cell r="AM55">
            <v>0.70833333333333337</v>
          </cell>
          <cell r="AN55" t="str">
            <v>Sembilan Jaya Abadi Resources, PT</v>
          </cell>
          <cell r="AO55" t="str">
            <v>tri.mariono@yahoo.com</v>
          </cell>
          <cell r="AP55" t="str">
            <v>PO25000683</v>
          </cell>
          <cell r="AQ55">
            <v>75800000</v>
          </cell>
          <cell r="AR55">
            <v>45890</v>
          </cell>
          <cell r="AS55">
            <v>45901</v>
          </cell>
          <cell r="AT55">
            <v>45904</v>
          </cell>
          <cell r="AU55">
            <v>45933</v>
          </cell>
          <cell r="AV55">
            <v>45911</v>
          </cell>
          <cell r="AW55">
            <v>45940</v>
          </cell>
          <cell r="AX55">
            <v>4.1428571428571432</v>
          </cell>
          <cell r="AZ55" t="str">
            <v/>
          </cell>
          <cell r="BA55" t="str">
            <v/>
          </cell>
          <cell r="BB55" t="str">
            <v>Completed</v>
          </cell>
          <cell r="BC55" t="str">
            <v>PR100010451</v>
          </cell>
        </row>
        <row r="56">
          <cell r="B56" t="str">
            <v>PR100010134 (Line 2)</v>
          </cell>
          <cell r="C56" t="str">
            <v>Pengadaan Material Automasi Blower</v>
          </cell>
          <cell r="E56" t="str">
            <v>Perwira Sentra Officindo, PT
Borneo Maju Jaya, PT
Simenteknindo, PT
Antares Jaya Gemilang Prima, PT
Gema Industrial, PT
Greentek Elektrikal Indonesia, PT
Alfa Teknik Mandiri Makmur, PT
Raja Listrik Indonesia, PT
Anugrah Andalan Bestindo, PT
Gridtech Indonesia, PT
Lienetic Jaya, PT
Axel Jaya Cakraniaga, PT
Viktori Profindo Automation, PT
Reitama Engineering, PT
Adika Mitra Sehati, PT</v>
          </cell>
          <cell r="F56" t="str">
            <v>Perwira Sentra Officindo, PT
Borneo Maju Jaya, PT
Simenteknindo, PT
Antares Jaya Gemilang Prima, PT
Greentek Elektrikal Indonesia, PT
Anugrah Andalan Bestindo, PT
Axel Jaya Cakraniaga, PT
Viktori Profindo Automation, PT</v>
          </cell>
          <cell r="G56" t="str">
            <v>R0
8 of 15
07 Mar 25</v>
          </cell>
          <cell r="H56" t="str">
            <v>IFIT PRABOWO</v>
          </cell>
          <cell r="I56">
            <v>45713</v>
          </cell>
          <cell r="J56" t="str">
            <v>Tech Main</v>
          </cell>
          <cell r="K56" t="str">
            <v>B</v>
          </cell>
          <cell r="L56" t="str">
            <v>BID</v>
          </cell>
          <cell r="M56" t="str">
            <v>0099</v>
          </cell>
          <cell r="N56" t="str">
            <v>RH</v>
          </cell>
          <cell r="O56" t="str">
            <v>robertiagus.haposan@alamtri.com</v>
          </cell>
          <cell r="P56">
            <v>7287.8842000000004</v>
          </cell>
          <cell r="Q56">
            <v>116606147.2</v>
          </cell>
          <cell r="R56" t="str">
            <v>Completed Sign PO</v>
          </cell>
          <cell r="T56" t="str">
            <v>MSW</v>
          </cell>
          <cell r="U56" t="str">
            <v>Perwira Sentra Officindo, PT
Borneo Maju Jaya, PT
Simenteknindo, PT
Antares Jaya Gemilang Prima, PT
Gema Industrial, PT
Greentek Elektrikal Indonesia, PT
Alfa Teknik Mandiri Makmur, PT
Raja Listrik Indonesia, PT
Anugrah Andalan Bestindo, PT
Gridtech Indonesia, PT
Lienetic Jaya, PT
Axel Jaya Cakraniaga, PT
Viktori Profindo Automation, PT
Reitama Engineering, PT
Adika Mitra Sehati, PT</v>
          </cell>
          <cell r="V56" t="str">
            <v>Perwira Sentra Officindo, PT
Borneo Maju Jaya, PT
Simenteknindo, PT
Antares Jaya Gemilang Prima, PT
Greentek Elektrikal Indonesia, PT
Anugrah Andalan Bestindo, PT
Axel Jaya Cakraniaga, PT
Viktori Profindo Automation, PT</v>
          </cell>
          <cell r="W56" t="str">
            <v>15 of 15</v>
          </cell>
          <cell r="X56" t="str">
            <v>8 of 15</v>
          </cell>
          <cell r="Y56">
            <v>45716</v>
          </cell>
          <cell r="Z56">
            <v>45723</v>
          </cell>
          <cell r="AC56" t="str">
            <v xml:space="preserve"> of </v>
          </cell>
          <cell r="AD56" t="str">
            <v xml:space="preserve"> of </v>
          </cell>
          <cell r="AF56" t="str">
            <v/>
          </cell>
          <cell r="AI56" t="str">
            <v xml:space="preserve"> of </v>
          </cell>
          <cell r="AJ56" t="str">
            <v xml:space="preserve"> of </v>
          </cell>
          <cell r="AL56" t="str">
            <v/>
          </cell>
          <cell r="AM56">
            <v>0.70833333333333337</v>
          </cell>
          <cell r="AN56" t="str">
            <v>Borneo Maju Jaya, PT</v>
          </cell>
          <cell r="AO56" t="str">
            <v>welas@borneomajujaya.com</v>
          </cell>
          <cell r="AP56" t="str">
            <v>PO25000451</v>
          </cell>
          <cell r="AQ56">
            <v>29113200</v>
          </cell>
          <cell r="AR56">
            <v>45729</v>
          </cell>
          <cell r="AS56">
            <v>45827</v>
          </cell>
          <cell r="AT56">
            <v>45839</v>
          </cell>
          <cell r="AU56">
            <v>45911</v>
          </cell>
          <cell r="AV56">
            <v>45842</v>
          </cell>
          <cell r="AW56">
            <v>45914</v>
          </cell>
          <cell r="AX56">
            <v>10.285714285714286</v>
          </cell>
          <cell r="AY56">
            <v>45925</v>
          </cell>
          <cell r="AZ56">
            <v>11</v>
          </cell>
          <cell r="BA56">
            <v>320245.2</v>
          </cell>
          <cell r="BB56" t="str">
            <v>Late Completed</v>
          </cell>
          <cell r="BC56" t="str">
            <v>PR100010134</v>
          </cell>
        </row>
        <row r="57">
          <cell r="B57" t="str">
            <v>PR100010134 (Line 8)</v>
          </cell>
          <cell r="C57" t="str">
            <v>Pengadaan Material Automasi Blower</v>
          </cell>
          <cell r="E57" t="str">
            <v>Perwira Sentra Officindo, PT
Borneo Maju Jaya, PT
Simenteknindo, PT
Antares Jaya Gemilang Prima, PT
Gema Industrial, PT
Greentek Elektrikal Indonesia, PT
Alfa Teknik Mandiri Makmur, PT
Raja Listrik Indonesia, PT
Anugrah Andalan Bestindo, PT
Gridtech Indonesia, PT
Lienetic Jaya, PT
Axel Jaya Cakraniaga, PT
Viktori Profindo Automation, PT
Reitama Engineering, PT
Adika Mitra Sehati, PT</v>
          </cell>
          <cell r="F57" t="str">
            <v>Perwira Sentra Officindo, PT
Borneo Maju Jaya, PT
Simenteknindo, PT
Antares Jaya Gemilang Prima, PT
Greentek Elektrikal Indonesia, PT
Anugrah Andalan Bestindo, PT
Axel Jaya Cakraniaga, PT
Viktori Profindo Automation, PT</v>
          </cell>
          <cell r="G57" t="str">
            <v>R0
8 of 15
07 Mar 25</v>
          </cell>
          <cell r="H57" t="str">
            <v>IFIT PRABOWO</v>
          </cell>
          <cell r="I57">
            <v>45713</v>
          </cell>
          <cell r="J57" t="str">
            <v>Tech Main</v>
          </cell>
          <cell r="K57" t="str">
            <v>B</v>
          </cell>
          <cell r="L57" t="str">
            <v>BID</v>
          </cell>
          <cell r="M57" t="str">
            <v>0099</v>
          </cell>
          <cell r="N57" t="str">
            <v>RH</v>
          </cell>
          <cell r="O57" t="str">
            <v>robertiagus.haposan@alamtri.com</v>
          </cell>
          <cell r="P57">
            <v>7287.8842000000004</v>
          </cell>
          <cell r="Q57">
            <v>116606147.2</v>
          </cell>
          <cell r="R57" t="str">
            <v>Completed Sign PO</v>
          </cell>
          <cell r="T57" t="str">
            <v>MSW</v>
          </cell>
          <cell r="U57" t="str">
            <v>Perwira Sentra Officindo, PT
Borneo Maju Jaya, PT
Simenteknindo, PT
Antares Jaya Gemilang Prima, PT
Gema Industrial, PT
Greentek Elektrikal Indonesia, PT
Alfa Teknik Mandiri Makmur, PT
Raja Listrik Indonesia, PT
Anugrah Andalan Bestindo, PT
Gridtech Indonesia, PT
Lienetic Jaya, PT
Axel Jaya Cakraniaga, PT
Viktori Profindo Automation, PT
Reitama Engineering, PT
Adika Mitra Sehati, PT</v>
          </cell>
          <cell r="V57" t="str">
            <v>Perwira Sentra Officindo, PT
Borneo Maju Jaya, PT
Simenteknindo, PT
Antares Jaya Gemilang Prima, PT
Greentek Elektrikal Indonesia, PT
Anugrah Andalan Bestindo, PT
Axel Jaya Cakraniaga, PT
Viktori Profindo Automation, PT</v>
          </cell>
          <cell r="W57" t="str">
            <v>15 of 15</v>
          </cell>
          <cell r="X57" t="str">
            <v>8 of 15</v>
          </cell>
          <cell r="Y57">
            <v>45716</v>
          </cell>
          <cell r="Z57">
            <v>45723</v>
          </cell>
          <cell r="AC57" t="str">
            <v xml:space="preserve"> of </v>
          </cell>
          <cell r="AD57" t="str">
            <v xml:space="preserve"> of </v>
          </cell>
          <cell r="AF57" t="str">
            <v/>
          </cell>
          <cell r="AI57" t="str">
            <v xml:space="preserve"> of </v>
          </cell>
          <cell r="AJ57" t="str">
            <v xml:space="preserve"> of </v>
          </cell>
          <cell r="AL57" t="str">
            <v/>
          </cell>
          <cell r="AM57">
            <v>0.70833333333333337</v>
          </cell>
          <cell r="AN57" t="str">
            <v>Perwira Sentra Officindo, PT</v>
          </cell>
          <cell r="AO57" t="str">
            <v>d_santos63@yahoo.com</v>
          </cell>
          <cell r="AP57" t="str">
            <v>PO25000452</v>
          </cell>
          <cell r="AQ57">
            <v>20019000</v>
          </cell>
          <cell r="AR57">
            <v>45729</v>
          </cell>
          <cell r="AS57">
            <v>45827</v>
          </cell>
          <cell r="AT57">
            <v>45839</v>
          </cell>
          <cell r="AU57">
            <v>45932</v>
          </cell>
          <cell r="AV57">
            <v>45842</v>
          </cell>
          <cell r="AW57">
            <v>45935</v>
          </cell>
          <cell r="AX57">
            <v>13.285714285714286</v>
          </cell>
          <cell r="AY57">
            <v>45906</v>
          </cell>
          <cell r="AZ57" t="str">
            <v/>
          </cell>
          <cell r="BA57" t="str">
            <v/>
          </cell>
          <cell r="BB57" t="str">
            <v>Late Completed</v>
          </cell>
          <cell r="BC57" t="str">
            <v>PR100010134</v>
          </cell>
        </row>
        <row r="58">
          <cell r="B58" t="str">
            <v>PR100010351 (Line 1)</v>
          </cell>
          <cell r="C58" t="str">
            <v>Sparepart Addressable Field Modules &amp; Pull Station Fire Alarm System</v>
          </cell>
          <cell r="E58" t="str">
            <v>Gema Industrial, PT
Perwira Sentra Officindo, PT
Promitra Prima Indonesia, PT
Dunia Saftindo, PT
Adhigana Perkasa Mandiri, PT
Bhakti Ratutama Jaya, PT
Berlian Sejahtera Teknik, PT
Antares Jaya Gemilang Prima, PT
Norgantara Andalan Mandiri Indonesia, PT
Gama Tritunggal Pratama, PT
Alfa Teknik Mandiri Makmur, PT</v>
          </cell>
          <cell r="F58" t="str">
            <v>Dunia Saftindo, PT
Bhakti Ratutama Jaya, PT
Norgantara Andalan Mandiri Indonesia, PT</v>
          </cell>
          <cell r="G58" t="str">
            <v>R0
3 of 11
11 Jun 25</v>
          </cell>
          <cell r="H58" t="str">
            <v>DEDE SUDARJI</v>
          </cell>
          <cell r="I58">
            <v>45797</v>
          </cell>
          <cell r="J58" t="str">
            <v>Tech Main</v>
          </cell>
          <cell r="K58" t="str">
            <v>B</v>
          </cell>
          <cell r="L58" t="str">
            <v>BID</v>
          </cell>
          <cell r="M58" t="str">
            <v>0159</v>
          </cell>
          <cell r="N58" t="str">
            <v>RH</v>
          </cell>
          <cell r="O58" t="str">
            <v>robertiagus.haposan@alamtri.com</v>
          </cell>
          <cell r="P58">
            <v>980</v>
          </cell>
          <cell r="Q58">
            <v>15680000</v>
          </cell>
          <cell r="R58" t="str">
            <v>Completed Sign PO</v>
          </cell>
          <cell r="T58" t="str">
            <v>MSW</v>
          </cell>
          <cell r="U58" t="str">
            <v>Gema Industrial, PT
Perwira Sentra Officindo, PT
Promitra Prima Indonesia, PT
Dunia Saftindo, PT
Adhigana Perkasa Mandiri, PT
Bhakti Ratutama Jaya, PT
Berlian Sejahtera Teknik, PT
Antares Jaya Gemilang Prima, PT
Norgantara Andalan Mandiri Indonesia, PT
Gama Tritunggal Pratama, PT
Alfa Teknik Mandiri Makmur, PT</v>
          </cell>
          <cell r="V58" t="str">
            <v>Dunia Saftindo, PT
Bhakti Ratutama Jaya, PT
Norgantara Andalan Mandiri Indonesia, PT</v>
          </cell>
          <cell r="W58" t="str">
            <v>11 of 11</v>
          </cell>
          <cell r="X58" t="str">
            <v>3 of 11</v>
          </cell>
          <cell r="Y58">
            <v>45802</v>
          </cell>
          <cell r="Z58">
            <v>45819</v>
          </cell>
          <cell r="AC58" t="str">
            <v xml:space="preserve"> of </v>
          </cell>
          <cell r="AD58" t="str">
            <v xml:space="preserve"> of </v>
          </cell>
          <cell r="AF58" t="str">
            <v/>
          </cell>
          <cell r="AI58" t="str">
            <v xml:space="preserve"> of </v>
          </cell>
          <cell r="AJ58" t="str">
            <v xml:space="preserve"> of </v>
          </cell>
          <cell r="AL58" t="str">
            <v/>
          </cell>
          <cell r="AM58">
            <v>0.70833333333333337</v>
          </cell>
          <cell r="AN58" t="str">
            <v>Dunia Saftindo, PT</v>
          </cell>
          <cell r="AO58" t="str">
            <v>salesbppn@safetyindonesia.com;  indratan_dsbpn@safetyindonesia.com; salesbppn5@safetyindonesia.com; salesbppn2@safetyindonesia.com; salesbppn3@safetyindonesia.com; ginting_dsbpn@safetyindonesia.com</v>
          </cell>
          <cell r="AP58" t="str">
            <v>PO25000455</v>
          </cell>
          <cell r="AQ58">
            <v>1536000</v>
          </cell>
          <cell r="AR58">
            <v>45824</v>
          </cell>
          <cell r="AS58">
            <v>45839</v>
          </cell>
          <cell r="AT58">
            <v>45839</v>
          </cell>
          <cell r="AU58">
            <v>45876</v>
          </cell>
          <cell r="AV58">
            <v>45842</v>
          </cell>
          <cell r="AW58">
            <v>45879</v>
          </cell>
          <cell r="AX58">
            <v>5.2857142857142856</v>
          </cell>
          <cell r="AY58">
            <v>45877</v>
          </cell>
          <cell r="AZ58" t="str">
            <v/>
          </cell>
          <cell r="BA58" t="str">
            <v/>
          </cell>
          <cell r="BB58" t="str">
            <v>Late Completed</v>
          </cell>
          <cell r="BC58" t="str">
            <v>PR100010351</v>
          </cell>
        </row>
        <row r="59">
          <cell r="B59" t="str">
            <v>PR100009219</v>
          </cell>
          <cell r="C59" t="str">
            <v>Part For Flyash Silo Unit 1 dan 2</v>
          </cell>
          <cell r="D59" t="str">
            <v>Sola Anugerah Oilfield, PT</v>
          </cell>
          <cell r="E59" t="str">
            <v>Sola Anugerah Oilfield, PT
Golden Pratama Engineering, PT
Mytech Engineering, PT
Donaldson Filtration Indonesia, PT
Cipta Dua Power Frans Diesel, PT
Central Diesel, PT
Ekedharma International, PT Tbk</v>
          </cell>
          <cell r="F59" t="str">
            <v>Sola Anugerah Oilfield, PT
Golden Pratama Engineering, PT
Central Diesel, PT</v>
          </cell>
          <cell r="G59" t="str">
            <v>R0
3 of 7
01 Aug 25</v>
          </cell>
          <cell r="H59" t="str">
            <v>RIZKY AGUSTINA</v>
          </cell>
          <cell r="I59">
            <v>45852</v>
          </cell>
          <cell r="J59" t="str">
            <v>Tech Main</v>
          </cell>
          <cell r="K59" t="str">
            <v>B</v>
          </cell>
          <cell r="L59" t="str">
            <v>BID</v>
          </cell>
          <cell r="M59" t="str">
            <v>0207</v>
          </cell>
          <cell r="N59" t="str">
            <v>RH</v>
          </cell>
          <cell r="O59" t="str">
            <v>robertiagus.haposan@alamtri.com</v>
          </cell>
          <cell r="P59">
            <v>4282.2816000000003</v>
          </cell>
          <cell r="Q59">
            <v>68516505.600000009</v>
          </cell>
          <cell r="R59" t="str">
            <v>Completed Sign PO</v>
          </cell>
          <cell r="T59" t="str">
            <v>MSW</v>
          </cell>
          <cell r="U59" t="str">
            <v>Sola Anugerah Oilfield, PT
Golden Pratama Engineering, PT
Mytech Engineering, PT
Donaldson Filtration Indonesia, PT
Cipta Dua Power Frans Diesel, PT
Central Diesel, PT
Ekedharma International, PT Tbk</v>
          </cell>
          <cell r="V59" t="str">
            <v>Sola Anugerah Oilfield, PT
Golden Pratama Engineering, PT
Central Diesel, PT</v>
          </cell>
          <cell r="W59" t="str">
            <v>7 of 7</v>
          </cell>
          <cell r="X59" t="str">
            <v>3 of 7</v>
          </cell>
          <cell r="Y59">
            <v>45863</v>
          </cell>
          <cell r="Z59">
            <v>45870</v>
          </cell>
          <cell r="AC59" t="str">
            <v xml:space="preserve"> of </v>
          </cell>
          <cell r="AD59" t="str">
            <v xml:space="preserve"> of </v>
          </cell>
          <cell r="AF59" t="str">
            <v/>
          </cell>
          <cell r="AI59" t="str">
            <v xml:space="preserve"> of </v>
          </cell>
          <cell r="AJ59" t="str">
            <v xml:space="preserve"> of </v>
          </cell>
          <cell r="AL59" t="str">
            <v/>
          </cell>
          <cell r="AM59">
            <v>0.70833333333333337</v>
          </cell>
          <cell r="AN59" t="str">
            <v>Sola Anugerah Oilfield, PT</v>
          </cell>
          <cell r="AO59" t="str">
            <v>mgr3@sola-oilfield.com;
sales3@sola-oilfield.com; admsolaanugerah@gmail.com; sales6@sola-oilfield.com</v>
          </cell>
          <cell r="AP59" t="str">
            <v>PO25000612</v>
          </cell>
          <cell r="AQ59">
            <v>74142000</v>
          </cell>
          <cell r="AR59">
            <v>45874</v>
          </cell>
          <cell r="AS59">
            <v>45889</v>
          </cell>
          <cell r="AT59">
            <v>45897</v>
          </cell>
          <cell r="AU59">
            <v>46038</v>
          </cell>
          <cell r="AV59">
            <v>45903</v>
          </cell>
          <cell r="AW59">
            <v>46044</v>
          </cell>
          <cell r="AX59">
            <v>20.142857142857142</v>
          </cell>
          <cell r="AZ59" t="str">
            <v/>
          </cell>
          <cell r="BA59" t="str">
            <v/>
          </cell>
          <cell r="BB59" t="str">
            <v>Late Completed</v>
          </cell>
          <cell r="BC59" t="str">
            <v>PR100009219</v>
          </cell>
        </row>
        <row r="60">
          <cell r="B60" t="str">
            <v>PR100010488</v>
          </cell>
          <cell r="C60" t="str">
            <v>Penggunaan Coal bulan Juni  2025 Operation Dept</v>
          </cell>
          <cell r="D60" t="str">
            <v>Adaro Indonesia, PT</v>
          </cell>
          <cell r="E60" t="str">
            <v>Adaro Indonesia, PT</v>
          </cell>
          <cell r="F60" t="str">
            <v/>
          </cell>
          <cell r="G60" t="str">
            <v/>
          </cell>
          <cell r="H60" t="str">
            <v>ARIES KURNIAWAN</v>
          </cell>
          <cell r="I60">
            <v>45852</v>
          </cell>
          <cell r="J60" t="str">
            <v>Tech Op</v>
          </cell>
          <cell r="K60" t="str">
            <v>B &amp; J</v>
          </cell>
          <cell r="L60" t="str">
            <v>CTR</v>
          </cell>
          <cell r="N60" t="str">
            <v>RH</v>
          </cell>
          <cell r="O60" t="str">
            <v>robertiagus.haposan@alamtri.com</v>
          </cell>
          <cell r="P60">
            <v>253770</v>
          </cell>
          <cell r="Q60">
            <v>4060320000</v>
          </cell>
          <cell r="R60" t="str">
            <v>PO Sign Vendor</v>
          </cell>
          <cell r="T60" t="str">
            <v>MSW</v>
          </cell>
          <cell r="U60" t="str">
            <v>Adaro Indonesia, PT</v>
          </cell>
          <cell r="V60" t="str">
            <v>Adaro Indonesia, PT</v>
          </cell>
          <cell r="W60" t="str">
            <v>1 of 1</v>
          </cell>
          <cell r="X60" t="str">
            <v>1 of 1</v>
          </cell>
          <cell r="Z60" t="str">
            <v/>
          </cell>
          <cell r="AC60" t="str">
            <v xml:space="preserve"> of </v>
          </cell>
          <cell r="AD60" t="str">
            <v xml:space="preserve"> of </v>
          </cell>
          <cell r="AF60" t="str">
            <v/>
          </cell>
          <cell r="AI60" t="str">
            <v xml:space="preserve"> of </v>
          </cell>
          <cell r="AJ60" t="str">
            <v xml:space="preserve"> of </v>
          </cell>
          <cell r="AL60" t="str">
            <v/>
          </cell>
          <cell r="AM60">
            <v>0.70833333333333337</v>
          </cell>
          <cell r="AN60" t="str">
            <v>Adaro Indonesia, PT</v>
          </cell>
          <cell r="AO60" t="str">
            <v>mulyadi@adaro.com; rachman.hakim@adaro.com; Shipping@adaro.com</v>
          </cell>
          <cell r="AP60" t="str">
            <v>PO25000533</v>
          </cell>
          <cell r="AQ60">
            <v>3399072280</v>
          </cell>
          <cell r="AT60">
            <v>45863</v>
          </cell>
          <cell r="AU60">
            <v>45895</v>
          </cell>
          <cell r="AV60">
            <v>45870</v>
          </cell>
          <cell r="AW60">
            <v>45902</v>
          </cell>
          <cell r="AX60">
            <v>4.5714285714285712</v>
          </cell>
          <cell r="AY60">
            <v>45838</v>
          </cell>
          <cell r="AZ60" t="str">
            <v/>
          </cell>
          <cell r="BA60" t="str">
            <v/>
          </cell>
          <cell r="BB60" t="str">
            <v>Completed</v>
          </cell>
          <cell r="BC60" t="str">
            <v>PR100010488</v>
          </cell>
        </row>
        <row r="61">
          <cell r="B61" t="str">
            <v>PR100010510 (Line 1)</v>
          </cell>
          <cell r="C61" t="str">
            <v>General Over Haul (GOH)  3G2</v>
          </cell>
          <cell r="D61" t="str">
            <v>Trakindo Utama, PT</v>
          </cell>
          <cell r="E61" t="str">
            <v>Trakindo Utama, PT</v>
          </cell>
          <cell r="F61" t="str">
            <v/>
          </cell>
          <cell r="G61" t="str">
            <v/>
          </cell>
          <cell r="H61" t="str">
            <v>SLAMET</v>
          </cell>
          <cell r="I61">
            <v>45867</v>
          </cell>
          <cell r="J61" t="str">
            <v>Tech Main</v>
          </cell>
          <cell r="K61" t="str">
            <v>B &amp; J</v>
          </cell>
          <cell r="L61" t="str">
            <v>CTR</v>
          </cell>
          <cell r="M61">
            <v>6</v>
          </cell>
          <cell r="N61" t="str">
            <v>RH</v>
          </cell>
          <cell r="O61" t="str">
            <v>robertiagus.haposan@alamtri.com</v>
          </cell>
          <cell r="P61">
            <v>13928</v>
          </cell>
          <cell r="Q61">
            <v>222848000</v>
          </cell>
          <cell r="R61" t="str">
            <v>PO Sign Vendor</v>
          </cell>
          <cell r="T61" t="str">
            <v>MSW</v>
          </cell>
          <cell r="U61" t="str">
            <v>Trakindo Utama, PT</v>
          </cell>
          <cell r="V61" t="str">
            <v>Trakindo Utama, PT</v>
          </cell>
          <cell r="W61" t="str">
            <v>1 of 1</v>
          </cell>
          <cell r="X61" t="str">
            <v>1 of 1</v>
          </cell>
          <cell r="Y61">
            <v>45868</v>
          </cell>
          <cell r="Z61">
            <v>45869</v>
          </cell>
          <cell r="AC61" t="str">
            <v xml:space="preserve"> of </v>
          </cell>
          <cell r="AD61" t="str">
            <v xml:space="preserve"> of </v>
          </cell>
          <cell r="AF61" t="str">
            <v/>
          </cell>
          <cell r="AI61" t="str">
            <v xml:space="preserve"> of </v>
          </cell>
          <cell r="AJ61" t="str">
            <v xml:space="preserve"> of </v>
          </cell>
          <cell r="AL61" t="str">
            <v/>
          </cell>
          <cell r="AM61">
            <v>0.70833333333333337</v>
          </cell>
          <cell r="AN61" t="str">
            <v>Trakindo Utama, PT</v>
          </cell>
          <cell r="AO61" t="str">
            <v>hjuniater.sidauruk@trakindo.co.id</v>
          </cell>
          <cell r="AP61" t="str">
            <v>PO25000543R1</v>
          </cell>
          <cell r="AQ61">
            <v>203281150</v>
          </cell>
          <cell r="AT61">
            <v>45869</v>
          </cell>
          <cell r="AU61">
            <v>45905</v>
          </cell>
          <cell r="AV61">
            <v>45903</v>
          </cell>
          <cell r="AW61">
            <v>45939</v>
          </cell>
          <cell r="AX61">
            <v>5.1428571428571432</v>
          </cell>
          <cell r="AY61">
            <v>45986</v>
          </cell>
          <cell r="AZ61">
            <v>47</v>
          </cell>
          <cell r="BA61">
            <v>10164057.5</v>
          </cell>
          <cell r="BB61" t="str">
            <v>Completed</v>
          </cell>
          <cell r="BC61" t="str">
            <v>PR100010510</v>
          </cell>
        </row>
        <row r="62">
          <cell r="B62" t="str">
            <v>PR100010396 (Line 3)</v>
          </cell>
          <cell r="C62" t="str">
            <v>Pembelian Material DIgitalisasi (2025 Electrifikasi)</v>
          </cell>
          <cell r="E62" t="str">
            <v>Greentek Elektrikal Indonesia, PT
Perwira Sentra Officindo, PT
ALKS, CV
Quartee Technologies, PT
Gevana, PT
Alfa Teknik Mandiri Makmur, PT
Berkat Pratama Teknik, CV
Gema Industrial, PT
Antares Jaya Gemilang Prima, PT</v>
          </cell>
          <cell r="F62" t="str">
            <v>Greentek Elektrikal Indonesia, PT
ALKS, CV
Gevana, PT
Gema Industrial, PT
Antares Jaya Gemilang Prima, PT</v>
          </cell>
          <cell r="G62" t="str">
            <v>R0
5 of 9
11 Jun 25</v>
          </cell>
          <cell r="H62" t="str">
            <v>GUNARA FERY FAHNANI</v>
          </cell>
          <cell r="I62">
            <v>45803</v>
          </cell>
          <cell r="J62" t="str">
            <v>Tech Main</v>
          </cell>
          <cell r="K62" t="str">
            <v>B</v>
          </cell>
          <cell r="L62" t="str">
            <v>BID</v>
          </cell>
          <cell r="M62" t="str">
            <v>0163</v>
          </cell>
          <cell r="N62" t="str">
            <v>RH</v>
          </cell>
          <cell r="O62" t="str">
            <v>robertiagus.haposan@alamtri.com</v>
          </cell>
          <cell r="P62">
            <v>3863.8528000000001</v>
          </cell>
          <cell r="Q62">
            <v>61821644.800000004</v>
          </cell>
          <cell r="R62" t="str">
            <v>Completed Sign PO</v>
          </cell>
          <cell r="T62" t="str">
            <v>MSW</v>
          </cell>
          <cell r="U62" t="str">
            <v>Greentek Elektrikal Indonesia, PT
Perwira Sentra Officindo, PT
ALKS, CV
Quartee Technologies, PT
Gevana, PT
Alfa Teknik Mandiri Makmur, PT
Berkat Pratama Teknik, CV
Gema Industrial, PT
Antares Jaya Gemilang Prima, PT</v>
          </cell>
          <cell r="V62" t="str">
            <v>Greentek Elektrikal Indonesia, PT
ALKS, CV
Gevana, PT
Gema Industrial, PT
Antares Jaya Gemilang Prima, PT</v>
          </cell>
          <cell r="W62" t="str">
            <v>9 of 9</v>
          </cell>
          <cell r="X62" t="str">
            <v>5 of 9</v>
          </cell>
          <cell r="Y62">
            <v>45804</v>
          </cell>
          <cell r="Z62">
            <v>45819</v>
          </cell>
          <cell r="AC62" t="str">
            <v xml:space="preserve"> of </v>
          </cell>
          <cell r="AD62" t="str">
            <v xml:space="preserve"> of </v>
          </cell>
          <cell r="AF62" t="str">
            <v/>
          </cell>
          <cell r="AI62" t="str">
            <v xml:space="preserve"> of </v>
          </cell>
          <cell r="AJ62" t="str">
            <v xml:space="preserve"> of </v>
          </cell>
          <cell r="AL62" t="str">
            <v/>
          </cell>
          <cell r="AM62">
            <v>0.70833333333333337</v>
          </cell>
          <cell r="AN62" t="str">
            <v>Gema Industrial, PT</v>
          </cell>
          <cell r="AO62" t="str">
            <v>marketing@gema-industrial.com</v>
          </cell>
          <cell r="AP62" t="str">
            <v>PO25000548</v>
          </cell>
          <cell r="AQ62">
            <v>25506000</v>
          </cell>
          <cell r="AR62">
            <v>45824</v>
          </cell>
          <cell r="AS62">
            <v>45862</v>
          </cell>
          <cell r="AT62">
            <v>45869</v>
          </cell>
          <cell r="AU62">
            <v>45912</v>
          </cell>
          <cell r="AV62">
            <v>45870</v>
          </cell>
          <cell r="AW62">
            <v>45913</v>
          </cell>
          <cell r="AX62">
            <v>6.1428571428571432</v>
          </cell>
          <cell r="AY62">
            <v>45882</v>
          </cell>
          <cell r="AZ62" t="str">
            <v/>
          </cell>
          <cell r="BA62" t="str">
            <v/>
          </cell>
          <cell r="BB62" t="str">
            <v>Late Completed</v>
          </cell>
          <cell r="BC62" t="str">
            <v>PR100010396</v>
          </cell>
        </row>
        <row r="63">
          <cell r="B63" t="str">
            <v>PR100010512 (Line 1 - 5)</v>
          </cell>
          <cell r="C63" t="str">
            <v>Material untuk DG 2x40 Kva</v>
          </cell>
          <cell r="D63" t="str">
            <v>Andalan Gaya Bhakti Pratama, PT - Line 6</v>
          </cell>
          <cell r="E63" t="str">
            <v>Bima Kaltim Utama, PT
Blessindo Prima Sarana, PT
Andalan Gaya Bhakti Pratama, PT
Alfa Teknik Mandiri Makmur, PT
Kapuas Kencana Jaya, PT
Bhakti Ratutama Jaya, PT
Cipta Dua Power Frans Diesel, PT
Fadnov Airtech Indonesia, PT
Sentrapart Niaga Utama, PT
Pacific Dwiyasa Putra, PT</v>
          </cell>
          <cell r="F63" t="str">
            <v>Bima Kaltim Utama, PT
Andalan Gaya Bhakti Pratama, PT
Alfa Teknik Mandiri Makmur, PT</v>
          </cell>
          <cell r="G63" t="str">
            <v>R0
3 of 10
11 Aug 25</v>
          </cell>
          <cell r="H63" t="str">
            <v>SLAMET</v>
          </cell>
          <cell r="I63">
            <v>45888</v>
          </cell>
          <cell r="J63" t="str">
            <v>Tech Main</v>
          </cell>
          <cell r="K63" t="str">
            <v>B</v>
          </cell>
          <cell r="L63" t="str">
            <v>BID</v>
          </cell>
          <cell r="M63">
            <v>213</v>
          </cell>
          <cell r="N63" t="str">
            <v>RH</v>
          </cell>
          <cell r="O63" t="str">
            <v>robertiagus.haposan@alamtri.com</v>
          </cell>
          <cell r="P63">
            <v>1378.9708000000001</v>
          </cell>
          <cell r="Q63">
            <v>22063532.800000001</v>
          </cell>
          <cell r="R63" t="str">
            <v>Completed Sign PO</v>
          </cell>
          <cell r="T63" t="str">
            <v>MSW</v>
          </cell>
          <cell r="U63" t="str">
            <v>Bima Kaltim Utama, PT
Blessindo Prima Sarana, PT
Andalan Gaya Bhakti Pratama, PT
Alfa Teknik Mandiri Makmur, PT
Kapuas Kencana Jaya, PT
Bhakti Ratutama Jaya, PT
Cipta Dua Power Frans Diesel, PT
Fadnov Airtech Indonesia, PT
Sentrapart Niaga Utama, PT
Pacific Dwiyasa Putra, PT</v>
          </cell>
          <cell r="V63" t="str">
            <v>Bima Kaltim Utama, PT
Andalan Gaya Bhakti Pratama, PT
Alfa Teknik Mandiri Makmur, PT</v>
          </cell>
          <cell r="W63" t="str">
            <v>10 of 10</v>
          </cell>
          <cell r="X63" t="str">
            <v>3 of 10</v>
          </cell>
          <cell r="Y63">
            <v>45873</v>
          </cell>
          <cell r="Z63">
            <v>45880</v>
          </cell>
          <cell r="AC63" t="str">
            <v xml:space="preserve"> of </v>
          </cell>
          <cell r="AD63" t="str">
            <v xml:space="preserve"> of </v>
          </cell>
          <cell r="AF63" t="str">
            <v/>
          </cell>
          <cell r="AI63" t="str">
            <v xml:space="preserve"> of </v>
          </cell>
          <cell r="AJ63" t="str">
            <v xml:space="preserve"> of </v>
          </cell>
          <cell r="AL63" t="str">
            <v/>
          </cell>
          <cell r="AM63">
            <v>0.70833333333333337</v>
          </cell>
          <cell r="AN63" t="str">
            <v>Alfa Teknik Mandiri Makmur, PT</v>
          </cell>
          <cell r="AO63" t="str">
            <v>sales.atmm@gmail.com; alex_atmm@yahoo.com</v>
          </cell>
          <cell r="AP63" t="str">
            <v>PO25000681</v>
          </cell>
          <cell r="AQ63">
            <v>9295000</v>
          </cell>
          <cell r="AR63">
            <v>45888</v>
          </cell>
          <cell r="AS63">
            <v>45892</v>
          </cell>
          <cell r="AT63">
            <v>45904</v>
          </cell>
          <cell r="AU63">
            <v>45933</v>
          </cell>
          <cell r="AV63">
            <v>45912</v>
          </cell>
          <cell r="AW63">
            <v>45941</v>
          </cell>
          <cell r="AX63">
            <v>4.1428571428571432</v>
          </cell>
          <cell r="AZ63" t="str">
            <v/>
          </cell>
          <cell r="BA63" t="str">
            <v/>
          </cell>
          <cell r="BB63" t="str">
            <v>Completed</v>
          </cell>
          <cell r="BC63" t="str">
            <v>PR100010512</v>
          </cell>
        </row>
        <row r="64">
          <cell r="B64" t="str">
            <v>PR100010340 (Line 3,7-9)</v>
          </cell>
          <cell r="C64" t="str">
            <v>Sparepart Cable Electrical Instrument</v>
          </cell>
          <cell r="E64" t="str">
            <v>Alfa Teknik Mandiri Makmur, PT
Perwira Sentra Officindo, PT
Aka Prima Komputindo, PT
Antares Jaya Gemilang Prima, PT
Kin Kitra Kencana, PT
Anugrah Mandiri Putra Tabalong, PT
Gevana, PT
Greentek Elektrikal Indonesia, PT
Gema Industrial, PT
Berkat Pratama Teknik, CV</v>
          </cell>
          <cell r="F64" t="str">
            <v>Perwira Sentra Officindo, PT
Gevana, PT
Gema Industrial, PT</v>
          </cell>
          <cell r="G64" t="str">
            <v>R0
3 of 10
29 May 25</v>
          </cell>
          <cell r="H64" t="str">
            <v>DEDE SUDARJI</v>
          </cell>
          <cell r="I64">
            <v>45797</v>
          </cell>
          <cell r="J64" t="str">
            <v>Tech Main</v>
          </cell>
          <cell r="K64" t="str">
            <v>B</v>
          </cell>
          <cell r="L64" t="str">
            <v>BID</v>
          </cell>
          <cell r="M64" t="str">
            <v>0157</v>
          </cell>
          <cell r="N64" t="str">
            <v>RH</v>
          </cell>
          <cell r="O64" t="str">
            <v>robertiagus.haposan@alamtri.com</v>
          </cell>
          <cell r="P64">
            <v>4398.8032999999996</v>
          </cell>
          <cell r="Q64">
            <v>70380852.799999997</v>
          </cell>
          <cell r="R64" t="str">
            <v>Completed Sign PO</v>
          </cell>
          <cell r="T64" t="str">
            <v>MSW</v>
          </cell>
          <cell r="U64" t="str">
            <v>Alfa Teknik Mandiri Makmur, PT
Perwira Sentra Officindo, PT
Aka Prima Komputindo, PT
Antares Jaya Gemilang Prima, PT
Kin Kitra Kencana, PT
Anugrah Mandiri Putra Tabalong, PT
Gevana, PT
Greentek Elektrikal Indonesia, PT
Gema Industrial, PT
Berkat Pratama Teknik, CV</v>
          </cell>
          <cell r="V64" t="str">
            <v>Perwira Sentra Officindo, PT
Gevana, PT
Gema Industrial, PT</v>
          </cell>
          <cell r="W64" t="str">
            <v>10 of 10</v>
          </cell>
          <cell r="X64" t="str">
            <v>3 of 10</v>
          </cell>
          <cell r="Y64">
            <v>45799</v>
          </cell>
          <cell r="Z64">
            <v>45806</v>
          </cell>
          <cell r="AC64" t="str">
            <v xml:space="preserve"> of </v>
          </cell>
          <cell r="AD64" t="str">
            <v xml:space="preserve"> of </v>
          </cell>
          <cell r="AF64" t="str">
            <v/>
          </cell>
          <cell r="AI64" t="str">
            <v xml:space="preserve"> of </v>
          </cell>
          <cell r="AJ64" t="str">
            <v xml:space="preserve"> of </v>
          </cell>
          <cell r="AL64" t="str">
            <v/>
          </cell>
          <cell r="AM64">
            <v>0.70833333333333337</v>
          </cell>
          <cell r="AN64" t="str">
            <v>Gevana, PT</v>
          </cell>
          <cell r="AO64" t="str">
            <v>charlierobiansa7@gmail.com; eviedenny277@gmail.com</v>
          </cell>
          <cell r="AP64" t="str">
            <v>PO25000564</v>
          </cell>
          <cell r="AQ64">
            <v>90720500</v>
          </cell>
          <cell r="AR64">
            <v>45824</v>
          </cell>
          <cell r="AS64">
            <v>45874</v>
          </cell>
          <cell r="AT64">
            <v>45874</v>
          </cell>
          <cell r="AU64">
            <v>45905</v>
          </cell>
          <cell r="AV64">
            <v>45890</v>
          </cell>
          <cell r="AW64">
            <v>45921</v>
          </cell>
          <cell r="AX64">
            <v>4.4285714285714288</v>
          </cell>
          <cell r="AY64">
            <v>45908</v>
          </cell>
          <cell r="AZ64" t="str">
            <v/>
          </cell>
          <cell r="BA64" t="str">
            <v/>
          </cell>
          <cell r="BB64" t="str">
            <v>Late Completed</v>
          </cell>
          <cell r="BC64" t="str">
            <v>PR100010340</v>
          </cell>
        </row>
        <row r="65">
          <cell r="B65" t="str">
            <v>PR100010587</v>
          </cell>
          <cell r="C65" t="str">
            <v>Penggunaan Coal bulan Juli 2025 Operation Dept</v>
          </cell>
          <cell r="D65" t="str">
            <v>Adaro Indonesia, PT</v>
          </cell>
          <cell r="E65" t="str">
            <v>Adaro Indonesia, PT</v>
          </cell>
          <cell r="F65" t="str">
            <v/>
          </cell>
          <cell r="G65" t="str">
            <v/>
          </cell>
          <cell r="H65" t="str">
            <v>ARIES KURNIAWAN</v>
          </cell>
          <cell r="I65">
            <v>45877</v>
          </cell>
          <cell r="J65" t="str">
            <v>Tech Op</v>
          </cell>
          <cell r="K65" t="str">
            <v>B</v>
          </cell>
          <cell r="L65" t="str">
            <v>CTR</v>
          </cell>
          <cell r="N65" t="str">
            <v>RH</v>
          </cell>
          <cell r="O65" t="str">
            <v>robertiagus.haposan@alamtri.com</v>
          </cell>
          <cell r="P65">
            <v>247071</v>
          </cell>
          <cell r="Q65">
            <v>3953136000</v>
          </cell>
          <cell r="R65" t="str">
            <v>PO Sign Vendor</v>
          </cell>
          <cell r="T65" t="str">
            <v>MSW</v>
          </cell>
          <cell r="U65" t="str">
            <v>Adaro Indonesia, PT</v>
          </cell>
          <cell r="V65" t="str">
            <v>Adaro Indonesia, PT</v>
          </cell>
          <cell r="W65" t="str">
            <v>1 of 1</v>
          </cell>
          <cell r="X65" t="str">
            <v>1 of 1</v>
          </cell>
          <cell r="Z65" t="str">
            <v/>
          </cell>
          <cell r="AC65" t="str">
            <v xml:space="preserve"> of </v>
          </cell>
          <cell r="AD65" t="str">
            <v xml:space="preserve"> of </v>
          </cell>
          <cell r="AF65" t="str">
            <v/>
          </cell>
          <cell r="AI65" t="str">
            <v xml:space="preserve"> of </v>
          </cell>
          <cell r="AJ65" t="str">
            <v xml:space="preserve"> of </v>
          </cell>
          <cell r="AL65" t="str">
            <v/>
          </cell>
          <cell r="AM65">
            <v>0.70833333333333337</v>
          </cell>
          <cell r="AN65" t="str">
            <v>Adaro Indonesia, PT</v>
          </cell>
          <cell r="AO65" t="str">
            <v>mulyadi@adaro.com; rachman.hakim@adaro.com; Shipping@adaro.com</v>
          </cell>
          <cell r="AP65" t="str">
            <v>PO25000617</v>
          </cell>
          <cell r="AQ65">
            <v>3306644031.8000002</v>
          </cell>
          <cell r="AT65">
            <v>45889</v>
          </cell>
          <cell r="AU65">
            <v>45921</v>
          </cell>
          <cell r="AV65">
            <v>45891</v>
          </cell>
          <cell r="AW65">
            <v>45923</v>
          </cell>
          <cell r="AX65">
            <v>4.5714285714285712</v>
          </cell>
          <cell r="AY65">
            <v>45869</v>
          </cell>
          <cell r="AZ65" t="str">
            <v/>
          </cell>
          <cell r="BA65" t="str">
            <v/>
          </cell>
          <cell r="BB65" t="str">
            <v>Completed</v>
          </cell>
          <cell r="BC65" t="str">
            <v>PR100010587</v>
          </cell>
        </row>
        <row r="66">
          <cell r="B66" t="str">
            <v>PR100010296 (Line 2,4,5,7,8,9)</v>
          </cell>
          <cell r="C66" t="str">
            <v>Material Baut Skun Grounding, &amp; Tools Project PLTS 200KWP 2025</v>
          </cell>
          <cell r="E66" t="str">
            <v>Ganesha Wirya Pratama, PT
Perwira Sentra Officindo, PT
Siwali Swantika, PT
Berkat Pratama Teknik, CV
Axel Jaya Cakraniaga, PT
Sola Anugerah Oilfield, PT
Alfa Teknik Mandiri Makmur, PT
Indoparts, CV
Radian Fokus Mandiri, CV
Quartee Technologies, PT
ALKS, CV
Alpha Bumi Persada, CV</v>
          </cell>
          <cell r="F66" t="str">
            <v>Ganesha Wirya Pratama, PT
Perwira Sentra Officindo, PT
Siwali Swantika, PT
Alpha Bumi Persada, CV</v>
          </cell>
          <cell r="G66" t="str">
            <v>R0
4 of 12
05 Jun 25</v>
          </cell>
          <cell r="H66" t="str">
            <v>GUNARA FERY FAHNANI</v>
          </cell>
          <cell r="I66">
            <v>45817</v>
          </cell>
          <cell r="J66" t="str">
            <v>Tech Eng</v>
          </cell>
          <cell r="K66" t="str">
            <v>B</v>
          </cell>
          <cell r="L66" t="str">
            <v>BID</v>
          </cell>
          <cell r="M66" t="str">
            <v>0154</v>
          </cell>
          <cell r="N66" t="str">
            <v>RH</v>
          </cell>
          <cell r="O66" t="str">
            <v>robertiagus.haposan@alamtri.com</v>
          </cell>
          <cell r="P66">
            <v>9861.3295999999991</v>
          </cell>
          <cell r="Q66">
            <v>157781273.59999999</v>
          </cell>
          <cell r="R66" t="str">
            <v>Completed Sign PO</v>
          </cell>
          <cell r="T66" t="str">
            <v>MSW</v>
          </cell>
          <cell r="U66" t="str">
            <v>Ganesha Wirya Pratama, PT
Perwira Sentra Officindo, PT
Siwali Swantika, PT
Berkat Pratama Teknik, CV
Axel Jaya Cakraniaga, PT
Sola Anugerah Oilfield, PT
Alfa Teknik Mandiri Makmur, PT
Indoparts, CV
Radian Fokus Mandiri, CV
Quartee Technologies, PT
ALKS, CV
Alpha Bumi Persada, CV</v>
          </cell>
          <cell r="V66" t="str">
            <v>Ganesha Wirya Pratama, PT
Perwira Sentra Officindo, PT
Siwali Swantika, PT
Alpha Bumi Persada, CV</v>
          </cell>
          <cell r="W66" t="str">
            <v>12 of 12</v>
          </cell>
          <cell r="X66" t="str">
            <v>4 of 12</v>
          </cell>
          <cell r="Y66">
            <v>45799</v>
          </cell>
          <cell r="Z66">
            <v>45813</v>
          </cell>
          <cell r="AC66" t="str">
            <v xml:space="preserve"> of </v>
          </cell>
          <cell r="AD66" t="str">
            <v xml:space="preserve"> of </v>
          </cell>
          <cell r="AF66" t="str">
            <v/>
          </cell>
          <cell r="AI66" t="str">
            <v xml:space="preserve"> of </v>
          </cell>
          <cell r="AJ66" t="str">
            <v xml:space="preserve"> of </v>
          </cell>
          <cell r="AL66" t="str">
            <v/>
          </cell>
          <cell r="AM66">
            <v>0.70833333333333337</v>
          </cell>
          <cell r="AN66" t="str">
            <v>Perwira Sentra Officindo, PT</v>
          </cell>
          <cell r="AO66" t="str">
            <v>d_santos63@yahoo.com</v>
          </cell>
          <cell r="AP66" t="str">
            <v>PO25000610</v>
          </cell>
          <cell r="AQ66">
            <v>23763000</v>
          </cell>
          <cell r="AR66">
            <v>45824</v>
          </cell>
          <cell r="AS66">
            <v>45877</v>
          </cell>
          <cell r="AT66">
            <v>45889</v>
          </cell>
          <cell r="AU66">
            <v>45933</v>
          </cell>
          <cell r="AV66">
            <v>45901</v>
          </cell>
          <cell r="AW66">
            <v>45945</v>
          </cell>
          <cell r="AX66">
            <v>6.2857142857142856</v>
          </cell>
          <cell r="AY66">
            <v>45920</v>
          </cell>
          <cell r="AZ66" t="str">
            <v/>
          </cell>
          <cell r="BA66" t="str">
            <v/>
          </cell>
          <cell r="BB66" t="str">
            <v>Late Completed</v>
          </cell>
          <cell r="BC66" t="str">
            <v>PR100010296</v>
          </cell>
        </row>
        <row r="67">
          <cell r="B67" t="str">
            <v>PR100010539 (Line 3)</v>
          </cell>
          <cell r="C67" t="str">
            <v>Material untuk kebutuhan Part V-Belt</v>
          </cell>
          <cell r="D67" t="str">
            <v>Trakindo Utama, PT (Tanjung)</v>
          </cell>
          <cell r="E67" t="str">
            <v>Trakindo Utama, PT (Tanjung)</v>
          </cell>
          <cell r="F67" t="str">
            <v/>
          </cell>
          <cell r="G67" t="str">
            <v/>
          </cell>
          <cell r="H67" t="str">
            <v>SLAMET</v>
          </cell>
          <cell r="I67">
            <v>45875</v>
          </cell>
          <cell r="J67" t="str">
            <v>Tech Main</v>
          </cell>
          <cell r="K67" t="str">
            <v>B</v>
          </cell>
          <cell r="L67" t="str">
            <v>CTR</v>
          </cell>
          <cell r="M67">
            <v>8</v>
          </cell>
          <cell r="N67" t="str">
            <v>RH</v>
          </cell>
          <cell r="O67" t="str">
            <v>robertiagus.haposan@alamtri.com</v>
          </cell>
          <cell r="P67">
            <v>516</v>
          </cell>
          <cell r="Q67">
            <v>8256000</v>
          </cell>
          <cell r="R67" t="str">
            <v>PO Sign Vendor</v>
          </cell>
          <cell r="T67" t="str">
            <v>MSW</v>
          </cell>
          <cell r="U67" t="str">
            <v>Trakindo Utama, PT (Tanjung)</v>
          </cell>
          <cell r="V67" t="str">
            <v>Trakindo Utama, PT (Tanjung)</v>
          </cell>
          <cell r="W67" t="str">
            <v>1 of 1</v>
          </cell>
          <cell r="X67" t="str">
            <v>1 of 1</v>
          </cell>
          <cell r="Z67" t="str">
            <v/>
          </cell>
          <cell r="AC67" t="str">
            <v xml:space="preserve"> of </v>
          </cell>
          <cell r="AD67" t="str">
            <v xml:space="preserve"> of </v>
          </cell>
          <cell r="AF67" t="str">
            <v/>
          </cell>
          <cell r="AI67" t="str">
            <v xml:space="preserve"> of </v>
          </cell>
          <cell r="AJ67" t="str">
            <v xml:space="preserve"> of </v>
          </cell>
          <cell r="AL67" t="str">
            <v/>
          </cell>
          <cell r="AM67">
            <v>0.70833333333333337</v>
          </cell>
          <cell r="AN67" t="str">
            <v>Trakindo Utama, PT</v>
          </cell>
          <cell r="AO67" t="str">
            <v>hjuniater.sidauruk@trakindo.co.id</v>
          </cell>
          <cell r="AP67" t="str">
            <v>PO25000616R1</v>
          </cell>
          <cell r="AQ67">
            <v>10616045.460000001</v>
          </cell>
          <cell r="AT67">
            <v>45889</v>
          </cell>
          <cell r="AU67">
            <v>45905</v>
          </cell>
          <cell r="AV67">
            <v>45891</v>
          </cell>
          <cell r="AW67">
            <v>45907</v>
          </cell>
          <cell r="AX67">
            <v>2.2857142857142856</v>
          </cell>
          <cell r="AY67">
            <v>45905</v>
          </cell>
          <cell r="AZ67" t="str">
            <v/>
          </cell>
          <cell r="BA67" t="str">
            <v/>
          </cell>
          <cell r="BB67" t="str">
            <v>Completed</v>
          </cell>
          <cell r="BC67" t="str">
            <v>PR100010539</v>
          </cell>
        </row>
        <row r="68">
          <cell r="B68" t="str">
            <v>PR100010349 (Line 1)</v>
          </cell>
          <cell r="C68" t="str">
            <v>Sparepart Cable Motor Intake WTP</v>
          </cell>
          <cell r="E68" t="str">
            <v>Alfa Teknik Mandiri Makmur, PT
Panca Global Solusindo, PT
Niatsae Prakarsa Indonesia, PT
Perwira Sentra Officindo, PT
Gema Industrial, PT
Berkat Pratama Teknik, CV
Vhipa Mulia Pratama, PT
Cahaya Murni, CV
Raja Listrik Indonesia, PT
Greentek Elektrikal Indonesia, PT</v>
          </cell>
          <cell r="F68" t="str">
            <v>Panca Global Solusindo, PT
Gema Industrial, PT
Vhipa Mulia Pratama, PT</v>
          </cell>
          <cell r="G68" t="str">
            <v>R0
3 of 10
12 Jun 25</v>
          </cell>
          <cell r="H68" t="str">
            <v>DEDE SUDARJI</v>
          </cell>
          <cell r="I68">
            <v>45803</v>
          </cell>
          <cell r="J68" t="str">
            <v>Tech Main</v>
          </cell>
          <cell r="K68" t="str">
            <v>B</v>
          </cell>
          <cell r="L68" t="str">
            <v>BID</v>
          </cell>
          <cell r="M68" t="str">
            <v>0166</v>
          </cell>
          <cell r="N68" t="str">
            <v>RH</v>
          </cell>
          <cell r="O68" t="str">
            <v>robertiagus.haposan@alamtri.com</v>
          </cell>
          <cell r="P68">
            <v>8887</v>
          </cell>
          <cell r="Q68">
            <v>142192000</v>
          </cell>
          <cell r="R68" t="str">
            <v>Completed Sign PO</v>
          </cell>
          <cell r="T68" t="str">
            <v>MSW</v>
          </cell>
          <cell r="U68" t="str">
            <v>Alfa Teknik Mandiri Makmur, PT
Panca Global Solusindo, PT
Niatsae Prakarsa Indonesia, PT
Perwira Sentra Officindo, PT
Gema Industrial, PT
Berkat Pratama Teknik, CV
Vhipa Mulia Pratama, PT
Cahaya Murni, CV
Raja Listrik Indonesia, PT
Greentek Elektrikal Indonesia, PT</v>
          </cell>
          <cell r="V68" t="str">
            <v>Panca Global Solusindo, PT
Gema Industrial, PT
Vhipa Mulia Pratama, PT</v>
          </cell>
          <cell r="W68" t="str">
            <v>10 of 10</v>
          </cell>
          <cell r="X68" t="str">
            <v>3 of 10</v>
          </cell>
          <cell r="Y68">
            <v>45804</v>
          </cell>
          <cell r="Z68">
            <v>45820</v>
          </cell>
          <cell r="AC68" t="str">
            <v xml:space="preserve"> of </v>
          </cell>
          <cell r="AD68" t="str">
            <v xml:space="preserve"> of </v>
          </cell>
          <cell r="AF68" t="str">
            <v/>
          </cell>
          <cell r="AI68" t="str">
            <v xml:space="preserve"> of </v>
          </cell>
          <cell r="AJ68" t="str">
            <v xml:space="preserve"> of </v>
          </cell>
          <cell r="AL68" t="str">
            <v/>
          </cell>
          <cell r="AM68">
            <v>0.70833333333333337</v>
          </cell>
          <cell r="AN68" t="str">
            <v>Panca Global Solusindo, PT</v>
          </cell>
          <cell r="AO68" t="str">
            <v>sales@pancaglobal.com</v>
          </cell>
          <cell r="AP68" t="str">
            <v>PO25000676</v>
          </cell>
          <cell r="AQ68">
            <v>127220000</v>
          </cell>
          <cell r="AR68">
            <v>45826</v>
          </cell>
          <cell r="AS68">
            <v>45875</v>
          </cell>
          <cell r="AT68">
            <v>45902</v>
          </cell>
          <cell r="AU68">
            <v>45975</v>
          </cell>
          <cell r="AV68">
            <v>45911</v>
          </cell>
          <cell r="AW68">
            <v>45984</v>
          </cell>
          <cell r="AX68">
            <v>10.428571428571429</v>
          </cell>
          <cell r="AZ68" t="str">
            <v/>
          </cell>
          <cell r="BA68" t="str">
            <v/>
          </cell>
          <cell r="BB68" t="str">
            <v>Late Completed</v>
          </cell>
          <cell r="BC68" t="str">
            <v>PR100010349</v>
          </cell>
        </row>
        <row r="69">
          <cell r="B69" t="str">
            <v>PR100010418 (Line 3)</v>
          </cell>
          <cell r="C69" t="str">
            <v>Sparepart Conductivity Analyzer for WO10746320</v>
          </cell>
          <cell r="E69" t="str">
            <v>Gading Mas Utama, PT
Kin Kitra Kencana, PT
Antares Jaya Gemilang Prima, PT
Gema Industrial, PT
Greentek Elektrikal Indonesia, PT
Trimitra Bangun Karyatama, PT
Axel Jaya Cakraniaga, PT
Promitra Prima Indonesia, PT
Stanindo Artha Langgeng, PT
Putera Instrumenindo, PT</v>
          </cell>
          <cell r="F69" t="str">
            <v>Gading Mas Utama, PT	
Antares Jaya Gemilang Prima, PT	
Greentek Elektrikal Indonesia, PT
Axel Jaya Cakraniaga, PT	
Promitra Prima Indonesia, PT</v>
          </cell>
          <cell r="G69" t="str">
            <v>R0
5 of 10
19 Jun 25</v>
          </cell>
          <cell r="H69" t="str">
            <v>DEDE SUDARJI</v>
          </cell>
          <cell r="I69">
            <v>45813</v>
          </cell>
          <cell r="J69" t="str">
            <v>Tech Main</v>
          </cell>
          <cell r="K69" t="str">
            <v>B</v>
          </cell>
          <cell r="L69" t="str">
            <v>BID</v>
          </cell>
          <cell r="M69">
            <v>177</v>
          </cell>
          <cell r="N69" t="str">
            <v>RH</v>
          </cell>
          <cell r="O69" t="str">
            <v>robertiagus.haposan@alamtri.com</v>
          </cell>
          <cell r="P69">
            <v>3126</v>
          </cell>
          <cell r="Q69">
            <v>50016000</v>
          </cell>
          <cell r="R69" t="str">
            <v>Completed Sign PO</v>
          </cell>
          <cell r="T69" t="str">
            <v>MSW</v>
          </cell>
          <cell r="U69" t="str">
            <v>Gading Mas Utama, PT
Kin Kitra Kencana, PT
Antares Jaya Gemilang Prima, PT
Gema Industrial, PT
Greentek Elektrikal Indonesia, PT
Trimitra Bangun Karyatama, PT
Axel Jaya Cakraniaga, PT
Promitra Prima Indonesia, PT
Stanindo Artha Langgeng, PT
Putera Instrumenindo, PT</v>
          </cell>
          <cell r="V69" t="str">
            <v>Gading Mas Utama, PT	
Antares Jaya Gemilang Prima, PT	
Greentek Elektrikal Indonesia, PT
Axel Jaya Cakraniaga, PT	
Promitra Prima Indonesia, PT</v>
          </cell>
          <cell r="W69" t="str">
            <v>10 of 10</v>
          </cell>
          <cell r="X69" t="str">
            <v>5 of 10</v>
          </cell>
          <cell r="Y69">
            <v>45820</v>
          </cell>
          <cell r="Z69">
            <v>45827</v>
          </cell>
          <cell r="AC69" t="str">
            <v xml:space="preserve"> of </v>
          </cell>
          <cell r="AD69" t="str">
            <v xml:space="preserve"> of </v>
          </cell>
          <cell r="AF69" t="str">
            <v/>
          </cell>
          <cell r="AI69" t="str">
            <v xml:space="preserve"> of </v>
          </cell>
          <cell r="AJ69" t="str">
            <v xml:space="preserve"> of </v>
          </cell>
          <cell r="AL69" t="str">
            <v/>
          </cell>
          <cell r="AM69">
            <v>0.70833333333333337</v>
          </cell>
          <cell r="AN69" t="str">
            <v>Axel Jaya Cakraniaga, PT</v>
          </cell>
          <cell r="AO69" t="str">
            <v>ajcakraniaga@gmail.com; sales@ajcakraniaga.com</v>
          </cell>
          <cell r="AP69" t="str">
            <v>PO25000620</v>
          </cell>
          <cell r="AQ69">
            <v>17200000</v>
          </cell>
          <cell r="AR69">
            <v>45838</v>
          </cell>
          <cell r="AS69">
            <v>45887</v>
          </cell>
          <cell r="AT69">
            <v>45889</v>
          </cell>
          <cell r="AU69">
            <v>46003</v>
          </cell>
          <cell r="AV69">
            <v>45891</v>
          </cell>
          <cell r="AW69">
            <v>46005</v>
          </cell>
          <cell r="AX69">
            <v>16.285714285714285</v>
          </cell>
          <cell r="AZ69" t="str">
            <v/>
          </cell>
          <cell r="BA69" t="str">
            <v/>
          </cell>
          <cell r="BB69" t="str">
            <v>Late Completed</v>
          </cell>
          <cell r="BC69" t="str">
            <v>PR100010418</v>
          </cell>
        </row>
        <row r="70">
          <cell r="B70" t="str">
            <v>PR100010419 (Line 3)</v>
          </cell>
          <cell r="C70" t="str">
            <v>Sparepart pH Analyzer for WO10746379</v>
          </cell>
          <cell r="E70" t="str">
            <v>Gevana, PT
Trimitra Bangun Karyatama, PT
Putera Instrumenindo, PT
Gading Mas Utama, PT
Raja Listrik Indonesia, PT
Lienetic Jaya, PT
Promitra Prima Indonesia, PT</v>
          </cell>
          <cell r="F70" t="str">
            <v>Gevana, PT
Trimitra Bangun Karyatama, PT
Putera Instrumenindo, PT
Gading Mas Utama, PT
Promitra Prima Indonesia, PT</v>
          </cell>
          <cell r="G70" t="str">
            <v>R1
5 of 7
07 Jul 25</v>
          </cell>
          <cell r="H70" t="str">
            <v>DEDE SUDARJI</v>
          </cell>
          <cell r="I70">
            <v>45820</v>
          </cell>
          <cell r="J70" t="str">
            <v>Tech Main</v>
          </cell>
          <cell r="K70" t="str">
            <v>B</v>
          </cell>
          <cell r="L70" t="str">
            <v>BID</v>
          </cell>
          <cell r="M70" t="str">
            <v>0176</v>
          </cell>
          <cell r="N70" t="str">
            <v>RH</v>
          </cell>
          <cell r="O70" t="str">
            <v>robertiagus.haposan@alamtri.com</v>
          </cell>
          <cell r="P70">
            <v>3579</v>
          </cell>
          <cell r="Q70">
            <v>57264000</v>
          </cell>
          <cell r="R70" t="str">
            <v>Completed Sign PO</v>
          </cell>
          <cell r="T70" t="str">
            <v>MSW</v>
          </cell>
          <cell r="U70" t="str">
            <v>Gading Mas Utama, PT
Gema Industrial, PT
Gevana, PT
Greentek Elektrikal Indonesia, PT
Trimitra Bangun Karyatama, PT
ANP Engineering, PT
Axel Jaya Cakraniaga, PT
Promitra Prima Indonesia, PT
Kin Kitra Kencana, PT
Stanindo Artha Langgeng, PT
Antares Jaya Gemilang Prima, PT
Putera Instrumenindo, PT</v>
          </cell>
          <cell r="V70" t="str">
            <v>Gevana, PT
Trimitra Bangun Karyatama, PT</v>
          </cell>
          <cell r="W70" t="str">
            <v>12 of 12</v>
          </cell>
          <cell r="X70" t="str">
            <v>2 of 12</v>
          </cell>
          <cell r="Y70">
            <v>45820</v>
          </cell>
          <cell r="Z70">
            <v>45827</v>
          </cell>
          <cell r="AA70" t="str">
            <v>Gevana, PT
Trimitra Bangun Karyatama, PT
Putera Instrumenindo, PT
Gading Mas Utama, PT
Raja Listrik Indonesia, PT
Lienetic Jaya, PT
Promitra Prima Indonesia, PT</v>
          </cell>
          <cell r="AB70" t="str">
            <v>Gevana, PT
Trimitra Bangun Karyatama, PT
Putera Instrumenindo, PT
Gading Mas Utama, PT
Promitra Prima Indonesia, PT</v>
          </cell>
          <cell r="AC70" t="str">
            <v>7 of 7</v>
          </cell>
          <cell r="AD70" t="str">
            <v>5 of 7</v>
          </cell>
          <cell r="AE70">
            <v>45838</v>
          </cell>
          <cell r="AF70">
            <v>45845</v>
          </cell>
          <cell r="AI70" t="str">
            <v xml:space="preserve"> of </v>
          </cell>
          <cell r="AJ70" t="str">
            <v xml:space="preserve"> of </v>
          </cell>
          <cell r="AL70" t="str">
            <v/>
          </cell>
          <cell r="AM70">
            <v>0.70833333333333337</v>
          </cell>
          <cell r="AN70" t="str">
            <v>Gevana, PT</v>
          </cell>
          <cell r="AO70" t="str">
            <v>charlierobiansa7@gmail.com; eviedenny277@gmail.com</v>
          </cell>
          <cell r="AP70" t="str">
            <v>PO25000678</v>
          </cell>
          <cell r="AQ70">
            <v>53040000</v>
          </cell>
          <cell r="AR70">
            <v>45869</v>
          </cell>
          <cell r="AS70">
            <v>45890</v>
          </cell>
          <cell r="AT70">
            <v>45902</v>
          </cell>
          <cell r="AU70">
            <v>45996</v>
          </cell>
          <cell r="AV70">
            <v>45911</v>
          </cell>
          <cell r="AW70">
            <v>46005</v>
          </cell>
          <cell r="AX70">
            <v>13.428571428571429</v>
          </cell>
          <cell r="AZ70" t="str">
            <v/>
          </cell>
          <cell r="BA70" t="str">
            <v/>
          </cell>
          <cell r="BB70" t="str">
            <v>Late Completed</v>
          </cell>
          <cell r="BC70" t="str">
            <v>PR100010419</v>
          </cell>
        </row>
        <row r="71">
          <cell r="B71" t="str">
            <v>PR100010618</v>
          </cell>
          <cell r="C71" t="str">
            <v>OIL ANALYSIS FOR TRANSFORMER &amp; ROTATING EQUIPMENT</v>
          </cell>
          <cell r="D71" t="str">
            <v>Petrolab Services, PT</v>
          </cell>
          <cell r="E71" t="str">
            <v>Petrolab Services, PT</v>
          </cell>
          <cell r="F71" t="str">
            <v/>
          </cell>
          <cell r="G71" t="str">
            <v/>
          </cell>
          <cell r="H71" t="str">
            <v>SASTRA IRAWAN</v>
          </cell>
          <cell r="I71">
            <v>45908</v>
          </cell>
          <cell r="J71" t="str">
            <v>Tech Main</v>
          </cell>
          <cell r="K71" t="str">
            <v>J</v>
          </cell>
          <cell r="L71" t="str">
            <v>CTR</v>
          </cell>
          <cell r="N71" t="str">
            <v>RH</v>
          </cell>
          <cell r="O71" t="str">
            <v>robertiagus.haposan@alamtri.com</v>
          </cell>
          <cell r="P71">
            <v>14096</v>
          </cell>
          <cell r="Q71">
            <v>225536000</v>
          </cell>
          <cell r="R71" t="str">
            <v>Completed Sign PO</v>
          </cell>
          <cell r="T71" t="str">
            <v>MSW</v>
          </cell>
          <cell r="U71" t="str">
            <v>Petrolab Services, PT</v>
          </cell>
          <cell r="V71" t="str">
            <v>Petrolab Services, PT</v>
          </cell>
          <cell r="W71" t="str">
            <v>1 of 1</v>
          </cell>
          <cell r="X71" t="str">
            <v>1 of 1</v>
          </cell>
          <cell r="Z71" t="str">
            <v/>
          </cell>
          <cell r="AC71" t="str">
            <v xml:space="preserve"> of </v>
          </cell>
          <cell r="AD71" t="str">
            <v xml:space="preserve"> of </v>
          </cell>
          <cell r="AF71" t="str">
            <v/>
          </cell>
          <cell r="AI71" t="str">
            <v xml:space="preserve"> of </v>
          </cell>
          <cell r="AJ71" t="str">
            <v xml:space="preserve"> of </v>
          </cell>
          <cell r="AL71" t="str">
            <v/>
          </cell>
          <cell r="AM71">
            <v>0.70833333333333337</v>
          </cell>
          <cell r="AN71" t="str">
            <v>Petrolab Services, PT</v>
          </cell>
          <cell r="AO71" t="str">
            <v xml:space="preserve">arzi@petrolab.co.id; adrian@petrolab.co.id </v>
          </cell>
          <cell r="AP71" t="str">
            <v>PO25000705</v>
          </cell>
          <cell r="AQ71">
            <v>212250000</v>
          </cell>
          <cell r="AT71">
            <v>45912</v>
          </cell>
          <cell r="AU71">
            <v>45942</v>
          </cell>
          <cell r="AV71">
            <v>45915</v>
          </cell>
          <cell r="AW71">
            <v>45945</v>
          </cell>
          <cell r="AX71">
            <v>4.2857142857142856</v>
          </cell>
          <cell r="AZ71" t="str">
            <v/>
          </cell>
          <cell r="BA71" t="str">
            <v/>
          </cell>
          <cell r="BB71" t="str">
            <v>Completed</v>
          </cell>
          <cell r="BC71" t="str">
            <v>PR100010618</v>
          </cell>
        </row>
        <row r="72">
          <cell r="B72" t="str">
            <v>PR100010677</v>
          </cell>
          <cell r="C72" t="str">
            <v xml:space="preserve">Penggunaan Coal bulan Agustus 2025 </v>
          </cell>
          <cell r="D72" t="str">
            <v>Adaro Indonesia, PT</v>
          </cell>
          <cell r="E72" t="str">
            <v>Adaro Indonesia, PT</v>
          </cell>
          <cell r="F72" t="str">
            <v/>
          </cell>
          <cell r="G72" t="str">
            <v/>
          </cell>
          <cell r="H72" t="str">
            <v>ARIES KURNIAWAN</v>
          </cell>
          <cell r="I72">
            <v>45909</v>
          </cell>
          <cell r="J72" t="str">
            <v>Tech Op</v>
          </cell>
          <cell r="K72" t="str">
            <v>B</v>
          </cell>
          <cell r="L72" t="str">
            <v>CTR</v>
          </cell>
          <cell r="N72" t="str">
            <v>RH</v>
          </cell>
          <cell r="O72" t="str">
            <v>robertiagus.haposan@alamtri.com</v>
          </cell>
          <cell r="P72">
            <v>300861</v>
          </cell>
          <cell r="Q72">
            <v>4813776000</v>
          </cell>
          <cell r="R72" t="str">
            <v>Completed Sign PO Contract</v>
          </cell>
          <cell r="T72" t="str">
            <v>MSW</v>
          </cell>
          <cell r="U72" t="str">
            <v>Adaro Indonesia, PT</v>
          </cell>
          <cell r="V72" t="str">
            <v>Adaro Indonesia, PT</v>
          </cell>
          <cell r="W72" t="str">
            <v>1 of 1</v>
          </cell>
          <cell r="X72" t="str">
            <v>1 of 1</v>
          </cell>
          <cell r="Z72" t="str">
            <v/>
          </cell>
          <cell r="AC72" t="str">
            <v xml:space="preserve"> of </v>
          </cell>
          <cell r="AD72" t="str">
            <v xml:space="preserve"> of </v>
          </cell>
          <cell r="AF72" t="str">
            <v/>
          </cell>
          <cell r="AI72" t="str">
            <v xml:space="preserve"> of </v>
          </cell>
          <cell r="AJ72" t="str">
            <v xml:space="preserve"> of </v>
          </cell>
          <cell r="AL72" t="str">
            <v/>
          </cell>
          <cell r="AM72">
            <v>0.70833333333333337</v>
          </cell>
          <cell r="AN72" t="str">
            <v>Adaro Indonesia, PT</v>
          </cell>
          <cell r="AO72" t="str">
            <v>mulyadi@adaro.com; rachman.hakim@adaro.com; Shipping@adaro.com</v>
          </cell>
          <cell r="AP72" t="str">
            <v>PO25000706</v>
          </cell>
          <cell r="AQ72">
            <v>4035654637.1999998</v>
          </cell>
          <cell r="AT72">
            <v>45912</v>
          </cell>
          <cell r="AU72">
            <v>45942</v>
          </cell>
          <cell r="AV72">
            <v>45915</v>
          </cell>
          <cell r="AW72">
            <v>45945</v>
          </cell>
          <cell r="AX72">
            <v>4.2857142857142856</v>
          </cell>
          <cell r="AY72">
            <v>45898</v>
          </cell>
          <cell r="AZ72" t="str">
            <v/>
          </cell>
          <cell r="BA72" t="str">
            <v/>
          </cell>
          <cell r="BB72" t="str">
            <v>Completed</v>
          </cell>
          <cell r="BC72" t="str">
            <v>PR100010677</v>
          </cell>
        </row>
        <row r="73">
          <cell r="B73" t="str">
            <v>PR100010296 (Line 10)</v>
          </cell>
          <cell r="C73" t="str">
            <v>Material Baut Skun Grounding, &amp; Tools Project PLTS 200KWP 2025</v>
          </cell>
          <cell r="E73" t="str">
            <v>Ganesha Wirya Pratama, PT
Perwira Sentra Officindo, PT
Siwali Swantika, PT
Berkat Pratama Teknik, CV
Axel Jaya Cakraniaga, PT
Sola Anugerah Oilfield, PT
Alfa Teknik Mandiri Makmur, PT
Indoparts, CV
Radian Fokus Mandiri, CV
Quartee Technologies, PT
ALKS, CV
Alpha Bumi Persada, CV</v>
          </cell>
          <cell r="F73" t="str">
            <v>Ganesha Wirya Pratama, PT
Perwira Sentra Officindo, PT
Siwali Swantika, PT
Alpha Bumi Persada, CV</v>
          </cell>
          <cell r="G73" t="str">
            <v>R0
4 of 12
05 Jun 25</v>
          </cell>
          <cell r="H73" t="str">
            <v>GUNARA FERY FAHNANI</v>
          </cell>
          <cell r="I73">
            <v>45817</v>
          </cell>
          <cell r="J73" t="str">
            <v>Tech Eng</v>
          </cell>
          <cell r="K73" t="str">
            <v>B</v>
          </cell>
          <cell r="L73" t="str">
            <v>BID</v>
          </cell>
          <cell r="M73" t="str">
            <v>0154</v>
          </cell>
          <cell r="N73" t="str">
            <v>RH</v>
          </cell>
          <cell r="O73" t="str">
            <v>robertiagus.haposan@alamtri.com</v>
          </cell>
          <cell r="P73">
            <v>9861.3295999999991</v>
          </cell>
          <cell r="Q73">
            <v>157781273.59999999</v>
          </cell>
          <cell r="R73" t="str">
            <v>PO Sign Vendor</v>
          </cell>
          <cell r="S73" t="str">
            <v>Second lowest</v>
          </cell>
          <cell r="T73" t="str">
            <v>MSW</v>
          </cell>
          <cell r="U73" t="str">
            <v>Ganesha Wirya Pratama, PT
Perwira Sentra Officindo, PT
Siwali Swantika, PT
Berkat Pratama Teknik, CV
Axel Jaya Cakraniaga, PT
Sola Anugerah Oilfield, PT
Alfa Teknik Mandiri Makmur, PT
Indoparts, CV
Radian Fokus Mandiri, CV
Quartee Technologies, PT
ALKS, CV
Alpha Bumi Persada, CV</v>
          </cell>
          <cell r="V73" t="str">
            <v>Ganesha Wirya Pratama, PT
Perwira Sentra Officindo, PT
Siwali Swantika, PT
Alpha Bumi Persada, CV</v>
          </cell>
          <cell r="W73" t="str">
            <v>12 of 12</v>
          </cell>
          <cell r="X73" t="str">
            <v>4 of 12</v>
          </cell>
          <cell r="Y73">
            <v>45799</v>
          </cell>
          <cell r="Z73">
            <v>45813</v>
          </cell>
          <cell r="AC73" t="str">
            <v xml:space="preserve"> of </v>
          </cell>
          <cell r="AD73" t="str">
            <v xml:space="preserve"> of </v>
          </cell>
          <cell r="AF73" t="str">
            <v/>
          </cell>
          <cell r="AI73" t="str">
            <v xml:space="preserve"> of </v>
          </cell>
          <cell r="AJ73" t="str">
            <v xml:space="preserve"> of </v>
          </cell>
          <cell r="AL73" t="str">
            <v/>
          </cell>
          <cell r="AM73">
            <v>0.70833333333333337</v>
          </cell>
          <cell r="AN73" t="str">
            <v>Ganesha Wirya Pratama, PT</v>
          </cell>
          <cell r="AO73" t="str">
            <v>ganeshawiryapratama@gmail.com</v>
          </cell>
          <cell r="AP73" t="str">
            <v>PO25000717</v>
          </cell>
          <cell r="AQ73">
            <v>6444000</v>
          </cell>
          <cell r="AR73">
            <v>45824</v>
          </cell>
          <cell r="AS73">
            <v>45877</v>
          </cell>
          <cell r="AT73">
            <v>45918</v>
          </cell>
          <cell r="AU73">
            <v>45975</v>
          </cell>
          <cell r="AV73">
            <v>45922</v>
          </cell>
          <cell r="AW73">
            <v>45979</v>
          </cell>
          <cell r="AX73">
            <v>8.1428571428571423</v>
          </cell>
          <cell r="AZ73" t="str">
            <v/>
          </cell>
          <cell r="BA73" t="str">
            <v/>
          </cell>
          <cell r="BB73" t="str">
            <v>Late Completed</v>
          </cell>
          <cell r="BC73" t="str">
            <v>PR100010296</v>
          </cell>
        </row>
        <row r="74">
          <cell r="B74" t="str">
            <v>PR100010296 (Line 1,3,6)</v>
          </cell>
          <cell r="C74" t="str">
            <v>Material Baut Skun Grounding, &amp; Tools Project PLTS 200KWP 2025</v>
          </cell>
          <cell r="E74" t="str">
            <v>Ganesha Wirya Pratama, PT
Perwira Sentra Officindo, PT
Siwali Swantika, PT
Berkat Pratama Teknik, CV
Axel Jaya Cakraniaga, PT
Sola Anugerah Oilfield, PT
Alfa Teknik Mandiri Makmur, PT
Indoparts, CV
Radian Fokus Mandiri, CV
Quartee Technologies, PT
ALKS, CV
Alpha Bumi Persada, CV</v>
          </cell>
          <cell r="F74" t="str">
            <v>Ganesha Wirya Pratama, PT
Perwira Sentra Officindo, PT
Siwali Swantika, PT
Alpha Bumi Persada, CV</v>
          </cell>
          <cell r="G74" t="str">
            <v>R0
4 of 12
05 Jun 25</v>
          </cell>
          <cell r="H74" t="str">
            <v>GUNARA FERY FAHNANI</v>
          </cell>
          <cell r="I74">
            <v>45817</v>
          </cell>
          <cell r="J74" t="str">
            <v>Tech Eng</v>
          </cell>
          <cell r="K74" t="str">
            <v>B</v>
          </cell>
          <cell r="L74" t="str">
            <v>BID</v>
          </cell>
          <cell r="M74" t="str">
            <v>0154</v>
          </cell>
          <cell r="N74" t="str">
            <v>RH</v>
          </cell>
          <cell r="O74" t="str">
            <v>robertiagus.haposan@alamtri.com</v>
          </cell>
          <cell r="P74">
            <v>9861.3295999999991</v>
          </cell>
          <cell r="Q74">
            <v>157781273.59999999</v>
          </cell>
          <cell r="R74" t="str">
            <v>Completed Sign PO</v>
          </cell>
          <cell r="S74" t="str">
            <v>Second lowest</v>
          </cell>
          <cell r="T74" t="str">
            <v>MSW</v>
          </cell>
          <cell r="U74" t="str">
            <v>Ganesha Wirya Pratama, PT
Perwira Sentra Officindo, PT
Siwali Swantika, PT
Berkat Pratama Teknik, CV
Axel Jaya Cakraniaga, PT
Sola Anugerah Oilfield, PT
Alfa Teknik Mandiri Makmur, PT
Indoparts, CV
Radian Fokus Mandiri, CV
Quartee Technologies, PT
ALKS, CV
Alpha Bumi Persada, CV</v>
          </cell>
          <cell r="V74" t="str">
            <v>Ganesha Wirya Pratama, PT
Perwira Sentra Officindo, PT
Siwali Swantika, PT
Alpha Bumi Persada, CV</v>
          </cell>
          <cell r="W74" t="str">
            <v>12 of 12</v>
          </cell>
          <cell r="X74" t="str">
            <v>4 of 12</v>
          </cell>
          <cell r="Y74">
            <v>45799</v>
          </cell>
          <cell r="Z74">
            <v>45813</v>
          </cell>
          <cell r="AC74" t="str">
            <v xml:space="preserve"> of </v>
          </cell>
          <cell r="AD74" t="str">
            <v xml:space="preserve"> of </v>
          </cell>
          <cell r="AF74" t="str">
            <v/>
          </cell>
          <cell r="AI74" t="str">
            <v xml:space="preserve"> of </v>
          </cell>
          <cell r="AJ74" t="str">
            <v xml:space="preserve"> of </v>
          </cell>
          <cell r="AL74" t="str">
            <v/>
          </cell>
          <cell r="AM74">
            <v>0.70833333333333337</v>
          </cell>
          <cell r="AN74" t="str">
            <v>Ganesha Wirya Pratama, PT</v>
          </cell>
          <cell r="AO74" t="str">
            <v>ganeshawiryapratama@gmail.com</v>
          </cell>
          <cell r="AP74" t="str">
            <v>PO25000716</v>
          </cell>
          <cell r="AQ74">
            <v>49635000</v>
          </cell>
          <cell r="AR74">
            <v>45824</v>
          </cell>
          <cell r="AS74">
            <v>45877</v>
          </cell>
          <cell r="AT74">
            <v>45918</v>
          </cell>
          <cell r="AU74">
            <v>45975</v>
          </cell>
          <cell r="AV74">
            <v>45919</v>
          </cell>
          <cell r="AW74">
            <v>45976</v>
          </cell>
          <cell r="AX74">
            <v>8.1428571428571423</v>
          </cell>
          <cell r="AZ74" t="str">
            <v/>
          </cell>
          <cell r="BA74" t="str">
            <v/>
          </cell>
          <cell r="BB74" t="str">
            <v>Late Completed</v>
          </cell>
          <cell r="BC74" t="str">
            <v>PR100010296</v>
          </cell>
        </row>
        <row r="75">
          <cell r="B75" t="str">
            <v>PR100010596</v>
          </cell>
          <cell r="C75" t="str">
            <v>Material untuk PM DG 2 x 40 Kva Support  ATS</v>
          </cell>
          <cell r="E75" t="str">
            <v>Berkat Pratama Teknik, CV
Indo Tehnik Tanjung Tabalong, PT
Sehati, CV
Perwira Sentra Officindo, PT
Alfa Teknik Mandiri Makmur, PT
Bandar Aneka Teknik Indonesia, PT
Bima Kaltim Utama, PT
Cipta Dua Power Frans Diesel, PT
Pacific Tractor Indonesia, PT
Sentrapart Niaga Utama, PT</v>
          </cell>
          <cell r="F75" t="str">
            <v>Sehati, CV
Perwira Sentra Officindo, PT
Alfa Teknik Mandiri Makmur, PT
Bandar Aneka Teknik Indonesia, PT
Bima Kaltim Utama, PT
Cipta Dua Power Frans Diesel, PT
Pacific Tractor Indonesia, PT</v>
          </cell>
          <cell r="G75" t="str">
            <v>R0
7 of 10
26 Aug 25</v>
          </cell>
          <cell r="H75" t="str">
            <v>SLAMET</v>
          </cell>
          <cell r="I75">
            <v>45881</v>
          </cell>
          <cell r="J75" t="str">
            <v>Tech Main</v>
          </cell>
          <cell r="K75" t="str">
            <v>B</v>
          </cell>
          <cell r="L75" t="str">
            <v>BID</v>
          </cell>
          <cell r="M75">
            <v>236</v>
          </cell>
          <cell r="N75" t="str">
            <v>RH</v>
          </cell>
          <cell r="O75" t="str">
            <v>robertiagus.haposan@alamtri.com</v>
          </cell>
          <cell r="P75">
            <v>1661.9495999999999</v>
          </cell>
          <cell r="Q75">
            <v>26591193.599999998</v>
          </cell>
          <cell r="R75" t="str">
            <v>PO Sign Vendor</v>
          </cell>
          <cell r="T75" t="str">
            <v>MSW</v>
          </cell>
          <cell r="U75" t="str">
            <v>Berkat Pratama Teknik, CV
Indo Tehnik Tanjung Tabalong, PT
Sehati, CV
Perwira Sentra Officindo, PT
Alfa Teknik Mandiri Makmur, PT
Bandar Aneka Teknik Indonesia, PT
Bima Kaltim Utama, PT
Cipta Dua Power Frans Diesel, PT
Pacific Tractor Indonesia, PT
Sentrapart Niaga Utama, PT</v>
          </cell>
          <cell r="V75" t="str">
            <v>Sehati, CV
Perwira Sentra Officindo, PT
Alfa Teknik Mandiri Makmur, PT
Bandar Aneka Teknik Indonesia, PT
Bima Kaltim Utama, PT
Cipta Dua Power Frans Diesel, PT
Pacific Tractor Indonesia, PT</v>
          </cell>
          <cell r="W75" t="str">
            <v>10 of 10</v>
          </cell>
          <cell r="X75" t="str">
            <v>7 of 10</v>
          </cell>
          <cell r="Y75">
            <v>45888</v>
          </cell>
          <cell r="Z75">
            <v>45895</v>
          </cell>
          <cell r="AC75" t="str">
            <v xml:space="preserve"> of </v>
          </cell>
          <cell r="AD75" t="str">
            <v xml:space="preserve"> of </v>
          </cell>
          <cell r="AF75" t="str">
            <v/>
          </cell>
          <cell r="AI75" t="str">
            <v xml:space="preserve"> of </v>
          </cell>
          <cell r="AJ75" t="str">
            <v xml:space="preserve"> of </v>
          </cell>
          <cell r="AL75" t="str">
            <v/>
          </cell>
          <cell r="AM75">
            <v>0.70833333333333337</v>
          </cell>
          <cell r="AN75" t="str">
            <v>Sehati, CV</v>
          </cell>
          <cell r="AO75" t="str">
            <v>cvsehati@ymail.com</v>
          </cell>
          <cell r="AP75" t="str">
            <v>PO25000727R1</v>
          </cell>
          <cell r="AQ75">
            <v>8852000</v>
          </cell>
          <cell r="AR75">
            <v>45902</v>
          </cell>
          <cell r="AS75">
            <v>45916</v>
          </cell>
          <cell r="AT75">
            <v>45925</v>
          </cell>
          <cell r="AU75">
            <v>45968</v>
          </cell>
          <cell r="AV75">
            <v>45926</v>
          </cell>
          <cell r="AW75">
            <v>45969</v>
          </cell>
          <cell r="AX75">
            <v>6.1428571428571432</v>
          </cell>
          <cell r="AZ75" t="str">
            <v/>
          </cell>
          <cell r="BA75" t="str">
            <v/>
          </cell>
          <cell r="BB75" t="str">
            <v>Late Completed</v>
          </cell>
          <cell r="BC75" t="str">
            <v>PR100010596</v>
          </cell>
        </row>
        <row r="76">
          <cell r="B76" t="str">
            <v>PR100010616</v>
          </cell>
          <cell r="C76" t="str">
            <v>Material untuk  DG Cummins  2 x 40 Kva Support  ATS</v>
          </cell>
          <cell r="D76" t="str">
            <v>Berkat Pratama Teknik, CV - Line 1</v>
          </cell>
          <cell r="E76" t="str">
            <v>Berkat Pratama Teknik, CV
Bima Kaltim Utama, PT
Panca Global Solusindo, PT
Perwira Sentra Officindo, PT
Wiratama Sistem Integrasi, PT
Porti Multi Indonesia, PT
Emkaha, PT
Cipta Dua Power Frans Diesel, PT
Aneka Mitra Cipta, PT
Marmin, PT</v>
          </cell>
          <cell r="F76" t="str">
            <v>Panca Global Solusindo, PT
Perwira Sentra Officindo, PT
Emkaha, PT
Aneka Mitra Cipta, PT
Marmin, PT</v>
          </cell>
          <cell r="G76" t="str">
            <v>R0
5 of 10
02 Sep 25</v>
          </cell>
          <cell r="H76" t="str">
            <v>SLAMET</v>
          </cell>
          <cell r="I76">
            <v>45894</v>
          </cell>
          <cell r="J76" t="str">
            <v>Tech Main</v>
          </cell>
          <cell r="K76" t="str">
            <v>B</v>
          </cell>
          <cell r="L76" t="str">
            <v>BID</v>
          </cell>
          <cell r="M76">
            <v>240</v>
          </cell>
          <cell r="N76" t="str">
            <v>RH</v>
          </cell>
          <cell r="O76" t="str">
            <v>robertiagus.haposan@alamtri.com</v>
          </cell>
          <cell r="P76">
            <v>750</v>
          </cell>
          <cell r="Q76">
            <v>12000000</v>
          </cell>
          <cell r="R76" t="str">
            <v>PO Sign Vendor</v>
          </cell>
          <cell r="T76" t="str">
            <v>MSW</v>
          </cell>
          <cell r="U76" t="str">
            <v>Berkat Pratama Teknik, CV
Bima Kaltim Utama, PT
Panca Global Solusindo, PT
Perwira Sentra Officindo, PT
Wiratama Sistem Integrasi, PT
Porti Multi Indonesia, PT
Emkaha, PT
Cipta Dua Power Frans Diesel, PT
Aneka Mitra Cipta, PT
Marmin, PT</v>
          </cell>
          <cell r="V76" t="str">
            <v>Panca Global Solusindo, PT
Perwira Sentra Officindo, PT
Emkaha, PT
Aneka Mitra Cipta, PT
Marmin, PT</v>
          </cell>
          <cell r="W76" t="str">
            <v>10 of 10</v>
          </cell>
          <cell r="X76" t="str">
            <v>5 of 10</v>
          </cell>
          <cell r="Y76">
            <v>45895</v>
          </cell>
          <cell r="Z76">
            <v>45902</v>
          </cell>
          <cell r="AC76" t="str">
            <v xml:space="preserve"> of </v>
          </cell>
          <cell r="AD76" t="str">
            <v xml:space="preserve"> of </v>
          </cell>
          <cell r="AF76" t="str">
            <v/>
          </cell>
          <cell r="AI76" t="str">
            <v xml:space="preserve"> of </v>
          </cell>
          <cell r="AJ76" t="str">
            <v xml:space="preserve"> of </v>
          </cell>
          <cell r="AL76" t="str">
            <v/>
          </cell>
          <cell r="AM76">
            <v>0.70833333333333337</v>
          </cell>
          <cell r="AN76" t="str">
            <v>Panca Global Solusindo, PT</v>
          </cell>
          <cell r="AO76" t="str">
            <v>sales@pancaglobal.com</v>
          </cell>
          <cell r="AP76" t="str">
            <v>PO25000728</v>
          </cell>
          <cell r="AQ76">
            <v>8558000</v>
          </cell>
          <cell r="AR76">
            <v>45909</v>
          </cell>
          <cell r="AS76">
            <v>45916</v>
          </cell>
          <cell r="AT76">
            <v>45922</v>
          </cell>
          <cell r="AU76">
            <v>45982</v>
          </cell>
          <cell r="AV76">
            <v>45924</v>
          </cell>
          <cell r="AW76">
            <v>45984</v>
          </cell>
          <cell r="AX76">
            <v>8.5714285714285712</v>
          </cell>
          <cell r="AZ76" t="str">
            <v/>
          </cell>
          <cell r="BA76" t="str">
            <v/>
          </cell>
          <cell r="BB76" t="str">
            <v>Completed</v>
          </cell>
          <cell r="BC76" t="str">
            <v>PR100010616</v>
          </cell>
        </row>
        <row r="77">
          <cell r="B77" t="str">
            <v>PR100010512 (Line 6)</v>
          </cell>
          <cell r="C77" t="str">
            <v>Material untuk DG 2x40 Kva</v>
          </cell>
          <cell r="D77" t="str">
            <v>Andalan Gaya Bhakti Pratama, PT - Line 6</v>
          </cell>
          <cell r="E77" t="str">
            <v>Bima Kaltim Utama, PT
Blessindo Prima Sarana, PT
Andalan Gaya Bhakti Pratama, PT
Alfa Teknik Mandiri Makmur, PT
Kapuas Kencana Jaya, PT
Bhakti Ratutama Jaya, PT
Cipta Dua Power Frans Diesel, PT
Fadnov Airtech Indonesia, PT
Sentrapart Niaga Utama, PT
Pacific Dwiyasa Putra, PT</v>
          </cell>
          <cell r="F77" t="str">
            <v>Bima Kaltim Utama, PT
Andalan Gaya Bhakti Pratama, PT
Alfa Teknik Mandiri Makmur, PT</v>
          </cell>
          <cell r="G77" t="str">
            <v>R0
3 of 10
11 Aug 25</v>
          </cell>
          <cell r="H77" t="str">
            <v>SLAMET</v>
          </cell>
          <cell r="I77">
            <v>45888</v>
          </cell>
          <cell r="J77" t="str">
            <v>Tech Main</v>
          </cell>
          <cell r="K77" t="str">
            <v>B</v>
          </cell>
          <cell r="L77" t="str">
            <v>BID</v>
          </cell>
          <cell r="M77">
            <v>213</v>
          </cell>
          <cell r="N77" t="str">
            <v>RH</v>
          </cell>
          <cell r="O77" t="str">
            <v>robertiagus.haposan@alamtri.com</v>
          </cell>
          <cell r="P77">
            <v>1378.9708000000001</v>
          </cell>
          <cell r="Q77">
            <v>22063532.800000001</v>
          </cell>
          <cell r="R77" t="str">
            <v>PO Sign Vendor</v>
          </cell>
          <cell r="S77" t="str">
            <v>PO25000680 di CANCEL krn masalah PR nya' dan menunggu PR routing kembali</v>
          </cell>
          <cell r="T77" t="str">
            <v>MSW</v>
          </cell>
          <cell r="U77" t="str">
            <v>Bima Kaltim Utama, PT
Blessindo Prima Sarana, PT
Andalan Gaya Bhakti Pratama, PT
Alfa Teknik Mandiri Makmur, PT
Kapuas Kencana Jaya, PT
Bhakti Ratutama Jaya, PT
Cipta Dua Power Frans Diesel, PT
Fadnov Airtech Indonesia, PT
Sentrapart Niaga Utama, PT
Pacific Dwiyasa Putra, PT</v>
          </cell>
          <cell r="V77" t="str">
            <v>Bima Kaltim Utama, PT
Andalan Gaya Bhakti Pratama, PT
Alfa Teknik Mandiri Makmur, PT</v>
          </cell>
          <cell r="W77" t="str">
            <v>10 of 10</v>
          </cell>
          <cell r="X77" t="str">
            <v>3 of 10</v>
          </cell>
          <cell r="Y77">
            <v>45873</v>
          </cell>
          <cell r="Z77">
            <v>45880</v>
          </cell>
          <cell r="AC77" t="str">
            <v xml:space="preserve"> of </v>
          </cell>
          <cell r="AD77" t="str">
            <v xml:space="preserve"> of </v>
          </cell>
          <cell r="AF77" t="str">
            <v/>
          </cell>
          <cell r="AI77" t="str">
            <v xml:space="preserve"> of </v>
          </cell>
          <cell r="AJ77" t="str">
            <v xml:space="preserve"> of </v>
          </cell>
          <cell r="AL77" t="str">
            <v/>
          </cell>
          <cell r="AM77">
            <v>0.70833333333333337</v>
          </cell>
          <cell r="AN77" t="str">
            <v>Andalan Gaya Bhakti Pratama, PT</v>
          </cell>
          <cell r="AO77" t="str">
            <v>salesinfo@alphagayabhakti.com; salesinfo@andalangroup.id</v>
          </cell>
          <cell r="AP77" t="str">
            <v>PO25000752</v>
          </cell>
          <cell r="AQ77">
            <v>24936936</v>
          </cell>
          <cell r="AR77">
            <v>45888</v>
          </cell>
          <cell r="AS77">
            <v>45892</v>
          </cell>
          <cell r="AT77">
            <v>45925</v>
          </cell>
          <cell r="AU77">
            <v>45940</v>
          </cell>
          <cell r="AV77">
            <v>45931</v>
          </cell>
          <cell r="AW77">
            <v>45946</v>
          </cell>
          <cell r="AX77">
            <v>2.1428571428571428</v>
          </cell>
          <cell r="AZ77" t="str">
            <v/>
          </cell>
          <cell r="BA77" t="str">
            <v/>
          </cell>
          <cell r="BB77" t="str">
            <v>Late Completed</v>
          </cell>
          <cell r="BC77" t="str">
            <v>PR100010512</v>
          </cell>
        </row>
        <row r="78">
          <cell r="B78" t="str">
            <v>PR100010079 (Sept 25)</v>
          </cell>
          <cell r="C78" t="str">
            <v>Sewa Trafo JPI 35MVA   (1 Januari 2025 sd 31 Desember 2025)</v>
          </cell>
          <cell r="D78" t="str">
            <v>Adaro Minerals Indonesia Tbk, PT</v>
          </cell>
          <cell r="E78" t="str">
            <v/>
          </cell>
          <cell r="F78" t="str">
            <v/>
          </cell>
          <cell r="G78" t="str">
            <v/>
          </cell>
          <cell r="H78" t="str">
            <v>GUNARA FERY FAHNANI</v>
          </cell>
          <cell r="I78">
            <v>45701</v>
          </cell>
          <cell r="J78" t="str">
            <v>Tech Main</v>
          </cell>
          <cell r="K78" t="str">
            <v>J</v>
          </cell>
          <cell r="L78" t="str">
            <v>CTR</v>
          </cell>
          <cell r="N78" t="str">
            <v>RH</v>
          </cell>
          <cell r="O78" t="str">
            <v>robertiagus.haposan@alamtri.com</v>
          </cell>
          <cell r="P78">
            <v>4545</v>
          </cell>
          <cell r="Q78">
            <v>72720000</v>
          </cell>
          <cell r="R78" t="str">
            <v>CANCEL</v>
          </cell>
          <cell r="S78" t="str">
            <v>di CANCEL PR karena harus menggunakan PR di D365</v>
          </cell>
          <cell r="T78" t="str">
            <v>MSW</v>
          </cell>
          <cell r="U78" t="str">
            <v>Adaro Minerals Indonesia Tbk, PT</v>
          </cell>
          <cell r="V78" t="str">
            <v>Adaro Minerals Indonesia Tbk, PT</v>
          </cell>
          <cell r="W78" t="str">
            <v>1 of 1</v>
          </cell>
          <cell r="X78" t="str">
            <v>1 of 1</v>
          </cell>
          <cell r="Z78" t="str">
            <v/>
          </cell>
          <cell r="AC78" t="str">
            <v xml:space="preserve"> of </v>
          </cell>
          <cell r="AD78" t="str">
            <v xml:space="preserve"> of </v>
          </cell>
          <cell r="AF78" t="str">
            <v/>
          </cell>
          <cell r="AI78" t="str">
            <v xml:space="preserve"> of </v>
          </cell>
          <cell r="AJ78" t="str">
            <v xml:space="preserve"> of </v>
          </cell>
          <cell r="AM78">
            <v>0.70833333333333337</v>
          </cell>
          <cell r="AN78" t="str">
            <v>Adaro Minerals Indonesia Tbk, PT</v>
          </cell>
          <cell r="AO78" t="str">
            <v/>
          </cell>
          <cell r="AW78" t="str">
            <v/>
          </cell>
          <cell r="AX78" t="str">
            <v/>
          </cell>
          <cell r="AZ78" t="str">
            <v/>
          </cell>
          <cell r="BA78" t="str">
            <v/>
          </cell>
          <cell r="BB78" t="str">
            <v/>
          </cell>
          <cell r="BC78" t="str">
            <v>PR100010079</v>
          </cell>
        </row>
        <row r="79">
          <cell r="B79" t="str">
            <v>PR100010079 (Okt 25)</v>
          </cell>
          <cell r="C79" t="str">
            <v>Sewa Trafo JPI 35MVA   (1 Januari 2025 sd 31 Desember 2025)</v>
          </cell>
          <cell r="D79" t="str">
            <v>Adaro Minerals Indonesia Tbk, PT</v>
          </cell>
          <cell r="E79" t="str">
            <v/>
          </cell>
          <cell r="F79" t="str">
            <v/>
          </cell>
          <cell r="G79" t="str">
            <v/>
          </cell>
          <cell r="H79" t="str">
            <v>GUNARA FERY FAHNANI</v>
          </cell>
          <cell r="I79">
            <v>45701</v>
          </cell>
          <cell r="J79" t="str">
            <v>Tech Main</v>
          </cell>
          <cell r="K79" t="str">
            <v>J</v>
          </cell>
          <cell r="L79" t="str">
            <v>CTR</v>
          </cell>
          <cell r="N79" t="str">
            <v>RH</v>
          </cell>
          <cell r="O79" t="str">
            <v>robertiagus.haposan@alamtri.com</v>
          </cell>
          <cell r="P79">
            <v>4545</v>
          </cell>
          <cell r="Q79">
            <v>72720000</v>
          </cell>
          <cell r="R79" t="str">
            <v>CANCEL</v>
          </cell>
          <cell r="S79" t="str">
            <v>di CANCEL PR karena harus menggunakan PR di D365</v>
          </cell>
          <cell r="T79" t="str">
            <v>MSW</v>
          </cell>
          <cell r="U79" t="str">
            <v>Adaro Minerals Indonesia Tbk, PT</v>
          </cell>
          <cell r="V79" t="str">
            <v>Adaro Minerals Indonesia Tbk, PT</v>
          </cell>
          <cell r="W79" t="str">
            <v>1 of 1</v>
          </cell>
          <cell r="X79" t="str">
            <v>1 of 1</v>
          </cell>
          <cell r="Z79" t="str">
            <v/>
          </cell>
          <cell r="AC79" t="str">
            <v xml:space="preserve"> of </v>
          </cell>
          <cell r="AD79" t="str">
            <v xml:space="preserve"> of </v>
          </cell>
          <cell r="AF79" t="str">
            <v/>
          </cell>
          <cell r="AI79" t="str">
            <v xml:space="preserve"> of </v>
          </cell>
          <cell r="AJ79" t="str">
            <v xml:space="preserve"> of </v>
          </cell>
          <cell r="AM79">
            <v>0.70833333333333337</v>
          </cell>
          <cell r="AN79" t="str">
            <v>Adaro Minerals Indonesia Tbk, PT</v>
          </cell>
          <cell r="AO79" t="str">
            <v/>
          </cell>
          <cell r="AW79" t="str">
            <v/>
          </cell>
          <cell r="AX79" t="str">
            <v/>
          </cell>
          <cell r="AZ79" t="str">
            <v/>
          </cell>
          <cell r="BA79" t="str">
            <v/>
          </cell>
          <cell r="BB79" t="str">
            <v/>
          </cell>
          <cell r="BC79" t="str">
            <v>PR100010079</v>
          </cell>
        </row>
        <row r="80">
          <cell r="B80" t="str">
            <v>PR100010079 (Nov 25)</v>
          </cell>
          <cell r="C80" t="str">
            <v>Sewa Trafo JPI 35MVA   (1 Januari 2025 sd 31 Desember 2025)</v>
          </cell>
          <cell r="D80" t="str">
            <v>Adaro Minerals Indonesia Tbk, PT</v>
          </cell>
          <cell r="E80" t="str">
            <v/>
          </cell>
          <cell r="F80" t="str">
            <v/>
          </cell>
          <cell r="G80" t="str">
            <v/>
          </cell>
          <cell r="H80" t="str">
            <v>GUNARA FERY FAHNANI</v>
          </cell>
          <cell r="I80">
            <v>45701</v>
          </cell>
          <cell r="J80" t="str">
            <v>Tech Main</v>
          </cell>
          <cell r="K80" t="str">
            <v>J</v>
          </cell>
          <cell r="L80" t="str">
            <v>CTR</v>
          </cell>
          <cell r="N80" t="str">
            <v>RH</v>
          </cell>
          <cell r="O80" t="str">
            <v>robertiagus.haposan@alamtri.com</v>
          </cell>
          <cell r="P80">
            <v>4545</v>
          </cell>
          <cell r="Q80">
            <v>72720000</v>
          </cell>
          <cell r="R80" t="str">
            <v>CANCEL</v>
          </cell>
          <cell r="S80" t="str">
            <v>di CANCEL PR karena harus menggunakan PR di D365</v>
          </cell>
          <cell r="T80" t="str">
            <v>MSW</v>
          </cell>
          <cell r="U80" t="str">
            <v>Adaro Minerals Indonesia Tbk, PT</v>
          </cell>
          <cell r="V80" t="str">
            <v>Adaro Minerals Indonesia Tbk, PT</v>
          </cell>
          <cell r="W80" t="str">
            <v>1 of 1</v>
          </cell>
          <cell r="X80" t="str">
            <v>1 of 1</v>
          </cell>
          <cell r="Z80" t="str">
            <v/>
          </cell>
          <cell r="AC80" t="str">
            <v xml:space="preserve"> of </v>
          </cell>
          <cell r="AD80" t="str">
            <v xml:space="preserve"> of </v>
          </cell>
          <cell r="AF80" t="str">
            <v/>
          </cell>
          <cell r="AI80" t="str">
            <v xml:space="preserve"> of </v>
          </cell>
          <cell r="AJ80" t="str">
            <v xml:space="preserve"> of </v>
          </cell>
          <cell r="AM80">
            <v>0.70833333333333337</v>
          </cell>
          <cell r="AN80" t="str">
            <v>Adaro Minerals Indonesia Tbk, PT</v>
          </cell>
          <cell r="AO80" t="str">
            <v/>
          </cell>
          <cell r="AW80" t="str">
            <v/>
          </cell>
          <cell r="AX80" t="str">
            <v/>
          </cell>
          <cell r="AZ80" t="str">
            <v/>
          </cell>
          <cell r="BA80" t="str">
            <v/>
          </cell>
          <cell r="BB80" t="str">
            <v/>
          </cell>
          <cell r="BC80" t="str">
            <v>PR100010079</v>
          </cell>
        </row>
        <row r="81">
          <cell r="B81" t="str">
            <v>PR100010079 (Des 25)</v>
          </cell>
          <cell r="C81" t="str">
            <v>Sewa Trafo JPI 35MVA   (1 Januari 2025 sd 31 Desember 2025)</v>
          </cell>
          <cell r="D81" t="str">
            <v>Adaro Minerals Indonesia Tbk, PT</v>
          </cell>
          <cell r="E81" t="str">
            <v/>
          </cell>
          <cell r="F81" t="str">
            <v/>
          </cell>
          <cell r="G81" t="str">
            <v/>
          </cell>
          <cell r="H81" t="str">
            <v>GUNARA FERY FAHNANI</v>
          </cell>
          <cell r="I81">
            <v>45701</v>
          </cell>
          <cell r="J81" t="str">
            <v>Tech Main</v>
          </cell>
          <cell r="K81" t="str">
            <v>J</v>
          </cell>
          <cell r="L81" t="str">
            <v>CTR</v>
          </cell>
          <cell r="N81" t="str">
            <v>RH</v>
          </cell>
          <cell r="O81" t="str">
            <v>robertiagus.haposan@alamtri.com</v>
          </cell>
          <cell r="P81">
            <v>4545</v>
          </cell>
          <cell r="Q81">
            <v>72720000</v>
          </cell>
          <cell r="R81" t="str">
            <v>CANCEL</v>
          </cell>
          <cell r="S81" t="str">
            <v>di CANCEL PR karena harus menggunakan PR di D365</v>
          </cell>
          <cell r="T81" t="str">
            <v>MSW</v>
          </cell>
          <cell r="U81" t="str">
            <v>Adaro Minerals Indonesia Tbk, PT</v>
          </cell>
          <cell r="V81" t="str">
            <v>Adaro Minerals Indonesia Tbk, PT</v>
          </cell>
          <cell r="W81" t="str">
            <v>1 of 1</v>
          </cell>
          <cell r="X81" t="str">
            <v>1 of 1</v>
          </cell>
          <cell r="Z81" t="str">
            <v/>
          </cell>
          <cell r="AC81" t="str">
            <v xml:space="preserve"> of </v>
          </cell>
          <cell r="AD81" t="str">
            <v xml:space="preserve"> of </v>
          </cell>
          <cell r="AF81" t="str">
            <v/>
          </cell>
          <cell r="AI81" t="str">
            <v xml:space="preserve"> of </v>
          </cell>
          <cell r="AJ81" t="str">
            <v xml:space="preserve"> of </v>
          </cell>
          <cell r="AM81">
            <v>0.70833333333333337</v>
          </cell>
          <cell r="AN81" t="str">
            <v>Adaro Minerals Indonesia Tbk, PT</v>
          </cell>
          <cell r="AO81" t="str">
            <v/>
          </cell>
          <cell r="AW81" t="str">
            <v/>
          </cell>
          <cell r="AX81" t="str">
            <v/>
          </cell>
          <cell r="AZ81" t="str">
            <v/>
          </cell>
          <cell r="BA81" t="str">
            <v/>
          </cell>
          <cell r="BB81" t="str">
            <v/>
          </cell>
          <cell r="BC81" t="str">
            <v>PR100010079</v>
          </cell>
        </row>
        <row r="82">
          <cell r="B82" t="str">
            <v>PR100010384</v>
          </cell>
          <cell r="C82" t="str">
            <v>Jasa Pemantauan, Pengukuran dan Pelaporan Lingkungan Kerja Tahun 2025</v>
          </cell>
          <cell r="D82" t="str">
            <v>Unilab Perdana, PT</v>
          </cell>
          <cell r="E82" t="str">
            <v>Unilab Perdana, PT</v>
          </cell>
          <cell r="F82" t="str">
            <v/>
          </cell>
          <cell r="G82" t="str">
            <v/>
          </cell>
          <cell r="H82" t="str">
            <v>IKHSAN RIFANI</v>
          </cell>
          <cell r="I82">
            <v>45925</v>
          </cell>
          <cell r="J82" t="str">
            <v>HSE</v>
          </cell>
          <cell r="K82" t="str">
            <v>J</v>
          </cell>
          <cell r="L82" t="str">
            <v>CTR</v>
          </cell>
          <cell r="N82" t="str">
            <v>RH</v>
          </cell>
          <cell r="O82" t="str">
            <v>robertiagus.haposan@alamtri.com</v>
          </cell>
          <cell r="P82">
            <v>10612</v>
          </cell>
          <cell r="Q82">
            <v>169792000</v>
          </cell>
          <cell r="R82" t="str">
            <v>PO Sign Vendor</v>
          </cell>
          <cell r="S82" t="str">
            <v>Menunggu feedback dari HSE - done</v>
          </cell>
          <cell r="T82" t="str">
            <v>MSW</v>
          </cell>
          <cell r="U82" t="str">
            <v>Unilab Perdana, PT</v>
          </cell>
          <cell r="V82" t="str">
            <v>Unilab Perdana, PT</v>
          </cell>
          <cell r="W82" t="str">
            <v>1 of 1</v>
          </cell>
          <cell r="X82" t="str">
            <v>1 of 1</v>
          </cell>
          <cell r="Z82" t="str">
            <v/>
          </cell>
          <cell r="AC82" t="str">
            <v xml:space="preserve"> of </v>
          </cell>
          <cell r="AD82" t="str">
            <v xml:space="preserve"> of </v>
          </cell>
          <cell r="AF82" t="str">
            <v/>
          </cell>
          <cell r="AI82" t="str">
            <v xml:space="preserve"> of </v>
          </cell>
          <cell r="AJ82" t="str">
            <v xml:space="preserve"> of </v>
          </cell>
          <cell r="AL82" t="str">
            <v/>
          </cell>
          <cell r="AM82">
            <v>0.70833333333333337</v>
          </cell>
          <cell r="AN82" t="str">
            <v>Unilab Perdana, PT</v>
          </cell>
          <cell r="AO82" t="str">
            <v>imam@unilabperdana.com</v>
          </cell>
          <cell r="AP82" t="str">
            <v>PO25000758</v>
          </cell>
          <cell r="AQ82">
            <v>145700000</v>
          </cell>
          <cell r="AT82">
            <v>45925</v>
          </cell>
          <cell r="AU82">
            <v>45968</v>
          </cell>
          <cell r="AV82">
            <v>45929</v>
          </cell>
          <cell r="AW82">
            <v>45972</v>
          </cell>
          <cell r="AX82">
            <v>6.1428571428571432</v>
          </cell>
          <cell r="AZ82" t="str">
            <v/>
          </cell>
          <cell r="BA82" t="str">
            <v/>
          </cell>
          <cell r="BB82" t="str">
            <v>Completed</v>
          </cell>
          <cell r="BC82" t="str">
            <v>PR100010384</v>
          </cell>
        </row>
        <row r="83">
          <cell r="B83" t="str">
            <v>PR100010533</v>
          </cell>
          <cell r="C83" t="str">
            <v>Rental Genset 55 Kva  satu (1) Unit</v>
          </cell>
          <cell r="E83" t="str">
            <v>Gala Jaya (Banjarmasin), PT
Borneo Power Services, PT
Bima Kaltim Utama, PT</v>
          </cell>
          <cell r="F83" t="str">
            <v>Gala Jaya (Banjarmasin), PT
Borneo Power Services, PT
Bima Kaltim Utama, PT</v>
          </cell>
          <cell r="G83" t="str">
            <v>R2
3 of 3
28 Aug 25</v>
          </cell>
          <cell r="H83" t="str">
            <v>SLAMET</v>
          </cell>
          <cell r="I83">
            <v>45875</v>
          </cell>
          <cell r="J83" t="str">
            <v>Tech Main</v>
          </cell>
          <cell r="K83" t="str">
            <v>B</v>
          </cell>
          <cell r="L83" t="str">
            <v>BID</v>
          </cell>
          <cell r="M83">
            <v>218</v>
          </cell>
          <cell r="N83" t="str">
            <v>RH</v>
          </cell>
          <cell r="O83" t="str">
            <v>robertiagus.haposan@alamtri.com</v>
          </cell>
          <cell r="P83">
            <v>1790</v>
          </cell>
          <cell r="Q83">
            <v>28640000</v>
          </cell>
          <cell r="R83" t="str">
            <v>Completed Contract</v>
          </cell>
          <cell r="S83" t="str">
            <v>Surat penunjukan dari BKU - Completed</v>
          </cell>
          <cell r="T83" t="str">
            <v>MSW</v>
          </cell>
          <cell r="U83" t="str">
            <v>Bima Kaltim Utama, PT
Cipta Dua Power Frans Diesel, PT
Gala Jaya (Banjarmasin), PT
Fadnov Airtech Indonesia, PT
Borneo Power Services, PT
Ricon Jaya Power, PT</v>
          </cell>
          <cell r="V83" t="str">
            <v>Gala Jaya (Banjarmasin), PT</v>
          </cell>
          <cell r="W83" t="str">
            <v>6 of 6</v>
          </cell>
          <cell r="X83" t="str">
            <v>1 of 6</v>
          </cell>
          <cell r="Y83">
            <v>45880</v>
          </cell>
          <cell r="Z83">
            <v>45884</v>
          </cell>
          <cell r="AA83" t="str">
            <v>Gala Jaya (Banjarmasin), PT
Borneo Power Services, PT
Bima Kaltim Utama, PT
Altrak 1978</v>
          </cell>
          <cell r="AB83" t="str">
            <v>Gala Jaya (Banjarmasin), PT
Borneo Power Services, PT</v>
          </cell>
          <cell r="AC83" t="str">
            <v>4 of 4</v>
          </cell>
          <cell r="AD83" t="str">
            <v>2 of 4</v>
          </cell>
          <cell r="AE83">
            <v>45888</v>
          </cell>
          <cell r="AF83">
            <v>45895</v>
          </cell>
          <cell r="AG83" t="str">
            <v>Gala Jaya (Banjarmasin), PT
Borneo Power Services, PT
Bima Kaltim Utama, PT</v>
          </cell>
          <cell r="AH83" t="str">
            <v>Gala Jaya (Banjarmasin), PT
Borneo Power Services, PT
Bima Kaltim Utama, PT</v>
          </cell>
          <cell r="AI83" t="str">
            <v>3 of 3</v>
          </cell>
          <cell r="AJ83" t="str">
            <v>3 of 3</v>
          </cell>
          <cell r="AK83">
            <v>45896</v>
          </cell>
          <cell r="AL83">
            <v>45897</v>
          </cell>
          <cell r="AM83">
            <v>0.70833333333333337</v>
          </cell>
          <cell r="AN83" t="str">
            <v>Bima Kaltim Utama, PT</v>
          </cell>
          <cell r="AO83" t="str">
            <v>rera.bimakaltim@yahoo.com; albert.bimautama@yahoo.com; rya_bimakaltim@yahoo.com</v>
          </cell>
          <cell r="AQ83">
            <v>540000000</v>
          </cell>
          <cell r="AR83">
            <v>45901</v>
          </cell>
          <cell r="AS83">
            <v>45909</v>
          </cell>
          <cell r="AT83">
            <v>45930</v>
          </cell>
          <cell r="AU83">
            <v>45931</v>
          </cell>
          <cell r="AW83" t="str">
            <v/>
          </cell>
          <cell r="AX83" t="str">
            <v/>
          </cell>
          <cell r="AZ83" t="str">
            <v/>
          </cell>
          <cell r="BA83" t="str">
            <v/>
          </cell>
          <cell r="BB83" t="str">
            <v>Late Completed</v>
          </cell>
          <cell r="BC83" t="str">
            <v>PR100010533</v>
          </cell>
        </row>
        <row r="84">
          <cell r="B84" t="str">
            <v>PR100010172</v>
          </cell>
          <cell r="C84" t="str">
            <v>Rental Genset 40 Kva  dua (2) Unit untuk support  Laboratorium AI Balangan  ( Kontrak 2 tahun)</v>
          </cell>
          <cell r="E84" t="str">
            <v>Bima Kaltim Utama, PT
Cipta Dua Power Frans Diesel, PT
Gala Jaya (Banjarmasin), PT
Fadnov Airtech Indonesia, PT
Borneo Power Services, PT
Botindo, CV
Perkasa Triputra Utama, PT 
Ricon Jaya Power, PT
Prosbero Putra Borneo, PT
Sukses Mandiri</v>
          </cell>
          <cell r="F84" t="str">
            <v>Bima Kaltim Utama, PT
Cipta Dua Power Frans Diesel, PT
Gala Jaya (Banjarmasin), PT
Fadnov Airtech Indonesia, PT
Borneo Power Services, PT</v>
          </cell>
          <cell r="G84" t="str">
            <v>R0
5 of 10
21 Mar 25</v>
          </cell>
          <cell r="H84" t="str">
            <v>SLAMET</v>
          </cell>
          <cell r="I84">
            <v>45735</v>
          </cell>
          <cell r="J84" t="str">
            <v>Tech Main</v>
          </cell>
          <cell r="K84" t="str">
            <v>B</v>
          </cell>
          <cell r="L84" t="str">
            <v>BID</v>
          </cell>
          <cell r="M84" t="str">
            <v>0104</v>
          </cell>
          <cell r="N84" t="str">
            <v>RH</v>
          </cell>
          <cell r="O84" t="str">
            <v>robertiagus.haposan@alamtri.com</v>
          </cell>
          <cell r="P84">
            <v>41592</v>
          </cell>
          <cell r="Q84">
            <v>665472000</v>
          </cell>
          <cell r="R84" t="str">
            <v>Complete Contract and Cancel PR</v>
          </cell>
          <cell r="S84" t="str">
            <v>Surat penunjukan dari BKU - Completed</v>
          </cell>
          <cell r="T84" t="str">
            <v>MSW</v>
          </cell>
          <cell r="U84" t="str">
            <v>Bima Kaltim Utama, PT
Cipta Dua Power Frans Diesel, PT
Gala Jaya (Banjarmasin), PT
Fadnov Airtech Indonesia, PT
Borneo Power Services, PT
Botindo, CV
Perkasa Triputra Utama, PT 
Ricon Jaya Power, PT
Prosbero Putra Borneo, PT
Sukses Mandiri</v>
          </cell>
          <cell r="V84" t="str">
            <v>Bima Kaltim Utama, PT
Cipta Dua Power Frans Diesel, PT
Gala Jaya (Banjarmasin), PT
Fadnov Airtech Indonesia, PT
Borneo Power Services, PT</v>
          </cell>
          <cell r="W84" t="str">
            <v>10 of 10</v>
          </cell>
          <cell r="X84" t="str">
            <v>5 of 10</v>
          </cell>
          <cell r="Y84">
            <v>45730</v>
          </cell>
          <cell r="Z84">
            <v>45737</v>
          </cell>
          <cell r="AC84" t="str">
            <v xml:space="preserve"> of </v>
          </cell>
          <cell r="AD84" t="str">
            <v xml:space="preserve"> of </v>
          </cell>
          <cell r="AF84" t="str">
            <v/>
          </cell>
          <cell r="AI84" t="str">
            <v xml:space="preserve"> of </v>
          </cell>
          <cell r="AJ84" t="str">
            <v xml:space="preserve"> of </v>
          </cell>
          <cell r="AL84" t="str">
            <v/>
          </cell>
          <cell r="AM84">
            <v>0.70833333333333337</v>
          </cell>
          <cell r="AN84" t="str">
            <v>Bima Kaltim Utama, PT</v>
          </cell>
          <cell r="AO84" t="str">
            <v>rera.bimakaltim@yahoo.com; albert.bimautama@yahoo.com; rya_bimakaltim@yahoo.com</v>
          </cell>
          <cell r="AQ84">
            <v>720000000</v>
          </cell>
          <cell r="AR84">
            <v>45741</v>
          </cell>
          <cell r="AS84">
            <v>45819</v>
          </cell>
          <cell r="AT84">
            <v>45833</v>
          </cell>
          <cell r="AU84">
            <v>45840</v>
          </cell>
          <cell r="AV84">
            <v>45930</v>
          </cell>
          <cell r="AW84">
            <v>45937</v>
          </cell>
          <cell r="AX84">
            <v>1</v>
          </cell>
          <cell r="AZ84" t="str">
            <v/>
          </cell>
          <cell r="BA84" t="str">
            <v/>
          </cell>
          <cell r="BB84" t="str">
            <v>Late Completed</v>
          </cell>
          <cell r="BC84" t="str">
            <v>PR100010172</v>
          </cell>
        </row>
        <row r="85">
          <cell r="B85" t="str">
            <v>PR100010232</v>
          </cell>
          <cell r="C85" t="str">
            <v>Pengadaan Pengelolaan dan Pengangkutan Limbah Bahan Berbahaya dan Beracun</v>
          </cell>
          <cell r="E85" t="str">
            <v>Prasadha Pamunah Limbah Industri, PT
Dowa Eco System Indonesia, PT
Wahana Pamunah Limbah Industri, PT
Mufid Inti Global, PT
Triata Mulia Indonesia, PT
Wastec International, PT
Jasa Medivest, PT
Multi Hanna Kresindo, PT
Alekto Green Indonesia, PT
Sinar Bintang Albar, PT
Banjar Permata Dua, PT</v>
          </cell>
          <cell r="F85" t="str">
            <v>Prasadha Pamunah Limbah Industri, PT
Wastec International, PT</v>
          </cell>
          <cell r="G85" t="str">
            <v>R0
2 of 11
17 Apr 25</v>
          </cell>
          <cell r="H85" t="str">
            <v>ADITIYA KUSUMA WARDANA</v>
          </cell>
          <cell r="I85">
            <v>45742</v>
          </cell>
          <cell r="J85" t="str">
            <v>HSE</v>
          </cell>
          <cell r="K85" t="str">
            <v>J</v>
          </cell>
          <cell r="L85" t="str">
            <v>BID</v>
          </cell>
          <cell r="M85" t="str">
            <v>0108</v>
          </cell>
          <cell r="N85" t="str">
            <v>RH</v>
          </cell>
          <cell r="O85" t="str">
            <v>robertiagus.haposan@alamtri.com</v>
          </cell>
          <cell r="P85">
            <v>7419</v>
          </cell>
          <cell r="Q85">
            <v>118704000</v>
          </cell>
          <cell r="R85" t="str">
            <v>Completed Contract</v>
          </cell>
          <cell r="S85" t="str">
            <v>AGLS ATRI</v>
          </cell>
          <cell r="T85" t="str">
            <v>MSW</v>
          </cell>
          <cell r="U85" t="str">
            <v>Prasadha Pamunah Limbah Industri, PT
Dowa Eco System Indonesia, PT
Wahana Pamunah Limbah Industri, PT
Mufid Inti Global, PT
Triata Mulia Indonesia, PT
Wastec International, PT
Jasa Medivest, PT
Multi Hanna Kresindo, PT
Alekto Green Indonesia, PT
Sinar Bintang Albar, PT
Banjar Permata Dua, PT</v>
          </cell>
          <cell r="V85" t="str">
            <v>Prasadha Pamunah Limbah Industri, PT
Wastec International, PT</v>
          </cell>
          <cell r="W85" t="str">
            <v>11 of 11</v>
          </cell>
          <cell r="X85" t="str">
            <v>2 of 11</v>
          </cell>
          <cell r="Y85">
            <v>45755</v>
          </cell>
          <cell r="Z85">
            <v>45764</v>
          </cell>
          <cell r="AC85" t="str">
            <v xml:space="preserve"> of </v>
          </cell>
          <cell r="AD85" t="str">
            <v xml:space="preserve"> of </v>
          </cell>
          <cell r="AF85" t="str">
            <v/>
          </cell>
          <cell r="AI85" t="str">
            <v xml:space="preserve"> of </v>
          </cell>
          <cell r="AJ85" t="str">
            <v xml:space="preserve"> of </v>
          </cell>
          <cell r="AL85" t="str">
            <v/>
          </cell>
          <cell r="AM85">
            <v>0.70833333333333337</v>
          </cell>
          <cell r="AN85" t="str">
            <v>Prasadha Pamunah Limbah Industri, PT</v>
          </cell>
          <cell r="AO85" t="str">
            <v>customerservice@ppli.co.id; sales@ppli.co.id; rani.rosalia@ppli.co.id; febri.prayitno@ppli.co.id</v>
          </cell>
          <cell r="AR85">
            <v>45775</v>
          </cell>
          <cell r="AS85">
            <v>45792</v>
          </cell>
          <cell r="AW85" t="str">
            <v/>
          </cell>
          <cell r="AX85" t="str">
            <v/>
          </cell>
          <cell r="AZ85" t="str">
            <v/>
          </cell>
          <cell r="BA85" t="str">
            <v/>
          </cell>
          <cell r="BB85" t="str">
            <v/>
          </cell>
          <cell r="BC85" t="str">
            <v>PR100010232</v>
          </cell>
        </row>
        <row r="86">
          <cell r="B86" t="str">
            <v>PR100010539 (Line 1-2)</v>
          </cell>
          <cell r="C86" t="str">
            <v>Material untuk kebutuhan Part V-Belt</v>
          </cell>
          <cell r="D86" t="str">
            <v>Bima Kaltim Utama, PT - Line 1</v>
          </cell>
          <cell r="E86" t="str">
            <v>Bima Kaltim Utama, PT
Sentrapart Niaga Utama, PT
Blessindo Prima Sarana, PT
Perwira Sentra Officindo, PT
Ranadityo Sukses Makmur, PT
Sarana Prima Lestari, CV
Sola Anugerah Oilfield, PT</v>
          </cell>
          <cell r="F86" t="str">
            <v>Bima Kaltim Utama, PT
Blessindo Prima Sarana, PT
Perwira Sentra Officindo, PT
Ranadityo Sukses Makmur, PT
Sarana Prima Lestari, CV
Sola Anugerah Oilfield, PT</v>
          </cell>
          <cell r="G86" t="str">
            <v>R0
6 of 7
25 Aug 25</v>
          </cell>
          <cell r="H86" t="str">
            <v>SLAMET</v>
          </cell>
          <cell r="I86">
            <v>45875</v>
          </cell>
          <cell r="J86" t="str">
            <v>Tech Main</v>
          </cell>
          <cell r="K86" t="str">
            <v>B</v>
          </cell>
          <cell r="L86" t="str">
            <v>BID</v>
          </cell>
          <cell r="M86">
            <v>235</v>
          </cell>
          <cell r="N86" t="str">
            <v>RH</v>
          </cell>
          <cell r="O86" t="str">
            <v>robertiagus.haposan@alamtri.com</v>
          </cell>
          <cell r="P86">
            <v>380</v>
          </cell>
          <cell r="Q86">
            <v>6080000</v>
          </cell>
          <cell r="R86" t="str">
            <v>Completed Sign PO</v>
          </cell>
          <cell r="S86" t="str">
            <v>menunggu konfirmasi perihal 2 bulan del. Date</v>
          </cell>
          <cell r="T86" t="str">
            <v>MSW</v>
          </cell>
          <cell r="U86" t="str">
            <v>Bima Kaltim Utama, PT
Sentrapart Niaga Utama, PT
Blessindo Prima Sarana, PT
Perwira Sentra Officindo, PT
Ranadityo Sukses Makmur, PT
Sarana Prima Lestari, CV
Sola Anugerah Oilfield, PT</v>
          </cell>
          <cell r="V86" t="str">
            <v>Bima Kaltim Utama, PT
Blessindo Prima Sarana, PT
Perwira Sentra Officindo, PT
Ranadityo Sukses Makmur, PT
Sarana Prima Lestari, CV
Sola Anugerah Oilfield, PT</v>
          </cell>
          <cell r="W86" t="str">
            <v>7 of 7</v>
          </cell>
          <cell r="X86" t="str">
            <v>6 of 7</v>
          </cell>
          <cell r="Y86">
            <v>45887</v>
          </cell>
          <cell r="Z86">
            <v>45894</v>
          </cell>
          <cell r="AC86" t="str">
            <v xml:space="preserve"> of </v>
          </cell>
          <cell r="AD86" t="str">
            <v xml:space="preserve"> of </v>
          </cell>
          <cell r="AF86" t="str">
            <v/>
          </cell>
          <cell r="AI86" t="str">
            <v xml:space="preserve"> of </v>
          </cell>
          <cell r="AJ86" t="str">
            <v xml:space="preserve"> of </v>
          </cell>
          <cell r="AL86" t="str">
            <v/>
          </cell>
          <cell r="AM86">
            <v>0.70833333333333337</v>
          </cell>
          <cell r="AN86" t="str">
            <v>Ranadityo Sukses Makmur, PT</v>
          </cell>
          <cell r="AO86" t="str">
            <v>sales@ranadityo.co.id; ranadityo_suksesmakmur@yahoo.com</v>
          </cell>
          <cell r="AP86" t="str">
            <v>PO25000729</v>
          </cell>
          <cell r="AQ86">
            <v>3493000</v>
          </cell>
          <cell r="AR86">
            <v>45902</v>
          </cell>
          <cell r="AS86">
            <v>45916</v>
          </cell>
          <cell r="AT86">
            <v>45919</v>
          </cell>
          <cell r="AU86">
            <v>45940</v>
          </cell>
          <cell r="AV86">
            <v>45926</v>
          </cell>
          <cell r="AW86">
            <v>45947</v>
          </cell>
          <cell r="AX86">
            <v>3</v>
          </cell>
          <cell r="AZ86" t="str">
            <v/>
          </cell>
          <cell r="BA86" t="str">
            <v/>
          </cell>
          <cell r="BB86" t="str">
            <v>Late Completed</v>
          </cell>
          <cell r="BC86" t="str">
            <v>PR100010539</v>
          </cell>
        </row>
        <row r="87">
          <cell r="B87" t="str">
            <v>PR100010512 (Line 7)</v>
          </cell>
          <cell r="C87" t="str">
            <v>Material untuk DG 2x40 Kva</v>
          </cell>
          <cell r="D87" t="str">
            <v>Andalan Gaya Bhakti Pratama, PT - Line 6</v>
          </cell>
          <cell r="E87" t="str">
            <v>Bima Kaltim Utama, PT
Eonchemicals Putra, PT
Velasco Indonesia Persada, PT
Penta Daya Sarana, PT
Perwira Sentra Officindo, PT
Alfa Teknik Mandiri Makmur, PT
Sola Anugerah Oilfield, PT
Pacific Tractor Indonesia, PT
Catur Inti Chemical, PT
Strivechem Indonesia, PT</v>
          </cell>
          <cell r="F87" t="str">
            <v>Bima Kaltim Utama, PT
Eonchemicals Putra, PT
Perwira Sentra Officindo, PT</v>
          </cell>
          <cell r="G87" t="str">
            <v>R1
3 of 10
16 Sep 25</v>
          </cell>
          <cell r="H87" t="str">
            <v>SLAMET</v>
          </cell>
          <cell r="I87">
            <v>45888</v>
          </cell>
          <cell r="J87" t="str">
            <v>Tech Main</v>
          </cell>
          <cell r="K87" t="str">
            <v>B</v>
          </cell>
          <cell r="L87" t="str">
            <v>BID</v>
          </cell>
          <cell r="M87">
            <v>213</v>
          </cell>
          <cell r="N87" t="str">
            <v>RH</v>
          </cell>
          <cell r="O87" t="str">
            <v>robertiagus.haposan@alamtri.com</v>
          </cell>
          <cell r="P87">
            <v>1378.9708000000001</v>
          </cell>
          <cell r="Q87">
            <v>22063532.800000001</v>
          </cell>
          <cell r="R87" t="str">
            <v>Completed Sign PO</v>
          </cell>
          <cell r="T87" t="str">
            <v>MSW</v>
          </cell>
          <cell r="U87" t="str">
            <v>Bima Kaltim Utama, PT
Blessindo Prima Sarana, PT
Andalan Gaya Bhakti Pratama, PT
Alfa Teknik Mandiri Makmur, PT
Kapuas Kencana Jaya, PT
Bhakti Ratutama Jaya, PT
Cipta Dua Power Frans Diesel, PT
Fadnov Airtech Indonesia, PT
Sentrapart Niaga Utama, PT
Pacific Dwiyasa Putra, PT</v>
          </cell>
          <cell r="V87" t="str">
            <v>Bima Kaltim Utama, PT
Andalan Gaya Bhakti Pratama, PT
Alfa Teknik Mandiri Makmur, PT</v>
          </cell>
          <cell r="W87" t="str">
            <v>10 of 10</v>
          </cell>
          <cell r="X87" t="str">
            <v>3 of 10</v>
          </cell>
          <cell r="Y87">
            <v>45873</v>
          </cell>
          <cell r="Z87">
            <v>45880</v>
          </cell>
          <cell r="AA87" t="str">
            <v>Bima Kaltim Utama, PT
Eonchemicals Putra, PT
Velasco Indonesia Persada, PT
Penta Daya Sarana, PT
Perwira Sentra Officindo, PT
Alfa Teknik Mandiri Makmur, PT
Sola Anugerah Oilfield, PT
Pacific Tractor Indonesia, PT
Catur Inti Chemical, PT
Strivechem Indonesia, PT</v>
          </cell>
          <cell r="AB87" t="str">
            <v>Bima Kaltim Utama, PT
Eonchemicals Putra, PT
Perwira Sentra Officindo, PT</v>
          </cell>
          <cell r="AC87" t="str">
            <v>10 of 10</v>
          </cell>
          <cell r="AD87" t="str">
            <v>3 of 10</v>
          </cell>
          <cell r="AE87">
            <v>45909</v>
          </cell>
          <cell r="AF87">
            <v>45916</v>
          </cell>
          <cell r="AI87" t="str">
            <v xml:space="preserve"> of </v>
          </cell>
          <cell r="AJ87" t="str">
            <v xml:space="preserve"> of </v>
          </cell>
          <cell r="AL87" t="str">
            <v/>
          </cell>
          <cell r="AM87">
            <v>0.70833333333333337</v>
          </cell>
          <cell r="AN87" t="str">
            <v>Bima Kaltim Utama, PT</v>
          </cell>
          <cell r="AO87" t="str">
            <v>rera.bimakaltim@yahoo.com; albert.bimautama@yahoo.com; rya_bimakaltim@yahoo.com</v>
          </cell>
          <cell r="AP87" t="str">
            <v>PO25000795</v>
          </cell>
          <cell r="AQ87">
            <v>4000000</v>
          </cell>
          <cell r="AR87">
            <v>45919</v>
          </cell>
          <cell r="AS87">
            <v>45933</v>
          </cell>
          <cell r="AT87">
            <v>45940</v>
          </cell>
          <cell r="AU87">
            <v>45954</v>
          </cell>
          <cell r="AV87">
            <v>45943</v>
          </cell>
          <cell r="AW87">
            <v>45957</v>
          </cell>
          <cell r="AX87">
            <v>2</v>
          </cell>
          <cell r="AZ87" t="str">
            <v/>
          </cell>
          <cell r="BA87" t="str">
            <v/>
          </cell>
          <cell r="BB87" t="str">
            <v>Late Completed</v>
          </cell>
          <cell r="BC87" t="str">
            <v>PR100010512</v>
          </cell>
        </row>
        <row r="88">
          <cell r="B88" t="str">
            <v>PR100010649</v>
          </cell>
          <cell r="C88" t="str">
            <v>Lubrication (oli) untuk All DG IBT CAT 3516</v>
          </cell>
          <cell r="D88" t="str">
            <v>Arthapusaka Mitra Sakti, PT</v>
          </cell>
          <cell r="E88" t="str">
            <v>Arthapusaka Mitra Sakti, PT
Otto Sukses Jaya Perkasa, PT
Bima Kaltim Utama, PT
Alfa Teknik Mandiri Makmur, PT
Anugrah Mandiri Putra Tabalong, PT
Monotaro Indonesia, PT</v>
          </cell>
          <cell r="F88" t="str">
            <v>Arthapusaka Mitra Sakti, PT
Monotaro Indonesia, PT</v>
          </cell>
          <cell r="G88" t="str">
            <v>R0
2 of 6
11 Sep 25</v>
          </cell>
          <cell r="H88" t="str">
            <v>SLAMET</v>
          </cell>
          <cell r="I88">
            <v>45902</v>
          </cell>
          <cell r="J88" t="str">
            <v>Tech Main</v>
          </cell>
          <cell r="K88" t="str">
            <v>B</v>
          </cell>
          <cell r="L88" t="str">
            <v>BID</v>
          </cell>
          <cell r="M88">
            <v>248</v>
          </cell>
          <cell r="N88" t="str">
            <v>RH</v>
          </cell>
          <cell r="O88" t="str">
            <v>robertiagus.haposan@alamtri.com</v>
          </cell>
          <cell r="P88">
            <v>9747.2000000000007</v>
          </cell>
          <cell r="Q88">
            <v>155955200</v>
          </cell>
          <cell r="R88" t="str">
            <v>Completed Sign PO</v>
          </cell>
          <cell r="T88" t="str">
            <v>MSW</v>
          </cell>
          <cell r="U88" t="str">
            <v>Arthapusaka Mitra Sakti, PT
Otto Sukses Jaya Perkasa, PT
Bima Kaltim Utama, PT
Alfa Teknik Mandiri Makmur, PT
Anugrah Mandiri Putra Tabalong, PT
Monotaro Indonesia, PT</v>
          </cell>
          <cell r="V88" t="str">
            <v>Arthapusaka Mitra Sakti, PT
Monotaro Indonesia, PT</v>
          </cell>
          <cell r="W88" t="str">
            <v>6 of 6</v>
          </cell>
          <cell r="X88" t="str">
            <v>2 of 6</v>
          </cell>
          <cell r="Y88">
            <v>45904</v>
          </cell>
          <cell r="Z88">
            <v>45911</v>
          </cell>
          <cell r="AC88" t="str">
            <v xml:space="preserve"> of </v>
          </cell>
          <cell r="AD88" t="str">
            <v xml:space="preserve"> of </v>
          </cell>
          <cell r="AF88" t="str">
            <v/>
          </cell>
          <cell r="AI88" t="str">
            <v xml:space="preserve"> of </v>
          </cell>
          <cell r="AJ88" t="str">
            <v xml:space="preserve"> of </v>
          </cell>
          <cell r="AL88" t="str">
            <v/>
          </cell>
          <cell r="AM88">
            <v>0.70833333333333337</v>
          </cell>
          <cell r="AN88" t="str">
            <v>Arthapusaka Mitra Sakti, PT</v>
          </cell>
          <cell r="AO88" t="str">
            <v>putu@ptapms.com; acc.bjm@ptapms.com</v>
          </cell>
          <cell r="AP88" t="str">
            <v>PO25000789</v>
          </cell>
          <cell r="AQ88">
            <v>140000000</v>
          </cell>
          <cell r="AR88">
            <v>45919</v>
          </cell>
          <cell r="AS88">
            <v>45933</v>
          </cell>
          <cell r="AT88">
            <v>45939</v>
          </cell>
          <cell r="AU88">
            <v>45950</v>
          </cell>
          <cell r="AV88">
            <v>45939</v>
          </cell>
          <cell r="AW88">
            <v>45950</v>
          </cell>
          <cell r="AX88">
            <v>1.5714285714285714</v>
          </cell>
          <cell r="AZ88" t="str">
            <v/>
          </cell>
          <cell r="BA88" t="str">
            <v/>
          </cell>
          <cell r="BB88" t="str">
            <v>Late Completed</v>
          </cell>
          <cell r="BC88" t="str">
            <v>PR100010649</v>
          </cell>
        </row>
        <row r="89">
          <cell r="B89" t="str">
            <v>PR100010665 (Line 1)</v>
          </cell>
          <cell r="C89" t="str">
            <v>Pembelian Material Lubrication All Genset support AI</v>
          </cell>
          <cell r="D89" t="str">
            <v>Andalan Gaya Bhakti Pratama, PT - Line 2
Bima Kaltim Utama, PT - Line 1</v>
          </cell>
          <cell r="E89" t="str">
            <v>Bima Kaltim Utama, PT
Dunia Saftindo, PT
Vhipa Mulia Pratama, PT
Andalan Gaya Bhakti Pratama, PT
Indo Jaya Perkasa Lubricant, PT
Kapuas Kencana Jaya, PT
Perwira Sentra Officindo, PT
Alpha Gaya Bhakti Pertiwi, PT
Wahana Safety Indonesia, PT
Berkat Keselamatan Dunia, PT
Anugrah Mandiri Putra Tabalong, PT
Perwira Sentra Officindo, PT
Cahaya Mitra Saftindo, PT</v>
          </cell>
          <cell r="F89" t="str">
            <v>Bima Kaltim Utama, PT
Dunia Saftindo, PT
Andalan Gaya Bhakti Pratama, PT
Perwira Sentra Officindo, PT
Wahana Safety Indonesia, PT
Berkat Keselamatan Dunia, PT
Anugrah Mandiri Putra Tabalong, PT</v>
          </cell>
          <cell r="G89" t="str">
            <v>R0
7 of 13
17 Sep 25</v>
          </cell>
          <cell r="H89" t="str">
            <v>SLAMET</v>
          </cell>
          <cell r="I89">
            <v>45902</v>
          </cell>
          <cell r="J89" t="str">
            <v>Tech Main</v>
          </cell>
          <cell r="K89" t="str">
            <v>B</v>
          </cell>
          <cell r="L89" t="str">
            <v>BID</v>
          </cell>
          <cell r="M89">
            <v>251</v>
          </cell>
          <cell r="N89" t="str">
            <v>RH</v>
          </cell>
          <cell r="O89" t="str">
            <v>robertiagus.haposan@alamtri.com</v>
          </cell>
          <cell r="P89">
            <v>11.025</v>
          </cell>
          <cell r="Q89">
            <v>176400</v>
          </cell>
          <cell r="R89" t="str">
            <v>Completed Sign PO</v>
          </cell>
          <cell r="T89" t="str">
            <v>MSW</v>
          </cell>
          <cell r="U89" t="str">
            <v>Bima Kaltim Utama, PT
Dunia Saftindo, PT
Vhipa Mulia Pratama, PT
Andalan Gaya Bhakti Pratama, PT
Indo Jaya Perkasa Lubricant, PT
Kapuas Kencana Jaya, PT
Perwira Sentra Officindo, PT
Alpha Gaya Bhakti Pertiwi, PT
Wahana Safety Indonesia, PT
Berkat Keselamatan Dunia, PT
Anugrah Mandiri Putra Tabalong, PT
Perwira Sentra Officindo, PT
Cahaya Mitra Saftindo, PT</v>
          </cell>
          <cell r="V89" t="str">
            <v>Bima Kaltim Utama, PT
Dunia Saftindo, PT
Andalan Gaya Bhakti Pratama, PT
Perwira Sentra Officindo, PT
Wahana Safety Indonesia, PT
Berkat Keselamatan Dunia, PT
Anugrah Mandiri Putra Tabalong, PT</v>
          </cell>
          <cell r="W89" t="str">
            <v>13 of 13</v>
          </cell>
          <cell r="X89" t="str">
            <v>7 of 13</v>
          </cell>
          <cell r="Y89">
            <v>45910</v>
          </cell>
          <cell r="Z89">
            <v>45917</v>
          </cell>
          <cell r="AC89" t="str">
            <v xml:space="preserve"> of </v>
          </cell>
          <cell r="AD89" t="str">
            <v xml:space="preserve"> of </v>
          </cell>
          <cell r="AF89" t="str">
            <v/>
          </cell>
          <cell r="AI89" t="str">
            <v xml:space="preserve"> of </v>
          </cell>
          <cell r="AJ89" t="str">
            <v xml:space="preserve"> of </v>
          </cell>
          <cell r="AL89" t="str">
            <v/>
          </cell>
          <cell r="AM89">
            <v>0.70833333333333337</v>
          </cell>
          <cell r="AN89" t="str">
            <v>Andalan Gaya Bhakti Pratama, PT</v>
          </cell>
          <cell r="AO89" t="str">
            <v>salesinfo@alphagayabhakti.com; salesinfo@andalangroup.id</v>
          </cell>
          <cell r="AP89" t="str">
            <v>PO25000782</v>
          </cell>
          <cell r="AQ89">
            <v>37405405</v>
          </cell>
          <cell r="AR89">
            <v>45919</v>
          </cell>
          <cell r="AS89">
            <v>45939</v>
          </cell>
          <cell r="AT89">
            <v>45939</v>
          </cell>
          <cell r="AU89">
            <v>45961</v>
          </cell>
          <cell r="AV89">
            <v>45939</v>
          </cell>
          <cell r="AW89">
            <v>45961</v>
          </cell>
          <cell r="AX89">
            <v>3.1428571428571428</v>
          </cell>
          <cell r="AZ89" t="str">
            <v/>
          </cell>
          <cell r="BA89" t="str">
            <v/>
          </cell>
          <cell r="BB89" t="str">
            <v>Late Completed</v>
          </cell>
          <cell r="BC89" t="str">
            <v>PR100010665</v>
          </cell>
        </row>
        <row r="90">
          <cell r="B90" t="str">
            <v>PR100010623</v>
          </cell>
          <cell r="C90" t="str">
            <v>Digitalisasi Trafo CSS</v>
          </cell>
          <cell r="D90" t="str">
            <v>Perwira Sentra Officindo, PT</v>
          </cell>
          <cell r="E90" t="str">
            <v>Perwira Sentra Officindo, PT
Antares Jaya Gemilang Prima, PT
Greentek Elektrikal Indonesia, PT
Duzazys Prima Enjeniring, PT
Borneo Maju Jaya, PT
Gevana, PT
Anugrah Mandiri Putra Tabalong, PT
Alfa Teknik Mandiri Makmur, PT
Axel Jaya Cakraniaga, PT
Dayaniaga Ekaselaras, PT</v>
          </cell>
          <cell r="F90" t="str">
            <v>Perwira Sentra Officindo, PT
Antares Jaya Gemilang Prima, PT
Greentek Elektrikal Indonesia, PT
Borneo Maju Jaya, PT
Gevana, PT
Alfa Teknik Mandiri Makmur, PT
Axel Jaya Cakraniaga, PT
Dayaniaga Ekaselaras, PT</v>
          </cell>
          <cell r="G90" t="str">
            <v>R0
8 of 10
16 Sep 25</v>
          </cell>
          <cell r="H90" t="str">
            <v>IFIT PRABOWO</v>
          </cell>
          <cell r="I90">
            <v>45894</v>
          </cell>
          <cell r="J90" t="str">
            <v>Tech Main</v>
          </cell>
          <cell r="K90" t="str">
            <v>B</v>
          </cell>
          <cell r="L90" t="str">
            <v>BID</v>
          </cell>
          <cell r="M90">
            <v>250</v>
          </cell>
          <cell r="N90" t="str">
            <v>RH</v>
          </cell>
          <cell r="O90" t="str">
            <v>robertiagus.haposan@alamtri.com</v>
          </cell>
          <cell r="P90">
            <v>1634</v>
          </cell>
          <cell r="Q90">
            <v>26144000</v>
          </cell>
          <cell r="R90" t="str">
            <v>Completed Sign PO</v>
          </cell>
          <cell r="S90" t="str">
            <v>Dikarenakan akan ada perubahan dr MX ke 365 maka no PO ini akan ada perubahan di sistem baru</v>
          </cell>
          <cell r="T90" t="str">
            <v>MSW</v>
          </cell>
          <cell r="U90" t="str">
            <v>Perwira Sentra Officindo, PT
Antares Jaya Gemilang Prima, PT
Greentek Elektrikal Indonesia, PT
Duzazys Prima Enjeniring, PT
Borneo Maju Jaya, PT
Gevana, PT
Anugrah Mandiri Putra Tabalong, PT
Alfa Teknik Mandiri Makmur, PT
Axel Jaya Cakraniaga, PT
Dayaniaga Ekaselaras, PT</v>
          </cell>
          <cell r="V90" t="str">
            <v>Perwira Sentra Officindo, PT
Antares Jaya Gemilang Prima, PT
Greentek Elektrikal Indonesia, PT
Borneo Maju Jaya, PT
Gevana, PT
Alfa Teknik Mandiri Makmur, PT
Axel Jaya Cakraniaga, PT
Dayaniaga Ekaselaras, PT</v>
          </cell>
          <cell r="W90" t="str">
            <v>10 of 10</v>
          </cell>
          <cell r="X90" t="str">
            <v>8 of 10</v>
          </cell>
          <cell r="Y90">
            <v>45909</v>
          </cell>
          <cell r="Z90">
            <v>45916</v>
          </cell>
          <cell r="AC90" t="str">
            <v xml:space="preserve"> of </v>
          </cell>
          <cell r="AD90" t="str">
            <v xml:space="preserve"> of </v>
          </cell>
          <cell r="AF90" t="str">
            <v/>
          </cell>
          <cell r="AI90" t="str">
            <v xml:space="preserve"> of </v>
          </cell>
          <cell r="AJ90" t="str">
            <v xml:space="preserve"> of </v>
          </cell>
          <cell r="AL90" t="str">
            <v/>
          </cell>
          <cell r="AM90">
            <v>0.70833333333333337</v>
          </cell>
          <cell r="AN90" t="str">
            <v>Axel Jaya Cakraniaga, PT</v>
          </cell>
          <cell r="AO90" t="str">
            <v>ajcakraniaga@gmail.com; sales@ajcakraniaga.com</v>
          </cell>
          <cell r="AP90" t="str">
            <v>PO25000774</v>
          </cell>
          <cell r="AQ90">
            <v>22550000</v>
          </cell>
          <cell r="AR90">
            <v>45919</v>
          </cell>
          <cell r="AS90">
            <v>45926</v>
          </cell>
          <cell r="AT90">
            <v>45931</v>
          </cell>
          <cell r="AU90">
            <v>45997</v>
          </cell>
          <cell r="AV90">
            <v>45931</v>
          </cell>
          <cell r="AW90">
            <v>45997</v>
          </cell>
          <cell r="AX90">
            <v>9.4285714285714288</v>
          </cell>
          <cell r="AZ90" t="str">
            <v/>
          </cell>
          <cell r="BA90" t="str">
            <v/>
          </cell>
          <cell r="BB90" t="str">
            <v>Late Completed</v>
          </cell>
          <cell r="BC90" t="str">
            <v>PR100010623</v>
          </cell>
        </row>
        <row r="91">
          <cell r="B91" t="str">
            <v>PR100010441 (Line 1-2,4-9)</v>
          </cell>
          <cell r="C91" t="str">
            <v>Pembelian part OH Unit 1</v>
          </cell>
          <cell r="D91" t="str">
            <v>Andalan Tiga Berlian, PT</v>
          </cell>
          <cell r="E91" t="str">
            <v>Pacific Tractor Indonesia, PT
Andalan Tiga Berlian, PT
Arita Prima Indonesia Tbk, PT
Alfa Teknik Mandiri Makmur, PT
Sola Anugerah Oilfield, PT
Alpha Bumi Persada, PT
Bosindo Jaya, PT
Perdana Surya Niaga, PT
Karindo Abadi Makmur, PT
Gevana, PT</v>
          </cell>
          <cell r="F91" t="str">
            <v>Pacific Tractor Indonesia, PT
Andalan Tiga Berlian, PT
Sola Anugerah Oilfield, PT
Alpha Bumi Persada, PT
Gevana, PT</v>
          </cell>
          <cell r="G91" t="str">
            <v>R1
5 of 10
28 Aug 25</v>
          </cell>
          <cell r="H91" t="str">
            <v>TOPAN BAYU PRAPTOMO</v>
          </cell>
          <cell r="I91">
            <v>45870</v>
          </cell>
          <cell r="J91" t="str">
            <v>Tech Main</v>
          </cell>
          <cell r="K91" t="str">
            <v>B</v>
          </cell>
          <cell r="L91" t="str">
            <v>BID</v>
          </cell>
          <cell r="M91">
            <v>214</v>
          </cell>
          <cell r="N91" t="str">
            <v>RH</v>
          </cell>
          <cell r="O91" t="str">
            <v>robertiagus.haposan@alamtri.com</v>
          </cell>
          <cell r="P91">
            <v>9663.9887999999992</v>
          </cell>
          <cell r="Q91">
            <v>154623820.79999998</v>
          </cell>
          <cell r="R91" t="str">
            <v>PO Sign Vendor</v>
          </cell>
          <cell r="T91" t="str">
            <v>MSW</v>
          </cell>
          <cell r="U91" t="str">
            <v>Andalan Tiga Berlian, PT
Alfa Teknik Mandiri Makmur, PT
Lienetic Jaya, PT
Vhipa Mulia Pratama, PT
Anugrah Mandiri Putra Tabalong, PT
Petrocom Nusa Synergy, PT
Gevana, PT
Pacific Tractor Indonesia, PT
Kawan Lama Solusi, PT
Arita Prima Indonesia Tbk, PT</v>
          </cell>
          <cell r="V91" t="str">
            <v>Pacific Tractor Indonesia, PT</v>
          </cell>
          <cell r="W91" t="str">
            <v>10 of 10</v>
          </cell>
          <cell r="X91" t="str">
            <v>1 of 10</v>
          </cell>
          <cell r="Y91">
            <v>45874</v>
          </cell>
          <cell r="Z91">
            <v>45881</v>
          </cell>
          <cell r="AA91" t="str">
            <v>Pacific Tractor Indonesia, PT
Andalan Tiga Berlian, PT
Arita Prima Indonesia Tbk, PT
Alfa Teknik Mandiri Makmur, PT
Sola Anugerah Oilfield, PT
Alpha Bumi Persada, PT
Bosindo Jaya, PT
Perdana Surya Niaga, PT
Karindo Abadi Makmur, PT
Gevana, PT</v>
          </cell>
          <cell r="AB91" t="str">
            <v>Pacific Tractor Indonesia, PT
Andalan Tiga Berlian, PT
Sola Anugerah Oilfield, PT
Alpha Bumi Persada, PT
Gevana, PT</v>
          </cell>
          <cell r="AC91" t="str">
            <v>10 of 10</v>
          </cell>
          <cell r="AD91" t="str">
            <v>5 of 10</v>
          </cell>
          <cell r="AE91">
            <v>45890</v>
          </cell>
          <cell r="AF91">
            <v>45897</v>
          </cell>
          <cell r="AI91" t="str">
            <v xml:space="preserve"> of </v>
          </cell>
          <cell r="AJ91" t="str">
            <v xml:space="preserve"> of </v>
          </cell>
          <cell r="AL91" t="str">
            <v/>
          </cell>
          <cell r="AM91">
            <v>0.70833333333333337</v>
          </cell>
          <cell r="AN91" t="str">
            <v>Gevana, PT</v>
          </cell>
          <cell r="AO91" t="str">
            <v>charlierobiansa7@gmail.com; eviedenny277@gmail.com</v>
          </cell>
          <cell r="AP91" t="str">
            <v>PO25000756</v>
          </cell>
          <cell r="AQ91">
            <v>36297440</v>
          </cell>
          <cell r="AR91">
            <v>45902</v>
          </cell>
          <cell r="AS91">
            <v>45924</v>
          </cell>
          <cell r="AT91">
            <v>45925</v>
          </cell>
          <cell r="AU91">
            <v>45966</v>
          </cell>
          <cell r="AV91">
            <v>45931</v>
          </cell>
          <cell r="AW91">
            <v>45972</v>
          </cell>
          <cell r="AX91">
            <v>5.8571428571428568</v>
          </cell>
          <cell r="AZ91" t="str">
            <v/>
          </cell>
          <cell r="BA91" t="str">
            <v/>
          </cell>
          <cell r="BB91" t="str">
            <v>Late Completed</v>
          </cell>
          <cell r="BC91" t="str">
            <v>PR100010441</v>
          </cell>
        </row>
        <row r="92">
          <cell r="B92" t="str">
            <v>PR100010514 (Line 3)</v>
          </cell>
          <cell r="C92" t="str">
            <v>Sparepart Proximity</v>
          </cell>
          <cell r="D92" t="str">
            <v>Antares Jaya Gemilang Prima, PT - Line 3</v>
          </cell>
          <cell r="E92" t="str">
            <v>Antares Jaya Gemilang Prima, PT
Elang Mas Indoasia, PT
Promitra Prima Indonesia, PT
Control Systems Arena Para Nusa, PT
Alfa Teknik Mandiri Makmur, PT
Perwira Sentra Officindo, PT
Indo Tehnik Tanjung Tabalong, PT
Vhipa Mulia Pratama, PT</v>
          </cell>
          <cell r="F92" t="str">
            <v>Antares Jaya Gemilang Prima, PT
Elang Mas Indoasia, PT
Promitra Prima Indonesia, PT</v>
          </cell>
          <cell r="G92" t="str">
            <v>R1
3 of 8
03 Sep 25</v>
          </cell>
          <cell r="H92" t="str">
            <v>DEDE SUDARJI</v>
          </cell>
          <cell r="I92">
            <v>45875</v>
          </cell>
          <cell r="J92" t="str">
            <v>Tech Main</v>
          </cell>
          <cell r="K92" t="str">
            <v>B</v>
          </cell>
          <cell r="L92" t="str">
            <v>BID</v>
          </cell>
          <cell r="M92">
            <v>234</v>
          </cell>
          <cell r="N92" t="str">
            <v>RH</v>
          </cell>
          <cell r="O92" t="str">
            <v>robertiagus.haposan@alamtri.com</v>
          </cell>
          <cell r="P92">
            <v>58</v>
          </cell>
          <cell r="Q92">
            <v>928000</v>
          </cell>
          <cell r="R92" t="str">
            <v>Completed Sign PO</v>
          </cell>
          <cell r="S92" t="str">
            <v>menunggu feeback dari AJGP via email</v>
          </cell>
          <cell r="T92" t="str">
            <v>MSW</v>
          </cell>
          <cell r="U92" t="str">
            <v>Antares Jaya Gemilang Prima, PT
Kin Kitra Kencana, PT
Indoparts, CV
Elang Mas Indoasia, PT
Gema Industrial, PT
Sahabat Mitra Intrabuana, PT
Karya Energi Indonesia, PT
Afghan Jaya Abadi, PT
Gevana, PT
Sola Anugerah Oilfield, PT
Axel Jaya Cakraniaga, PT
Alpha Bumi Persada, PT
Gading Mas Utama, PT</v>
          </cell>
          <cell r="V92" t="str">
            <v>Antares Jaya Gemilang Prima, PT
Elang Mas Indoasia, PT</v>
          </cell>
          <cell r="W92" t="str">
            <v>13 of 13</v>
          </cell>
          <cell r="X92" t="str">
            <v>2 of 13</v>
          </cell>
          <cell r="Y92">
            <v>45887</v>
          </cell>
          <cell r="Z92">
            <v>45894</v>
          </cell>
          <cell r="AA92" t="str">
            <v>Antares Jaya Gemilang Prima, PT
Elang Mas Indoasia, PT
Promitra Prima Indonesia, PT
Control Systems Arena Para Nusa, PT
Alfa Teknik Mandiri Makmur, PT
Perwira Sentra Officindo, PT
Indo Tehnik Tanjung Tabalong, PT
Vhipa Mulia Pratama, PT</v>
          </cell>
          <cell r="AB92" t="str">
            <v>Antares Jaya Gemilang Prima, PT
Elang Mas Indoasia, PT
Promitra Prima Indonesia, PT</v>
          </cell>
          <cell r="AC92" t="str">
            <v>8 of 8</v>
          </cell>
          <cell r="AD92" t="str">
            <v>3 of 8</v>
          </cell>
          <cell r="AE92">
            <v>45896</v>
          </cell>
          <cell r="AF92">
            <v>45903</v>
          </cell>
          <cell r="AI92" t="str">
            <v xml:space="preserve"> of </v>
          </cell>
          <cell r="AJ92" t="str">
            <v xml:space="preserve"> of </v>
          </cell>
          <cell r="AL92" t="str">
            <v/>
          </cell>
          <cell r="AM92">
            <v>0.70833333333333337</v>
          </cell>
          <cell r="AN92" t="str">
            <v>Antares Jaya Gemilang Prima, PT</v>
          </cell>
          <cell r="AO92" t="str">
            <v>info@pt-antares.com; antares.jgp@gmail.com</v>
          </cell>
          <cell r="AP92" t="str">
            <v>PO25000796</v>
          </cell>
          <cell r="AQ92">
            <v>770000</v>
          </cell>
          <cell r="AR92">
            <v>45909</v>
          </cell>
          <cell r="AS92">
            <v>45944</v>
          </cell>
          <cell r="AT92">
            <v>45944</v>
          </cell>
          <cell r="AU92">
            <v>45996</v>
          </cell>
          <cell r="AV92">
            <v>45945</v>
          </cell>
          <cell r="AW92">
            <v>45997</v>
          </cell>
          <cell r="AX92">
            <v>7.4285714285714288</v>
          </cell>
          <cell r="AY92">
            <v>46017</v>
          </cell>
          <cell r="AZ92">
            <v>20</v>
          </cell>
          <cell r="BA92">
            <v>23100</v>
          </cell>
          <cell r="BB92" t="str">
            <v>Late Completed</v>
          </cell>
          <cell r="BC92" t="str">
            <v>PR100010514</v>
          </cell>
        </row>
        <row r="93">
          <cell r="B93" t="str">
            <v>PR100010545</v>
          </cell>
          <cell r="C93" t="str">
            <v>Over Haul Genset Perkins GEP 80 KVA Silent</v>
          </cell>
          <cell r="E93" t="str">
            <v/>
          </cell>
          <cell r="F93" t="str">
            <v/>
          </cell>
          <cell r="G93" t="str">
            <v/>
          </cell>
          <cell r="H93" t="str">
            <v>SLAMET</v>
          </cell>
          <cell r="I93">
            <v>45873</v>
          </cell>
          <cell r="J93" t="str">
            <v>Main</v>
          </cell>
          <cell r="K93" t="str">
            <v>B &amp; J</v>
          </cell>
          <cell r="L93" t="str">
            <v>BID</v>
          </cell>
          <cell r="M93">
            <v>227</v>
          </cell>
          <cell r="N93" t="str">
            <v>RH</v>
          </cell>
          <cell r="O93" t="str">
            <v>robertiagus.haposan@alamtri.com</v>
          </cell>
          <cell r="P93">
            <v>12345</v>
          </cell>
          <cell r="Q93">
            <v>197520000</v>
          </cell>
          <cell r="R93" t="str">
            <v>CANCEL</v>
          </cell>
          <cell r="S93" t="str">
            <v>On proses PR 365
pindah ke PC0125-000001210</v>
          </cell>
          <cell r="T93" t="str">
            <v>MSW</v>
          </cell>
          <cell r="U93" t="str">
            <v>Bima Kaltim Utama, PT
Gala Jaya (Banjarmasin), PT
Central Diesel, PT
Cipta Dua Power Frans Diesel, PT
Xservice, CV
Catek Jaya, CV
Jaya Induksi Elektrik, PT
Genindo Berkat Utama, PT</v>
          </cell>
          <cell r="V93" t="str">
            <v>Bima Kaltim Utama, PT
Gala Jaya (Banjarmasin), PT
Xservice, CV
Jaya Induksi Elektrik, PT</v>
          </cell>
          <cell r="W93" t="str">
            <v>8 of 8</v>
          </cell>
          <cell r="X93" t="str">
            <v>4 of 8</v>
          </cell>
          <cell r="Y93">
            <v>45881</v>
          </cell>
          <cell r="Z93">
            <v>45891</v>
          </cell>
          <cell r="AC93" t="str">
            <v xml:space="preserve"> of </v>
          </cell>
          <cell r="AD93" t="str">
            <v xml:space="preserve"> of </v>
          </cell>
          <cell r="AF93" t="str">
            <v/>
          </cell>
          <cell r="AI93" t="str">
            <v xml:space="preserve"> of </v>
          </cell>
          <cell r="AJ93" t="str">
            <v xml:space="preserve"> of </v>
          </cell>
          <cell r="AL93" t="str">
            <v/>
          </cell>
          <cell r="AM93">
            <v>0.70833333333333337</v>
          </cell>
          <cell r="AO93" t="str">
            <v/>
          </cell>
          <cell r="AR93">
            <v>45902</v>
          </cell>
          <cell r="AS93">
            <v>45985</v>
          </cell>
          <cell r="AW93" t="str">
            <v/>
          </cell>
          <cell r="AX93" t="str">
            <v/>
          </cell>
          <cell r="AZ93" t="str">
            <v/>
          </cell>
          <cell r="BA93" t="str">
            <v/>
          </cell>
          <cell r="BB93" t="str">
            <v/>
          </cell>
          <cell r="BC93" t="str">
            <v>PR100010545</v>
          </cell>
        </row>
        <row r="94">
          <cell r="B94" t="str">
            <v>PR100009903</v>
          </cell>
          <cell r="C94" t="str">
            <v>FUEL B35 TRANSPORTATION SERVICE 40KL</v>
          </cell>
          <cell r="D94" t="str">
            <v>Sinar Alam Duta Perdana, PT</v>
          </cell>
          <cell r="E94" t="str">
            <v>Sinar Alam Duta Perdana, PT</v>
          </cell>
          <cell r="F94" t="str">
            <v/>
          </cell>
          <cell r="G94" t="str">
            <v/>
          </cell>
          <cell r="H94" t="str">
            <v>ARIES KURNIAWAN</v>
          </cell>
          <cell r="I94">
            <v>45659</v>
          </cell>
          <cell r="J94" t="str">
            <v>Tech OP</v>
          </cell>
          <cell r="K94" t="str">
            <v>J</v>
          </cell>
          <cell r="L94" t="str">
            <v>CTR</v>
          </cell>
          <cell r="N94" t="str">
            <v>RH</v>
          </cell>
          <cell r="O94" t="str">
            <v>robertiagus.haposan@alamtri.com</v>
          </cell>
          <cell r="P94">
            <v>1704</v>
          </cell>
          <cell r="Q94">
            <v>27264000</v>
          </cell>
          <cell r="R94" t="str">
            <v>Completed Sign PO Contract</v>
          </cell>
          <cell r="T94" t="str">
            <v>MSW</v>
          </cell>
          <cell r="U94" t="str">
            <v>Sinar Alam Duta Perdana, PT</v>
          </cell>
          <cell r="V94" t="str">
            <v>Sinar Alam Duta Perdana, PT</v>
          </cell>
          <cell r="W94" t="str">
            <v>1 of 1</v>
          </cell>
          <cell r="X94" t="str">
            <v>1 of 1</v>
          </cell>
          <cell r="Z94" t="str">
            <v/>
          </cell>
          <cell r="AC94" t="str">
            <v xml:space="preserve"> of </v>
          </cell>
          <cell r="AD94" t="str">
            <v xml:space="preserve"> of </v>
          </cell>
          <cell r="AF94" t="str">
            <v/>
          </cell>
          <cell r="AI94" t="str">
            <v xml:space="preserve"> of </v>
          </cell>
          <cell r="AJ94" t="str">
            <v xml:space="preserve"> of </v>
          </cell>
          <cell r="AM94">
            <v>0.70833333333333337</v>
          </cell>
          <cell r="AN94" t="str">
            <v>Sinar Alam Duta Perdana, PT</v>
          </cell>
          <cell r="AO94" t="str">
            <v>sherlly@sadp.co.id; misrawardi@sadp.co.id; sales1@sadp.co.id; marini@sadp.co.id; ridho@sadp.co.id; nisa_fitria@sadp.co.id; ismawati@sadp.co.id</v>
          </cell>
          <cell r="AP94" t="str">
            <v>PO24000965</v>
          </cell>
          <cell r="AQ94">
            <v>16000000</v>
          </cell>
          <cell r="AT94">
            <v>45660</v>
          </cell>
          <cell r="AU94">
            <v>45667</v>
          </cell>
          <cell r="AV94">
            <v>45664</v>
          </cell>
          <cell r="AW94">
            <v>45671</v>
          </cell>
          <cell r="AX94">
            <v>1</v>
          </cell>
          <cell r="AZ94" t="str">
            <v/>
          </cell>
          <cell r="BA94" t="str">
            <v/>
          </cell>
          <cell r="BB94" t="str">
            <v>Completed</v>
          </cell>
          <cell r="BC94" t="str">
            <v>PR100009903</v>
          </cell>
        </row>
        <row r="95">
          <cell r="B95" t="str">
            <v>PR100009904</v>
          </cell>
          <cell r="C95" t="str">
            <v>FUEL B35 FOR  MAIN LDO TANK 40KL REORDER Jan (Pengiriman 04 Jan 2025) Startup Unit1&amp;Backup BSDG</v>
          </cell>
          <cell r="D95" t="str">
            <v>Sinar Alam Duta Perdana, PT</v>
          </cell>
          <cell r="E95" t="str">
            <v>Pertamina Patra Niaga, PT</v>
          </cell>
          <cell r="F95" t="str">
            <v/>
          </cell>
          <cell r="G95" t="str">
            <v/>
          </cell>
          <cell r="H95" t="str">
            <v>ARIES KURNIAWAN</v>
          </cell>
          <cell r="I95">
            <v>45660</v>
          </cell>
          <cell r="J95" t="str">
            <v>Tech OP</v>
          </cell>
          <cell r="K95" t="str">
            <v>B</v>
          </cell>
          <cell r="L95" t="str">
            <v>CTR</v>
          </cell>
          <cell r="N95" t="str">
            <v>RH</v>
          </cell>
          <cell r="O95" t="str">
            <v>robertiagus.haposan@alamtri.com</v>
          </cell>
          <cell r="P95">
            <v>24921.999299999999</v>
          </cell>
          <cell r="Q95">
            <v>398751988.80000001</v>
          </cell>
          <cell r="R95" t="str">
            <v>Completed Sign PO Contract</v>
          </cell>
          <cell r="T95" t="str">
            <v>MSW</v>
          </cell>
          <cell r="U95" t="str">
            <v>Pertamina Patra Niaga, PT</v>
          </cell>
          <cell r="V95" t="str">
            <v>Pertamina Patra Niaga, PT</v>
          </cell>
          <cell r="W95" t="str">
            <v>1 of 1</v>
          </cell>
          <cell r="X95" t="str">
            <v>1 of 1</v>
          </cell>
          <cell r="Z95" t="str">
            <v/>
          </cell>
          <cell r="AC95" t="str">
            <v xml:space="preserve"> of </v>
          </cell>
          <cell r="AD95" t="str">
            <v xml:space="preserve"> of </v>
          </cell>
          <cell r="AF95" t="str">
            <v/>
          </cell>
          <cell r="AI95" t="str">
            <v xml:space="preserve"> of </v>
          </cell>
          <cell r="AJ95" t="str">
            <v xml:space="preserve"> of </v>
          </cell>
          <cell r="AM95">
            <v>0.70833333333333337</v>
          </cell>
          <cell r="AN95" t="str">
            <v>Pertamina Patra Niaga, PT</v>
          </cell>
          <cell r="AO95" t="str">
            <v>ibnu.kautsar@pertamina.com; muhammad.nurdin@pertamina.com; mk.ihdimahyapi@mitrakerja.pertamina.com; mk.muhammad.jamil@mitrakerja.pertamina.com; pandu.dwijayanto@pertamina.com; mk.della.putri@mitrakerja.pertamina.com; mk.dwi.oktaviana@mitrakerja.pertamina.com; mk.mardhiyah.m@mitrakerja.pertamina.com</v>
          </cell>
          <cell r="AP95" t="str">
            <v>PO24000964</v>
          </cell>
          <cell r="AQ95">
            <v>516798520</v>
          </cell>
          <cell r="AT95">
            <v>45660</v>
          </cell>
          <cell r="AU95">
            <v>45667</v>
          </cell>
          <cell r="AV95">
            <v>45664</v>
          </cell>
          <cell r="AW95">
            <v>45671</v>
          </cell>
          <cell r="AX95">
            <v>1</v>
          </cell>
          <cell r="AZ95" t="str">
            <v/>
          </cell>
          <cell r="BA95" t="str">
            <v/>
          </cell>
          <cell r="BB95" t="str">
            <v>Completed</v>
          </cell>
          <cell r="BC95" t="str">
            <v>PR100009904</v>
          </cell>
        </row>
        <row r="96">
          <cell r="B96" t="str">
            <v>PR100009908</v>
          </cell>
          <cell r="C96" t="str">
            <v>Pengadaan Saw Dust December 2024</v>
          </cell>
          <cell r="D96" t="str">
            <v>Kalimantan Teknik Mandiri, PT</v>
          </cell>
          <cell r="E96" t="str">
            <v>Kalimantan Teknik Mandiri, PT</v>
          </cell>
          <cell r="F96" t="str">
            <v/>
          </cell>
          <cell r="G96" t="str">
            <v/>
          </cell>
          <cell r="H96" t="str">
            <v>ARIES KURNIAWAN</v>
          </cell>
          <cell r="I96">
            <v>45677</v>
          </cell>
          <cell r="J96" t="str">
            <v>Tech OP</v>
          </cell>
          <cell r="K96" t="str">
            <v>B</v>
          </cell>
          <cell r="L96" t="str">
            <v>CTR</v>
          </cell>
          <cell r="N96" t="str">
            <v>RH</v>
          </cell>
          <cell r="O96" t="str">
            <v>robertiagus.haposan@alamtri.com</v>
          </cell>
          <cell r="P96">
            <v>13827.6459</v>
          </cell>
          <cell r="Q96">
            <v>221242334.40000001</v>
          </cell>
          <cell r="R96" t="str">
            <v>Completed Sign PO Contract</v>
          </cell>
          <cell r="T96" t="str">
            <v>MSW</v>
          </cell>
          <cell r="U96" t="str">
            <v>Kalimantan Teknik Mandiri, PT</v>
          </cell>
          <cell r="V96" t="str">
            <v>Kalimantan Teknik Mandiri, PT</v>
          </cell>
          <cell r="W96" t="str">
            <v>1 of 1</v>
          </cell>
          <cell r="X96" t="str">
            <v>1 of 1</v>
          </cell>
          <cell r="Z96" t="str">
            <v/>
          </cell>
          <cell r="AC96" t="str">
            <v xml:space="preserve"> of </v>
          </cell>
          <cell r="AD96" t="str">
            <v xml:space="preserve"> of </v>
          </cell>
          <cell r="AF96" t="str">
            <v/>
          </cell>
          <cell r="AI96" t="str">
            <v xml:space="preserve"> of </v>
          </cell>
          <cell r="AJ96" t="str">
            <v xml:space="preserve"> of </v>
          </cell>
          <cell r="AM96">
            <v>0.70833333333333337</v>
          </cell>
          <cell r="AN96" t="str">
            <v>Kalimantan Teknik Mandiri, PT</v>
          </cell>
          <cell r="AO96" t="str">
            <v/>
          </cell>
          <cell r="AP96" t="str">
            <v>PO24000975</v>
          </cell>
          <cell r="AQ96">
            <v>213060800</v>
          </cell>
          <cell r="AT96">
            <v>45679</v>
          </cell>
          <cell r="AU96">
            <v>45712</v>
          </cell>
          <cell r="AV96">
            <v>45691</v>
          </cell>
          <cell r="AW96">
            <v>45724</v>
          </cell>
          <cell r="AX96">
            <v>4.7142857142857144</v>
          </cell>
          <cell r="AY96">
            <v>45691</v>
          </cell>
          <cell r="AZ96" t="str">
            <v/>
          </cell>
          <cell r="BA96" t="str">
            <v/>
          </cell>
          <cell r="BB96" t="str">
            <v>Completed</v>
          </cell>
          <cell r="BC96" t="str">
            <v>PR100009908</v>
          </cell>
        </row>
        <row r="97">
          <cell r="B97" t="str">
            <v>PR100009907</v>
          </cell>
          <cell r="C97" t="str">
            <v>Penggunaan Coal December 2024 OP Dept</v>
          </cell>
          <cell r="D97" t="str">
            <v>Adaro Indonesia, PT</v>
          </cell>
          <cell r="E97" t="str">
            <v>Adaro Indonesia, PT</v>
          </cell>
          <cell r="F97" t="str">
            <v/>
          </cell>
          <cell r="G97" t="str">
            <v/>
          </cell>
          <cell r="H97" t="str">
            <v>ARIES KURNIAWAN</v>
          </cell>
          <cell r="I97">
            <v>45677</v>
          </cell>
          <cell r="J97" t="str">
            <v>Tech Op</v>
          </cell>
          <cell r="K97" t="str">
            <v>B</v>
          </cell>
          <cell r="L97" t="str">
            <v>CTR</v>
          </cell>
          <cell r="N97" t="str">
            <v>RH</v>
          </cell>
          <cell r="O97" t="str">
            <v>robertiagus.haposan@alamtri.com</v>
          </cell>
          <cell r="P97">
            <v>430056</v>
          </cell>
          <cell r="Q97">
            <v>6880896000</v>
          </cell>
          <cell r="R97" t="str">
            <v>Completed Sign PO Contract</v>
          </cell>
          <cell r="T97" t="str">
            <v>MSW</v>
          </cell>
          <cell r="U97" t="str">
            <v>Adaro Indonesia, PT</v>
          </cell>
          <cell r="V97" t="str">
            <v>Adaro Indonesia, PT</v>
          </cell>
          <cell r="W97" t="str">
            <v>1 of 1</v>
          </cell>
          <cell r="X97" t="str">
            <v>1 of 1</v>
          </cell>
          <cell r="Z97" t="str">
            <v/>
          </cell>
          <cell r="AC97" t="str">
            <v xml:space="preserve"> of </v>
          </cell>
          <cell r="AD97" t="str">
            <v xml:space="preserve"> of </v>
          </cell>
          <cell r="AF97" t="str">
            <v/>
          </cell>
          <cell r="AI97" t="str">
            <v xml:space="preserve"> of </v>
          </cell>
          <cell r="AJ97" t="str">
            <v xml:space="preserve"> of </v>
          </cell>
          <cell r="AM97">
            <v>0.70833333333333337</v>
          </cell>
          <cell r="AN97" t="str">
            <v>Adaro Indonesia, PT</v>
          </cell>
          <cell r="AO97" t="str">
            <v>mulyadi@adaro.com; rachman.hakim@adaro.com; Shipping@adaro.com</v>
          </cell>
          <cell r="AP97" t="str">
            <v>PO24000976</v>
          </cell>
          <cell r="AQ97">
            <v>5660401372.5600004</v>
          </cell>
          <cell r="AT97">
            <v>45679</v>
          </cell>
          <cell r="AU97">
            <v>45712</v>
          </cell>
          <cell r="AV97">
            <v>45691</v>
          </cell>
          <cell r="AW97">
            <v>45724</v>
          </cell>
          <cell r="AX97">
            <v>4.7142857142857144</v>
          </cell>
          <cell r="AY97">
            <v>45653</v>
          </cell>
          <cell r="AZ97" t="str">
            <v/>
          </cell>
          <cell r="BA97" t="str">
            <v/>
          </cell>
          <cell r="BB97" t="str">
            <v>Completed</v>
          </cell>
          <cell r="BC97" t="str">
            <v>PR100009907</v>
          </cell>
        </row>
        <row r="98">
          <cell r="B98" t="str">
            <v>PR100009885 (Line 1-4, 6)</v>
          </cell>
          <cell r="C98" t="str">
            <v>Teknikal analisis Lima (5) Unit Genset IBT</v>
          </cell>
          <cell r="D98" t="str">
            <v>Trakindo Utama, PT</v>
          </cell>
          <cell r="E98" t="str">
            <v>Trakindo Utama, PT (Tanjung)</v>
          </cell>
          <cell r="F98" t="str">
            <v/>
          </cell>
          <cell r="G98" t="str">
            <v/>
          </cell>
          <cell r="H98" t="str">
            <v>SLAMET</v>
          </cell>
          <cell r="I98">
            <v>45677</v>
          </cell>
          <cell r="J98" t="str">
            <v>Tech Main</v>
          </cell>
          <cell r="K98" t="str">
            <v>J</v>
          </cell>
          <cell r="L98" t="str">
            <v>CTR</v>
          </cell>
          <cell r="N98" t="str">
            <v>RH</v>
          </cell>
          <cell r="O98" t="str">
            <v>robertiagus.haposan@alamtri.com</v>
          </cell>
          <cell r="P98">
            <v>506</v>
          </cell>
          <cell r="Q98">
            <v>8096000</v>
          </cell>
          <cell r="R98" t="str">
            <v>Completed Sign PO Contract</v>
          </cell>
          <cell r="T98" t="str">
            <v>MSW</v>
          </cell>
          <cell r="U98" t="str">
            <v>Trakindo Utama, PT (Tanjung)</v>
          </cell>
          <cell r="V98" t="str">
            <v>Trakindo Utama, PT</v>
          </cell>
          <cell r="W98" t="str">
            <v>1 of 1</v>
          </cell>
          <cell r="X98" t="str">
            <v>1 of 1</v>
          </cell>
          <cell r="Z98" t="str">
            <v/>
          </cell>
          <cell r="AC98" t="str">
            <v xml:space="preserve"> of </v>
          </cell>
          <cell r="AD98" t="str">
            <v xml:space="preserve"> of </v>
          </cell>
          <cell r="AF98" t="str">
            <v/>
          </cell>
          <cell r="AI98" t="str">
            <v xml:space="preserve"> of </v>
          </cell>
          <cell r="AJ98" t="str">
            <v xml:space="preserve"> of </v>
          </cell>
          <cell r="AM98">
            <v>0.70833333333333337</v>
          </cell>
          <cell r="AN98" t="str">
            <v>Trakindo Utama, PT</v>
          </cell>
          <cell r="AO98" t="str">
            <v>hjuniater.sidauruk@trakindo.co.id</v>
          </cell>
          <cell r="AP98" t="str">
            <v>PO24000977</v>
          </cell>
          <cell r="AQ98">
            <v>25727380</v>
          </cell>
          <cell r="AT98">
            <v>45681</v>
          </cell>
          <cell r="AU98">
            <v>45712</v>
          </cell>
          <cell r="AV98">
            <v>45687</v>
          </cell>
          <cell r="AW98">
            <v>45718</v>
          </cell>
          <cell r="AX98">
            <v>4.4285714285714288</v>
          </cell>
          <cell r="AY98">
            <v>45695</v>
          </cell>
          <cell r="AZ98" t="str">
            <v/>
          </cell>
          <cell r="BA98" t="str">
            <v/>
          </cell>
          <cell r="BB98" t="str">
            <v>Completed</v>
          </cell>
          <cell r="BC98" t="str">
            <v>PR100009885</v>
          </cell>
        </row>
        <row r="99">
          <cell r="B99" t="str">
            <v>PR100009949 (Line 1-5)</v>
          </cell>
          <cell r="C99" t="str">
            <v>Material untuk kebutuhan PM All DG IBT (barang langsung dikirimk ke IBT)</v>
          </cell>
          <cell r="D99" t="str">
            <v>Trakindo Utama, PT</v>
          </cell>
          <cell r="E99" t="str">
            <v>Trakindo Utama, PT (Tanjung)</v>
          </cell>
          <cell r="F99" t="str">
            <v/>
          </cell>
          <cell r="G99" t="str">
            <v/>
          </cell>
          <cell r="H99" t="str">
            <v>SLAMET</v>
          </cell>
          <cell r="I99">
            <v>45677</v>
          </cell>
          <cell r="J99" t="str">
            <v>Tech Main</v>
          </cell>
          <cell r="K99" t="str">
            <v>B</v>
          </cell>
          <cell r="L99" t="str">
            <v>CTR</v>
          </cell>
          <cell r="M99" t="str">
            <v>0001</v>
          </cell>
          <cell r="N99" t="str">
            <v>RH</v>
          </cell>
          <cell r="O99" t="str">
            <v>robertiagus.haposan@alamtri.com</v>
          </cell>
          <cell r="P99">
            <v>4571.93</v>
          </cell>
          <cell r="Q99">
            <v>73150880</v>
          </cell>
          <cell r="R99" t="str">
            <v>Completed Sign PO Contract</v>
          </cell>
          <cell r="T99" t="str">
            <v>MSW</v>
          </cell>
          <cell r="U99" t="str">
            <v>Trakindo Utama, PT (Tanjung)</v>
          </cell>
          <cell r="V99" t="str">
            <v>Trakindo Utama, PT</v>
          </cell>
          <cell r="W99" t="str">
            <v>1 of 1</v>
          </cell>
          <cell r="X99" t="str">
            <v>1 of 1</v>
          </cell>
          <cell r="Z99" t="str">
            <v/>
          </cell>
          <cell r="AC99" t="str">
            <v xml:space="preserve"> of </v>
          </cell>
          <cell r="AD99" t="str">
            <v xml:space="preserve"> of </v>
          </cell>
          <cell r="AF99" t="str">
            <v/>
          </cell>
          <cell r="AI99" t="str">
            <v xml:space="preserve"> of </v>
          </cell>
          <cell r="AJ99" t="str">
            <v xml:space="preserve"> of </v>
          </cell>
          <cell r="AM99">
            <v>0.70833333333333337</v>
          </cell>
          <cell r="AN99" t="str">
            <v>Trakindo Utama, PT</v>
          </cell>
          <cell r="AO99" t="str">
            <v>hjuniater.sidauruk@trakindo.co.id</v>
          </cell>
          <cell r="AP99" t="str">
            <v>PO24000983</v>
          </cell>
          <cell r="AQ99">
            <v>108988630</v>
          </cell>
          <cell r="AT99">
            <v>45681</v>
          </cell>
          <cell r="AU99">
            <v>45709</v>
          </cell>
          <cell r="AV99">
            <v>45691</v>
          </cell>
          <cell r="AW99">
            <v>45719</v>
          </cell>
          <cell r="AX99">
            <v>4</v>
          </cell>
          <cell r="AY99">
            <v>45693</v>
          </cell>
          <cell r="AZ99" t="str">
            <v/>
          </cell>
          <cell r="BA99" t="str">
            <v/>
          </cell>
          <cell r="BB99" t="str">
            <v>Completed</v>
          </cell>
          <cell r="BC99" t="str">
            <v>PR100009949</v>
          </cell>
        </row>
        <row r="100">
          <cell r="B100" t="str">
            <v>PR100010013</v>
          </cell>
          <cell r="C100" t="str">
            <v>FUEL B35 FOR  MAIN LDO TANK 40KL REORDER Jan (Pengiriman 30 Jan 2025) Backup BSDG</v>
          </cell>
          <cell r="D100" t="str">
            <v>Pertamina Patra Niaga, PT</v>
          </cell>
          <cell r="E100" t="str">
            <v>Sinar Alam Duta Perdana, PT</v>
          </cell>
          <cell r="F100" t="str">
            <v/>
          </cell>
          <cell r="G100" t="str">
            <v/>
          </cell>
          <cell r="H100" t="str">
            <v>ARIES KURNIAWAN</v>
          </cell>
          <cell r="I100">
            <v>45681</v>
          </cell>
          <cell r="J100" t="str">
            <v>Tech Op</v>
          </cell>
          <cell r="K100" t="str">
            <v>B</v>
          </cell>
          <cell r="L100" t="str">
            <v>CTR</v>
          </cell>
          <cell r="N100" t="str">
            <v>RH</v>
          </cell>
          <cell r="O100" t="str">
            <v>robertiagus.haposan@alamtri.com</v>
          </cell>
          <cell r="P100">
            <v>24921.999299999999</v>
          </cell>
          <cell r="Q100">
            <v>398751988.80000001</v>
          </cell>
          <cell r="R100" t="str">
            <v>Completed Sign PO Contract</v>
          </cell>
          <cell r="T100" t="str">
            <v>MSW</v>
          </cell>
          <cell r="U100" t="str">
            <v>Sinar Alam Duta Perdana, PT</v>
          </cell>
          <cell r="V100" t="str">
            <v>Sinar Alam Duta Perdana, PT</v>
          </cell>
          <cell r="W100" t="str">
            <v>1 of 1</v>
          </cell>
          <cell r="X100" t="str">
            <v>1 of 1</v>
          </cell>
          <cell r="Z100" t="str">
            <v/>
          </cell>
          <cell r="AC100" t="str">
            <v xml:space="preserve"> of </v>
          </cell>
          <cell r="AD100" t="str">
            <v xml:space="preserve"> of </v>
          </cell>
          <cell r="AF100" t="str">
            <v/>
          </cell>
          <cell r="AI100" t="str">
            <v xml:space="preserve"> of </v>
          </cell>
          <cell r="AJ100" t="str">
            <v xml:space="preserve"> of </v>
          </cell>
          <cell r="AM100">
            <v>0.70833333333333337</v>
          </cell>
          <cell r="AN100" t="str">
            <v>Pertamina Patra Niaga, PT</v>
          </cell>
          <cell r="AO100" t="str">
            <v>ibnu.kautsar@pertamina.com; muhammad.nurdin@pertamina.com; mk.ihdimahyapi@mitrakerja.pertamina.com; mk.muhammad.jamil@mitrakerja.pertamina.com; pandu.dwijayanto@pertamina.com; mk.della.putri@mitrakerja.pertamina.com; mk.dwi.oktaviana@mitrakerja.pertamina.com; mk.mardhiyah.m@mitrakerja.pertamina.com</v>
          </cell>
          <cell r="AP100" t="str">
            <v>PO24000979</v>
          </cell>
          <cell r="AQ100">
            <v>531854880</v>
          </cell>
          <cell r="AT100">
            <v>45681</v>
          </cell>
          <cell r="AU100">
            <v>45688</v>
          </cell>
          <cell r="AV100">
            <v>45700</v>
          </cell>
          <cell r="AW100">
            <v>45707</v>
          </cell>
          <cell r="AX100">
            <v>1</v>
          </cell>
          <cell r="AZ100" t="str">
            <v/>
          </cell>
          <cell r="BA100" t="str">
            <v/>
          </cell>
          <cell r="BB100" t="str">
            <v>Completed</v>
          </cell>
          <cell r="BC100" t="str">
            <v>PR100010013</v>
          </cell>
        </row>
        <row r="101">
          <cell r="B101" t="str">
            <v>PR100010015</v>
          </cell>
          <cell r="C101" t="str">
            <v>FUEL B35 TRANSPORTATION SERVICE 40KL</v>
          </cell>
          <cell r="D101" t="str">
            <v>Sinar Alam Duta Perdana, PT</v>
          </cell>
          <cell r="E101" t="str">
            <v>Sinar Alam Duta Perdana, PT</v>
          </cell>
          <cell r="F101" t="str">
            <v/>
          </cell>
          <cell r="G101" t="str">
            <v/>
          </cell>
          <cell r="H101" t="str">
            <v>ARIES KURNIAWAN</v>
          </cell>
          <cell r="I101">
            <v>45681</v>
          </cell>
          <cell r="J101" t="str">
            <v>Tech Op</v>
          </cell>
          <cell r="K101" t="str">
            <v>J</v>
          </cell>
          <cell r="L101" t="str">
            <v>CTR</v>
          </cell>
          <cell r="N101" t="str">
            <v>RH</v>
          </cell>
          <cell r="O101" t="str">
            <v>robertiagus.haposan@alamtri.com</v>
          </cell>
          <cell r="P101">
            <v>1704</v>
          </cell>
          <cell r="Q101">
            <v>27264000</v>
          </cell>
          <cell r="R101" t="str">
            <v>Completed Sign PO Contract</v>
          </cell>
          <cell r="T101" t="str">
            <v>MSW</v>
          </cell>
          <cell r="U101" t="str">
            <v>Sinar Alam Duta Perdana, PT</v>
          </cell>
          <cell r="V101" t="str">
            <v>Sinar Alam Duta Perdana, PT</v>
          </cell>
          <cell r="W101" t="str">
            <v>1 of 1</v>
          </cell>
          <cell r="X101" t="str">
            <v>1 of 1</v>
          </cell>
          <cell r="Z101" t="str">
            <v/>
          </cell>
          <cell r="AC101" t="str">
            <v xml:space="preserve"> of </v>
          </cell>
          <cell r="AD101" t="str">
            <v xml:space="preserve"> of </v>
          </cell>
          <cell r="AF101" t="str">
            <v/>
          </cell>
          <cell r="AI101" t="str">
            <v xml:space="preserve"> of </v>
          </cell>
          <cell r="AJ101" t="str">
            <v xml:space="preserve"> of </v>
          </cell>
          <cell r="AM101">
            <v>0.70833333333333337</v>
          </cell>
          <cell r="AN101" t="str">
            <v>Sinar Alam Duta Perdana, PT</v>
          </cell>
          <cell r="AO101" t="str">
            <v>sherlly@sadp.co.id; misrawardi@sadp.co.id; sales1@sadp.co.id; marini@sadp.co.id; ridho@sadp.co.id; nisa_fitria@sadp.co.id; ismawati@sadp.co.id</v>
          </cell>
          <cell r="AP101" t="str">
            <v>PO24000981</v>
          </cell>
          <cell r="AQ101">
            <v>16000000</v>
          </cell>
          <cell r="AT101">
            <v>45669</v>
          </cell>
          <cell r="AU101">
            <v>45688</v>
          </cell>
          <cell r="AV101">
            <v>45701</v>
          </cell>
          <cell r="AW101">
            <v>45720</v>
          </cell>
          <cell r="AX101">
            <v>2.7142857142857144</v>
          </cell>
          <cell r="AZ101" t="str">
            <v/>
          </cell>
          <cell r="BA101" t="str">
            <v/>
          </cell>
          <cell r="BB101" t="str">
            <v>Completed</v>
          </cell>
          <cell r="BC101" t="str">
            <v>PR100010015</v>
          </cell>
        </row>
        <row r="102">
          <cell r="B102" t="str">
            <v>PR100010021</v>
          </cell>
          <cell r="C102" t="str">
            <v>Jasa perbaikan Reverse Power DG Cat 3516 IBT (3G2)</v>
          </cell>
          <cell r="D102" t="str">
            <v>Trakindo Utama, PT</v>
          </cell>
          <cell r="E102" t="str">
            <v>Trakindo Utama, PT (Tanjung)</v>
          </cell>
          <cell r="F102" t="str">
            <v/>
          </cell>
          <cell r="G102" t="str">
            <v/>
          </cell>
          <cell r="H102" t="str">
            <v>SLAMET</v>
          </cell>
          <cell r="I102">
            <v>45691</v>
          </cell>
          <cell r="J102" t="str">
            <v>Tech Main</v>
          </cell>
          <cell r="K102" t="str">
            <v>J</v>
          </cell>
          <cell r="L102" t="str">
            <v>CTR</v>
          </cell>
          <cell r="M102" t="str">
            <v>0002</v>
          </cell>
          <cell r="N102" t="str">
            <v>RH</v>
          </cell>
          <cell r="O102" t="str">
            <v>robertiagus.haposan@alamtri.com</v>
          </cell>
          <cell r="P102">
            <v>466</v>
          </cell>
          <cell r="Q102">
            <v>7456000</v>
          </cell>
          <cell r="R102" t="str">
            <v>Completed Sign PO Contract</v>
          </cell>
          <cell r="T102" t="str">
            <v>MSW</v>
          </cell>
          <cell r="U102" t="str">
            <v>Trakindo Utama, PT (Tanjung)</v>
          </cell>
          <cell r="V102" t="str">
            <v>Trakindo Utama, PT</v>
          </cell>
          <cell r="W102" t="str">
            <v>1 of 1</v>
          </cell>
          <cell r="X102" t="str">
            <v>1 of 1</v>
          </cell>
          <cell r="Z102" t="str">
            <v/>
          </cell>
          <cell r="AC102" t="str">
            <v xml:space="preserve"> of </v>
          </cell>
          <cell r="AD102" t="str">
            <v xml:space="preserve"> of </v>
          </cell>
          <cell r="AF102" t="str">
            <v/>
          </cell>
          <cell r="AI102" t="str">
            <v xml:space="preserve"> of </v>
          </cell>
          <cell r="AJ102" t="str">
            <v xml:space="preserve"> of </v>
          </cell>
          <cell r="AM102">
            <v>0.70833333333333337</v>
          </cell>
          <cell r="AN102" t="str">
            <v>Trakindo Utama, PT</v>
          </cell>
          <cell r="AO102" t="str">
            <v>hjuniater.sidauruk@trakindo.co.id</v>
          </cell>
          <cell r="AP102" t="str">
            <v>PO25000009</v>
          </cell>
          <cell r="AQ102">
            <v>2760000</v>
          </cell>
          <cell r="AT102">
            <v>45694</v>
          </cell>
          <cell r="AU102">
            <v>45722</v>
          </cell>
          <cell r="AV102">
            <v>45701</v>
          </cell>
          <cell r="AW102">
            <v>45729</v>
          </cell>
          <cell r="AX102">
            <v>4</v>
          </cell>
          <cell r="AY102">
            <v>45703</v>
          </cell>
          <cell r="AZ102" t="str">
            <v/>
          </cell>
          <cell r="BA102" t="str">
            <v/>
          </cell>
          <cell r="BB102" t="str">
            <v>Completed</v>
          </cell>
          <cell r="BC102" t="str">
            <v>PR100010021</v>
          </cell>
        </row>
        <row r="103">
          <cell r="B103" t="str">
            <v>PR100010031</v>
          </cell>
          <cell r="C103" t="str">
            <v>Penggunaan Coal January 2025 OP Dept</v>
          </cell>
          <cell r="D103" t="str">
            <v>Adaro Indonesia, PT</v>
          </cell>
          <cell r="E103" t="str">
            <v>Adaro Indonesia, PT</v>
          </cell>
          <cell r="F103" t="str">
            <v/>
          </cell>
          <cell r="G103" t="str">
            <v/>
          </cell>
          <cell r="H103" t="str">
            <v>ARIES KURNIAWAN</v>
          </cell>
          <cell r="I103">
            <v>45698</v>
          </cell>
          <cell r="J103" t="str">
            <v>Tech Op</v>
          </cell>
          <cell r="K103" t="str">
            <v>B</v>
          </cell>
          <cell r="L103" t="str">
            <v>CTR</v>
          </cell>
          <cell r="N103" t="str">
            <v>RH</v>
          </cell>
          <cell r="O103" t="str">
            <v>robertiagus.haposan@alamtri.com</v>
          </cell>
          <cell r="P103">
            <v>473946</v>
          </cell>
          <cell r="Q103">
            <v>7583136000</v>
          </cell>
          <cell r="R103" t="str">
            <v>Completed Sign PO Contract</v>
          </cell>
          <cell r="T103" t="str">
            <v>MSW</v>
          </cell>
          <cell r="U103" t="str">
            <v>Adaro Indonesia, PT</v>
          </cell>
          <cell r="V103" t="str">
            <v>Adaro Indonesia, PT</v>
          </cell>
          <cell r="W103" t="str">
            <v>1 of 1</v>
          </cell>
          <cell r="X103" t="str">
            <v>1 of 1</v>
          </cell>
          <cell r="Z103" t="str">
            <v/>
          </cell>
          <cell r="AC103" t="str">
            <v xml:space="preserve"> of </v>
          </cell>
          <cell r="AD103" t="str">
            <v xml:space="preserve"> of </v>
          </cell>
          <cell r="AF103" t="str">
            <v/>
          </cell>
          <cell r="AI103" t="str">
            <v xml:space="preserve"> of </v>
          </cell>
          <cell r="AJ103" t="str">
            <v xml:space="preserve"> of </v>
          </cell>
          <cell r="AM103">
            <v>0.70833333333333337</v>
          </cell>
          <cell r="AN103" t="str">
            <v>Adaro Indonesia, PT</v>
          </cell>
          <cell r="AO103" t="str">
            <v>mulyadi@adaro.com; rachman.hakim@adaro.com; Shipping@adaro.com</v>
          </cell>
          <cell r="AP103" t="str">
            <v>PO25000032</v>
          </cell>
          <cell r="AQ103">
            <v>6344365818.1599998</v>
          </cell>
          <cell r="AT103">
            <v>45699</v>
          </cell>
          <cell r="AU103">
            <v>45728</v>
          </cell>
          <cell r="AV103">
            <v>45708</v>
          </cell>
          <cell r="AW103">
            <v>45737</v>
          </cell>
          <cell r="AX103">
            <v>4.1428571428571432</v>
          </cell>
          <cell r="AY103">
            <v>45688</v>
          </cell>
          <cell r="AZ103" t="str">
            <v/>
          </cell>
          <cell r="BA103" t="str">
            <v/>
          </cell>
          <cell r="BB103" t="str">
            <v>Completed</v>
          </cell>
          <cell r="BC103" t="str">
            <v>PR100010031</v>
          </cell>
        </row>
        <row r="104">
          <cell r="B104" t="str">
            <v>PR100010032</v>
          </cell>
          <cell r="C104" t="str">
            <v>Pengadaan Saw Dust January 2025 (PT KTM )</v>
          </cell>
          <cell r="D104" t="str">
            <v>Kalimantan Teknik Mandiri, PT</v>
          </cell>
          <cell r="E104" t="str">
            <v>Kalimantan Teknik Mandiri, PT</v>
          </cell>
          <cell r="F104" t="str">
            <v/>
          </cell>
          <cell r="G104" t="str">
            <v/>
          </cell>
          <cell r="H104" t="str">
            <v>ARIES KURNIAWAN</v>
          </cell>
          <cell r="I104">
            <v>45698</v>
          </cell>
          <cell r="J104" t="str">
            <v>Tech Op</v>
          </cell>
          <cell r="K104" t="str">
            <v>B</v>
          </cell>
          <cell r="L104" t="str">
            <v>CTR</v>
          </cell>
          <cell r="N104" t="str">
            <v>RH</v>
          </cell>
          <cell r="O104" t="str">
            <v>robertiagus.haposan@alamtri.com</v>
          </cell>
          <cell r="P104">
            <v>17429.940200000001</v>
          </cell>
          <cell r="Q104">
            <v>278879043.19999999</v>
          </cell>
          <cell r="R104" t="str">
            <v>Completed Sign PO Contract</v>
          </cell>
          <cell r="T104" t="str">
            <v>MSW</v>
          </cell>
          <cell r="U104" t="str">
            <v>Kalimantan Teknik Mandiri, PT</v>
          </cell>
          <cell r="V104" t="str">
            <v>Kalimantan Teknik Mandiri, PT</v>
          </cell>
          <cell r="W104" t="str">
            <v>1 of 1</v>
          </cell>
          <cell r="X104" t="str">
            <v>1 of 1</v>
          </cell>
          <cell r="Z104" t="str">
            <v/>
          </cell>
          <cell r="AC104" t="str">
            <v xml:space="preserve"> of </v>
          </cell>
          <cell r="AD104" t="str">
            <v xml:space="preserve"> of </v>
          </cell>
          <cell r="AF104" t="str">
            <v/>
          </cell>
          <cell r="AI104" t="str">
            <v xml:space="preserve"> of </v>
          </cell>
          <cell r="AJ104" t="str">
            <v xml:space="preserve"> of </v>
          </cell>
          <cell r="AM104">
            <v>0.70833333333333337</v>
          </cell>
          <cell r="AN104" t="str">
            <v>Kalimantan Teknik Mandiri, PT</v>
          </cell>
          <cell r="AO104" t="str">
            <v/>
          </cell>
          <cell r="AP104" t="str">
            <v>PO25000040</v>
          </cell>
          <cell r="AQ104">
            <v>286602300</v>
          </cell>
          <cell r="AT104">
            <v>45706</v>
          </cell>
          <cell r="AU104">
            <v>45734</v>
          </cell>
          <cell r="AV104">
            <v>45714</v>
          </cell>
          <cell r="AW104">
            <v>45742</v>
          </cell>
          <cell r="AX104">
            <v>4</v>
          </cell>
          <cell r="AY104">
            <v>45717</v>
          </cell>
          <cell r="AZ104" t="str">
            <v/>
          </cell>
          <cell r="BA104" t="str">
            <v/>
          </cell>
          <cell r="BB104" t="str">
            <v>Completed</v>
          </cell>
          <cell r="BC104" t="str">
            <v>PR100010032</v>
          </cell>
        </row>
        <row r="105">
          <cell r="B105" t="str">
            <v>PR100010036</v>
          </cell>
          <cell r="C105" t="str">
            <v>Pengadaan Saw Dust January 2025 ( CV FBE )</v>
          </cell>
          <cell r="D105" t="str">
            <v>Fahri Bersaudara, CV</v>
          </cell>
          <cell r="E105" t="str">
            <v>Fahri Bersaudara, CV</v>
          </cell>
          <cell r="F105" t="str">
            <v/>
          </cell>
          <cell r="G105" t="str">
            <v/>
          </cell>
          <cell r="H105" t="str">
            <v>ARIES KURNIAWAN</v>
          </cell>
          <cell r="I105">
            <v>45698</v>
          </cell>
          <cell r="J105" t="str">
            <v>Tech Op</v>
          </cell>
          <cell r="K105" t="str">
            <v>B</v>
          </cell>
          <cell r="L105" t="str">
            <v>CTR</v>
          </cell>
          <cell r="N105" t="str">
            <v>RH</v>
          </cell>
          <cell r="O105" t="str">
            <v>robertiagus.haposan@alamtri.com</v>
          </cell>
          <cell r="P105">
            <v>6197.9233000000004</v>
          </cell>
          <cell r="Q105">
            <v>99166772.800000012</v>
          </cell>
          <cell r="R105" t="str">
            <v>Completed Sign PO Contract</v>
          </cell>
          <cell r="T105" t="str">
            <v>MSW</v>
          </cell>
          <cell r="U105" t="str">
            <v>Fahri Bersaudara, CV</v>
          </cell>
          <cell r="V105" t="str">
            <v>Fahri Bersaudara, CV</v>
          </cell>
          <cell r="W105" t="str">
            <v>1 of 1</v>
          </cell>
          <cell r="X105" t="str">
            <v>1 of 1</v>
          </cell>
          <cell r="Z105" t="str">
            <v/>
          </cell>
          <cell r="AC105" t="str">
            <v xml:space="preserve"> of </v>
          </cell>
          <cell r="AD105" t="str">
            <v xml:space="preserve"> of </v>
          </cell>
          <cell r="AF105" t="str">
            <v/>
          </cell>
          <cell r="AI105" t="str">
            <v xml:space="preserve"> of </v>
          </cell>
          <cell r="AJ105" t="str">
            <v xml:space="preserve"> of </v>
          </cell>
          <cell r="AM105">
            <v>0.70833333333333337</v>
          </cell>
          <cell r="AN105" t="str">
            <v>Fahri Bersaudara, CV</v>
          </cell>
          <cell r="AO105" t="str">
            <v>fahrianifahmi89@gmail.com</v>
          </cell>
          <cell r="AP105" t="str">
            <v>PO25000039</v>
          </cell>
          <cell r="AQ105">
            <v>101913000</v>
          </cell>
          <cell r="AT105">
            <v>45714</v>
          </cell>
          <cell r="AU105">
            <v>45742</v>
          </cell>
          <cell r="AV105">
            <v>45720</v>
          </cell>
          <cell r="AW105">
            <v>45748</v>
          </cell>
          <cell r="AX105">
            <v>4</v>
          </cell>
          <cell r="AY105">
            <v>45728</v>
          </cell>
          <cell r="AZ105" t="str">
            <v/>
          </cell>
          <cell r="BA105" t="str">
            <v/>
          </cell>
          <cell r="BB105" t="str">
            <v>Completed</v>
          </cell>
          <cell r="BC105" t="str">
            <v>PR100010036</v>
          </cell>
        </row>
        <row r="106">
          <cell r="B106" t="str">
            <v>PR100010079 (Jan 25)</v>
          </cell>
          <cell r="C106" t="str">
            <v>Sewa Trafo JPI 35MVA   (1 Januari 2025 sd 31 Desember 2025)</v>
          </cell>
          <cell r="D106" t="str">
            <v>Adaro Minerals Indonesia Tbk, PT</v>
          </cell>
          <cell r="E106" t="str">
            <v>Adaro Minerals Indonesia Tbk, PT</v>
          </cell>
          <cell r="F106" t="str">
            <v/>
          </cell>
          <cell r="G106" t="str">
            <v/>
          </cell>
          <cell r="H106" t="str">
            <v>GUNARA FERY FAHNANI</v>
          </cell>
          <cell r="I106">
            <v>45701</v>
          </cell>
          <cell r="J106" t="str">
            <v>Tech Main</v>
          </cell>
          <cell r="K106" t="str">
            <v>J</v>
          </cell>
          <cell r="L106" t="str">
            <v>CTR</v>
          </cell>
          <cell r="N106" t="str">
            <v>RH</v>
          </cell>
          <cell r="O106" t="str">
            <v>robertiagus.haposan@alamtri.com</v>
          </cell>
          <cell r="P106">
            <v>4545</v>
          </cell>
          <cell r="Q106">
            <v>72720000</v>
          </cell>
          <cell r="R106" t="str">
            <v>Completed Sign PO Contract</v>
          </cell>
          <cell r="T106" t="str">
            <v>MSW</v>
          </cell>
          <cell r="U106" t="str">
            <v>Adaro Minerals Indonesia Tbk, PT</v>
          </cell>
          <cell r="V106" t="str">
            <v>Adaro Minerals Indonesia Tbk, PT</v>
          </cell>
          <cell r="W106" t="str">
            <v>1 of 1</v>
          </cell>
          <cell r="X106" t="str">
            <v>1 of 1</v>
          </cell>
          <cell r="Z106" t="str">
            <v/>
          </cell>
          <cell r="AC106" t="str">
            <v xml:space="preserve"> of </v>
          </cell>
          <cell r="AD106" t="str">
            <v xml:space="preserve"> of </v>
          </cell>
          <cell r="AF106" t="str">
            <v/>
          </cell>
          <cell r="AI106" t="str">
            <v xml:space="preserve"> of </v>
          </cell>
          <cell r="AJ106" t="str">
            <v xml:space="preserve"> of </v>
          </cell>
          <cell r="AM106">
            <v>0.41666666666666669</v>
          </cell>
          <cell r="AN106" t="str">
            <v>Adaro Minerals Indonesia Tbk, PT</v>
          </cell>
          <cell r="AO106" t="str">
            <v/>
          </cell>
          <cell r="AP106" t="str">
            <v>PO25000051R2</v>
          </cell>
          <cell r="AQ106">
            <v>69073551</v>
          </cell>
          <cell r="AT106">
            <v>45702</v>
          </cell>
          <cell r="AU106">
            <v>45733</v>
          </cell>
          <cell r="AV106">
            <v>45705</v>
          </cell>
          <cell r="AW106">
            <v>45736</v>
          </cell>
          <cell r="AX106">
            <v>4.4285714285714288</v>
          </cell>
          <cell r="AY106">
            <v>45708</v>
          </cell>
          <cell r="AZ106" t="str">
            <v/>
          </cell>
          <cell r="BA106" t="str">
            <v/>
          </cell>
          <cell r="BB106" t="str">
            <v>Completed</v>
          </cell>
          <cell r="BC106" t="str">
            <v>PR100010079</v>
          </cell>
        </row>
        <row r="107">
          <cell r="B107" t="str">
            <v>PR100010079 (Feb 25)</v>
          </cell>
          <cell r="C107" t="str">
            <v>Sewa Trafo JPI 35MVA   (1 Januari 2025 sd 31 Desember 2025)</v>
          </cell>
          <cell r="D107" t="str">
            <v>Adaro Minerals Indonesia Tbk, PT</v>
          </cell>
          <cell r="E107" t="str">
            <v>Adaro Minerals Indonesia Tbk, PT</v>
          </cell>
          <cell r="F107" t="str">
            <v/>
          </cell>
          <cell r="G107" t="str">
            <v/>
          </cell>
          <cell r="H107" t="str">
            <v>GUNARA FERY FAHNANI</v>
          </cell>
          <cell r="I107">
            <v>45730</v>
          </cell>
          <cell r="J107" t="str">
            <v>Tech Main</v>
          </cell>
          <cell r="K107" t="str">
            <v>J</v>
          </cell>
          <cell r="L107" t="str">
            <v>CTR</v>
          </cell>
          <cell r="N107" t="str">
            <v>RH</v>
          </cell>
          <cell r="O107" t="str">
            <v>robertiagus.haposan@alamtri.com</v>
          </cell>
          <cell r="P107">
            <v>4545</v>
          </cell>
          <cell r="Q107">
            <v>72720000</v>
          </cell>
          <cell r="R107" t="str">
            <v>Completed Sign PO Contract</v>
          </cell>
          <cell r="T107" t="str">
            <v>MSW</v>
          </cell>
          <cell r="U107" t="str">
            <v>Adaro Minerals Indonesia Tbk, PT</v>
          </cell>
          <cell r="V107" t="str">
            <v>Adaro Minerals Indonesia Tbk, PT</v>
          </cell>
          <cell r="W107" t="str">
            <v>1 of 1</v>
          </cell>
          <cell r="X107" t="str">
            <v>1 of 1</v>
          </cell>
          <cell r="Z107" t="str">
            <v/>
          </cell>
          <cell r="AC107" t="str">
            <v xml:space="preserve"> of </v>
          </cell>
          <cell r="AD107" t="str">
            <v xml:space="preserve"> of </v>
          </cell>
          <cell r="AF107" t="str">
            <v/>
          </cell>
          <cell r="AI107" t="str">
            <v xml:space="preserve"> of </v>
          </cell>
          <cell r="AJ107" t="str">
            <v xml:space="preserve"> of </v>
          </cell>
          <cell r="AM107">
            <v>0.70833333333333337</v>
          </cell>
          <cell r="AN107" t="str">
            <v>Adaro Minerals Indonesia Tbk, PT</v>
          </cell>
          <cell r="AO107" t="str">
            <v/>
          </cell>
          <cell r="AP107" t="str">
            <v>PO25000152</v>
          </cell>
          <cell r="AQ107">
            <v>69417433</v>
          </cell>
          <cell r="AT107">
            <v>45730</v>
          </cell>
          <cell r="AU107">
            <v>45761</v>
          </cell>
          <cell r="AV107">
            <v>45734</v>
          </cell>
          <cell r="AW107">
            <v>45765</v>
          </cell>
          <cell r="AX107">
            <v>4.4285714285714288</v>
          </cell>
          <cell r="AY107">
            <v>45735</v>
          </cell>
          <cell r="AZ107" t="str">
            <v/>
          </cell>
          <cell r="BA107" t="str">
            <v/>
          </cell>
          <cell r="BB107" t="str">
            <v>Completed</v>
          </cell>
          <cell r="BC107" t="str">
            <v>PR100010079</v>
          </cell>
        </row>
        <row r="108">
          <cell r="B108" t="str">
            <v>PR100010079 (Mar 25)</v>
          </cell>
          <cell r="C108" t="str">
            <v>Sewa Trafo JPI 35MVA   (1 Januari 2025 sd 31 Desember 2025)</v>
          </cell>
          <cell r="D108" t="str">
            <v>Adaro Minerals Indonesia Tbk, PT</v>
          </cell>
          <cell r="E108" t="str">
            <v>Adaro Minerals Indonesia Tbk, PT</v>
          </cell>
          <cell r="F108" t="str">
            <v/>
          </cell>
          <cell r="G108" t="str">
            <v/>
          </cell>
          <cell r="H108" t="str">
            <v>GUNARA FERY FAHNANI</v>
          </cell>
          <cell r="I108">
            <v>45744</v>
          </cell>
          <cell r="J108" t="str">
            <v>Tech Main</v>
          </cell>
          <cell r="K108" t="str">
            <v>J</v>
          </cell>
          <cell r="L108" t="str">
            <v>CTR</v>
          </cell>
          <cell r="N108" t="str">
            <v>RH</v>
          </cell>
          <cell r="O108" t="str">
            <v>robertiagus.haposan@alamtri.com</v>
          </cell>
          <cell r="P108">
            <v>4545</v>
          </cell>
          <cell r="Q108">
            <v>72720000</v>
          </cell>
          <cell r="R108" t="str">
            <v>Completed Sign PO Contract</v>
          </cell>
          <cell r="T108" t="str">
            <v>MSW</v>
          </cell>
          <cell r="U108" t="str">
            <v>Adaro Minerals Indonesia Tbk, PT</v>
          </cell>
          <cell r="V108" t="str">
            <v>Adaro Minerals Indonesia Tbk, PT</v>
          </cell>
          <cell r="W108" t="str">
            <v>1 of 1</v>
          </cell>
          <cell r="X108" t="str">
            <v>1 of 1</v>
          </cell>
          <cell r="Z108" t="str">
            <v/>
          </cell>
          <cell r="AC108" t="str">
            <v xml:space="preserve"> of </v>
          </cell>
          <cell r="AD108" t="str">
            <v xml:space="preserve"> of </v>
          </cell>
          <cell r="AF108" t="str">
            <v/>
          </cell>
          <cell r="AI108" t="str">
            <v xml:space="preserve"> of </v>
          </cell>
          <cell r="AJ108" t="str">
            <v xml:space="preserve"> of </v>
          </cell>
          <cell r="AM108">
            <v>0.70833333333333337</v>
          </cell>
          <cell r="AN108" t="str">
            <v>Adaro Minerals Indonesia Tbk, PT</v>
          </cell>
          <cell r="AO108" t="str">
            <v/>
          </cell>
          <cell r="AP108" t="str">
            <v>PO25000232</v>
          </cell>
          <cell r="AQ108">
            <v>69863205</v>
          </cell>
          <cell r="AT108">
            <v>45744</v>
          </cell>
          <cell r="AU108">
            <v>45775</v>
          </cell>
          <cell r="AV108">
            <v>45756</v>
          </cell>
          <cell r="AW108">
            <v>45787</v>
          </cell>
          <cell r="AX108">
            <v>4.4285714285714288</v>
          </cell>
          <cell r="AY108">
            <v>45757</v>
          </cell>
          <cell r="AZ108" t="str">
            <v/>
          </cell>
          <cell r="BA108" t="str">
            <v/>
          </cell>
          <cell r="BB108" t="str">
            <v>Completed</v>
          </cell>
          <cell r="BC108" t="str">
            <v>PR100010079</v>
          </cell>
        </row>
        <row r="109">
          <cell r="B109" t="str">
            <v>PR100010079 (Apr 25)</v>
          </cell>
          <cell r="C109" t="str">
            <v>Sewa Trafo JPI 35MVA   (1 Januari 2025 sd 31 Desember 2025)</v>
          </cell>
          <cell r="D109" t="str">
            <v>Adaro Minerals Indonesia Tbk, PT</v>
          </cell>
          <cell r="E109" t="str">
            <v>Adaro Minerals Indonesia Tbk, PT</v>
          </cell>
          <cell r="F109" t="str">
            <v/>
          </cell>
          <cell r="G109" t="str">
            <v/>
          </cell>
          <cell r="H109" t="str">
            <v>GUNARA FERY FAHNANI</v>
          </cell>
          <cell r="I109">
            <v>45783</v>
          </cell>
          <cell r="J109" t="str">
            <v>Tech Main</v>
          </cell>
          <cell r="K109" t="str">
            <v>J</v>
          </cell>
          <cell r="L109" t="str">
            <v>CTR</v>
          </cell>
          <cell r="N109" t="str">
            <v>RH</v>
          </cell>
          <cell r="O109" t="str">
            <v>robertiagus.haposan@alamtri.com</v>
          </cell>
          <cell r="P109">
            <v>4545</v>
          </cell>
          <cell r="Q109">
            <v>72720000</v>
          </cell>
          <cell r="R109" t="str">
            <v>Completed Sign PO Contract</v>
          </cell>
          <cell r="T109" t="str">
            <v>MSW</v>
          </cell>
          <cell r="U109" t="str">
            <v>Adaro Minerals Indonesia Tbk, PT</v>
          </cell>
          <cell r="V109" t="str">
            <v>Adaro Minerals Indonesia Tbk, PT</v>
          </cell>
          <cell r="W109" t="str">
            <v>1 of 1</v>
          </cell>
          <cell r="X109" t="str">
            <v>1 of 1</v>
          </cell>
          <cell r="Z109" t="str">
            <v/>
          </cell>
          <cell r="AC109" t="str">
            <v xml:space="preserve"> of </v>
          </cell>
          <cell r="AD109" t="str">
            <v xml:space="preserve"> of </v>
          </cell>
          <cell r="AF109" t="str">
            <v/>
          </cell>
          <cell r="AI109" t="str">
            <v xml:space="preserve"> of </v>
          </cell>
          <cell r="AJ109" t="str">
            <v xml:space="preserve"> of </v>
          </cell>
          <cell r="AM109">
            <v>0.70833333333333337</v>
          </cell>
          <cell r="AN109" t="str">
            <v>Adaro Minerals Indonesia Tbk, PT</v>
          </cell>
          <cell r="AO109" t="str">
            <v/>
          </cell>
          <cell r="AP109" t="str">
            <v>PO25000330</v>
          </cell>
          <cell r="AQ109">
            <v>71438269</v>
          </cell>
          <cell r="AT109">
            <v>45783</v>
          </cell>
          <cell r="AU109">
            <v>45814</v>
          </cell>
          <cell r="AV109">
            <v>45786</v>
          </cell>
          <cell r="AW109">
            <v>45817</v>
          </cell>
          <cell r="AX109">
            <v>4.4285714285714288</v>
          </cell>
          <cell r="AY109">
            <v>45792</v>
          </cell>
          <cell r="AZ109" t="str">
            <v/>
          </cell>
          <cell r="BA109" t="str">
            <v/>
          </cell>
          <cell r="BB109" t="str">
            <v>Completed</v>
          </cell>
          <cell r="BC109" t="str">
            <v>PR100010079</v>
          </cell>
        </row>
        <row r="110">
          <cell r="B110" t="str">
            <v>PR100010079 (Mei 25)</v>
          </cell>
          <cell r="C110" t="str">
            <v>Sewa Trafo JPI 35MVA   (1 Januari 2025 sd 31 Desember 2025)</v>
          </cell>
          <cell r="D110" t="str">
            <v>Adaro Minerals Indonesia Tbk, PT</v>
          </cell>
          <cell r="E110" t="str">
            <v>Adaro Minerals Indonesia Tbk, PT</v>
          </cell>
          <cell r="F110" t="str">
            <v/>
          </cell>
          <cell r="G110" t="str">
            <v/>
          </cell>
          <cell r="H110" t="str">
            <v>GUNARA FERY FAHNANI</v>
          </cell>
          <cell r="I110">
            <v>45820</v>
          </cell>
          <cell r="J110" t="str">
            <v>Tech Main</v>
          </cell>
          <cell r="K110" t="str">
            <v>J</v>
          </cell>
          <cell r="L110" t="str">
            <v>CTR</v>
          </cell>
          <cell r="N110" t="str">
            <v>RH</v>
          </cell>
          <cell r="O110" t="str">
            <v>robertiagus.haposan@alamtri.com</v>
          </cell>
          <cell r="P110">
            <v>4545</v>
          </cell>
          <cell r="Q110">
            <v>72720000</v>
          </cell>
          <cell r="R110" t="str">
            <v>Completed Sign PO Contract</v>
          </cell>
          <cell r="T110" t="str">
            <v>MSW</v>
          </cell>
          <cell r="U110" t="str">
            <v>Adaro Minerals Indonesia Tbk, PT</v>
          </cell>
          <cell r="V110" t="str">
            <v>Adaro Minerals Indonesia Tbk, PT</v>
          </cell>
          <cell r="W110" t="str">
            <v>1 of 1</v>
          </cell>
          <cell r="X110" t="str">
            <v>1 of 1</v>
          </cell>
          <cell r="Z110" t="str">
            <v/>
          </cell>
          <cell r="AC110" t="str">
            <v xml:space="preserve"> of </v>
          </cell>
          <cell r="AD110" t="str">
            <v xml:space="preserve"> of </v>
          </cell>
          <cell r="AF110" t="str">
            <v/>
          </cell>
          <cell r="AI110" t="str">
            <v xml:space="preserve"> of </v>
          </cell>
          <cell r="AJ110" t="str">
            <v xml:space="preserve"> of </v>
          </cell>
          <cell r="AM110">
            <v>0.70833333333333337</v>
          </cell>
          <cell r="AN110" t="str">
            <v>Adaro Minerals Indonesia Tbk, PT</v>
          </cell>
          <cell r="AO110" t="str">
            <v/>
          </cell>
          <cell r="AP110" t="str">
            <v>PO25000402</v>
          </cell>
          <cell r="AQ110">
            <v>69701878</v>
          </cell>
          <cell r="AT110">
            <v>45820</v>
          </cell>
          <cell r="AU110">
            <v>45851</v>
          </cell>
          <cell r="AV110">
            <v>45824</v>
          </cell>
          <cell r="AW110">
            <v>45855</v>
          </cell>
          <cell r="AX110">
            <v>4.4285714285714288</v>
          </cell>
          <cell r="AY110">
            <v>45825</v>
          </cell>
          <cell r="AZ110" t="str">
            <v/>
          </cell>
          <cell r="BA110" t="str">
            <v/>
          </cell>
          <cell r="BB110" t="str">
            <v>Completed</v>
          </cell>
          <cell r="BC110" t="str">
            <v>PR100010079</v>
          </cell>
        </row>
        <row r="111">
          <cell r="B111" t="str">
            <v>PR100010110</v>
          </cell>
          <cell r="C111" t="str">
            <v>FUEL B40 TRANSPORTATION SERVICE 40KL ORDER Feb 2025 (Pengiriman 24 Feb 2025)</v>
          </cell>
          <cell r="D111" t="str">
            <v>Sinar Alam Duta Perdana, PT</v>
          </cell>
          <cell r="E111" t="str">
            <v>Sinar Alam Duta Perdana, PT</v>
          </cell>
          <cell r="F111" t="str">
            <v/>
          </cell>
          <cell r="G111" t="str">
            <v/>
          </cell>
          <cell r="H111" t="str">
            <v>ARIES KURNIAWAN</v>
          </cell>
          <cell r="I111">
            <v>45708</v>
          </cell>
          <cell r="J111" t="str">
            <v>Tech OP</v>
          </cell>
          <cell r="K111" t="str">
            <v>J</v>
          </cell>
          <cell r="L111" t="str">
            <v>CTR</v>
          </cell>
          <cell r="N111" t="str">
            <v>RH</v>
          </cell>
          <cell r="O111" t="str">
            <v>robertiagus.haposan@alamtri.com</v>
          </cell>
          <cell r="P111">
            <v>1704</v>
          </cell>
          <cell r="Q111">
            <v>27264000</v>
          </cell>
          <cell r="R111" t="str">
            <v>Completed Sign PO Contract</v>
          </cell>
          <cell r="T111" t="str">
            <v>MSW</v>
          </cell>
          <cell r="U111" t="str">
            <v>Sinar Alam Duta Perdana, PT</v>
          </cell>
          <cell r="V111" t="str">
            <v>Sinar Alam Duta Perdana, PT</v>
          </cell>
          <cell r="W111" t="str">
            <v>1 of 1</v>
          </cell>
          <cell r="X111" t="str">
            <v>1 of 1</v>
          </cell>
          <cell r="Z111" t="str">
            <v/>
          </cell>
          <cell r="AC111" t="str">
            <v xml:space="preserve"> of </v>
          </cell>
          <cell r="AD111" t="str">
            <v xml:space="preserve"> of </v>
          </cell>
          <cell r="AF111" t="str">
            <v/>
          </cell>
          <cell r="AI111" t="str">
            <v xml:space="preserve"> of </v>
          </cell>
          <cell r="AJ111" t="str">
            <v xml:space="preserve"> of </v>
          </cell>
          <cell r="AL111" t="str">
            <v/>
          </cell>
          <cell r="AM111">
            <v>0.70833333333333337</v>
          </cell>
          <cell r="AN111" t="str">
            <v>Sinar Alam Duta Perdana, PT</v>
          </cell>
          <cell r="AO111" t="str">
            <v>sherlly@sadp.co.id; misrawardi@sadp.co.id; sales1@sadp.co.id; marini@sadp.co.id; ridho@sadp.co.id; nisa_fitria@sadp.co.id; ismawati@sadp.co.id</v>
          </cell>
          <cell r="AP111" t="str">
            <v>PO25000075</v>
          </cell>
          <cell r="AQ111">
            <v>16000000</v>
          </cell>
          <cell r="AT111">
            <v>45709</v>
          </cell>
          <cell r="AU111">
            <v>45716</v>
          </cell>
          <cell r="AV111">
            <v>45726</v>
          </cell>
          <cell r="AW111">
            <v>45733</v>
          </cell>
          <cell r="AX111">
            <v>1</v>
          </cell>
          <cell r="AY111">
            <v>45747</v>
          </cell>
          <cell r="AZ111">
            <v>14</v>
          </cell>
          <cell r="BA111">
            <v>224000</v>
          </cell>
          <cell r="BB111" t="str">
            <v>Completed</v>
          </cell>
          <cell r="BC111" t="str">
            <v>PR100010110</v>
          </cell>
        </row>
        <row r="112">
          <cell r="B112" t="str">
            <v>PR100010108</v>
          </cell>
          <cell r="C112" t="str">
            <v>FUEL B40 FOR  MAIN LDO TANK 40KL ORDER Feb 2025 (Pengiriman 24 Feb 2025)</v>
          </cell>
          <cell r="D112" t="str">
            <v>Pertamina Patra Niaga, PT</v>
          </cell>
          <cell r="E112" t="str">
            <v>Sinar Alam Duta Perdana, PT</v>
          </cell>
          <cell r="F112" t="str">
            <v/>
          </cell>
          <cell r="G112" t="str">
            <v/>
          </cell>
          <cell r="H112" t="str">
            <v>ARIES KURNIAWAN</v>
          </cell>
          <cell r="I112">
            <v>45712</v>
          </cell>
          <cell r="J112" t="str">
            <v>Tech Op</v>
          </cell>
          <cell r="K112" t="str">
            <v>B</v>
          </cell>
          <cell r="L112" t="str">
            <v>CTR</v>
          </cell>
          <cell r="N112" t="str">
            <v>RH</v>
          </cell>
          <cell r="O112" t="str">
            <v>robertiagus.haposan@alamtri.com</v>
          </cell>
          <cell r="P112">
            <v>38353.796300000002</v>
          </cell>
          <cell r="Q112">
            <v>613660740.80000007</v>
          </cell>
          <cell r="R112" t="str">
            <v>Completed Sign PO Contract</v>
          </cell>
          <cell r="T112" t="str">
            <v>MSW</v>
          </cell>
          <cell r="U112" t="str">
            <v>Sinar Alam Duta Perdana, PT</v>
          </cell>
          <cell r="V112" t="str">
            <v>Sinar Alam Duta Perdana, PT</v>
          </cell>
          <cell r="W112" t="str">
            <v>1 of 1</v>
          </cell>
          <cell r="X112" t="str">
            <v>1 of 1</v>
          </cell>
          <cell r="Z112" t="str">
            <v/>
          </cell>
          <cell r="AC112" t="str">
            <v xml:space="preserve"> of </v>
          </cell>
          <cell r="AD112" t="str">
            <v xml:space="preserve"> of </v>
          </cell>
          <cell r="AF112" t="str">
            <v/>
          </cell>
          <cell r="AI112" t="str">
            <v xml:space="preserve"> of </v>
          </cell>
          <cell r="AJ112" t="str">
            <v xml:space="preserve"> of </v>
          </cell>
          <cell r="AL112" t="str">
            <v/>
          </cell>
          <cell r="AM112">
            <v>0.70833333333333337</v>
          </cell>
          <cell r="AN112" t="str">
            <v>Pertamina Patra Niaga, PT</v>
          </cell>
          <cell r="AO112" t="str">
            <v>ibnu.kautsar@pertamina.com; muhammad.nurdin@pertamina.com; mk.ihdimahyapi@mitrakerja.pertamina.com; mk.muhammad.jamil@mitrakerja.pertamina.com; pandu.dwijayanto@pertamina.com; mk.della.putri@mitrakerja.pertamina.com; mk.dwi.oktaviana@mitrakerja.pertamina.com; mk.mardhiyah.m@mitrakerja.pertamina.com</v>
          </cell>
          <cell r="AP112" t="str">
            <v>PO25000082</v>
          </cell>
          <cell r="AQ112">
            <v>525128400</v>
          </cell>
          <cell r="AT112">
            <v>45712</v>
          </cell>
          <cell r="AU112">
            <v>45723</v>
          </cell>
          <cell r="AV112">
            <v>45723</v>
          </cell>
          <cell r="AW112">
            <v>45734</v>
          </cell>
          <cell r="AX112">
            <v>1.5714285714285714</v>
          </cell>
          <cell r="AZ112" t="str">
            <v/>
          </cell>
          <cell r="BA112" t="str">
            <v/>
          </cell>
          <cell r="BB112" t="str">
            <v>Completed</v>
          </cell>
          <cell r="BC112" t="str">
            <v>PR100010108</v>
          </cell>
        </row>
        <row r="113">
          <cell r="B113" t="str">
            <v>PR100010151</v>
          </cell>
          <cell r="C113" t="str">
            <v>Bonus Performance PLTS periode 2024 sesuai (No Kontrak MSW/02/NEC-TML/III/2021)</v>
          </cell>
          <cell r="D113" t="str">
            <v>Tritama Mitra Lestari, PT</v>
          </cell>
          <cell r="E113" t="str">
            <v>Tritama Mitra Lestari, PT</v>
          </cell>
          <cell r="F113" t="str">
            <v/>
          </cell>
          <cell r="G113" t="str">
            <v/>
          </cell>
          <cell r="H113" t="str">
            <v>GUNARA FERY FAHNANI</v>
          </cell>
          <cell r="I113">
            <v>45716</v>
          </cell>
          <cell r="J113" t="str">
            <v>Tech Main</v>
          </cell>
          <cell r="K113" t="str">
            <v>J</v>
          </cell>
          <cell r="L113" t="str">
            <v>CTR</v>
          </cell>
          <cell r="N113" t="str">
            <v>RH</v>
          </cell>
          <cell r="O113" t="str">
            <v>robertiagus.haposan@alamtri.com</v>
          </cell>
          <cell r="P113">
            <v>6775.23</v>
          </cell>
          <cell r="Q113">
            <v>108403680</v>
          </cell>
          <cell r="R113" t="str">
            <v>Completed Sign PO Contract</v>
          </cell>
          <cell r="T113" t="str">
            <v>MSW</v>
          </cell>
          <cell r="U113" t="str">
            <v>Tritama Mitra Lestari, PT</v>
          </cell>
          <cell r="V113" t="str">
            <v>Tritama Mitra Lestari, PT</v>
          </cell>
          <cell r="W113" t="str">
            <v>1 of 1</v>
          </cell>
          <cell r="X113" t="str">
            <v>1 of 1</v>
          </cell>
          <cell r="Z113" t="str">
            <v/>
          </cell>
          <cell r="AC113" t="str">
            <v xml:space="preserve"> of </v>
          </cell>
          <cell r="AD113" t="str">
            <v xml:space="preserve"> of </v>
          </cell>
          <cell r="AF113" t="str">
            <v/>
          </cell>
          <cell r="AI113" t="str">
            <v xml:space="preserve"> of </v>
          </cell>
          <cell r="AJ113" t="str">
            <v xml:space="preserve"> of </v>
          </cell>
          <cell r="AL113" t="str">
            <v/>
          </cell>
          <cell r="AM113">
            <v>0.70833333333333337</v>
          </cell>
          <cell r="AN113" t="str">
            <v>Tritama Mitra Lestari, PT</v>
          </cell>
          <cell r="AO113" t="str">
            <v>daffaghifari@tmlenergy.co.id</v>
          </cell>
          <cell r="AP113" t="str">
            <v>PO25000108</v>
          </cell>
          <cell r="AQ113">
            <v>156826432.21000001</v>
          </cell>
          <cell r="AT113">
            <v>45719</v>
          </cell>
          <cell r="AU113">
            <v>45750</v>
          </cell>
          <cell r="AV113">
            <v>45722</v>
          </cell>
          <cell r="AW113">
            <v>45753</v>
          </cell>
          <cell r="AX113">
            <v>4.4285714285714288</v>
          </cell>
          <cell r="AY113">
            <v>45722</v>
          </cell>
          <cell r="AZ113" t="str">
            <v/>
          </cell>
          <cell r="BA113" t="str">
            <v/>
          </cell>
          <cell r="BB113" t="str">
            <v>Completed</v>
          </cell>
          <cell r="BC113" t="str">
            <v/>
          </cell>
        </row>
        <row r="114">
          <cell r="B114" t="str">
            <v>PR100010150 (Jan 25)</v>
          </cell>
          <cell r="C114" t="str">
            <v>Rental PLTS floating 468 kWP Klanis</v>
          </cell>
          <cell r="D114" t="str">
            <v>Tritama Mitra Lestari, PT</v>
          </cell>
          <cell r="E114" t="str">
            <v>Tritama Mitra Lestari, PT</v>
          </cell>
          <cell r="F114" t="str">
            <v/>
          </cell>
          <cell r="G114" t="str">
            <v/>
          </cell>
          <cell r="H114" t="str">
            <v>GUNARA FERY FAHNANI</v>
          </cell>
          <cell r="I114">
            <v>45716</v>
          </cell>
          <cell r="J114" t="str">
            <v>Tech Main</v>
          </cell>
          <cell r="K114" t="str">
            <v>J</v>
          </cell>
          <cell r="L114" t="str">
            <v>CTR</v>
          </cell>
          <cell r="N114" t="str">
            <v>RH</v>
          </cell>
          <cell r="O114" t="str">
            <v>robertiagus.haposan@alamtri.com</v>
          </cell>
          <cell r="P114">
            <v>6775.23</v>
          </cell>
          <cell r="Q114">
            <v>108403680</v>
          </cell>
          <cell r="R114" t="str">
            <v>Completed Sign PO Contract</v>
          </cell>
          <cell r="T114" t="str">
            <v>MSW</v>
          </cell>
          <cell r="U114" t="str">
            <v>Tritama Mitra Lestari, PT</v>
          </cell>
          <cell r="V114" t="str">
            <v>Tritama Mitra Lestari, PT</v>
          </cell>
          <cell r="W114" t="str">
            <v>1 of 1</v>
          </cell>
          <cell r="X114" t="str">
            <v>1 of 1</v>
          </cell>
          <cell r="Z114" t="str">
            <v/>
          </cell>
          <cell r="AC114" t="str">
            <v xml:space="preserve"> of </v>
          </cell>
          <cell r="AD114" t="str">
            <v xml:space="preserve"> of </v>
          </cell>
          <cell r="AF114" t="str">
            <v/>
          </cell>
          <cell r="AI114" t="str">
            <v xml:space="preserve"> of </v>
          </cell>
          <cell r="AJ114" t="str">
            <v xml:space="preserve"> of </v>
          </cell>
          <cell r="AL114" t="str">
            <v/>
          </cell>
          <cell r="AM114">
            <v>0.70833333333333337</v>
          </cell>
          <cell r="AN114" t="str">
            <v>Tritama Mitra Lestari, PT</v>
          </cell>
          <cell r="AO114" t="str">
            <v>daffaghifari@tmlenergy.co.id</v>
          </cell>
          <cell r="AP114" t="str">
            <v>PO25000109</v>
          </cell>
          <cell r="AQ114">
            <v>100212796.48999999</v>
          </cell>
          <cell r="AT114">
            <v>45719</v>
          </cell>
          <cell r="AU114">
            <v>45750</v>
          </cell>
          <cell r="AV114">
            <v>45722</v>
          </cell>
          <cell r="AW114">
            <v>45753</v>
          </cell>
          <cell r="AX114">
            <v>4.4285714285714288</v>
          </cell>
          <cell r="AY114">
            <v>45722</v>
          </cell>
          <cell r="AZ114" t="str">
            <v/>
          </cell>
          <cell r="BA114" t="str">
            <v/>
          </cell>
          <cell r="BB114" t="str">
            <v>Completed</v>
          </cell>
          <cell r="BC114" t="str">
            <v>PR100010150</v>
          </cell>
        </row>
        <row r="115">
          <cell r="B115" t="str">
            <v>PR100010150 (Feb 25)</v>
          </cell>
          <cell r="C115" t="str">
            <v>Rental PLTS floating 468 kWP Klanis</v>
          </cell>
          <cell r="D115" t="str">
            <v>Tritama Mitra Lestari, PT</v>
          </cell>
          <cell r="E115" t="str">
            <v>Tritama Mitra Lestari, PT</v>
          </cell>
          <cell r="F115" t="str">
            <v/>
          </cell>
          <cell r="G115" t="str">
            <v/>
          </cell>
          <cell r="H115" t="str">
            <v>GUNARA FERY FAHNANI</v>
          </cell>
          <cell r="I115">
            <v>45716</v>
          </cell>
          <cell r="J115" t="str">
            <v>Tech Main</v>
          </cell>
          <cell r="K115" t="str">
            <v>J</v>
          </cell>
          <cell r="L115" t="str">
            <v>CTR</v>
          </cell>
          <cell r="N115" t="str">
            <v>RH</v>
          </cell>
          <cell r="O115" t="str">
            <v>robertiagus.haposan@alamtri.com</v>
          </cell>
          <cell r="P115">
            <v>6775.23</v>
          </cell>
          <cell r="Q115">
            <v>108403680</v>
          </cell>
          <cell r="R115" t="str">
            <v>Completed Sign PO Contract</v>
          </cell>
          <cell r="T115" t="str">
            <v>MSW</v>
          </cell>
          <cell r="U115" t="str">
            <v>Tritama Mitra Lestari, PT</v>
          </cell>
          <cell r="V115" t="str">
            <v>Tritama Mitra Lestari, PT</v>
          </cell>
          <cell r="W115" t="str">
            <v>1 of 1</v>
          </cell>
          <cell r="X115" t="str">
            <v>1 of 1</v>
          </cell>
          <cell r="Z115" t="str">
            <v/>
          </cell>
          <cell r="AC115" t="str">
            <v xml:space="preserve"> of </v>
          </cell>
          <cell r="AD115" t="str">
            <v xml:space="preserve"> of </v>
          </cell>
          <cell r="AF115" t="str">
            <v/>
          </cell>
          <cell r="AI115" t="str">
            <v xml:space="preserve"> of </v>
          </cell>
          <cell r="AJ115" t="str">
            <v xml:space="preserve"> of </v>
          </cell>
          <cell r="AL115" t="str">
            <v/>
          </cell>
          <cell r="AM115">
            <v>0.70833333333333337</v>
          </cell>
          <cell r="AN115" t="str">
            <v>Tritama Mitra Lestari, PT</v>
          </cell>
          <cell r="AO115" t="str">
            <v>daffaghifari@tmlenergy.co.id</v>
          </cell>
          <cell r="AP115" t="str">
            <v>PO25000148</v>
          </cell>
          <cell r="AQ115">
            <v>100711022</v>
          </cell>
          <cell r="AT115">
            <v>45729</v>
          </cell>
          <cell r="AU115">
            <v>45758</v>
          </cell>
          <cell r="AV115">
            <v>45734</v>
          </cell>
          <cell r="AW115">
            <v>45763</v>
          </cell>
          <cell r="AX115">
            <v>4.1428571428571432</v>
          </cell>
          <cell r="AY115">
            <v>45735</v>
          </cell>
          <cell r="AZ115" t="str">
            <v/>
          </cell>
          <cell r="BA115" t="str">
            <v/>
          </cell>
          <cell r="BB115" t="str">
            <v>Completed</v>
          </cell>
          <cell r="BC115" t="str">
            <v>PR100010150</v>
          </cell>
        </row>
        <row r="116">
          <cell r="B116" t="str">
            <v>PR100010150 (Mar 25)</v>
          </cell>
          <cell r="C116" t="str">
            <v>Rental PLTS floating 468 kWP Klanis</v>
          </cell>
          <cell r="D116" t="str">
            <v>Tritama Mitra Lestari, PT</v>
          </cell>
          <cell r="E116" t="str">
            <v>Tritama Mitra Lestari, PT</v>
          </cell>
          <cell r="F116" t="str">
            <v/>
          </cell>
          <cell r="G116" t="str">
            <v/>
          </cell>
          <cell r="H116" t="str">
            <v>GUNARA FERY FAHNANI</v>
          </cell>
          <cell r="I116">
            <v>45716</v>
          </cell>
          <cell r="J116" t="str">
            <v>Tech Main</v>
          </cell>
          <cell r="K116" t="str">
            <v>J</v>
          </cell>
          <cell r="L116" t="str">
            <v>CTR</v>
          </cell>
          <cell r="N116" t="str">
            <v>RH</v>
          </cell>
          <cell r="O116" t="str">
            <v>robertiagus.haposan@alamtri.com</v>
          </cell>
          <cell r="P116">
            <v>6775.23</v>
          </cell>
          <cell r="Q116">
            <v>108403680</v>
          </cell>
          <cell r="R116" t="str">
            <v>Completed Sign PO Contract</v>
          </cell>
          <cell r="T116" t="str">
            <v>MSW</v>
          </cell>
          <cell r="U116" t="str">
            <v>Tritama Mitra Lestari, PT</v>
          </cell>
          <cell r="V116" t="str">
            <v>Tritama Mitra Lestari, PT</v>
          </cell>
          <cell r="W116" t="str">
            <v>1 of 1</v>
          </cell>
          <cell r="X116" t="str">
            <v>1 of 1</v>
          </cell>
          <cell r="Z116" t="str">
            <v/>
          </cell>
          <cell r="AC116" t="str">
            <v xml:space="preserve"> of </v>
          </cell>
          <cell r="AD116" t="str">
            <v xml:space="preserve"> of </v>
          </cell>
          <cell r="AF116" t="str">
            <v/>
          </cell>
          <cell r="AI116" t="str">
            <v xml:space="preserve"> of </v>
          </cell>
          <cell r="AJ116" t="str">
            <v xml:space="preserve"> of </v>
          </cell>
          <cell r="AL116" t="str">
            <v/>
          </cell>
          <cell r="AM116">
            <v>0.70833333333333337</v>
          </cell>
          <cell r="AN116" t="str">
            <v>Tritama Mitra Lestari, PT</v>
          </cell>
          <cell r="AO116" t="str">
            <v>daffaghifari@tmlenergy.co.id</v>
          </cell>
          <cell r="AP116" t="str">
            <v>PO25000300</v>
          </cell>
          <cell r="AQ116">
            <v>101355469.81999999</v>
          </cell>
          <cell r="AT116">
            <v>45769</v>
          </cell>
          <cell r="AU116">
            <v>45799</v>
          </cell>
          <cell r="AV116">
            <v>45770</v>
          </cell>
          <cell r="AW116">
            <v>45800</v>
          </cell>
          <cell r="AX116">
            <v>4.2857142857142856</v>
          </cell>
          <cell r="AY116">
            <v>45771</v>
          </cell>
          <cell r="AZ116" t="str">
            <v/>
          </cell>
          <cell r="BA116" t="str">
            <v/>
          </cell>
          <cell r="BB116" t="str">
            <v>Late Completed</v>
          </cell>
          <cell r="BC116" t="str">
            <v>PR100010150</v>
          </cell>
        </row>
        <row r="117">
          <cell r="B117" t="str">
            <v>PR100010155</v>
          </cell>
          <cell r="C117" t="str">
            <v>Penggunaan Coal Februari 2025 OP Dept</v>
          </cell>
          <cell r="D117" t="str">
            <v>Adaro Indonesia, PT</v>
          </cell>
          <cell r="E117" t="str">
            <v>Adaro Indonesia, PT</v>
          </cell>
          <cell r="F117" t="str">
            <v/>
          </cell>
          <cell r="G117" t="str">
            <v/>
          </cell>
          <cell r="H117" t="str">
            <v>ARIES KURNIAWAN</v>
          </cell>
          <cell r="I117">
            <v>45728</v>
          </cell>
          <cell r="J117" t="str">
            <v>Tech Op</v>
          </cell>
          <cell r="K117" t="str">
            <v>B</v>
          </cell>
          <cell r="L117" t="str">
            <v>CTR</v>
          </cell>
          <cell r="N117" t="str">
            <v>RH</v>
          </cell>
          <cell r="O117" t="str">
            <v>robertiagus.haposan@alamtri.com</v>
          </cell>
          <cell r="P117">
            <v>333267</v>
          </cell>
          <cell r="Q117">
            <v>5332272000</v>
          </cell>
          <cell r="R117" t="str">
            <v>Completed Sign PO Contract</v>
          </cell>
          <cell r="T117" t="str">
            <v>MSW</v>
          </cell>
          <cell r="U117" t="str">
            <v>Adaro Indonesia, PT</v>
          </cell>
          <cell r="V117" t="str">
            <v>Adaro Indonesia, PT</v>
          </cell>
          <cell r="W117" t="str">
            <v>1 of 1</v>
          </cell>
          <cell r="X117" t="str">
            <v>1 of 1</v>
          </cell>
          <cell r="Z117" t="str">
            <v/>
          </cell>
          <cell r="AC117" t="str">
            <v xml:space="preserve"> of </v>
          </cell>
          <cell r="AD117" t="str">
            <v xml:space="preserve"> of </v>
          </cell>
          <cell r="AF117" t="str">
            <v/>
          </cell>
          <cell r="AI117" t="str">
            <v xml:space="preserve"> of </v>
          </cell>
          <cell r="AJ117" t="str">
            <v xml:space="preserve"> of </v>
          </cell>
          <cell r="AL117" t="str">
            <v/>
          </cell>
          <cell r="AM117">
            <v>0.70833333333333337</v>
          </cell>
          <cell r="AN117" t="str">
            <v>Adaro Indonesia, PT</v>
          </cell>
          <cell r="AO117" t="str">
            <v>mulyadi@adaro.com; rachman.hakim@adaro.com; Shipping@adaro.com</v>
          </cell>
          <cell r="AP117" t="str">
            <v>PO25000153</v>
          </cell>
          <cell r="AQ117">
            <v>4492013487.1499996</v>
          </cell>
          <cell r="AT117">
            <v>45730</v>
          </cell>
          <cell r="AU117">
            <v>45761</v>
          </cell>
          <cell r="AV117">
            <v>45734</v>
          </cell>
          <cell r="AW117">
            <v>45765</v>
          </cell>
          <cell r="AX117">
            <v>4.4285714285714288</v>
          </cell>
          <cell r="AY117">
            <v>45716</v>
          </cell>
          <cell r="AZ117" t="str">
            <v/>
          </cell>
          <cell r="BA117" t="str">
            <v/>
          </cell>
          <cell r="BB117" t="str">
            <v>Completed</v>
          </cell>
          <cell r="BC117" t="str">
            <v>PR100010155</v>
          </cell>
        </row>
        <row r="118">
          <cell r="B118" t="str">
            <v>PR100010157</v>
          </cell>
          <cell r="C118" t="str">
            <v>Pengadaan Saw Dust Februari 2025 (PT KTM )</v>
          </cell>
          <cell r="D118" t="str">
            <v>Kalimantan Teknik Mandiri, PT</v>
          </cell>
          <cell r="E118" t="str">
            <v>Kalimantan Teknik Mandiri, PT</v>
          </cell>
          <cell r="F118" t="str">
            <v/>
          </cell>
          <cell r="G118" t="str">
            <v/>
          </cell>
          <cell r="H118" t="str">
            <v>ARIES KURNIAWAN</v>
          </cell>
          <cell r="I118">
            <v>45728</v>
          </cell>
          <cell r="J118" t="str">
            <v>Tech Op</v>
          </cell>
          <cell r="K118" t="str">
            <v>B</v>
          </cell>
          <cell r="L118" t="str">
            <v>CTR</v>
          </cell>
          <cell r="N118" t="str">
            <v>RH</v>
          </cell>
          <cell r="O118" t="str">
            <v>robertiagus.haposan@alamtri.com</v>
          </cell>
          <cell r="P118">
            <v>15517.2173</v>
          </cell>
          <cell r="Q118">
            <v>248275476.80000001</v>
          </cell>
          <cell r="R118" t="str">
            <v>Completed Sign PO Contract</v>
          </cell>
          <cell r="T118" t="str">
            <v>MSW</v>
          </cell>
          <cell r="U118" t="str">
            <v>Kalimantan Teknik Mandiri, PT</v>
          </cell>
          <cell r="V118" t="str">
            <v>Kalimantan Teknik Mandiri, PT</v>
          </cell>
          <cell r="W118" t="str">
            <v>1 of 1</v>
          </cell>
          <cell r="X118" t="str">
            <v>1 of 1</v>
          </cell>
          <cell r="Z118" t="str">
            <v/>
          </cell>
          <cell r="AC118" t="str">
            <v xml:space="preserve"> of </v>
          </cell>
          <cell r="AD118" t="str">
            <v xml:space="preserve"> of </v>
          </cell>
          <cell r="AF118" t="str">
            <v/>
          </cell>
          <cell r="AI118" t="str">
            <v xml:space="preserve"> of </v>
          </cell>
          <cell r="AJ118" t="str">
            <v xml:space="preserve"> of </v>
          </cell>
          <cell r="AL118">
            <v>45786</v>
          </cell>
          <cell r="AM118">
            <v>0.70833333333333337</v>
          </cell>
          <cell r="AN118" t="str">
            <v>Kalimantan Teknik Mandiri, PT</v>
          </cell>
          <cell r="AO118" t="str">
            <v/>
          </cell>
          <cell r="AP118" t="str">
            <v>PO25000154</v>
          </cell>
          <cell r="AQ118">
            <v>255151200</v>
          </cell>
          <cell r="AT118">
            <v>45730</v>
          </cell>
          <cell r="AU118">
            <v>45761</v>
          </cell>
          <cell r="AV118">
            <v>45733</v>
          </cell>
          <cell r="AW118">
            <v>45764</v>
          </cell>
          <cell r="AX118">
            <v>4.4285714285714288</v>
          </cell>
          <cell r="AY118">
            <v>45731</v>
          </cell>
          <cell r="AZ118" t="str">
            <v/>
          </cell>
          <cell r="BA118" t="str">
            <v/>
          </cell>
          <cell r="BB118" t="str">
            <v>Completed</v>
          </cell>
          <cell r="BC118" t="str">
            <v>PR100010157</v>
          </cell>
        </row>
        <row r="119">
          <cell r="B119" t="str">
            <v>PR100010158</v>
          </cell>
          <cell r="C119" t="str">
            <v>Pengadaan Saw Dust Februari 2025 ( CV FBE )</v>
          </cell>
          <cell r="D119" t="str">
            <v>Fahri Bersaudara, CV</v>
          </cell>
          <cell r="E119" t="str">
            <v>Fahri Bersaudara, CV</v>
          </cell>
          <cell r="F119" t="str">
            <v/>
          </cell>
          <cell r="G119" t="str">
            <v/>
          </cell>
          <cell r="H119" t="str">
            <v>ARIES KURNIAWAN</v>
          </cell>
          <cell r="I119">
            <v>45728</v>
          </cell>
          <cell r="J119" t="str">
            <v>Tech Op</v>
          </cell>
          <cell r="K119" t="str">
            <v>B</v>
          </cell>
          <cell r="L119" t="str">
            <v>CTR</v>
          </cell>
          <cell r="N119" t="str">
            <v>RH</v>
          </cell>
          <cell r="O119" t="str">
            <v>robertiagus.haposan@alamtri.com</v>
          </cell>
          <cell r="P119">
            <v>6046.8567999999996</v>
          </cell>
          <cell r="Q119">
            <v>96749708.799999997</v>
          </cell>
          <cell r="R119" t="str">
            <v>Completed Sign PO Contract</v>
          </cell>
          <cell r="T119" t="str">
            <v>MSW</v>
          </cell>
          <cell r="U119" t="str">
            <v>Fahri Bersaudara, CV</v>
          </cell>
          <cell r="V119" t="str">
            <v>Fahri Bersaudara, CV</v>
          </cell>
          <cell r="W119" t="str">
            <v>1 of 1</v>
          </cell>
          <cell r="X119" t="str">
            <v>1 of 1</v>
          </cell>
          <cell r="Z119" t="str">
            <v/>
          </cell>
          <cell r="AC119" t="str">
            <v xml:space="preserve"> of </v>
          </cell>
          <cell r="AD119" t="str">
            <v xml:space="preserve"> of </v>
          </cell>
          <cell r="AF119" t="str">
            <v/>
          </cell>
          <cell r="AI119" t="str">
            <v xml:space="preserve"> of </v>
          </cell>
          <cell r="AJ119" t="str">
            <v xml:space="preserve"> of </v>
          </cell>
          <cell r="AL119" t="str">
            <v/>
          </cell>
          <cell r="AM119">
            <v>0.70833333333333337</v>
          </cell>
          <cell r="AN119" t="str">
            <v>Fahri Bersaudara, CV</v>
          </cell>
          <cell r="AO119" t="str">
            <v>fahrianifahmi89@gmail.com</v>
          </cell>
          <cell r="AP119" t="str">
            <v>PO25000165</v>
          </cell>
          <cell r="AQ119">
            <v>99429000</v>
          </cell>
          <cell r="AT119">
            <v>45733</v>
          </cell>
          <cell r="AU119">
            <v>45764</v>
          </cell>
          <cell r="AV119">
            <v>45736</v>
          </cell>
          <cell r="AW119">
            <v>45767</v>
          </cell>
          <cell r="AX119">
            <v>4.4285714285714288</v>
          </cell>
          <cell r="AY119">
            <v>45740</v>
          </cell>
          <cell r="AZ119" t="str">
            <v/>
          </cell>
          <cell r="BA119" t="str">
            <v/>
          </cell>
          <cell r="BB119" t="str">
            <v>Completed</v>
          </cell>
          <cell r="BC119" t="str">
            <v>PR100010158</v>
          </cell>
        </row>
        <row r="120">
          <cell r="B120" t="str">
            <v>PR100010167</v>
          </cell>
          <cell r="C120" t="str">
            <v>Jasa perbaikan  Troubleshoot CDVR CAT BSDG Unit 3</v>
          </cell>
          <cell r="D120" t="str">
            <v>Trakindo Utama, PT</v>
          </cell>
          <cell r="E120" t="str">
            <v>Trakindo Utama, PT (Tanjung)</v>
          </cell>
          <cell r="F120" t="str">
            <v/>
          </cell>
          <cell r="G120" t="str">
            <v/>
          </cell>
          <cell r="H120" t="str">
            <v>SLAMET</v>
          </cell>
          <cell r="I120">
            <v>45728</v>
          </cell>
          <cell r="J120" t="str">
            <v>Tech Main</v>
          </cell>
          <cell r="K120" t="str">
            <v>J</v>
          </cell>
          <cell r="L120" t="str">
            <v>CTR</v>
          </cell>
          <cell r="N120" t="str">
            <v>RH</v>
          </cell>
          <cell r="O120" t="str">
            <v>robertiagus.haposan@alamtri.com</v>
          </cell>
          <cell r="P120">
            <v>646</v>
          </cell>
          <cell r="Q120">
            <v>10336000</v>
          </cell>
          <cell r="R120" t="str">
            <v>Completed Sign PO Contract</v>
          </cell>
          <cell r="T120" t="str">
            <v>MSW</v>
          </cell>
          <cell r="U120" t="str">
            <v>Trakindo Utama, PT (Tanjung)</v>
          </cell>
          <cell r="V120" t="str">
            <v>Trakindo Utama, PT</v>
          </cell>
          <cell r="W120" t="str">
            <v>1 of 1</v>
          </cell>
          <cell r="X120" t="str">
            <v>1 of 1</v>
          </cell>
          <cell r="Z120" t="str">
            <v/>
          </cell>
          <cell r="AC120" t="str">
            <v xml:space="preserve"> of </v>
          </cell>
          <cell r="AD120" t="str">
            <v xml:space="preserve"> of </v>
          </cell>
          <cell r="AF120" t="str">
            <v/>
          </cell>
          <cell r="AI120" t="str">
            <v xml:space="preserve"> of </v>
          </cell>
          <cell r="AJ120" t="str">
            <v xml:space="preserve"> of </v>
          </cell>
          <cell r="AL120" t="str">
            <v/>
          </cell>
          <cell r="AM120">
            <v>0.70833333333333337</v>
          </cell>
          <cell r="AN120" t="str">
            <v>Trakindo Utama, PT</v>
          </cell>
          <cell r="AO120" t="str">
            <v>hjuniater.sidauruk@trakindo.co.id</v>
          </cell>
          <cell r="AP120" t="str">
            <v>PO25000283</v>
          </cell>
          <cell r="AQ120">
            <v>7040000</v>
          </cell>
          <cell r="AT120">
            <v>45762</v>
          </cell>
          <cell r="AU120">
            <v>45779</v>
          </cell>
          <cell r="AV120">
            <v>45766</v>
          </cell>
          <cell r="AW120">
            <v>45783</v>
          </cell>
          <cell r="AX120">
            <v>2.4285714285714284</v>
          </cell>
          <cell r="AY120">
            <v>45791</v>
          </cell>
          <cell r="AZ120">
            <v>8</v>
          </cell>
          <cell r="BA120">
            <v>211200</v>
          </cell>
          <cell r="BB120" t="str">
            <v>Late Completed</v>
          </cell>
          <cell r="BC120" t="str">
            <v>PR100010167</v>
          </cell>
        </row>
        <row r="121">
          <cell r="B121" t="str">
            <v>PR100010184 (Line 3-5)</v>
          </cell>
          <cell r="C121" t="str">
            <v>Pembelian Material Genset  Untuk Support AI dan Plant</v>
          </cell>
          <cell r="D121" t="str">
            <v>Trakindo Utama, PT</v>
          </cell>
          <cell r="E121" t="str">
            <v>Trakindo Utama, PT (Tanjung)</v>
          </cell>
          <cell r="F121" t="str">
            <v/>
          </cell>
          <cell r="G121" t="str">
            <v/>
          </cell>
          <cell r="H121" t="str">
            <v>SLAMET</v>
          </cell>
          <cell r="I121">
            <v>45728</v>
          </cell>
          <cell r="J121" t="str">
            <v>Tech Main</v>
          </cell>
          <cell r="K121" t="str">
            <v>B</v>
          </cell>
          <cell r="L121" t="str">
            <v>CTR</v>
          </cell>
          <cell r="M121" t="str">
            <v>0003</v>
          </cell>
          <cell r="N121" t="str">
            <v>RH</v>
          </cell>
          <cell r="O121" t="str">
            <v>robertiagus.haposan@alamtri.com</v>
          </cell>
          <cell r="P121">
            <v>327.58</v>
          </cell>
          <cell r="Q121">
            <v>5241280</v>
          </cell>
          <cell r="R121" t="str">
            <v>Completed Sign PO Contract</v>
          </cell>
          <cell r="T121" t="str">
            <v>MSW</v>
          </cell>
          <cell r="U121" t="str">
            <v>Trakindo Utama, PT (Tanjung)</v>
          </cell>
          <cell r="V121" t="str">
            <v>Trakindo Utama, PT</v>
          </cell>
          <cell r="W121" t="str">
            <v>1 of 1</v>
          </cell>
          <cell r="X121" t="str">
            <v>1 of 1</v>
          </cell>
          <cell r="Z121" t="str">
            <v/>
          </cell>
          <cell r="AC121" t="str">
            <v xml:space="preserve"> of </v>
          </cell>
          <cell r="AD121" t="str">
            <v xml:space="preserve"> of </v>
          </cell>
          <cell r="AF121" t="str">
            <v/>
          </cell>
          <cell r="AI121" t="str">
            <v xml:space="preserve"> of </v>
          </cell>
          <cell r="AJ121" t="str">
            <v xml:space="preserve"> of </v>
          </cell>
          <cell r="AL121" t="str">
            <v/>
          </cell>
          <cell r="AM121">
            <v>0.70833333333333337</v>
          </cell>
          <cell r="AN121" t="str">
            <v>Trakindo Utama, PT</v>
          </cell>
          <cell r="AO121" t="str">
            <v>hjuniater.sidauruk@trakindo.co.id</v>
          </cell>
          <cell r="AP121" t="str">
            <v>PO25000195R1</v>
          </cell>
          <cell r="AQ121">
            <v>7826034</v>
          </cell>
          <cell r="AT121">
            <v>45740</v>
          </cell>
          <cell r="AU121">
            <v>45786</v>
          </cell>
          <cell r="AV121">
            <v>45756</v>
          </cell>
          <cell r="AW121">
            <v>45802</v>
          </cell>
          <cell r="AX121">
            <v>6.5714285714285712</v>
          </cell>
          <cell r="AY121">
            <v>45761</v>
          </cell>
          <cell r="AZ121" t="str">
            <v/>
          </cell>
          <cell r="BA121" t="str">
            <v/>
          </cell>
          <cell r="BB121" t="str">
            <v>Completed</v>
          </cell>
          <cell r="BC121" t="str">
            <v>PR100010184</v>
          </cell>
        </row>
        <row r="122">
          <cell r="B122" t="str">
            <v>PR100010214</v>
          </cell>
          <cell r="C122" t="str">
            <v>FUEL B40 TRANSPORTATION SERVICE 40KL REORDER Mar 2025 (Pengiriman 24 Mar 2025)</v>
          </cell>
          <cell r="D122" t="str">
            <v>Sinar Alam Duta Perdana, PT</v>
          </cell>
          <cell r="E122" t="str">
            <v>Sinar Alam Duta Perdana, PT</v>
          </cell>
          <cell r="F122" t="str">
            <v/>
          </cell>
          <cell r="G122" t="str">
            <v/>
          </cell>
          <cell r="H122" t="str">
            <v>ARIES KURNIAWAN</v>
          </cell>
          <cell r="I122">
            <v>45734</v>
          </cell>
          <cell r="J122" t="str">
            <v>Tech Main</v>
          </cell>
          <cell r="K122" t="str">
            <v>J</v>
          </cell>
          <cell r="L122" t="str">
            <v>CTR</v>
          </cell>
          <cell r="N122" t="str">
            <v>RH</v>
          </cell>
          <cell r="O122" t="str">
            <v>robertiagus.haposan@alamtri.com</v>
          </cell>
          <cell r="P122">
            <v>1704</v>
          </cell>
          <cell r="Q122">
            <v>27264000</v>
          </cell>
          <cell r="R122" t="str">
            <v>Completed Sign PO Contract</v>
          </cell>
          <cell r="T122" t="str">
            <v>MSW</v>
          </cell>
          <cell r="U122" t="str">
            <v>Sinar Alam Duta Perdana, PT</v>
          </cell>
          <cell r="V122" t="str">
            <v>Sinar Alam Duta Perdana, PT</v>
          </cell>
          <cell r="W122" t="str">
            <v>1 of 1</v>
          </cell>
          <cell r="X122" t="str">
            <v>1 of 1</v>
          </cell>
          <cell r="Z122" t="str">
            <v/>
          </cell>
          <cell r="AC122" t="str">
            <v xml:space="preserve"> of </v>
          </cell>
          <cell r="AD122" t="str">
            <v xml:space="preserve"> of </v>
          </cell>
          <cell r="AF122" t="str">
            <v/>
          </cell>
          <cell r="AI122" t="str">
            <v xml:space="preserve"> of </v>
          </cell>
          <cell r="AJ122" t="str">
            <v xml:space="preserve"> of </v>
          </cell>
          <cell r="AL122" t="str">
            <v/>
          </cell>
          <cell r="AM122">
            <v>0.70833333333333337</v>
          </cell>
          <cell r="AN122" t="str">
            <v>Sinar Alam Duta Perdana, PT</v>
          </cell>
          <cell r="AO122" t="str">
            <v>sherlly@sadp.co.id; misrawardi@sadp.co.id; sales1@sadp.co.id; marini@sadp.co.id; ridho@sadp.co.id; nisa_fitria@sadp.co.id; ismawati@sadp.co.id</v>
          </cell>
          <cell r="AP122" t="str">
            <v>PO25000179</v>
          </cell>
          <cell r="AQ122">
            <v>16000000</v>
          </cell>
          <cell r="AT122">
            <v>45735</v>
          </cell>
          <cell r="AU122">
            <v>45765</v>
          </cell>
          <cell r="AV122">
            <v>45736</v>
          </cell>
          <cell r="AW122">
            <v>45766</v>
          </cell>
          <cell r="AX122">
            <v>4.2857142857142856</v>
          </cell>
          <cell r="AZ122" t="str">
            <v/>
          </cell>
          <cell r="BA122" t="str">
            <v/>
          </cell>
          <cell r="BB122" t="str">
            <v>Completed</v>
          </cell>
          <cell r="BC122" t="str">
            <v>PR100010214</v>
          </cell>
        </row>
        <row r="123">
          <cell r="B123" t="str">
            <v>PR100010243</v>
          </cell>
          <cell r="C123" t="str">
            <v>OIL ANALYSIS FOR TRANSFORMER &amp; ROTATING EQUIPMENT</v>
          </cell>
          <cell r="D123" t="str">
            <v>Petrolab Services, PT</v>
          </cell>
          <cell r="E123" t="str">
            <v>Petrolab Services, PT</v>
          </cell>
          <cell r="F123" t="str">
            <v/>
          </cell>
          <cell r="G123" t="str">
            <v/>
          </cell>
          <cell r="H123" t="str">
            <v>ARFAN WIJAYA</v>
          </cell>
          <cell r="I123">
            <v>45741</v>
          </cell>
          <cell r="J123" t="str">
            <v>Tech Main</v>
          </cell>
          <cell r="K123" t="str">
            <v>J</v>
          </cell>
          <cell r="L123" t="str">
            <v>CTR</v>
          </cell>
          <cell r="N123" t="str">
            <v>RH</v>
          </cell>
          <cell r="O123" t="str">
            <v>robertiagus.haposan@alamtri.com</v>
          </cell>
          <cell r="P123">
            <v>14096</v>
          </cell>
          <cell r="Q123">
            <v>225536000</v>
          </cell>
          <cell r="R123" t="str">
            <v>Completed Sign PO Contract</v>
          </cell>
          <cell r="T123" t="str">
            <v>MSW</v>
          </cell>
          <cell r="U123" t="str">
            <v>Petrolab Services, PT</v>
          </cell>
          <cell r="V123" t="str">
            <v>Petrolab Services, PT</v>
          </cell>
          <cell r="W123" t="str">
            <v>1 of 1</v>
          </cell>
          <cell r="X123" t="str">
            <v>1 of 1</v>
          </cell>
          <cell r="Z123" t="str">
            <v/>
          </cell>
          <cell r="AC123" t="str">
            <v xml:space="preserve"> of </v>
          </cell>
          <cell r="AD123" t="str">
            <v xml:space="preserve"> of </v>
          </cell>
          <cell r="AF123" t="str">
            <v/>
          </cell>
          <cell r="AI123" t="str">
            <v xml:space="preserve"> of </v>
          </cell>
          <cell r="AJ123" t="str">
            <v xml:space="preserve"> of </v>
          </cell>
          <cell r="AL123" t="str">
            <v/>
          </cell>
          <cell r="AM123">
            <v>0.70833333333333337</v>
          </cell>
          <cell r="AN123" t="str">
            <v>Petrolab Services, PT</v>
          </cell>
          <cell r="AO123" t="str">
            <v xml:space="preserve">arzi@petrolab.co.id; adrian@petrolab.co.id </v>
          </cell>
          <cell r="AP123" t="str">
            <v>PO25000216</v>
          </cell>
          <cell r="AQ123">
            <v>212250000</v>
          </cell>
          <cell r="AT123">
            <v>45743</v>
          </cell>
          <cell r="AU123">
            <v>45793</v>
          </cell>
          <cell r="AV123">
            <v>45755</v>
          </cell>
          <cell r="AW123">
            <v>45805</v>
          </cell>
          <cell r="AX123">
            <v>7.1428571428571432</v>
          </cell>
          <cell r="AY123">
            <v>45853</v>
          </cell>
          <cell r="AZ123">
            <v>48</v>
          </cell>
          <cell r="BA123">
            <v>10612500</v>
          </cell>
          <cell r="BB123" t="str">
            <v>Completed</v>
          </cell>
          <cell r="BC123" t="str">
            <v>PR100010243</v>
          </cell>
        </row>
        <row r="124">
          <cell r="B124" t="str">
            <v>PR100010173 (Line 1-3,5)</v>
          </cell>
          <cell r="C124" t="str">
            <v>Material untuk PM  DG  CAT 3456 AI (barang langsung kirim ke Wear House PLTU  MSW Tanjung)</v>
          </cell>
          <cell r="D124" t="str">
            <v>Trakindo Utama, PT</v>
          </cell>
          <cell r="E124" t="str">
            <v>Trakindo Utama, PT (Tanjung)</v>
          </cell>
          <cell r="F124" t="str">
            <v/>
          </cell>
          <cell r="G124" t="str">
            <v/>
          </cell>
          <cell r="H124" t="str">
            <v>SLAMET</v>
          </cell>
          <cell r="I124">
            <v>45741</v>
          </cell>
          <cell r="J124" t="str">
            <v>Tech Main</v>
          </cell>
          <cell r="K124" t="str">
            <v>B</v>
          </cell>
          <cell r="L124" t="str">
            <v>CTR</v>
          </cell>
          <cell r="M124" t="str">
            <v>0004</v>
          </cell>
          <cell r="N124" t="str">
            <v>RH</v>
          </cell>
          <cell r="O124" t="str">
            <v>robertiagus.haposan@alamtri.com</v>
          </cell>
          <cell r="P124">
            <v>3759.5861</v>
          </cell>
          <cell r="Q124">
            <v>60153377.600000001</v>
          </cell>
          <cell r="R124" t="str">
            <v>Completed Sign PO Contract</v>
          </cell>
          <cell r="T124" t="str">
            <v>MSW</v>
          </cell>
          <cell r="U124" t="str">
            <v>Trakindo Utama, PT (Tanjung)</v>
          </cell>
          <cell r="V124" t="str">
            <v>Trakindo Utama, PT</v>
          </cell>
          <cell r="W124" t="str">
            <v>1 of 1</v>
          </cell>
          <cell r="X124" t="str">
            <v>1 of 1</v>
          </cell>
          <cell r="Z124" t="str">
            <v/>
          </cell>
          <cell r="AC124" t="str">
            <v xml:space="preserve"> of </v>
          </cell>
          <cell r="AD124" t="str">
            <v xml:space="preserve"> of </v>
          </cell>
          <cell r="AF124" t="str">
            <v/>
          </cell>
          <cell r="AI124" t="str">
            <v xml:space="preserve"> of </v>
          </cell>
          <cell r="AJ124" t="str">
            <v xml:space="preserve"> of </v>
          </cell>
          <cell r="AL124" t="str">
            <v/>
          </cell>
          <cell r="AM124">
            <v>0.70833333333333337</v>
          </cell>
          <cell r="AN124" t="str">
            <v>Trakindo Utama, PT</v>
          </cell>
          <cell r="AO124" t="str">
            <v>hjuniater.sidauruk@trakindo.co.id</v>
          </cell>
          <cell r="AP124" t="str">
            <v>PO25000234R1</v>
          </cell>
          <cell r="AQ124">
            <v>63973940</v>
          </cell>
          <cell r="AT124">
            <v>45744</v>
          </cell>
          <cell r="AU124">
            <v>45786</v>
          </cell>
          <cell r="AV124">
            <v>45761</v>
          </cell>
          <cell r="AW124">
            <v>45803</v>
          </cell>
          <cell r="AX124">
            <v>6</v>
          </cell>
          <cell r="AY124">
            <v>45769</v>
          </cell>
          <cell r="AZ124" t="str">
            <v/>
          </cell>
          <cell r="BA124" t="str">
            <v/>
          </cell>
          <cell r="BB124" t="str">
            <v>Completed</v>
          </cell>
          <cell r="BC124" t="str">
            <v/>
          </cell>
        </row>
        <row r="125">
          <cell r="B125" t="str">
            <v>PR100010257</v>
          </cell>
          <cell r="C125" t="str">
            <v>Pengadaan Saw Dust bulan Maret 2025 ( CV Fahri Bersaudara )</v>
          </cell>
          <cell r="D125" t="str">
            <v>Fahri Bersaudara, CV</v>
          </cell>
          <cell r="E125" t="str">
            <v>Fahri Bersaudara, CV</v>
          </cell>
          <cell r="F125" t="str">
            <v/>
          </cell>
          <cell r="G125" t="str">
            <v/>
          </cell>
          <cell r="H125" t="str">
            <v>JUNAWAN KAUNO</v>
          </cell>
          <cell r="I125">
            <v>45757</v>
          </cell>
          <cell r="J125" t="str">
            <v>Tech OP</v>
          </cell>
          <cell r="K125" t="str">
            <v>B &amp; J</v>
          </cell>
          <cell r="L125" t="str">
            <v>CTR</v>
          </cell>
          <cell r="N125" t="str">
            <v>RH</v>
          </cell>
          <cell r="O125" t="str">
            <v>robertiagus.haposan@alamtri.com</v>
          </cell>
          <cell r="P125">
            <v>6805.6862000000001</v>
          </cell>
          <cell r="Q125">
            <v>108890979.2</v>
          </cell>
          <cell r="R125" t="str">
            <v>Completed Sign PO Contract</v>
          </cell>
          <cell r="S125" t="str">
            <v>Menunggu feedback dari IOL perihal vendor registrasi IOL</v>
          </cell>
          <cell r="T125" t="str">
            <v>MSW</v>
          </cell>
          <cell r="U125" t="str">
            <v>Fahri Bersaudara, CV</v>
          </cell>
          <cell r="V125" t="str">
            <v>Fahri Bersaudara, CV</v>
          </cell>
          <cell r="W125" t="str">
            <v>1 of 1</v>
          </cell>
          <cell r="X125" t="str">
            <v>1 of 1</v>
          </cell>
          <cell r="Z125" t="str">
            <v/>
          </cell>
          <cell r="AC125" t="str">
            <v xml:space="preserve"> of </v>
          </cell>
          <cell r="AD125" t="str">
            <v xml:space="preserve"> of </v>
          </cell>
          <cell r="AF125" t="str">
            <v/>
          </cell>
          <cell r="AI125" t="str">
            <v xml:space="preserve"> of </v>
          </cell>
          <cell r="AJ125" t="str">
            <v xml:space="preserve"> of </v>
          </cell>
          <cell r="AL125" t="str">
            <v/>
          </cell>
          <cell r="AM125">
            <v>0.70833333333333337</v>
          </cell>
          <cell r="AN125" t="str">
            <v>Fahri Bersaudara, CV</v>
          </cell>
          <cell r="AO125" t="str">
            <v>fahrianifahmi89@gmail.com</v>
          </cell>
          <cell r="AP125" t="str">
            <v>PO25000290</v>
          </cell>
          <cell r="AQ125">
            <v>111906500</v>
          </cell>
          <cell r="AT125">
            <v>45763</v>
          </cell>
          <cell r="AU125">
            <v>45796</v>
          </cell>
          <cell r="AV125">
            <v>45775</v>
          </cell>
          <cell r="AW125">
            <v>45808</v>
          </cell>
          <cell r="AX125">
            <v>4.7142857142857144</v>
          </cell>
          <cell r="AY125">
            <v>45784</v>
          </cell>
          <cell r="AZ125" t="str">
            <v/>
          </cell>
          <cell r="BA125" t="str">
            <v/>
          </cell>
          <cell r="BB125" t="str">
            <v>Completed</v>
          </cell>
          <cell r="BC125" t="str">
            <v>PR100010257</v>
          </cell>
        </row>
        <row r="126">
          <cell r="B126" t="str">
            <v>PR100010259</v>
          </cell>
          <cell r="C126" t="str">
            <v>Penggunaan Coal bulan Maret 2025 OP Dept</v>
          </cell>
          <cell r="D126" t="str">
            <v>Adaro Indonesia, PT</v>
          </cell>
          <cell r="E126" t="str">
            <v>Adaro Indonesia, PT</v>
          </cell>
          <cell r="F126" t="str">
            <v/>
          </cell>
          <cell r="G126" t="str">
            <v/>
          </cell>
          <cell r="H126" t="str">
            <v>JUNAWAN KAUNO</v>
          </cell>
          <cell r="I126">
            <v>45757</v>
          </cell>
          <cell r="J126" t="str">
            <v>Tech Eng</v>
          </cell>
          <cell r="K126" t="str">
            <v>B &amp; J</v>
          </cell>
          <cell r="L126" t="str">
            <v>CTR</v>
          </cell>
          <cell r="N126" t="str">
            <v>RH</v>
          </cell>
          <cell r="O126" t="str">
            <v>robertiagus.haposan@alamtri.com</v>
          </cell>
          <cell r="P126">
            <v>363759</v>
          </cell>
          <cell r="Q126">
            <v>5820144000</v>
          </cell>
          <cell r="R126" t="str">
            <v>Completed Sign PO Contract</v>
          </cell>
          <cell r="T126" t="str">
            <v>MSW</v>
          </cell>
          <cell r="U126" t="str">
            <v>Adaro Indonesia, PT</v>
          </cell>
          <cell r="V126" t="str">
            <v>Adaro Indonesia, PT</v>
          </cell>
          <cell r="W126" t="str">
            <v>1 of 1</v>
          </cell>
          <cell r="X126" t="str">
            <v>1 of 1</v>
          </cell>
          <cell r="Z126" t="str">
            <v/>
          </cell>
          <cell r="AC126" t="str">
            <v xml:space="preserve"> of </v>
          </cell>
          <cell r="AD126" t="str">
            <v xml:space="preserve"> of </v>
          </cell>
          <cell r="AF126" t="str">
            <v/>
          </cell>
          <cell r="AI126" t="str">
            <v xml:space="preserve"> of </v>
          </cell>
          <cell r="AJ126" t="str">
            <v xml:space="preserve"> of </v>
          </cell>
          <cell r="AL126" t="str">
            <v/>
          </cell>
          <cell r="AM126">
            <v>0.70833333333333337</v>
          </cell>
          <cell r="AN126" t="str">
            <v>Adaro Indonesia, PT</v>
          </cell>
          <cell r="AO126" t="str">
            <v>mulyadi@adaro.com; rachman.hakim@adaro.com; Shipping@adaro.com</v>
          </cell>
          <cell r="AP126" t="str">
            <v>PO25000270</v>
          </cell>
          <cell r="AQ126">
            <v>4938533278.3999996</v>
          </cell>
          <cell r="AT126">
            <v>45761</v>
          </cell>
          <cell r="AU126">
            <v>45791</v>
          </cell>
          <cell r="AV126">
            <v>45769</v>
          </cell>
          <cell r="AW126">
            <v>45799</v>
          </cell>
          <cell r="AX126">
            <v>4.2857142857142856</v>
          </cell>
          <cell r="AY126">
            <v>45744</v>
          </cell>
          <cell r="AZ126" t="str">
            <v/>
          </cell>
          <cell r="BA126" t="str">
            <v/>
          </cell>
          <cell r="BB126" t="str">
            <v>Completed</v>
          </cell>
          <cell r="BC126" t="str">
            <v>PR100010259</v>
          </cell>
        </row>
        <row r="127">
          <cell r="B127" t="str">
            <v>PR100010289</v>
          </cell>
          <cell r="C127" t="str">
            <v>Jasa Pengembangan SMK2 Sektor Pembangkit</v>
          </cell>
          <cell r="D127" t="str">
            <v>Total Raya Energi, PT</v>
          </cell>
          <cell r="E127" t="str">
            <v>Total Raya Energi, PT</v>
          </cell>
          <cell r="F127" t="str">
            <v/>
          </cell>
          <cell r="G127" t="str">
            <v/>
          </cell>
          <cell r="H127" t="str">
            <v>MONICA CICILIA ROMANA SIREGAR</v>
          </cell>
          <cell r="I127">
            <v>45776</v>
          </cell>
          <cell r="J127" t="str">
            <v>HSE</v>
          </cell>
          <cell r="K127" t="str">
            <v>J</v>
          </cell>
          <cell r="L127" t="str">
            <v>CTR</v>
          </cell>
          <cell r="N127" t="str">
            <v>RH</v>
          </cell>
          <cell r="O127" t="str">
            <v>robertiagus.haposan@alamtri.com</v>
          </cell>
          <cell r="P127">
            <v>11250</v>
          </cell>
          <cell r="Q127">
            <v>180000000</v>
          </cell>
          <cell r="R127" t="str">
            <v>Completed Sign PO Contract</v>
          </cell>
          <cell r="T127" t="str">
            <v>MSW</v>
          </cell>
          <cell r="U127" t="str">
            <v>Total Raya Energi, PT</v>
          </cell>
          <cell r="V127" t="str">
            <v>Total Raya Energi, PT</v>
          </cell>
          <cell r="W127" t="str">
            <v>1 of 1</v>
          </cell>
          <cell r="X127" t="str">
            <v>1 of 1</v>
          </cell>
          <cell r="Z127" t="str">
            <v/>
          </cell>
          <cell r="AC127" t="str">
            <v xml:space="preserve"> of </v>
          </cell>
          <cell r="AD127" t="str">
            <v xml:space="preserve"> of </v>
          </cell>
          <cell r="AF127" t="str">
            <v/>
          </cell>
          <cell r="AI127" t="str">
            <v xml:space="preserve"> of </v>
          </cell>
          <cell r="AJ127" t="str">
            <v xml:space="preserve"> of </v>
          </cell>
          <cell r="AL127" t="str">
            <v/>
          </cell>
          <cell r="AM127">
            <v>0.70833333333333337</v>
          </cell>
          <cell r="AN127" t="str">
            <v>Total Raya Energi, PT</v>
          </cell>
          <cell r="AO127" t="str">
            <v xml:space="preserve">MSaputro@fleetnix.com; rifkiarif@fleetnix.com; marketing@fleetnix.com; erryka@fleetnix.com </v>
          </cell>
          <cell r="AP127" t="str">
            <v>PO25000321</v>
          </cell>
          <cell r="AQ127">
            <v>180000000</v>
          </cell>
          <cell r="AT127">
            <v>45782</v>
          </cell>
          <cell r="AU127">
            <v>45814</v>
          </cell>
          <cell r="AV127">
            <v>45782</v>
          </cell>
          <cell r="AW127">
            <v>45814</v>
          </cell>
          <cell r="AX127">
            <v>4.5714285714285712</v>
          </cell>
          <cell r="AY127">
            <v>45789</v>
          </cell>
          <cell r="AZ127" t="str">
            <v/>
          </cell>
          <cell r="BA127" t="str">
            <v/>
          </cell>
          <cell r="BB127" t="str">
            <v>Completed</v>
          </cell>
          <cell r="BC127" t="str">
            <v>PR100010289</v>
          </cell>
        </row>
        <row r="128">
          <cell r="B128" t="str">
            <v>PR100010312</v>
          </cell>
          <cell r="C128" t="str">
            <v>Jasa Penggantian Generator 415 Volt ,seal Crankshaft dan sistem syncron.DG Cat 3516 IBT (3G4)</v>
          </cell>
          <cell r="D128" t="str">
            <v>Trakindo Utama, PT</v>
          </cell>
          <cell r="E128" t="str">
            <v>Trakindo Utama, PT (Tanjung)</v>
          </cell>
          <cell r="F128" t="str">
            <v/>
          </cell>
          <cell r="G128" t="str">
            <v/>
          </cell>
          <cell r="H128" t="str">
            <v>SLAMET</v>
          </cell>
          <cell r="I128">
            <v>45775</v>
          </cell>
          <cell r="J128" t="str">
            <v>Tech Main</v>
          </cell>
          <cell r="K128" t="str">
            <v>J</v>
          </cell>
          <cell r="L128" t="str">
            <v>CTR</v>
          </cell>
          <cell r="N128" t="str">
            <v>RH</v>
          </cell>
          <cell r="O128" t="str">
            <v>robertiagus.haposan@alamtri.com</v>
          </cell>
          <cell r="P128">
            <v>6309</v>
          </cell>
          <cell r="Q128">
            <v>100944000</v>
          </cell>
          <cell r="R128" t="str">
            <v>Completed Sign PO Contract</v>
          </cell>
          <cell r="T128" t="str">
            <v>MSW</v>
          </cell>
          <cell r="U128" t="str">
            <v>Trakindo Utama, PT (Tanjung)</v>
          </cell>
          <cell r="V128" t="str">
            <v>Trakindo Utama, PT</v>
          </cell>
          <cell r="W128" t="str">
            <v>1 of 1</v>
          </cell>
          <cell r="X128" t="str">
            <v>1 of 1</v>
          </cell>
          <cell r="Z128" t="str">
            <v/>
          </cell>
          <cell r="AC128" t="str">
            <v xml:space="preserve"> of </v>
          </cell>
          <cell r="AD128" t="str">
            <v xml:space="preserve"> of </v>
          </cell>
          <cell r="AF128" t="str">
            <v/>
          </cell>
          <cell r="AI128" t="str">
            <v xml:space="preserve"> of </v>
          </cell>
          <cell r="AJ128" t="str">
            <v xml:space="preserve"> of </v>
          </cell>
          <cell r="AL128" t="str">
            <v/>
          </cell>
          <cell r="AM128">
            <v>0.70833333333333337</v>
          </cell>
          <cell r="AN128" t="str">
            <v>Trakindo Utama, PT</v>
          </cell>
          <cell r="AO128" t="str">
            <v>hjuniater.sidauruk@trakindo.co.id</v>
          </cell>
          <cell r="AP128" t="str">
            <v>PO25000322</v>
          </cell>
          <cell r="AQ128">
            <v>100599954</v>
          </cell>
          <cell r="AT128">
            <v>45782</v>
          </cell>
          <cell r="AU128">
            <v>45814</v>
          </cell>
          <cell r="AV128">
            <v>45784</v>
          </cell>
          <cell r="AW128">
            <v>45816</v>
          </cell>
          <cell r="AX128">
            <v>4.5714285714285712</v>
          </cell>
          <cell r="AY128">
            <v>45789</v>
          </cell>
          <cell r="AZ128" t="str">
            <v/>
          </cell>
          <cell r="BA128" t="str">
            <v/>
          </cell>
          <cell r="BB128" t="str">
            <v>Completed</v>
          </cell>
          <cell r="BC128" t="str">
            <v/>
          </cell>
        </row>
        <row r="129">
          <cell r="B129" t="str">
            <v>PR100010325</v>
          </cell>
          <cell r="C129" t="str">
            <v>Trouble Shouting 3G2 Breaker system malfunction</v>
          </cell>
          <cell r="D129" t="str">
            <v>Trakindo Utama, PT</v>
          </cell>
          <cell r="E129" t="str">
            <v>Trakindo Utama, PT (Tanjung)</v>
          </cell>
          <cell r="F129" t="str">
            <v/>
          </cell>
          <cell r="G129" t="str">
            <v/>
          </cell>
          <cell r="H129" t="str">
            <v>SLAMET</v>
          </cell>
          <cell r="I129">
            <v>45783</v>
          </cell>
          <cell r="J129" t="str">
            <v>Tech Main</v>
          </cell>
          <cell r="K129" t="str">
            <v>J</v>
          </cell>
          <cell r="L129" t="str">
            <v>CTR</v>
          </cell>
          <cell r="N129" t="str">
            <v>RH</v>
          </cell>
          <cell r="O129" t="str">
            <v>robertiagus.haposan@alamtri.com</v>
          </cell>
          <cell r="P129">
            <v>631</v>
          </cell>
          <cell r="Q129">
            <v>10096000</v>
          </cell>
          <cell r="R129" t="str">
            <v>Completed Sign PO Contract</v>
          </cell>
          <cell r="T129" t="str">
            <v>MSW</v>
          </cell>
          <cell r="U129" t="str">
            <v>Trakindo Utama, PT (Tanjung)</v>
          </cell>
          <cell r="V129" t="str">
            <v>Trakindo Utama, PT</v>
          </cell>
          <cell r="W129" t="str">
            <v>1 of 1</v>
          </cell>
          <cell r="X129" t="str">
            <v>1 of 1</v>
          </cell>
          <cell r="Z129" t="str">
            <v/>
          </cell>
          <cell r="AC129" t="str">
            <v xml:space="preserve"> of </v>
          </cell>
          <cell r="AD129" t="str">
            <v xml:space="preserve"> of </v>
          </cell>
          <cell r="AF129" t="str">
            <v/>
          </cell>
          <cell r="AI129" t="str">
            <v xml:space="preserve"> of </v>
          </cell>
          <cell r="AJ129" t="str">
            <v xml:space="preserve"> of </v>
          </cell>
          <cell r="AL129" t="str">
            <v/>
          </cell>
          <cell r="AM129">
            <v>0.70833333333333337</v>
          </cell>
          <cell r="AN129" t="str">
            <v>Trakindo Utama, PT</v>
          </cell>
          <cell r="AO129" t="str">
            <v>hjuniater.sidauruk@trakindo.co.id</v>
          </cell>
          <cell r="AP129" t="str">
            <v>PO25000335</v>
          </cell>
          <cell r="AQ129">
            <v>8534100</v>
          </cell>
          <cell r="AT129">
            <v>45785</v>
          </cell>
          <cell r="AU129">
            <v>45817</v>
          </cell>
          <cell r="AV129">
            <v>45791</v>
          </cell>
          <cell r="AW129">
            <v>45823</v>
          </cell>
          <cell r="AX129">
            <v>4.5714285714285712</v>
          </cell>
          <cell r="AY129">
            <v>45793</v>
          </cell>
          <cell r="AZ129" t="str">
            <v/>
          </cell>
          <cell r="BA129" t="str">
            <v/>
          </cell>
          <cell r="BB129" t="str">
            <v>Completed</v>
          </cell>
          <cell r="BC129" t="str">
            <v>PR100010325</v>
          </cell>
        </row>
        <row r="130">
          <cell r="B130" t="str">
            <v>PR100010334</v>
          </cell>
          <cell r="C130" t="str">
            <v>Penggunaan Coal bulan April 2025 Operation Dept</v>
          </cell>
          <cell r="D130" t="str">
            <v>Adaro Indonesia, PT</v>
          </cell>
          <cell r="E130" t="str">
            <v>Adaro Indonesia, PT</v>
          </cell>
          <cell r="F130" t="str">
            <v/>
          </cell>
          <cell r="G130" t="str">
            <v/>
          </cell>
          <cell r="H130" t="str">
            <v>ARIES KURNIAWAN</v>
          </cell>
          <cell r="I130">
            <v>45790</v>
          </cell>
          <cell r="J130" t="str">
            <v>Tech Op</v>
          </cell>
          <cell r="K130" t="str">
            <v>B</v>
          </cell>
          <cell r="L130" t="str">
            <v>CTR</v>
          </cell>
          <cell r="N130" t="str">
            <v>RH</v>
          </cell>
          <cell r="O130" t="str">
            <v>robertiagus.haposan@alamtri.com</v>
          </cell>
          <cell r="P130">
            <v>468534</v>
          </cell>
          <cell r="Q130">
            <v>7496544000</v>
          </cell>
          <cell r="R130" t="str">
            <v>Completed Sign PO Contract</v>
          </cell>
          <cell r="T130" t="str">
            <v>MSW</v>
          </cell>
          <cell r="U130" t="str">
            <v>Adaro Indonesia, PT</v>
          </cell>
          <cell r="V130" t="str">
            <v>Adaro Indonesia, PT</v>
          </cell>
          <cell r="W130" t="str">
            <v>1 of 1</v>
          </cell>
          <cell r="X130" t="str">
            <v>1 of 1</v>
          </cell>
          <cell r="Z130" t="str">
            <v/>
          </cell>
          <cell r="AC130" t="str">
            <v xml:space="preserve"> of </v>
          </cell>
          <cell r="AD130" t="str">
            <v xml:space="preserve"> of </v>
          </cell>
          <cell r="AF130" t="str">
            <v/>
          </cell>
          <cell r="AI130" t="str">
            <v xml:space="preserve"> of </v>
          </cell>
          <cell r="AJ130" t="str">
            <v xml:space="preserve"> of </v>
          </cell>
          <cell r="AL130" t="str">
            <v/>
          </cell>
          <cell r="AM130">
            <v>0.70833333333333337</v>
          </cell>
          <cell r="AN130" t="str">
            <v>Adaro Indonesia, PT</v>
          </cell>
          <cell r="AO130" t="str">
            <v>mulyadi@adaro.com; rachman.hakim@adaro.com; Shipping@adaro.com</v>
          </cell>
          <cell r="AP130" t="str">
            <v>PO25000344</v>
          </cell>
          <cell r="AQ130">
            <v>6499257880.6199999</v>
          </cell>
          <cell r="AT130">
            <v>45790</v>
          </cell>
          <cell r="AU130">
            <v>45821</v>
          </cell>
          <cell r="AV130">
            <v>45799</v>
          </cell>
          <cell r="AW130">
            <v>45830</v>
          </cell>
          <cell r="AX130">
            <v>4.4285714285714288</v>
          </cell>
          <cell r="AY130">
            <v>45777</v>
          </cell>
          <cell r="AZ130" t="str">
            <v/>
          </cell>
          <cell r="BA130" t="str">
            <v/>
          </cell>
          <cell r="BB130" t="str">
            <v>Completed</v>
          </cell>
          <cell r="BC130" t="str">
            <v>PR100010334</v>
          </cell>
        </row>
        <row r="131">
          <cell r="B131" t="str">
            <v>PR100010336</v>
          </cell>
          <cell r="C131" t="str">
            <v>Pengadaan Saw Dust bulan April 2025 ( CV Fahri Bersaudara )</v>
          </cell>
          <cell r="D131" t="str">
            <v>Fahri Bersaudara, CV</v>
          </cell>
          <cell r="E131" t="str">
            <v>Fahri Bersaudara, CV</v>
          </cell>
          <cell r="F131" t="str">
            <v/>
          </cell>
          <cell r="G131" t="str">
            <v/>
          </cell>
          <cell r="H131" t="str">
            <v>ARIES KURNIAWAN</v>
          </cell>
          <cell r="I131">
            <v>45790</v>
          </cell>
          <cell r="J131" t="str">
            <v>Tech Op</v>
          </cell>
          <cell r="K131" t="str">
            <v>B</v>
          </cell>
          <cell r="L131" t="str">
            <v>CTR</v>
          </cell>
          <cell r="N131" t="str">
            <v>RH</v>
          </cell>
          <cell r="O131" t="str">
            <v>robertiagus.haposan@alamtri.com</v>
          </cell>
          <cell r="P131">
            <v>6310.1741000000002</v>
          </cell>
          <cell r="Q131">
            <v>100962785.60000001</v>
          </cell>
          <cell r="R131" t="str">
            <v>Completed Sign PO Contract</v>
          </cell>
          <cell r="T131" t="str">
            <v>MSW</v>
          </cell>
          <cell r="U131" t="str">
            <v>Fahri Bersaudara, CV</v>
          </cell>
          <cell r="V131" t="str">
            <v>Fahri Bersaudara, CV</v>
          </cell>
          <cell r="W131" t="str">
            <v>1 of 1</v>
          </cell>
          <cell r="X131" t="str">
            <v>1 of 1</v>
          </cell>
          <cell r="Z131" t="str">
            <v/>
          </cell>
          <cell r="AC131" t="str">
            <v xml:space="preserve"> of </v>
          </cell>
          <cell r="AD131" t="str">
            <v xml:space="preserve"> of </v>
          </cell>
          <cell r="AF131" t="str">
            <v/>
          </cell>
          <cell r="AI131" t="str">
            <v xml:space="preserve"> of </v>
          </cell>
          <cell r="AJ131" t="str">
            <v xml:space="preserve"> of </v>
          </cell>
          <cell r="AL131" t="str">
            <v/>
          </cell>
          <cell r="AM131">
            <v>0.70833333333333337</v>
          </cell>
          <cell r="AN131" t="str">
            <v>Fahri Bersaudara, CV</v>
          </cell>
          <cell r="AO131" t="str">
            <v>fahrianifahmi89@gmail.com</v>
          </cell>
          <cell r="AP131" t="str">
            <v>PO25000348</v>
          </cell>
          <cell r="AQ131">
            <v>103758750</v>
          </cell>
          <cell r="AT131">
            <v>45793</v>
          </cell>
          <cell r="AU131">
            <v>45824</v>
          </cell>
          <cell r="AV131">
            <v>45796</v>
          </cell>
          <cell r="AW131">
            <v>45827</v>
          </cell>
          <cell r="AX131">
            <v>4.4285714285714288</v>
          </cell>
          <cell r="AY131">
            <v>45803</v>
          </cell>
          <cell r="AZ131" t="str">
            <v/>
          </cell>
          <cell r="BA131" t="str">
            <v/>
          </cell>
          <cell r="BB131" t="str">
            <v>Completed</v>
          </cell>
          <cell r="BC131" t="str">
            <v>PR100010336</v>
          </cell>
        </row>
        <row r="132">
          <cell r="B132" t="str">
            <v>PR100010502</v>
          </cell>
          <cell r="C132" t="str">
            <v>OIL ANALYSIS FOR TRANSFORMER T&amp;D AGUSTUS 2025</v>
          </cell>
          <cell r="D132" t="str">
            <v>Petrolab Services, PT</v>
          </cell>
          <cell r="E132" t="str">
            <v>Petrolab Services, PT</v>
          </cell>
          <cell r="F132" t="str">
            <v/>
          </cell>
          <cell r="G132" t="str">
            <v/>
          </cell>
          <cell r="H132" t="str">
            <v>SASTRA IRAWAN</v>
          </cell>
          <cell r="I132">
            <v>45867</v>
          </cell>
          <cell r="J132" t="str">
            <v>Tech Main</v>
          </cell>
          <cell r="K132" t="str">
            <v>J</v>
          </cell>
          <cell r="L132" t="str">
            <v>CTR</v>
          </cell>
          <cell r="N132" t="str">
            <v>RH</v>
          </cell>
          <cell r="O132" t="str">
            <v>robertiagus.haposan@alamtri.com</v>
          </cell>
          <cell r="P132">
            <v>20706</v>
          </cell>
          <cell r="Q132">
            <v>331296000</v>
          </cell>
          <cell r="R132" t="str">
            <v>Completed Sign PO Contract</v>
          </cell>
          <cell r="T132" t="str">
            <v>MSW</v>
          </cell>
          <cell r="U132" t="str">
            <v>Petrolab Services, PT</v>
          </cell>
          <cell r="V132" t="str">
            <v>Petrolab Services, PT</v>
          </cell>
          <cell r="W132" t="str">
            <v>1 of 1</v>
          </cell>
          <cell r="X132" t="str">
            <v>1 of 1</v>
          </cell>
          <cell r="Z132" t="str">
            <v/>
          </cell>
          <cell r="AC132" t="str">
            <v xml:space="preserve"> of </v>
          </cell>
          <cell r="AD132" t="str">
            <v xml:space="preserve"> of </v>
          </cell>
          <cell r="AF132" t="str">
            <v/>
          </cell>
          <cell r="AI132" t="str">
            <v xml:space="preserve"> of </v>
          </cell>
          <cell r="AJ132" t="str">
            <v xml:space="preserve"> of </v>
          </cell>
          <cell r="AL132" t="str">
            <v/>
          </cell>
          <cell r="AM132">
            <v>0.70833333333333337</v>
          </cell>
          <cell r="AN132" t="str">
            <v>Petrolab Services, PT</v>
          </cell>
          <cell r="AO132" t="str">
            <v xml:space="preserve">arzi@petrolab.co.id; adrian@petrolab.co.id </v>
          </cell>
          <cell r="AP132" t="str">
            <v>PO25000556</v>
          </cell>
          <cell r="AQ132">
            <v>311500000</v>
          </cell>
          <cell r="AT132">
            <v>45870</v>
          </cell>
          <cell r="AU132">
            <v>45901</v>
          </cell>
          <cell r="AV132">
            <v>45870</v>
          </cell>
          <cell r="AW132">
            <v>45901</v>
          </cell>
          <cell r="AX132">
            <v>4.4285714285714288</v>
          </cell>
          <cell r="AZ132" t="str">
            <v/>
          </cell>
          <cell r="BA132" t="str">
            <v/>
          </cell>
          <cell r="BB132" t="str">
            <v>Completed</v>
          </cell>
          <cell r="BC132" t="str">
            <v>PR100010502</v>
          </cell>
        </row>
        <row r="133">
          <cell r="B133" t="str">
            <v>PR100009747</v>
          </cell>
          <cell r="C133" t="str">
            <v>Penyediaan Material Biomass (Wood Chip)( Periode Bulan Desember 2024)</v>
          </cell>
          <cell r="D133" t="str">
            <v>Agri Multi Lestari, PT</v>
          </cell>
          <cell r="E133" t="str">
            <v/>
          </cell>
          <cell r="F133" t="str">
            <v/>
          </cell>
          <cell r="G133" t="str">
            <v/>
          </cell>
          <cell r="H133" t="str">
            <v>ARIES KURNIAWAN</v>
          </cell>
          <cell r="I133">
            <v>45659</v>
          </cell>
          <cell r="J133" t="str">
            <v>Tech Op</v>
          </cell>
          <cell r="K133" t="str">
            <v>B</v>
          </cell>
          <cell r="L133" t="str">
            <v>IOM</v>
          </cell>
          <cell r="N133" t="str">
            <v>RH</v>
          </cell>
          <cell r="O133" t="str">
            <v>robertiagus.haposan@alamtri.com</v>
          </cell>
          <cell r="P133">
            <v>465.51670000000001</v>
          </cell>
          <cell r="Q133">
            <v>7448267.2000000002</v>
          </cell>
          <cell r="R133" t="str">
            <v>Completed Sign PO</v>
          </cell>
          <cell r="T133" t="str">
            <v>MSW</v>
          </cell>
          <cell r="U133" t="str">
            <v>Agri Multi Lestari, PT</v>
          </cell>
          <cell r="V133" t="str">
            <v>Agri Multi Lestari, PT</v>
          </cell>
          <cell r="W133" t="str">
            <v>1 of 1</v>
          </cell>
          <cell r="X133" t="str">
            <v>1 of 1</v>
          </cell>
          <cell r="Z133" t="str">
            <v/>
          </cell>
          <cell r="AC133" t="str">
            <v xml:space="preserve"> of </v>
          </cell>
          <cell r="AD133" t="str">
            <v xml:space="preserve"> of </v>
          </cell>
          <cell r="AF133" t="str">
            <v/>
          </cell>
          <cell r="AI133" t="str">
            <v xml:space="preserve"> of </v>
          </cell>
          <cell r="AJ133" t="str">
            <v xml:space="preserve"> of </v>
          </cell>
          <cell r="AM133">
            <v>0.70833333333333337</v>
          </cell>
          <cell r="AN133" t="str">
            <v>Agri Multi Lestari, PT</v>
          </cell>
          <cell r="AO133" t="str">
            <v>nandasetya.kurniawan@adaro.com; novita.rindriyanti@adaro.com</v>
          </cell>
          <cell r="AP133" t="str">
            <v>PO24000966</v>
          </cell>
          <cell r="AQ133">
            <v>6987000</v>
          </cell>
          <cell r="AR133">
            <v>45663</v>
          </cell>
          <cell r="AS133">
            <v>45664</v>
          </cell>
          <cell r="AT133">
            <v>45664</v>
          </cell>
          <cell r="AU133">
            <v>45695</v>
          </cell>
          <cell r="AV133">
            <v>45666</v>
          </cell>
          <cell r="AW133">
            <v>45697</v>
          </cell>
          <cell r="AX133">
            <v>4.4285714285714288</v>
          </cell>
          <cell r="AY133">
            <v>45688</v>
          </cell>
          <cell r="AZ133" t="str">
            <v/>
          </cell>
          <cell r="BA133" t="str">
            <v/>
          </cell>
          <cell r="BB133" t="str">
            <v>Completed</v>
          </cell>
          <cell r="BC133" t="str">
            <v>PR100009747</v>
          </cell>
        </row>
        <row r="134">
          <cell r="B134" t="str">
            <v>PR100009913 (Line 1-4)</v>
          </cell>
          <cell r="C134" t="str">
            <v>Sparepart Fire Fighting System</v>
          </cell>
          <cell r="E134" t="str">
            <v>Antares Jaya Gemilang Prima, PT
Norgantara Andalan Mandiri Indonesia, PT
ODG Indonesia, PT
Putera Instrumenindo, PT
Kin Kitra Kencana, PT
Alfa Teknik Mandiri Makmur, PT
Mitra Energi Abadi, PT
Dinar Utama Kalimantan, PT</v>
          </cell>
          <cell r="F134" t="str">
            <v>Alfa Teknik Mandiri Makmur, PT</v>
          </cell>
          <cell r="G134" t="str">
            <v xml:space="preserve">R1
1 of 8
</v>
          </cell>
          <cell r="H134" t="str">
            <v>DEDE SUDARJI</v>
          </cell>
          <cell r="I134">
            <v>45677</v>
          </cell>
          <cell r="J134" t="str">
            <v>Tech Main</v>
          </cell>
          <cell r="K134" t="str">
            <v>B</v>
          </cell>
          <cell r="L134" t="str">
            <v>BID</v>
          </cell>
          <cell r="M134" t="str">
            <v>0020</v>
          </cell>
          <cell r="N134" t="str">
            <v>RH</v>
          </cell>
          <cell r="O134" t="str">
            <v>robertiagus.haposan@alamtri.com</v>
          </cell>
          <cell r="P134">
            <v>6666.0194000000001</v>
          </cell>
          <cell r="Q134">
            <v>106656310.40000001</v>
          </cell>
          <cell r="R134" t="str">
            <v>Completed Sign PO</v>
          </cell>
          <cell r="T134" t="str">
            <v>MSW</v>
          </cell>
          <cell r="U134" t="str">
            <v>ODG Indonesia, PT
Perwira Sentra Officindo, PT
Indoparts, CV
Norgantara Andalan Mandiri Indonesia, PT
Gema Industrial, PT
Vhipa Mulia Pratama, PT
Antares Jaya Gemilang Prima, PT
Kin Kitra Kencana, PT
Putera Instrumenindo, PT
Mitra Energi Abadi, PT</v>
          </cell>
          <cell r="V134" t="str">
            <v>Norgantara Andalan Mandiri Indonesia, PT
Antares Jaya Gemilang Prima, PT</v>
          </cell>
          <cell r="W134" t="str">
            <v>10 of 10</v>
          </cell>
          <cell r="X134" t="str">
            <v>2 of 10</v>
          </cell>
          <cell r="Y134">
            <v>45677</v>
          </cell>
          <cell r="Z134">
            <v>45688</v>
          </cell>
          <cell r="AA134" t="str">
            <v>Antares Jaya Gemilang Prima, PT
Norgantara Andalan Mandiri Indonesia, PT
ODG Indonesia, PT
Putera Instrumenindo, PT
Kin Kitra Kencana, PT
Alfa Teknik Mandiri Makmur, PT
Mitra Energi Abadi, PT
Dinar Utama Kalimantan, PT</v>
          </cell>
          <cell r="AB134" t="str">
            <v>Alfa Teknik Mandiri Makmur, PT</v>
          </cell>
          <cell r="AC134" t="str">
            <v>8 of 8</v>
          </cell>
          <cell r="AD134" t="str">
            <v>1 of 8</v>
          </cell>
          <cell r="AF134" t="str">
            <v/>
          </cell>
          <cell r="AI134" t="str">
            <v xml:space="preserve"> of </v>
          </cell>
          <cell r="AJ134" t="str">
            <v xml:space="preserve"> of </v>
          </cell>
          <cell r="AM134">
            <v>0.70833333333333337</v>
          </cell>
          <cell r="AN134" t="str">
            <v>Norgantara Andalan Mandiri Indonesia, PT</v>
          </cell>
          <cell r="AO134" t="str">
            <v>gilang@ptnam.com</v>
          </cell>
          <cell r="AP134" t="str">
            <v>PO25000129</v>
          </cell>
          <cell r="AQ134">
            <v>108590000</v>
          </cell>
          <cell r="AR134">
            <v>45705</v>
          </cell>
          <cell r="AS134">
            <v>45721</v>
          </cell>
          <cell r="AT134">
            <v>45726</v>
          </cell>
          <cell r="AU134">
            <v>45859</v>
          </cell>
          <cell r="AV134">
            <v>45727</v>
          </cell>
          <cell r="AW134">
            <v>45860</v>
          </cell>
          <cell r="AX134">
            <v>19</v>
          </cell>
          <cell r="AZ134" t="str">
            <v/>
          </cell>
          <cell r="BA134" t="str">
            <v/>
          </cell>
          <cell r="BB134" t="str">
            <v>Late Completed</v>
          </cell>
          <cell r="BC134" t="str">
            <v>PR100009913</v>
          </cell>
        </row>
        <row r="135">
          <cell r="B135" t="str">
            <v>PR100009932</v>
          </cell>
          <cell r="C135" t="str">
            <v>Material monitoring temperature trafo</v>
          </cell>
          <cell r="E135" t="str">
            <v>Amptron Instrumindo, PT
Krisbow Indonesia, PT
Vhipa Mulia Pratama, PT
Perwira Sentra Officindo, PT
Kawan Lama Sejahtera, PT
Sola Anugerah Oilfield, PT
Putera Instrumenindo, PT
Kin Kitra Kencana, PT
Alfa Teknik Mandiri Makmur, PT
Triputra Electric Abadi, PT</v>
          </cell>
          <cell r="F135" t="str">
            <v>Amptron Instrumindo, PT
Vhipa Mulia Pratama, PT
Perwira Sentra Officindo, PT
Sola Anugerah Oilfield, PT</v>
          </cell>
          <cell r="G135" t="str">
            <v>R0
4 of 10
31 Jan 25</v>
          </cell>
          <cell r="H135" t="str">
            <v>GUNARA FERY FAHNANI</v>
          </cell>
          <cell r="I135">
            <v>45677</v>
          </cell>
          <cell r="J135" t="str">
            <v>Tech Main</v>
          </cell>
          <cell r="K135" t="str">
            <v>B</v>
          </cell>
          <cell r="L135" t="str">
            <v>BID</v>
          </cell>
          <cell r="M135" t="str">
            <v>0018</v>
          </cell>
          <cell r="N135" t="str">
            <v>RH</v>
          </cell>
          <cell r="O135" t="str">
            <v>robertiagus.haposan@alamtri.com</v>
          </cell>
          <cell r="P135">
            <v>1731.0096000000001</v>
          </cell>
          <cell r="Q135">
            <v>27696153.600000001</v>
          </cell>
          <cell r="R135" t="str">
            <v>Completed Sign PO</v>
          </cell>
          <cell r="T135" t="str">
            <v>MSW</v>
          </cell>
          <cell r="U135" t="str">
            <v>Amptron Instrumindo, PT
Krisbow Indonesia, PT
Vhipa Mulia Pratama, PT
Perwira Sentra Officindo, PT
Kawan Lama Sejahtera, PT
Sola Anugerah Oilfield, PT
Putera Instrumenindo, PT
Kin Kitra Kencana, PT
Alfa Teknik Mandiri Makmur, PT
Triputra Electric Abadi, PT</v>
          </cell>
          <cell r="V135" t="str">
            <v>Amptron Instrumindo, PT
Vhipa Mulia Pratama, PT
Perwira Sentra Officindo, PT
Sola Anugerah Oilfield, PT</v>
          </cell>
          <cell r="W135" t="str">
            <v>10 of 10</v>
          </cell>
          <cell r="X135" t="str">
            <v>4 of 10</v>
          </cell>
          <cell r="Y135">
            <v>45677</v>
          </cell>
          <cell r="Z135">
            <v>45688</v>
          </cell>
          <cell r="AC135" t="str">
            <v xml:space="preserve"> of </v>
          </cell>
          <cell r="AD135" t="str">
            <v xml:space="preserve"> of </v>
          </cell>
          <cell r="AF135" t="str">
            <v/>
          </cell>
          <cell r="AI135" t="str">
            <v xml:space="preserve"> of </v>
          </cell>
          <cell r="AJ135" t="str">
            <v xml:space="preserve"> of </v>
          </cell>
          <cell r="AM135">
            <v>0.70833333333333337</v>
          </cell>
          <cell r="AN135" t="str">
            <v>Kawan Lama Solusi, PT</v>
          </cell>
          <cell r="AO135" t="str">
            <v/>
          </cell>
          <cell r="AP135" t="str">
            <v>PO25000045R1</v>
          </cell>
          <cell r="AQ135">
            <v>15870400</v>
          </cell>
          <cell r="AR135">
            <v>45692</v>
          </cell>
          <cell r="AS135">
            <v>45701</v>
          </cell>
          <cell r="AT135">
            <v>45701</v>
          </cell>
          <cell r="AU135">
            <v>45730</v>
          </cell>
          <cell r="AV135">
            <v>45720</v>
          </cell>
          <cell r="AW135">
            <v>45749</v>
          </cell>
          <cell r="AX135">
            <v>4.1428571428571432</v>
          </cell>
          <cell r="AY135">
            <v>45729</v>
          </cell>
          <cell r="AZ135" t="str">
            <v/>
          </cell>
          <cell r="BA135" t="str">
            <v/>
          </cell>
          <cell r="BB135" t="str">
            <v>Completed</v>
          </cell>
          <cell r="BC135" t="str">
            <v>PR100009932</v>
          </cell>
        </row>
        <row r="136">
          <cell r="B136" t="str">
            <v>PR100009942</v>
          </cell>
          <cell r="C136" t="str">
            <v>Thermal overload relay for LP Dosing WO10729721</v>
          </cell>
          <cell r="E136" t="str">
            <v>Perwira Sentra Officindo, PT
Greentek Elektrikal Indonesia, PT
Antares Jaya Gemilang Prima, PT
Sola Anugerah Oilfield, PT
Gema Industrial, PT
Petrocom Nusa Synergy, PT
Alfa Teknik Mandiri Makmur, PT
Borneo Maju Jaya, PT</v>
          </cell>
          <cell r="F136" t="str">
            <v>Perwira Sentra Officindo, PT
Greentek Elektrikal Indonesia, PT
Sola Anugerah Oilfield, PT
Gema Industrial, PT
Alfa Teknik Mandiri Makmur, PT
Borneo Maju Jaya, PT</v>
          </cell>
          <cell r="G136" t="str">
            <v>R0
6 of 8
31 Jan 25</v>
          </cell>
          <cell r="H136" t="str">
            <v>DEDE SUDARJI</v>
          </cell>
          <cell r="I136">
            <v>45677</v>
          </cell>
          <cell r="J136" t="str">
            <v>Tech Main</v>
          </cell>
          <cell r="K136" t="str">
            <v>B</v>
          </cell>
          <cell r="L136" t="str">
            <v>BID</v>
          </cell>
          <cell r="M136" t="str">
            <v>0021</v>
          </cell>
          <cell r="N136" t="str">
            <v>RH</v>
          </cell>
          <cell r="O136" t="str">
            <v>robertiagus.haposan@alamtri.com</v>
          </cell>
          <cell r="P136">
            <v>231</v>
          </cell>
          <cell r="Q136">
            <v>3696000</v>
          </cell>
          <cell r="R136" t="str">
            <v>Completed Sign PO</v>
          </cell>
          <cell r="T136" t="str">
            <v>MSW</v>
          </cell>
          <cell r="U136" t="str">
            <v>Perwira Sentra Officindo, PT
Greentek Elektrikal Indonesia, PT
Antares Jaya Gemilang Prima, PT
Sola Anugerah Oilfield, PT
Gema Industrial, PT
Petrocom Nusa Synergy, PT
Alfa Teknik Mandiri Makmur, PT
Borneo Maju Jaya, PT</v>
          </cell>
          <cell r="V136" t="str">
            <v>Perwira Sentra Officindo, PT
Greentek Elektrikal Indonesia, PT
Sola Anugerah Oilfield, PT
Gema Industrial, PT
Alfa Teknik Mandiri Makmur, PT
Borneo Maju Jaya, PT</v>
          </cell>
          <cell r="W136" t="str">
            <v>8 of 8</v>
          </cell>
          <cell r="X136" t="str">
            <v>6 of 8</v>
          </cell>
          <cell r="Y136">
            <v>45677</v>
          </cell>
          <cell r="Z136">
            <v>45688</v>
          </cell>
          <cell r="AC136" t="str">
            <v xml:space="preserve"> of </v>
          </cell>
          <cell r="AD136" t="str">
            <v xml:space="preserve"> of </v>
          </cell>
          <cell r="AF136" t="str">
            <v/>
          </cell>
          <cell r="AI136" t="str">
            <v xml:space="preserve"> of </v>
          </cell>
          <cell r="AJ136" t="str">
            <v xml:space="preserve"> of </v>
          </cell>
          <cell r="AM136">
            <v>0.70833333333333337</v>
          </cell>
          <cell r="AN136" t="str">
            <v>Perwira Sentra Officindo, PT</v>
          </cell>
          <cell r="AO136" t="str">
            <v>d_santos63@yahoo.com</v>
          </cell>
          <cell r="AP136" t="str">
            <v>PO25000115</v>
          </cell>
          <cell r="AQ136">
            <v>1211000</v>
          </cell>
          <cell r="AR136">
            <v>45693</v>
          </cell>
          <cell r="AS136">
            <v>45716</v>
          </cell>
          <cell r="AT136">
            <v>45719</v>
          </cell>
          <cell r="AU136">
            <v>45751</v>
          </cell>
          <cell r="AV136">
            <v>45722</v>
          </cell>
          <cell r="AW136">
            <v>45754</v>
          </cell>
          <cell r="AX136">
            <v>4.5714285714285712</v>
          </cell>
          <cell r="AY136">
            <v>45771</v>
          </cell>
          <cell r="AZ136">
            <v>17</v>
          </cell>
          <cell r="BA136">
            <v>36330</v>
          </cell>
          <cell r="BB136" t="str">
            <v>Late Completed</v>
          </cell>
          <cell r="BC136" t="str">
            <v>PR100009942</v>
          </cell>
        </row>
        <row r="137">
          <cell r="B137" t="str">
            <v>PR100009926 (Line 1)</v>
          </cell>
          <cell r="C137" t="str">
            <v>Sparepart Air Compressor for WO10727792</v>
          </cell>
          <cell r="E137" t="str">
            <v>Bem-Vindo Jaya, PT
Starvi Nusa Gemilang, PT
Putra Andalan Perkasa, PT
Sakata Prima Teknika, PT
SAMN Satya Wijaya, PT
Trimitra Wisesa Abadi, PT
Pacific Tractor Indonesia, PT
Atlas Copco Indonesia, PT
Petrocom Nusa Synergy, PT</v>
          </cell>
          <cell r="F137" t="str">
            <v>Starvi Nusa Gemilang, PT
Trimitra Wisesa Abadi, PT
Pacific Tractor Indonesia, PT
Atlas Copco Indonesia, PT
Petrocom Nusa Synergy, PT</v>
          </cell>
          <cell r="G137" t="str">
            <v>R0
5 of 9
31 Jan 25</v>
          </cell>
          <cell r="H137" t="str">
            <v>DEDE SUDARJI</v>
          </cell>
          <cell r="I137">
            <v>45677</v>
          </cell>
          <cell r="J137" t="str">
            <v>Tech Main</v>
          </cell>
          <cell r="K137" t="str">
            <v>B</v>
          </cell>
          <cell r="L137" t="str">
            <v>BID</v>
          </cell>
          <cell r="M137" t="str">
            <v>0022</v>
          </cell>
          <cell r="N137" t="str">
            <v>RH</v>
          </cell>
          <cell r="O137" t="str">
            <v>robertiagus.haposan@alamtri.com</v>
          </cell>
          <cell r="P137">
            <v>4428</v>
          </cell>
          <cell r="Q137">
            <v>70848000</v>
          </cell>
          <cell r="R137" t="str">
            <v>Completed Sign PO</v>
          </cell>
          <cell r="T137" t="str">
            <v>MSW</v>
          </cell>
          <cell r="U137" t="str">
            <v>Bem-Vindo Jaya, PT
Starvi Nusa Gemilang, PT
Putra Andalan Perkasa, PT
Sakata Prima Teknika, PT
SAMN Satya Wijaya, PT
Trimitra Wisesa Abadi, PT
Pacific Tractor Indonesia, PT
Atlas Copco Indonesia, PT
Petrocom Nusa Synergy, PT</v>
          </cell>
          <cell r="V137" t="str">
            <v>Starvi Nusa Gemilang, PT
Trimitra Wisesa Abadi, PT
Pacific Tractor Indonesia, PT
Atlas Copco Indonesia, PT
Petrocom Nusa Synergy, PT</v>
          </cell>
          <cell r="W137" t="str">
            <v>9 of 9</v>
          </cell>
          <cell r="X137" t="str">
            <v>5 of 9</v>
          </cell>
          <cell r="Y137">
            <v>45677</v>
          </cell>
          <cell r="Z137">
            <v>45688</v>
          </cell>
          <cell r="AC137" t="str">
            <v xml:space="preserve"> of </v>
          </cell>
          <cell r="AD137" t="str">
            <v xml:space="preserve"> of </v>
          </cell>
          <cell r="AF137" t="str">
            <v/>
          </cell>
          <cell r="AI137" t="str">
            <v xml:space="preserve"> of </v>
          </cell>
          <cell r="AJ137" t="str">
            <v xml:space="preserve"> of </v>
          </cell>
          <cell r="AM137">
            <v>0.70833333333333337</v>
          </cell>
          <cell r="AN137" t="str">
            <v>Bem-Vindo Jaya, PT</v>
          </cell>
          <cell r="AO137" t="str">
            <v>sularto@bem-vindojaya.com</v>
          </cell>
          <cell r="AP137" t="str">
            <v>PO25000083</v>
          </cell>
          <cell r="AQ137">
            <v>52500000</v>
          </cell>
          <cell r="AR137">
            <v>45693</v>
          </cell>
          <cell r="AS137">
            <v>45714</v>
          </cell>
          <cell r="AT137">
            <v>45719</v>
          </cell>
          <cell r="AU137">
            <v>45793</v>
          </cell>
          <cell r="AV137">
            <v>45720</v>
          </cell>
          <cell r="AW137">
            <v>45794</v>
          </cell>
          <cell r="AX137">
            <v>10.571428571428571</v>
          </cell>
          <cell r="AY137">
            <v>45780</v>
          </cell>
          <cell r="AZ137" t="str">
            <v/>
          </cell>
          <cell r="BA137" t="str">
            <v/>
          </cell>
          <cell r="BB137" t="str">
            <v>Late Completed</v>
          </cell>
          <cell r="BC137" t="str">
            <v>PR100009926</v>
          </cell>
        </row>
        <row r="138">
          <cell r="B138" t="str">
            <v>PR100009928 (Line 1-2)</v>
          </cell>
          <cell r="C138" t="str">
            <v>Sparepart Transmitter Boiler</v>
          </cell>
          <cell r="E138" t="str">
            <v>Kin Kitra Kencana, PT
Putera Instrumenindo, PT
Gema Industrial, PT
Gading Mas Utama, PT
Sola Anugerah Oilfield, PT
Golden Pratama Engineering, PT
Artam Borneo Automatika, PT
Petrocom Nusa Synergy, PT
Taman Baru , PT
Vhipa Mulia Pratama, PT</v>
          </cell>
          <cell r="F138" t="str">
            <v>Kin Kitra Kencana, PT	
Gading Mas Utama, PT	
Artam Borneo Automatika, PT</v>
          </cell>
          <cell r="G138" t="str">
            <v>R0
3 of 10
31 Jan 25</v>
          </cell>
          <cell r="H138" t="str">
            <v>DEDE SUDARJI</v>
          </cell>
          <cell r="I138">
            <v>45677</v>
          </cell>
          <cell r="J138" t="str">
            <v>Tech Main</v>
          </cell>
          <cell r="K138" t="str">
            <v>B</v>
          </cell>
          <cell r="L138" t="str">
            <v>BID</v>
          </cell>
          <cell r="M138" t="str">
            <v>0023</v>
          </cell>
          <cell r="N138" t="str">
            <v>RH</v>
          </cell>
          <cell r="O138" t="str">
            <v>robertiagus.haposan@alamtri.com</v>
          </cell>
          <cell r="P138">
            <v>3943.76</v>
          </cell>
          <cell r="Q138">
            <v>63100160</v>
          </cell>
          <cell r="R138" t="str">
            <v>Completed Sign PO</v>
          </cell>
          <cell r="T138" t="str">
            <v>MSW</v>
          </cell>
          <cell r="U138" t="str">
            <v>Kin Kitra Kencana, PT
Putera Instrumenindo, PT
Gema Industrial, PT
Gading Mas Utama, PT
Sola Anugerah Oilfield, PT
Golden Pratama Engineering, PT
Artam Borneo Automatika, PT
Petrocom Nusa Synergy, PT
Taman Baru , PT
Vhipa Mulia Pratama, PT</v>
          </cell>
          <cell r="V138" t="str">
            <v>Kin Kitra Kencana, PT	
Gading Mas Utama, PT	
Artam Borneo Automatika, PT</v>
          </cell>
          <cell r="W138" t="str">
            <v>10 of 10</v>
          </cell>
          <cell r="X138" t="str">
            <v>3 of 10</v>
          </cell>
          <cell r="Y138">
            <v>45677</v>
          </cell>
          <cell r="Z138">
            <v>45688</v>
          </cell>
          <cell r="AC138" t="str">
            <v xml:space="preserve"> of </v>
          </cell>
          <cell r="AD138" t="str">
            <v xml:space="preserve"> of </v>
          </cell>
          <cell r="AF138" t="str">
            <v/>
          </cell>
          <cell r="AI138" t="str">
            <v xml:space="preserve"> of </v>
          </cell>
          <cell r="AJ138" t="str">
            <v xml:space="preserve"> of </v>
          </cell>
          <cell r="AM138">
            <v>0.70833333333333337</v>
          </cell>
          <cell r="AN138" t="str">
            <v>Kin Kitra Kencana, PT</v>
          </cell>
          <cell r="AO138" t="str">
            <v>ptkinkitrakencana@gmail.com; teguhkin999@gmail.com</v>
          </cell>
          <cell r="AP138" t="str">
            <v>PO25000110</v>
          </cell>
          <cell r="AQ138">
            <v>104400000</v>
          </cell>
          <cell r="AR138">
            <v>45693</v>
          </cell>
          <cell r="AS138">
            <v>45716</v>
          </cell>
          <cell r="AT138">
            <v>45719</v>
          </cell>
          <cell r="AU138">
            <v>45856</v>
          </cell>
          <cell r="AV138">
            <v>45722</v>
          </cell>
          <cell r="AW138">
            <v>45859</v>
          </cell>
          <cell r="AX138">
            <v>19.571428571428573</v>
          </cell>
          <cell r="AY138">
            <v>45920</v>
          </cell>
          <cell r="AZ138">
            <v>61</v>
          </cell>
          <cell r="BA138">
            <v>5220000</v>
          </cell>
          <cell r="BB138" t="str">
            <v>Late Completed</v>
          </cell>
          <cell r="BC138" t="str">
            <v>PR100009928</v>
          </cell>
        </row>
        <row r="139">
          <cell r="B139" t="str">
            <v>PR100009925</v>
          </cell>
          <cell r="C139" t="str">
            <v>Sparepart Transmitter Turbine</v>
          </cell>
          <cell r="E139" t="str">
            <v>Gema Industrial, PT
Alfa Teknik Mandiri Makmur, PT
Gading Mas Utama, PT
Yabestindo Mitra Utama, PT
Antares Jaya Gemilang Prima, PT
Simenteknindo, PT
Axel Jaya Cakraniaga, PT
Perwira Sentra Officindo, PT
Viktori Profindo Automation, PT
Suryamas Elsindo Primatama, PT
Lamindo Prima Mandiri, PT</v>
          </cell>
          <cell r="F139" t="str">
            <v xml:space="preserve">Gema Industrial, PT	
Alfa Teknik Mandiri Makmur, PT	
Antares Jaya Gemilang Prima, PT
Axel Jaya Cakraniaga, PT		</v>
          </cell>
          <cell r="G139" t="str">
            <v>R0
4 of 11
31 Jan 25</v>
          </cell>
          <cell r="H139" t="str">
            <v>DEDE SUDARJI</v>
          </cell>
          <cell r="I139">
            <v>45677</v>
          </cell>
          <cell r="J139" t="str">
            <v>Tech Main</v>
          </cell>
          <cell r="K139" t="str">
            <v>B</v>
          </cell>
          <cell r="L139" t="str">
            <v>BID</v>
          </cell>
          <cell r="M139" t="str">
            <v>0025</v>
          </cell>
          <cell r="N139" t="str">
            <v>RH</v>
          </cell>
          <cell r="O139" t="str">
            <v>robertiagus.haposan@alamtri.com</v>
          </cell>
          <cell r="P139">
            <v>2171.4</v>
          </cell>
          <cell r="Q139">
            <v>34742400</v>
          </cell>
          <cell r="R139" t="str">
            <v>Completed Sign PO</v>
          </cell>
          <cell r="T139" t="str">
            <v>MSW</v>
          </cell>
          <cell r="U139" t="str">
            <v>Gema Industrial, PT
Alfa Teknik Mandiri Makmur, PT
Gading Mas Utama, PT
Yabestindo Mitra Utama, PT
Antares Jaya Gemilang Prima, PT
Simenteknindo, PT
Axel Jaya Cakraniaga, PT
Perwira Sentra Officindo, PT
Viktori Profindo Automation, PT
Suryamas Elsindo Primatama, PT
Lamindo Prima Mandiri, PT</v>
          </cell>
          <cell r="V139" t="str">
            <v xml:space="preserve">Gema Industrial, PT	
Alfa Teknik Mandiri Makmur, PT	
Antares Jaya Gemilang Prima, PT
Axel Jaya Cakraniaga, PT		</v>
          </cell>
          <cell r="W139" t="str">
            <v>11 of 11</v>
          </cell>
          <cell r="X139" t="str">
            <v>4 of 11</v>
          </cell>
          <cell r="Y139">
            <v>45678</v>
          </cell>
          <cell r="Z139">
            <v>45688</v>
          </cell>
          <cell r="AC139" t="str">
            <v xml:space="preserve"> of </v>
          </cell>
          <cell r="AD139" t="str">
            <v xml:space="preserve"> of </v>
          </cell>
          <cell r="AF139" t="str">
            <v/>
          </cell>
          <cell r="AI139" t="str">
            <v xml:space="preserve"> of </v>
          </cell>
          <cell r="AJ139" t="str">
            <v xml:space="preserve"> of </v>
          </cell>
          <cell r="AM139">
            <v>0.70833333333333337</v>
          </cell>
          <cell r="AN139" t="str">
            <v>Antares Jaya Gemilang Prima, PT</v>
          </cell>
          <cell r="AO139" t="str">
            <v>info@pt-antares.com; antares.jgp@gmail.com</v>
          </cell>
          <cell r="AP139" t="str">
            <v>PO25000057</v>
          </cell>
          <cell r="AQ139">
            <v>29000000</v>
          </cell>
          <cell r="AR139">
            <v>45693</v>
          </cell>
          <cell r="AS139">
            <v>45701</v>
          </cell>
          <cell r="AT139">
            <v>45705</v>
          </cell>
          <cell r="AU139">
            <v>45814</v>
          </cell>
          <cell r="AV139">
            <v>45707</v>
          </cell>
          <cell r="AW139">
            <v>45816</v>
          </cell>
          <cell r="AX139">
            <v>15.571428571428571</v>
          </cell>
          <cell r="AY139">
            <v>45882</v>
          </cell>
          <cell r="AZ139">
            <v>61</v>
          </cell>
          <cell r="BA139">
            <v>1450000</v>
          </cell>
          <cell r="BB139" t="str">
            <v>Completed</v>
          </cell>
          <cell r="BC139" t="str">
            <v>PR100009925</v>
          </cell>
        </row>
        <row r="140">
          <cell r="B140" t="str">
            <v>PR100009918</v>
          </cell>
          <cell r="C140" t="str">
            <v>pH Meter Eutech PC-450 Januari 2025 (see long desc)</v>
          </cell>
          <cell r="E140" t="str">
            <v>Radius Allkindo Electric, PT
Aneka Alat Teknik, CV
Alfa Teknik Mandiri Makmur, PT
Vhipa Mulia Pratama, PT
Antares Jaya Gemilang Prima, PT
Andalan Prima Sejahtera, CV
Maju Mapan Mandiri Indah Pratama, PT
Multiarya Komunika</v>
          </cell>
          <cell r="F140" t="str">
            <v xml:space="preserve">Aneka Alat Teknik, CV
Alfa Teknik Mandiri Makmur, PT	
Vhipa Mulia Pratama, PT
Antares Jaya Gemilang Prima, PT		</v>
          </cell>
          <cell r="G140" t="str">
            <v>R0
4 of 8
31 Jan 25</v>
          </cell>
          <cell r="H140" t="str">
            <v>DENI SUHENDRA</v>
          </cell>
          <cell r="I140">
            <v>45677</v>
          </cell>
          <cell r="J140" t="str">
            <v>Tech Op</v>
          </cell>
          <cell r="K140" t="str">
            <v>B</v>
          </cell>
          <cell r="L140" t="str">
            <v>BID</v>
          </cell>
          <cell r="M140" t="str">
            <v>0016</v>
          </cell>
          <cell r="N140" t="str">
            <v>RH</v>
          </cell>
          <cell r="O140" t="str">
            <v>robertiagus.haposan@alamtri.com</v>
          </cell>
          <cell r="P140">
            <v>1034.28</v>
          </cell>
          <cell r="Q140">
            <v>16548480</v>
          </cell>
          <cell r="R140" t="str">
            <v>Completed Sign PO</v>
          </cell>
          <cell r="T140" t="str">
            <v>MSW</v>
          </cell>
          <cell r="U140" t="str">
            <v>Radius Allkindo Electric, PT
Aneka Alat Teknik, CV
Alfa Teknik Mandiri Makmur, PT
Vhipa Mulia Pratama, PT
Antares Jaya Gemilang Prima, PT
Andalan Prima Sejahtera, CV
Maju Mapan Mandiri Indah Pratama, PT
Multiarya Komunika</v>
          </cell>
          <cell r="V140" t="str">
            <v xml:space="preserve">Aneka Alat Teknik, CV
Alfa Teknik Mandiri Makmur, PT	
Vhipa Mulia Pratama, PT
Antares Jaya Gemilang Prima, PT		</v>
          </cell>
          <cell r="W140" t="str">
            <v>8 of 8</v>
          </cell>
          <cell r="X140" t="str">
            <v>4 of 8</v>
          </cell>
          <cell r="Y140">
            <v>45677</v>
          </cell>
          <cell r="Z140">
            <v>45688</v>
          </cell>
          <cell r="AC140" t="str">
            <v xml:space="preserve"> of </v>
          </cell>
          <cell r="AD140" t="str">
            <v xml:space="preserve"> of </v>
          </cell>
          <cell r="AF140" t="str">
            <v/>
          </cell>
          <cell r="AI140" t="str">
            <v xml:space="preserve"> of </v>
          </cell>
          <cell r="AJ140" t="str">
            <v xml:space="preserve"> of </v>
          </cell>
          <cell r="AM140">
            <v>0.70833333333333337</v>
          </cell>
          <cell r="AN140" t="str">
            <v>Alfa Teknik Mandiri Makmur, PT</v>
          </cell>
          <cell r="AO140" t="str">
            <v>sales.atmm@gmail.com; alex_atmm@yahoo.com</v>
          </cell>
          <cell r="AP140" t="str">
            <v>PO25000052</v>
          </cell>
          <cell r="AQ140">
            <v>21900000</v>
          </cell>
          <cell r="AR140">
            <v>45693</v>
          </cell>
          <cell r="AS140">
            <v>45702</v>
          </cell>
          <cell r="AT140">
            <v>45702</v>
          </cell>
          <cell r="AU140">
            <v>45737</v>
          </cell>
          <cell r="AV140">
            <v>45707</v>
          </cell>
          <cell r="AW140">
            <v>45742</v>
          </cell>
          <cell r="AX140">
            <v>5</v>
          </cell>
          <cell r="AY140">
            <v>45731</v>
          </cell>
          <cell r="AZ140" t="str">
            <v/>
          </cell>
          <cell r="BA140" t="str">
            <v/>
          </cell>
          <cell r="BB140" t="str">
            <v>Completed</v>
          </cell>
          <cell r="BC140" t="str">
            <v>PR100009918</v>
          </cell>
        </row>
        <row r="141">
          <cell r="B141" t="str">
            <v>PR100009862</v>
          </cell>
          <cell r="C141" t="str">
            <v>Rechargeable Battery CellTech &amp; Panasonic</v>
          </cell>
          <cell r="E141" t="str">
            <v>ABB Sakti Industri, PT
Gema Industrial, PT
Simenteknindo, PT
Stanindo Artha Langgeng, PT
Trimitra Bangun Karyatama, PT
Gading Mas Utama, PT
Outsourcindo, PT
Perwira Sentra Officindo, PT
Promitra Prima Indonesia, PT</v>
          </cell>
          <cell r="F141" t="str">
            <v>Gema Industrial, PT
Gading Mas Utama, PT
Promitra Prima Indonesia, PT</v>
          </cell>
          <cell r="G141" t="str">
            <v>R0
3 of 9
30 Jan 25</v>
          </cell>
          <cell r="H141" t="str">
            <v>DEDE SUDARJI</v>
          </cell>
          <cell r="I141">
            <v>45677</v>
          </cell>
          <cell r="J141" t="str">
            <v>Tech Main</v>
          </cell>
          <cell r="K141" t="str">
            <v>B</v>
          </cell>
          <cell r="L141" t="str">
            <v>BID</v>
          </cell>
          <cell r="M141" t="str">
            <v>0024</v>
          </cell>
          <cell r="N141" t="str">
            <v>RH</v>
          </cell>
          <cell r="O141" t="str">
            <v>robertiagus.haposan@alamtri.com</v>
          </cell>
          <cell r="P141">
            <v>1678.5488</v>
          </cell>
          <cell r="Q141">
            <v>26856780.800000001</v>
          </cell>
          <cell r="R141" t="str">
            <v>Completed Sign PO</v>
          </cell>
          <cell r="T141" t="str">
            <v>MSW</v>
          </cell>
          <cell r="U141" t="str">
            <v>ABB Sakti Industri, PT
Gema Industrial, PT
Simenteknindo, PT
Stanindo Artha Langgeng, PT
Trimitra Bangun Karyatama, PT
Gading Mas Utama, PT
Outsourcindo, PT
Perwira Sentra Officindo, PT
Promitra Prima Indonesia, PT</v>
          </cell>
          <cell r="V141" t="str">
            <v>Gema Industrial, PT
Gading Mas Utama, PT
Promitra Prima Indonesia, PT</v>
          </cell>
          <cell r="W141" t="str">
            <v>9 of 9</v>
          </cell>
          <cell r="X141" t="str">
            <v>3 of 9</v>
          </cell>
          <cell r="Y141">
            <v>45677</v>
          </cell>
          <cell r="Z141">
            <v>45687</v>
          </cell>
          <cell r="AC141" t="str">
            <v xml:space="preserve"> of </v>
          </cell>
          <cell r="AD141" t="str">
            <v xml:space="preserve"> of </v>
          </cell>
          <cell r="AF141" t="str">
            <v/>
          </cell>
          <cell r="AI141" t="str">
            <v xml:space="preserve"> of </v>
          </cell>
          <cell r="AJ141" t="str">
            <v xml:space="preserve"> of </v>
          </cell>
          <cell r="AM141">
            <v>0.70833333333333337</v>
          </cell>
          <cell r="AN141" t="str">
            <v>Promitra Prima Indonesia, PT</v>
          </cell>
          <cell r="AO141" t="str">
            <v>heru@promitra.co.id</v>
          </cell>
          <cell r="AP141" t="str">
            <v>PO25000058</v>
          </cell>
          <cell r="AQ141">
            <v>28492000</v>
          </cell>
          <cell r="AR141">
            <v>45688</v>
          </cell>
          <cell r="AS141">
            <v>45701</v>
          </cell>
          <cell r="AT141">
            <v>45705</v>
          </cell>
          <cell r="AU141">
            <v>45786</v>
          </cell>
          <cell r="AV141">
            <v>45707</v>
          </cell>
          <cell r="AW141">
            <v>45788</v>
          </cell>
          <cell r="AX141">
            <v>11.571428571428571</v>
          </cell>
          <cell r="AY141">
            <v>45782</v>
          </cell>
          <cell r="AZ141" t="str">
            <v/>
          </cell>
          <cell r="BA141" t="str">
            <v/>
          </cell>
          <cell r="BB141" t="str">
            <v>Completed</v>
          </cell>
          <cell r="BC141" t="str">
            <v>PR100009862</v>
          </cell>
        </row>
        <row r="142">
          <cell r="B142" t="str">
            <v>PR100009880</v>
          </cell>
          <cell r="C142" t="str">
            <v>Temperature Transmitter For Condenser WO10725543</v>
          </cell>
          <cell r="E142" t="str">
            <v>Gema Industrial, PT
Gading Mas Utama, PT
Perwira Sentra Officindo, PT
Antares Jaya Gemilang Prima, PT
Trimitra Bangun Karyatama, PT
Kin Kitra Kencana, PT
ABB Sakti Industri, PT
Gevana, PT
Axel Jaya Cakraniaga, PT
Promitra Prima Indonesia, PT
Boveri Indonesia, PT</v>
          </cell>
          <cell r="F142" t="str">
            <v>Gevana, PT
Gading Mas Utama, PT
Axel Jaya Cakraniaga, PT
Trimitra Bangun Karyatama, PT
Promitra Prima Indonesia, PT</v>
          </cell>
          <cell r="G142" t="str">
            <v>R0
5 of 11
31 Jan 25</v>
          </cell>
          <cell r="H142" t="str">
            <v>DEDE SUDARJI</v>
          </cell>
          <cell r="I142">
            <v>45677</v>
          </cell>
          <cell r="J142" t="str">
            <v>Tech Main</v>
          </cell>
          <cell r="K142" t="str">
            <v>B</v>
          </cell>
          <cell r="L142" t="str">
            <v>BID</v>
          </cell>
          <cell r="M142" t="str">
            <v>0026</v>
          </cell>
          <cell r="N142" t="str">
            <v>RH</v>
          </cell>
          <cell r="O142" t="str">
            <v>robertiagus.haposan@alamtri.com</v>
          </cell>
          <cell r="P142">
            <v>5682.6760000000004</v>
          </cell>
          <cell r="Q142">
            <v>90922816</v>
          </cell>
          <cell r="R142" t="str">
            <v>Completed Sign PO</v>
          </cell>
          <cell r="T142" t="str">
            <v>MSW</v>
          </cell>
          <cell r="U142" t="str">
            <v>Gema Industrial, PT
Gading Mas Utama, PT
Perwira Sentra Officindo, PT
Antares Jaya Gemilang Prima, PT
Trimitra Bangun Karyatama, PT
Kin Kitra Kencana, PT
ABB Sakti Industri, PT
Gevana, PT
Axel Jaya Cakraniaga, PT
Promitra Prima Indonesia, PT
Boveri Indonesia, PT</v>
          </cell>
          <cell r="V142" t="str">
            <v>Gevana, PT
Gading Mas Utama, PT
Axel Jaya Cakraniaga, PT
Trimitra Bangun Karyatama, PT
Promitra Prima Indonesia, PT</v>
          </cell>
          <cell r="W142" t="str">
            <v>11 of 11</v>
          </cell>
          <cell r="X142" t="str">
            <v>5 of 11</v>
          </cell>
          <cell r="Y142">
            <v>45678</v>
          </cell>
          <cell r="Z142">
            <v>45688</v>
          </cell>
          <cell r="AC142" t="str">
            <v xml:space="preserve"> of </v>
          </cell>
          <cell r="AD142" t="str">
            <v xml:space="preserve"> of </v>
          </cell>
          <cell r="AF142" t="str">
            <v/>
          </cell>
          <cell r="AI142" t="str">
            <v xml:space="preserve"> of </v>
          </cell>
          <cell r="AJ142" t="str">
            <v xml:space="preserve"> of </v>
          </cell>
          <cell r="AM142">
            <v>0.70833333333333337</v>
          </cell>
          <cell r="AN142" t="str">
            <v>Gema Industrial, PT</v>
          </cell>
          <cell r="AO142" t="str">
            <v>marketing@gema-industrial.com</v>
          </cell>
          <cell r="AP142" t="str">
            <v>PO25000068R1</v>
          </cell>
          <cell r="AQ142">
            <v>91500000</v>
          </cell>
          <cell r="AR142">
            <v>45693</v>
          </cell>
          <cell r="AS142">
            <v>45706</v>
          </cell>
          <cell r="AT142">
            <v>45719</v>
          </cell>
          <cell r="AU142">
            <v>45856</v>
          </cell>
          <cell r="AV142">
            <v>45726</v>
          </cell>
          <cell r="AW142">
            <v>45863</v>
          </cell>
          <cell r="AX142">
            <v>19.571428571428573</v>
          </cell>
          <cell r="AY142">
            <v>45825</v>
          </cell>
          <cell r="AZ142" t="str">
            <v/>
          </cell>
          <cell r="BA142" t="str">
            <v/>
          </cell>
          <cell r="BB142" t="str">
            <v>Late Completed</v>
          </cell>
          <cell r="BC142" t="str">
            <v>PR100009880</v>
          </cell>
        </row>
        <row r="143">
          <cell r="B143" t="str">
            <v>PR100009941</v>
          </cell>
          <cell r="C143" t="str">
            <v xml:space="preserve">Module Analog Input 1x8 CH ABB S800 </v>
          </cell>
          <cell r="E143" t="str">
            <v>Gading Mas Utama, PT
ABB Sakti Industri, PT
ANP Engineering, PT
Gevana, PT
Putera Instrumenindo, PT
Kin Kitra Kencana, PT
Axel Jaya Cakraniaga, PT
Alfa Teknik Mandiri Makmur, PT
Antares Jaya Gemilang Prima, PT
Gema Industrial, PT</v>
          </cell>
          <cell r="F143" t="str">
            <v>Gading Mas Utama, PT
ANP Engineering, PT
Gevana, PT
Axel Jaya Cakraniaga, PT
Gema Industrial, PT</v>
          </cell>
          <cell r="G143" t="str">
            <v>R0
5 of 10
04 Feb 25</v>
          </cell>
          <cell r="H143" t="str">
            <v>DEDE SUDARJI</v>
          </cell>
          <cell r="I143">
            <v>45677</v>
          </cell>
          <cell r="J143" t="str">
            <v>Tech Main</v>
          </cell>
          <cell r="K143" t="str">
            <v>B</v>
          </cell>
          <cell r="L143" t="str">
            <v>BID</v>
          </cell>
          <cell r="M143" t="str">
            <v>0042</v>
          </cell>
          <cell r="N143" t="str">
            <v>RH</v>
          </cell>
          <cell r="O143" t="str">
            <v>robertiagus.haposan@alamtri.com</v>
          </cell>
          <cell r="P143">
            <v>4994</v>
          </cell>
          <cell r="Q143">
            <v>79904000</v>
          </cell>
          <cell r="R143" t="str">
            <v>Completed Sign PO</v>
          </cell>
          <cell r="T143" t="str">
            <v>MSW</v>
          </cell>
          <cell r="U143" t="str">
            <v>Gading Mas Utama, PT
ABB Sakti Industri, PT
ANP Engineering, PT
Gevana, PT
Putera Instrumenindo, PT
Kin Kitra Kencana, PT
Axel Jaya Cakraniaga, PT
Alfa Teknik Mandiri Makmur, PT
Antares Jaya Gemilang Prima, PT
Gema Industrial, PT</v>
          </cell>
          <cell r="V143" t="str">
            <v>Gading Mas Utama, PT
ANP Engineering, PT
Gevana, PT
Axel Jaya Cakraniaga, PT
Gema Industrial, PT</v>
          </cell>
          <cell r="W143" t="str">
            <v>10 of 10</v>
          </cell>
          <cell r="X143" t="str">
            <v>5 of 10</v>
          </cell>
          <cell r="Y143">
            <v>45679</v>
          </cell>
          <cell r="Z143">
            <v>45692</v>
          </cell>
          <cell r="AC143" t="str">
            <v xml:space="preserve"> of </v>
          </cell>
          <cell r="AD143" t="str">
            <v xml:space="preserve"> of </v>
          </cell>
          <cell r="AF143" t="str">
            <v/>
          </cell>
          <cell r="AI143" t="str">
            <v xml:space="preserve"> of </v>
          </cell>
          <cell r="AJ143" t="str">
            <v xml:space="preserve"> of </v>
          </cell>
          <cell r="AM143">
            <v>0.70833333333333337</v>
          </cell>
          <cell r="AN143" t="str">
            <v>Gevana, PT</v>
          </cell>
          <cell r="AO143" t="str">
            <v>charlierobiansa7@gmail.com; eviedenny277@gmail.com</v>
          </cell>
          <cell r="AP143" t="str">
            <v>PO25000208</v>
          </cell>
          <cell r="AQ143">
            <v>78495600</v>
          </cell>
          <cell r="AR143">
            <v>45694</v>
          </cell>
          <cell r="AS143">
            <v>45735</v>
          </cell>
          <cell r="AT143">
            <v>45743</v>
          </cell>
          <cell r="AU143">
            <v>45800</v>
          </cell>
          <cell r="AV143">
            <v>45755</v>
          </cell>
          <cell r="AW143">
            <v>45812</v>
          </cell>
          <cell r="AX143">
            <v>8.1428571428571423</v>
          </cell>
          <cell r="AY143">
            <v>45773</v>
          </cell>
          <cell r="AZ143" t="str">
            <v/>
          </cell>
          <cell r="BA143" t="str">
            <v/>
          </cell>
          <cell r="BB143" t="str">
            <v>Late Completed</v>
          </cell>
          <cell r="BC143" t="str">
            <v>PR100009941</v>
          </cell>
        </row>
        <row r="144">
          <cell r="B144" t="str">
            <v>PR100009961 (Line 1 -6)</v>
          </cell>
          <cell r="C144" t="str">
            <v>Sparepart Bearing Motor</v>
          </cell>
          <cell r="E144" t="str">
            <v>Perwira Sentra Officindo, PT
SLS Bearindo, PT
Banjar Bearing Sentosa, PT
Alfa Teknik Mandiri Makmur, PT
Satu Aneka Bering, PT
Fortuna Anekamulti Gemilang, PT
Anugerah Jaya Bearing
Kogelahar Borneo, PT
Garuda Bearindo Makmur, PT
Inti Bearingindo Logamsari, PT</v>
          </cell>
          <cell r="F144" t="str">
            <v>SLS Bearindo, PT
Banjar Bearing Sentosa, PT
Alfa Teknik Mandiri Makmur, PT
Fortuna Anekamulti Gemilang, PT
Kogelahar Borneo, PT</v>
          </cell>
          <cell r="G144" t="str">
            <v>R0
5 of 10
04 Feb 25</v>
          </cell>
          <cell r="H144" t="str">
            <v>DEDE SUDARJI</v>
          </cell>
          <cell r="I144">
            <v>45677</v>
          </cell>
          <cell r="J144" t="str">
            <v>Tech Main</v>
          </cell>
          <cell r="K144" t="str">
            <v>B</v>
          </cell>
          <cell r="L144" t="str">
            <v>BID</v>
          </cell>
          <cell r="M144" t="str">
            <v>0040</v>
          </cell>
          <cell r="N144" t="str">
            <v>RH</v>
          </cell>
          <cell r="O144" t="str">
            <v>robertiagus.haposan@alamtri.com</v>
          </cell>
          <cell r="P144">
            <v>644.90719999999988</v>
          </cell>
          <cell r="Q144">
            <v>10318515.199999997</v>
          </cell>
          <cell r="R144" t="str">
            <v>Completed Sign PO</v>
          </cell>
          <cell r="T144" t="str">
            <v>MSW</v>
          </cell>
          <cell r="U144" t="str">
            <v>Perwira Sentra Officindo, PT
SLS Bearindo, PT
Banjar Bearing Sentosa, PT
Alfa Teknik Mandiri Makmur, PT
Satu Aneka Bering, PT
Fortuna Anekamulti Gemilang, PT
Anugerah Jaya Bearing
Kogelahar Borneo, PT
Garuda Bearindo Makmur, PT
Inti Bearingindo Logamsari, PT</v>
          </cell>
          <cell r="V144" t="str">
            <v>SLS Bearindo, PT
Banjar Bearing Sentosa, PT
Alfa Teknik Mandiri Makmur, PT
Fortuna Anekamulti Gemilang, PT
Kogelahar Borneo, PT</v>
          </cell>
          <cell r="W144" t="str">
            <v>10 of 10</v>
          </cell>
          <cell r="X144" t="str">
            <v>5 of 10</v>
          </cell>
          <cell r="Y144">
            <v>45679</v>
          </cell>
          <cell r="Z144">
            <v>45692</v>
          </cell>
          <cell r="AC144" t="str">
            <v xml:space="preserve"> of </v>
          </cell>
          <cell r="AD144" t="str">
            <v xml:space="preserve"> of </v>
          </cell>
          <cell r="AF144" t="str">
            <v/>
          </cell>
          <cell r="AI144" t="str">
            <v xml:space="preserve"> of </v>
          </cell>
          <cell r="AJ144" t="str">
            <v xml:space="preserve"> of </v>
          </cell>
          <cell r="AM144">
            <v>0.70833333333333337</v>
          </cell>
          <cell r="AN144" t="str">
            <v>Banjar Bearing Sentosa, PT</v>
          </cell>
          <cell r="AO144" t="str">
            <v>bbsbjm@banjarbearing.com; eddy@bbs.banjarbearing.com; surya@bbs.banjarbearing.com</v>
          </cell>
          <cell r="AP144" t="str">
            <v>PO25000059</v>
          </cell>
          <cell r="AQ144">
            <v>22270000</v>
          </cell>
          <cell r="AR144">
            <v>45694</v>
          </cell>
          <cell r="AS144">
            <v>45701</v>
          </cell>
          <cell r="AT144">
            <v>45705</v>
          </cell>
          <cell r="AU144">
            <v>45737</v>
          </cell>
          <cell r="AV144">
            <v>45707</v>
          </cell>
          <cell r="AW144">
            <v>45739</v>
          </cell>
          <cell r="AX144">
            <v>4.5714285714285712</v>
          </cell>
          <cell r="AY144">
            <v>45747</v>
          </cell>
          <cell r="AZ144">
            <v>8</v>
          </cell>
          <cell r="BA144">
            <v>178160</v>
          </cell>
          <cell r="BB144" t="str">
            <v>Completed</v>
          </cell>
          <cell r="BC144" t="str">
            <v>PR100009961</v>
          </cell>
        </row>
        <row r="145">
          <cell r="B145" t="str">
            <v>PR100009954</v>
          </cell>
          <cell r="C145" t="str">
            <v>Sparepart Temperature Element Boiler</v>
          </cell>
          <cell r="E145" t="str">
            <v>Gema Industrial, PT
Kin Kitra Kencana, PT
Gading Mas Utama, PT
Trimitra Wahana Sukses, PT
Gevana, PT
Axel Jaya Cakraniaga, PT
Greentek Elektrikal Indonesia, PT
Sola Anugerah Oilfield, PT
Hanju Nusantara Power, PT
Buana Cahayatama, PT
Stanindo Artha Langgeng, PT
Boveri Indonesia, PT
Promitra Prima Indonesia, PT</v>
          </cell>
          <cell r="F145" t="str">
            <v>Gema Industrial, PT
Kin Kitra Kencana, PT
Gading Mas Utama, PT
Axel Jaya Cakraniaga, PT
Promitra Prima Indonesia, PT</v>
          </cell>
          <cell r="G145" t="str">
            <v xml:space="preserve">R1
5 of 13
</v>
          </cell>
          <cell r="H145" t="str">
            <v>DEDE SUDARJI</v>
          </cell>
          <cell r="I145">
            <v>45677</v>
          </cell>
          <cell r="J145" t="str">
            <v>Tech Main</v>
          </cell>
          <cell r="K145" t="str">
            <v>B</v>
          </cell>
          <cell r="L145" t="str">
            <v>BID</v>
          </cell>
          <cell r="M145" t="str">
            <v>0039</v>
          </cell>
          <cell r="N145" t="str">
            <v>RH</v>
          </cell>
          <cell r="O145" t="str">
            <v>robertiagus.haposan@alamtri.com</v>
          </cell>
          <cell r="P145">
            <v>4208</v>
          </cell>
          <cell r="Q145">
            <v>67328000</v>
          </cell>
          <cell r="R145" t="str">
            <v>Completed Sign PO</v>
          </cell>
          <cell r="T145" t="str">
            <v>MSW</v>
          </cell>
          <cell r="U145" t="str">
            <v>Gema Industrial, PT
Kin Kitra Kencana, PT
Putera Instrumenindo, PT
Antares Jaya Gemilang Prima, PT
Putranata Adi Mandiri, PT
Vertech Perdana, PT
Gading Mas Utama, PT
Total Solusi Instrument, PT
Petrocom Nusa Synergy, PT</v>
          </cell>
          <cell r="V145" t="str">
            <v xml:space="preserve">Gema Industrial, PT
Kin Kitra Kencana, PT
Gading Mas Utama, PT
Axel Jaya Cakraniaga, PT
Promitra Prima Indonesia, PT	</v>
          </cell>
          <cell r="W145" t="str">
            <v>9 of 9</v>
          </cell>
          <cell r="X145" t="str">
            <v>5 of 9</v>
          </cell>
          <cell r="Y145">
            <v>45679</v>
          </cell>
          <cell r="Z145">
            <v>45692</v>
          </cell>
          <cell r="AA145" t="str">
            <v>Gema Industrial, PT
Kin Kitra Kencana, PT
Gading Mas Utama, PT
Trimitra Wahana Sukses, PT
Gevana, PT
Axel Jaya Cakraniaga, PT
Greentek Elektrikal Indonesia, PT
Sola Anugerah Oilfield, PT
Hanju Nusantara Power, PT
Buana Cahayatama, PT
Stanindo Artha Langgeng, PT
Boveri Indonesia, PT
Promitra Prima Indonesia, PT</v>
          </cell>
          <cell r="AB145" t="str">
            <v>Gema Industrial, PT
Kin Kitra Kencana, PT
Gading Mas Utama, PT
Axel Jaya Cakraniaga, PT
Promitra Prima Indonesia, PT</v>
          </cell>
          <cell r="AC145" t="str">
            <v>13 of 13</v>
          </cell>
          <cell r="AD145" t="str">
            <v>5 of 13</v>
          </cell>
          <cell r="AF145" t="str">
            <v/>
          </cell>
          <cell r="AI145" t="str">
            <v xml:space="preserve"> of </v>
          </cell>
          <cell r="AJ145" t="str">
            <v xml:space="preserve"> of </v>
          </cell>
          <cell r="AM145">
            <v>0.70833333333333337</v>
          </cell>
          <cell r="AN145" t="str">
            <v>Promitra Prima Indonesia, PT</v>
          </cell>
          <cell r="AO145" t="str">
            <v>heru@promitra.co.id</v>
          </cell>
          <cell r="AP145" t="str">
            <v>PO25000130</v>
          </cell>
          <cell r="AQ145">
            <v>24600000</v>
          </cell>
          <cell r="AR145">
            <v>45701</v>
          </cell>
          <cell r="AS145">
            <v>45719</v>
          </cell>
          <cell r="AT145">
            <v>45726</v>
          </cell>
          <cell r="AU145">
            <v>45824</v>
          </cell>
          <cell r="AV145">
            <v>45729</v>
          </cell>
          <cell r="AW145">
            <v>45827</v>
          </cell>
          <cell r="AX145">
            <v>14</v>
          </cell>
          <cell r="AY145">
            <v>45824</v>
          </cell>
          <cell r="AZ145" t="str">
            <v/>
          </cell>
          <cell r="BA145" t="str">
            <v/>
          </cell>
          <cell r="BB145" t="str">
            <v>Late Completed</v>
          </cell>
          <cell r="BC145" t="str">
            <v>PR100009954</v>
          </cell>
        </row>
        <row r="146">
          <cell r="B146" t="str">
            <v>PR100009958 (Line 1-2)</v>
          </cell>
          <cell r="C146" t="str">
            <v>Sparepart lampu Penerangan area Generator Transformer</v>
          </cell>
          <cell r="E146" t="str">
            <v>Borneo Maju Jaya, PT
Alfa Teknik Mandiri Makmur, PT
Gema Industrial, PT
Vhipa Mulia Pratama, PT
Outsourcindo, PT
Perwira Sentra Officindo, PT
Greentek Elektrikal Indonesia, PT
Ellight Prima Indonesia, PT
Berlian Sejahtera Teknik, PT
Ganesha Wirya Pratama, PT
Berkat Pratama Teknik, CV
Gevana, PT
Sehati, CV</v>
          </cell>
          <cell r="F146" t="str">
            <v>Gema Industrial, PT	
Vhipa Mulia Pratama, PT	
Perwira Sentra Officindo, PT
Greentek Elektrikal Indonesia, PT	
Gevana, PT	
Sehati, CV</v>
          </cell>
          <cell r="G146" t="str">
            <v>R0
6 of 13
31 Jan 25</v>
          </cell>
          <cell r="H146" t="str">
            <v>DEDE SUDARJI</v>
          </cell>
          <cell r="I146">
            <v>45677</v>
          </cell>
          <cell r="J146" t="str">
            <v>Tech Main</v>
          </cell>
          <cell r="K146" t="str">
            <v>B</v>
          </cell>
          <cell r="L146" t="str">
            <v>BID</v>
          </cell>
          <cell r="M146" t="str">
            <v>0030</v>
          </cell>
          <cell r="N146" t="str">
            <v>RH</v>
          </cell>
          <cell r="O146" t="str">
            <v>robertiagus.haposan@alamtri.com</v>
          </cell>
          <cell r="P146">
            <v>613</v>
          </cell>
          <cell r="Q146">
            <v>9808000</v>
          </cell>
          <cell r="R146" t="str">
            <v>Completed Sign PO</v>
          </cell>
          <cell r="T146" t="str">
            <v>MSW</v>
          </cell>
          <cell r="U146" t="str">
            <v>Borneo Maju Jaya, PT
Alfa Teknik Mandiri Makmur, PT
Gema Industrial, PT
Vhipa Mulia Pratama, PT
Outsourcindo, PT
Perwira Sentra Officindo, PT
Greentek Elektrikal Indonesia, PT
Ellight Prima Indonesia, PT
Berlian Sejahtera Teknik, PT
Ganesha Wirya Pratama, PT
Berkat Pratama Teknik, CV
Gevana, PT
Sehati, CV</v>
          </cell>
          <cell r="V146" t="str">
            <v>Gema Industrial, PT	
Vhipa Mulia Pratama, PT	
Perwira Sentra Officindo, PT
Greentek Elektrikal Indonesia, PT	
Gevana, PT	
Sehati, CV</v>
          </cell>
          <cell r="W146" t="str">
            <v>13 of 13</v>
          </cell>
          <cell r="X146" t="str">
            <v>6 of 13</v>
          </cell>
          <cell r="Y146">
            <v>45678</v>
          </cell>
          <cell r="Z146">
            <v>45688</v>
          </cell>
          <cell r="AC146" t="str">
            <v xml:space="preserve"> of </v>
          </cell>
          <cell r="AD146" t="str">
            <v xml:space="preserve"> of </v>
          </cell>
          <cell r="AF146" t="str">
            <v/>
          </cell>
          <cell r="AI146" t="str">
            <v xml:space="preserve"> of </v>
          </cell>
          <cell r="AJ146" t="str">
            <v xml:space="preserve"> of </v>
          </cell>
          <cell r="AM146">
            <v>0.70833333333333337</v>
          </cell>
          <cell r="AN146" t="str">
            <v>Perwira Sentra Officindo, PT</v>
          </cell>
          <cell r="AO146" t="str">
            <v>d_santos63@yahoo.com</v>
          </cell>
          <cell r="AP146" t="str">
            <v>PO25000100</v>
          </cell>
          <cell r="AQ146">
            <v>7221200</v>
          </cell>
          <cell r="AR146">
            <v>45693</v>
          </cell>
          <cell r="AS146">
            <v>45705</v>
          </cell>
          <cell r="AT146">
            <v>45716</v>
          </cell>
          <cell r="AU146">
            <v>45751</v>
          </cell>
          <cell r="AV146">
            <v>45720</v>
          </cell>
          <cell r="AW146">
            <v>45755</v>
          </cell>
          <cell r="AX146">
            <v>5</v>
          </cell>
          <cell r="AY146">
            <v>45785</v>
          </cell>
          <cell r="AZ146">
            <v>30</v>
          </cell>
          <cell r="BA146">
            <v>216636</v>
          </cell>
          <cell r="BB146" t="str">
            <v>Late Completed</v>
          </cell>
          <cell r="BC146" t="str">
            <v>PR100009958</v>
          </cell>
        </row>
        <row r="147">
          <cell r="B147" t="str">
            <v>PR100009976 (Line 4)</v>
          </cell>
          <cell r="C147" t="str">
            <v>Sparepart Actuator Control Valve</v>
          </cell>
          <cell r="E147" t="str">
            <v>Putranata Adi Mandiri, PT
Outsourcindo, PT
Kin Kitra Kencana, PT
Putera Instrumenindo, PT
Casa Terra Mandiri Indonesia, PT
Artam Borneo Automatika, PT
Total Solusi Instrument, PT
Petrocom Nusa Synergy, PT
Festo, PT
Arita Prima Indonesia Tbk, PT
Sahabat Energi Persada, PT</v>
          </cell>
          <cell r="F147" t="str">
            <v>Kin Kitra Kencana, PT
Casa Terra Mandiri Indonesia, PT
Artam Borneo Automatika, PT
Petrocom Nusa Synergy, PT</v>
          </cell>
          <cell r="G147" t="str">
            <v>R0
4 of 11
04 Feb 25</v>
          </cell>
          <cell r="H147" t="str">
            <v>DEDE SUDARJI</v>
          </cell>
          <cell r="I147">
            <v>45678</v>
          </cell>
          <cell r="J147" t="str">
            <v>Tech Main</v>
          </cell>
          <cell r="K147" t="str">
            <v>B</v>
          </cell>
          <cell r="L147" t="str">
            <v>BID</v>
          </cell>
          <cell r="M147" t="str">
            <v>0038</v>
          </cell>
          <cell r="N147" t="str">
            <v>RH</v>
          </cell>
          <cell r="O147" t="str">
            <v>robertiagus.haposan@alamtri.com</v>
          </cell>
          <cell r="P147">
            <v>3954</v>
          </cell>
          <cell r="Q147">
            <v>63264000</v>
          </cell>
          <cell r="R147" t="str">
            <v>Completed Sign PO</v>
          </cell>
          <cell r="T147" t="str">
            <v>MSW</v>
          </cell>
          <cell r="U147" t="str">
            <v>Putranata Adi Mandiri, PT
Outsourcindo, PT
Kin Kitra Kencana, PT
Putera Instrumenindo, PT
Casa Terra Mandiri Indonesia, PT
Artam Borneo Automatika, PT
Total Solusi Instrument, PT
Petrocom Nusa Synergy, PT
Festo, PT
Arita Prima Indonesia Tbk, PT
Sahabat Energi Persada, PT</v>
          </cell>
          <cell r="V147" t="str">
            <v>Kin Kitra Kencana, PT
Casa Terra Mandiri Indonesia, PT
Artam Borneo Automatika, PT
Petrocom Nusa Synergy, PT</v>
          </cell>
          <cell r="W147" t="str">
            <v>11 of 11</v>
          </cell>
          <cell r="X147" t="str">
            <v>4 of 11</v>
          </cell>
          <cell r="Y147">
            <v>45679</v>
          </cell>
          <cell r="Z147">
            <v>45692</v>
          </cell>
          <cell r="AC147" t="str">
            <v xml:space="preserve"> of </v>
          </cell>
          <cell r="AD147" t="str">
            <v xml:space="preserve"> of </v>
          </cell>
          <cell r="AI147" t="str">
            <v xml:space="preserve"> of </v>
          </cell>
          <cell r="AJ147" t="str">
            <v xml:space="preserve"> of </v>
          </cell>
          <cell r="AM147">
            <v>0.70833333333333337</v>
          </cell>
          <cell r="AN147" t="str">
            <v>Kin Kitra Kencana, PT</v>
          </cell>
          <cell r="AO147" t="str">
            <v>ptkinkitrakencana@gmail.com; teguhkin999@gmail.com</v>
          </cell>
          <cell r="AP147" t="str">
            <v>PO25000098</v>
          </cell>
          <cell r="AQ147">
            <v>86000000</v>
          </cell>
          <cell r="AR147">
            <v>45694</v>
          </cell>
          <cell r="AS147">
            <v>45714</v>
          </cell>
          <cell r="AT147">
            <v>45716</v>
          </cell>
          <cell r="AU147">
            <v>45828</v>
          </cell>
          <cell r="AV147">
            <v>45720</v>
          </cell>
          <cell r="AW147">
            <v>45832</v>
          </cell>
          <cell r="AX147">
            <v>16</v>
          </cell>
          <cell r="AY147">
            <v>45923</v>
          </cell>
          <cell r="AZ147">
            <v>91</v>
          </cell>
          <cell r="BA147">
            <v>4300000</v>
          </cell>
          <cell r="BB147" t="str">
            <v>Late Completed</v>
          </cell>
          <cell r="BC147" t="str">
            <v>PR100009976</v>
          </cell>
        </row>
        <row r="148">
          <cell r="B148" t="str">
            <v>PR100009971</v>
          </cell>
          <cell r="C148" t="str">
            <v>Sparepart ACDB - DCDB AEG</v>
          </cell>
          <cell r="E148" t="str">
            <v>Prima Saftindo Elektrika, PT
Kin Kitra Kencana, PT
Antares Jaya Gemilang Prima, PT
Petrocom Nusa Synergy, PT
AEG Power Solutions Pte Ltd
Monotaro Indonesia, PT
Centielindo Daya Utama, PT
Sanggadelima Nusantara, PT</v>
          </cell>
          <cell r="F148" t="str">
            <v>Prima Saftindo Elektrika, PT</v>
          </cell>
          <cell r="G148" t="str">
            <v>R0
1 of 8
31 Jan 25</v>
          </cell>
          <cell r="H148" t="str">
            <v>DEDE SUDARJI</v>
          </cell>
          <cell r="I148">
            <v>45678</v>
          </cell>
          <cell r="J148" t="str">
            <v>Tech Main</v>
          </cell>
          <cell r="K148" t="str">
            <v>B</v>
          </cell>
          <cell r="L148" t="str">
            <v>BID</v>
          </cell>
          <cell r="M148" t="str">
            <v>0029</v>
          </cell>
          <cell r="N148" t="str">
            <v>RH</v>
          </cell>
          <cell r="O148" t="str">
            <v>robertiagus.haposan@alamtri.com</v>
          </cell>
          <cell r="P148">
            <v>10846.804099999999</v>
          </cell>
          <cell r="Q148">
            <v>173548865.59999999</v>
          </cell>
          <cell r="R148" t="str">
            <v>Completed Sign PO</v>
          </cell>
          <cell r="T148" t="str">
            <v>MSW</v>
          </cell>
          <cell r="U148" t="str">
            <v>Prima Saftindo Elektrika, PT
Kin Kitra Kencana, PT
Antares Jaya Gemilang Prima, PT
Petrocom Nusa Synergy, PT
AEG Power Solutions Pte Ltd
Monotaro Indonesia, PT
Centielindo Daya Utama, PT
Sanggadelima Nusantara, PT</v>
          </cell>
          <cell r="V148" t="str">
            <v>Prima Saftindo Elektrika, PT</v>
          </cell>
          <cell r="W148" t="str">
            <v>8 of 8</v>
          </cell>
          <cell r="X148" t="str">
            <v>1 of 8</v>
          </cell>
          <cell r="Y148">
            <v>45678</v>
          </cell>
          <cell r="Z148">
            <v>45688</v>
          </cell>
          <cell r="AC148" t="str">
            <v xml:space="preserve"> of </v>
          </cell>
          <cell r="AD148" t="str">
            <v xml:space="preserve"> of </v>
          </cell>
          <cell r="AF148" t="str">
            <v/>
          </cell>
          <cell r="AI148" t="str">
            <v xml:space="preserve"> of </v>
          </cell>
          <cell r="AJ148" t="str">
            <v xml:space="preserve"> of </v>
          </cell>
          <cell r="AM148">
            <v>0.70833333333333337</v>
          </cell>
          <cell r="AN148" t="str">
            <v>Prima Saftindo Elektrika, PT</v>
          </cell>
          <cell r="AO148" t="str">
            <v>sales.support@saftindo.com; muzafar@saftindo.com; admin@saftindo.com</v>
          </cell>
          <cell r="AP148" t="str">
            <v>PO25000131</v>
          </cell>
          <cell r="AQ148">
            <v>203330000</v>
          </cell>
          <cell r="AR148">
            <v>45693</v>
          </cell>
          <cell r="AS148">
            <v>45721</v>
          </cell>
          <cell r="AT148">
            <v>45726</v>
          </cell>
          <cell r="AU148">
            <v>45842</v>
          </cell>
          <cell r="AV148">
            <v>45729</v>
          </cell>
          <cell r="AW148">
            <v>45845</v>
          </cell>
          <cell r="AX148">
            <v>16.571428571428573</v>
          </cell>
          <cell r="AY148">
            <v>45804</v>
          </cell>
          <cell r="AZ148" t="str">
            <v/>
          </cell>
          <cell r="BA148" t="str">
            <v/>
          </cell>
          <cell r="BB148" t="str">
            <v>Late Completed</v>
          </cell>
          <cell r="BC148" t="str">
            <v>PR100009971</v>
          </cell>
        </row>
        <row r="149">
          <cell r="B149" t="str">
            <v>PR100009972</v>
          </cell>
          <cell r="C149" t="str">
            <v>Material Sparepart CCTV Tambang Electrifikasi 2025</v>
          </cell>
          <cell r="E149" t="str">
            <v>Berkat Pratama Teknik, CV
Greentek Elektrikal Indonesia, PT
Antares Jaya Gemilang Prima, PT
Vhipa Mulia Pratama, PT
ALKS Computer, CV
Indostar Security, PT
DCT Total Solutions, PT
Rayya Komudata, PT
Datavis Indonesia, PT
Perwira Sentra Officindo, PT</v>
          </cell>
          <cell r="F149" t="str">
            <v>Greentek Elektrikal Indonesia, PT
Antares Jaya Gemilang Prima, PT
ALKS Computer, CV
DCT Total Solutions, PT
Perwira Sentra Officindo, PT</v>
          </cell>
          <cell r="G149" t="str">
            <v>R0
5 of 10
31 Jan 25</v>
          </cell>
          <cell r="H149" t="str">
            <v>GUNARA FERY FAHNANI</v>
          </cell>
          <cell r="I149">
            <v>45678</v>
          </cell>
          <cell r="J149" t="str">
            <v>Tech Main</v>
          </cell>
          <cell r="K149" t="str">
            <v>B</v>
          </cell>
          <cell r="L149" t="str">
            <v>BID</v>
          </cell>
          <cell r="M149" t="str">
            <v>0028</v>
          </cell>
          <cell r="N149" t="str">
            <v>RH</v>
          </cell>
          <cell r="O149" t="str">
            <v>robertiagus.haposan@alamtri.com</v>
          </cell>
          <cell r="P149">
            <v>1737.8879999999999</v>
          </cell>
          <cell r="Q149">
            <v>27806208</v>
          </cell>
          <cell r="R149" t="str">
            <v>Completed Sign PO</v>
          </cell>
          <cell r="T149" t="str">
            <v>MSW</v>
          </cell>
          <cell r="U149" t="str">
            <v>Berkat Pratama Teknik, CV
Greentek Elektrikal Indonesia, PT
Antares Jaya Gemilang Prima, PT
Vhipa Mulia Pratama, PT
ALKS Computer, CV
Indostar Security, PT
DCT Total Solutions, PT
Rayya Komudata, PT
Datavis Indonesia, PT
Perwira Sentra Officindo, PT</v>
          </cell>
          <cell r="V149" t="str">
            <v>Greentek Elektrikal Indonesia, PT
Antares Jaya Gemilang Prima, PT
ALKS Computer, CV
DCT Total Solutions, PT
Perwira Sentra Officindo, PT</v>
          </cell>
          <cell r="W149" t="str">
            <v>10 of 10</v>
          </cell>
          <cell r="X149" t="str">
            <v>5 of 10</v>
          </cell>
          <cell r="Y149">
            <v>45678</v>
          </cell>
          <cell r="Z149">
            <v>45688</v>
          </cell>
          <cell r="AC149" t="str">
            <v xml:space="preserve"> of </v>
          </cell>
          <cell r="AD149" t="str">
            <v xml:space="preserve"> of </v>
          </cell>
          <cell r="AF149" t="str">
            <v/>
          </cell>
          <cell r="AI149" t="str">
            <v xml:space="preserve"> of </v>
          </cell>
          <cell r="AJ149" t="str">
            <v xml:space="preserve"> of </v>
          </cell>
          <cell r="AM149">
            <v>0.70833333333333337</v>
          </cell>
          <cell r="AN149" t="str">
            <v>Indostar Security, PT</v>
          </cell>
          <cell r="AO149" t="str">
            <v>linayanti@indostarsecurity.co.id; marketing@indostarsecurity.co.id; tech.support@indostarsecurity.co.id</v>
          </cell>
          <cell r="AP149" t="str">
            <v>PO25000069R1</v>
          </cell>
          <cell r="AQ149">
            <v>24416000</v>
          </cell>
          <cell r="AR149">
            <v>45693</v>
          </cell>
          <cell r="AS149">
            <v>45708</v>
          </cell>
          <cell r="AT149">
            <v>45713</v>
          </cell>
          <cell r="AU149">
            <v>45737</v>
          </cell>
          <cell r="AV149">
            <v>45729</v>
          </cell>
          <cell r="AW149">
            <v>45753</v>
          </cell>
          <cell r="AX149">
            <v>3.4285714285714284</v>
          </cell>
          <cell r="AY149">
            <v>45733</v>
          </cell>
          <cell r="AZ149" t="str">
            <v/>
          </cell>
          <cell r="BA149" t="str">
            <v/>
          </cell>
          <cell r="BB149" t="str">
            <v>Late Completed</v>
          </cell>
          <cell r="BC149" t="str">
            <v>PR100009972</v>
          </cell>
        </row>
        <row r="150">
          <cell r="B150" t="str">
            <v>PR100009955 (Line 1-3)</v>
          </cell>
          <cell r="C150" t="str">
            <v>Calibration Gas Standard &amp; Part CEMS</v>
          </cell>
          <cell r="E150" t="str">
            <v>Petro Gama Industri, PT
Surya Biru Murni Acetylene, PT
Indo Base Harapan, PT
Tiga Putri Abadi, CV
Samator Gas Industri, PT
Pratama Graha Semesta, PT
Energi Indogas Nusantara, PT</v>
          </cell>
          <cell r="F150" t="str">
            <v>Petro Gama Industri, PT	
Indo Base Harapan, PT	
Pratama Graha Semesta, PT</v>
          </cell>
          <cell r="G150" t="str">
            <v>R0
3 of 7
31 Jan 25</v>
          </cell>
          <cell r="H150" t="str">
            <v>DEDE SUDARJI</v>
          </cell>
          <cell r="I150">
            <v>45678</v>
          </cell>
          <cell r="J150" t="str">
            <v>Tech Main</v>
          </cell>
          <cell r="K150" t="str">
            <v>B</v>
          </cell>
          <cell r="L150" t="str">
            <v>BID</v>
          </cell>
          <cell r="M150" t="str">
            <v>0027</v>
          </cell>
          <cell r="N150" t="str">
            <v>RH</v>
          </cell>
          <cell r="O150" t="str">
            <v>robertiagus.haposan@alamtri.com</v>
          </cell>
          <cell r="P150">
            <v>8214.52</v>
          </cell>
          <cell r="Q150">
            <v>131432320</v>
          </cell>
          <cell r="R150" t="str">
            <v>Completed Sign PO</v>
          </cell>
          <cell r="T150" t="str">
            <v>MSW</v>
          </cell>
          <cell r="U150" t="str">
            <v>Petro Gama Industri, PT
Surya Biru Murni Acetylene, PT
Indo Base Harapan, PT
Tiga Putri Abadi, CV
Samator Gas Industri, PT
Pratama Graha Semesta, PT
Energi Indogas Nusantara, PT</v>
          </cell>
          <cell r="V150" t="str">
            <v>Petro Gama Industri, PT	
Indo Base Harapan, PT	
Pratama Graha Semesta, PT</v>
          </cell>
          <cell r="W150" t="str">
            <v>7 of 7</v>
          </cell>
          <cell r="X150" t="str">
            <v>3 of 7</v>
          </cell>
          <cell r="Y150">
            <v>45678</v>
          </cell>
          <cell r="Z150">
            <v>45688</v>
          </cell>
          <cell r="AC150" t="str">
            <v xml:space="preserve"> of </v>
          </cell>
          <cell r="AD150" t="str">
            <v xml:space="preserve"> of </v>
          </cell>
          <cell r="AF150" t="str">
            <v/>
          </cell>
          <cell r="AI150" t="str">
            <v xml:space="preserve"> of </v>
          </cell>
          <cell r="AJ150" t="str">
            <v xml:space="preserve"> of </v>
          </cell>
          <cell r="AM150">
            <v>0.70833333333333337</v>
          </cell>
          <cell r="AN150" t="str">
            <v>Petro Gama Industri, PT</v>
          </cell>
          <cell r="AO150" t="str">
            <v xml:space="preserve"> marketing@petrogasindustri.com</v>
          </cell>
          <cell r="AP150" t="str">
            <v>PO25000099</v>
          </cell>
          <cell r="AQ150">
            <v>115200000</v>
          </cell>
          <cell r="AR150">
            <v>45693</v>
          </cell>
          <cell r="AS150">
            <v>45714</v>
          </cell>
          <cell r="AT150">
            <v>45715</v>
          </cell>
          <cell r="AU150">
            <v>45751</v>
          </cell>
          <cell r="AV150">
            <v>45720</v>
          </cell>
          <cell r="AW150">
            <v>45756</v>
          </cell>
          <cell r="AX150">
            <v>5.1428571428571432</v>
          </cell>
          <cell r="AY150">
            <v>45786</v>
          </cell>
          <cell r="AZ150">
            <v>30</v>
          </cell>
          <cell r="BA150">
            <v>3456000</v>
          </cell>
          <cell r="BB150" t="str">
            <v>Late Completed</v>
          </cell>
          <cell r="BC150" t="str">
            <v>PR100009955</v>
          </cell>
        </row>
        <row r="151">
          <cell r="B151" t="str">
            <v>PR100009780</v>
          </cell>
          <cell r="C151" t="str">
            <v>Pembelian part for Compressor Atlas Copco</v>
          </cell>
          <cell r="E151" t="str">
            <v>Starvi Nusa Gemilang, PT
Biotech Indo Gemilang, PT
Galaksi Mandiri Prima, PT
Atlas Copco Indonesia, PT
Reftech Jaya Optima, PT
Petrocom Nusa Synergy, PT
Pacific Tractor Indonesia, PT
Sola Anugerah Oilfield, PT
Outsourcindo, PT
Maju Teknik Utama, PT
Anugrah Cipta Energy, CV
Alfa Teknik Mandiri Makmur, PT</v>
          </cell>
          <cell r="F151" t="str">
            <v xml:space="preserve">Biotech Indo Gemilang, PT	
Atlas Copco Indonesia, PT	
Petrocom Nusa Synergy, PT
Pacific Tractor Indonesia, PT		</v>
          </cell>
          <cell r="G151" t="str">
            <v>R0
4 of 12
04 Feb 25</v>
          </cell>
          <cell r="H151" t="str">
            <v>RIZKY AGUSTINA</v>
          </cell>
          <cell r="I151">
            <v>45678</v>
          </cell>
          <cell r="J151" t="str">
            <v>Tech Main</v>
          </cell>
          <cell r="K151" t="str">
            <v>B</v>
          </cell>
          <cell r="L151" t="str">
            <v>BID</v>
          </cell>
          <cell r="M151" t="str">
            <v>0031</v>
          </cell>
          <cell r="N151" t="str">
            <v>RH</v>
          </cell>
          <cell r="O151" t="str">
            <v>robertiagus.haposan@alamtri.com</v>
          </cell>
          <cell r="P151">
            <v>458.64</v>
          </cell>
          <cell r="Q151">
            <v>7338240</v>
          </cell>
          <cell r="R151" t="str">
            <v>Completed Sign PO</v>
          </cell>
          <cell r="T151" t="str">
            <v>MSW</v>
          </cell>
          <cell r="U151" t="str">
            <v>Starvi Nusa Gemilang, PT
Biotech Indo Gemilang, PT
Galaksi Mandiri Prima, PT
Atlas Copco Indonesia, PT
Reftech Jaya Optima, PT
Petrocom Nusa Synergy, PT
Pacific Tractor Indonesia, PT
Sola Anugerah Oilfield, PT
Outsourcindo, PT
Maju Teknik Utama, PT
Anugrah Cipta Energy, CV
Alfa Teknik Mandiri Makmur, PT</v>
          </cell>
          <cell r="V151" t="str">
            <v xml:space="preserve">Biotech Indo Gemilang, PT	
Atlas Copco Indonesia, PT	
Petrocom Nusa Synergy, PT
Pacific Tractor Indonesia, PT		</v>
          </cell>
          <cell r="W151" t="str">
            <v>12 of 12</v>
          </cell>
          <cell r="X151" t="str">
            <v>4 of 12</v>
          </cell>
          <cell r="Y151">
            <v>45679</v>
          </cell>
          <cell r="Z151">
            <v>45692</v>
          </cell>
          <cell r="AC151" t="str">
            <v xml:space="preserve"> of </v>
          </cell>
          <cell r="AD151" t="str">
            <v xml:space="preserve"> of </v>
          </cell>
          <cell r="AF151" t="str">
            <v/>
          </cell>
          <cell r="AI151" t="str">
            <v xml:space="preserve"> of </v>
          </cell>
          <cell r="AJ151" t="str">
            <v xml:space="preserve"> of </v>
          </cell>
          <cell r="AM151">
            <v>0.70833333333333337</v>
          </cell>
          <cell r="AN151" t="str">
            <v>Atlas Copco Indonesia, PT</v>
          </cell>
          <cell r="AO151" t="str">
            <v>jodi.juliandy@atlascopco.com</v>
          </cell>
          <cell r="AP151" t="str">
            <v>PO25000116</v>
          </cell>
          <cell r="AQ151">
            <v>32535000</v>
          </cell>
          <cell r="AR151">
            <v>45694</v>
          </cell>
          <cell r="AS151">
            <v>45716</v>
          </cell>
          <cell r="AT151">
            <v>45719</v>
          </cell>
          <cell r="AU151">
            <v>45765</v>
          </cell>
          <cell r="AV151">
            <v>45722</v>
          </cell>
          <cell r="AW151">
            <v>45768</v>
          </cell>
          <cell r="AX151">
            <v>6.5714285714285712</v>
          </cell>
          <cell r="AY151">
            <v>45734</v>
          </cell>
          <cell r="AZ151" t="str">
            <v/>
          </cell>
          <cell r="BA151" t="str">
            <v/>
          </cell>
          <cell r="BB151" t="str">
            <v>Late Completed</v>
          </cell>
          <cell r="BC151" t="str">
            <v>PR100009780</v>
          </cell>
        </row>
        <row r="152">
          <cell r="B152" t="str">
            <v>PR100009719</v>
          </cell>
          <cell r="C152" t="str">
            <v>Sparepart for Compressor TAC</v>
          </cell>
          <cell r="E152" t="str">
            <v>Starvi Nusa Gemilang, PT
Biotech Indo Gemilang, PT
Galaksi Mandiri Prima, PT
Atlas Copco Indonesia, PT
Reftech Jaya Optima, PT
Petrocom Nusa Synergy, PT
Pacific Tractor Indonesia, PT
Sola Anugerah Oilfield, PT
Outsourcindo, PT
Maju Teknik Utama, PT
Anugrah Cipta Energy, CV
Alfa Teknik Mandiri Makmur, PT</v>
          </cell>
          <cell r="F152" t="str">
            <v>Atlas Copco Indonesia, PT
Reftech Jaya Optima, PT
Petrocom Nusa Synergy, PT
Pacific Tractor Indonesia, PT</v>
          </cell>
          <cell r="G152" t="str">
            <v>R0
4 of 12
04 Feb 25</v>
          </cell>
          <cell r="H152" t="str">
            <v>RIZKY AGUSTINA</v>
          </cell>
          <cell r="I152">
            <v>45678</v>
          </cell>
          <cell r="J152" t="str">
            <v>Tech Main</v>
          </cell>
          <cell r="K152" t="str">
            <v>B</v>
          </cell>
          <cell r="L152" t="str">
            <v>BID</v>
          </cell>
          <cell r="M152" t="str">
            <v>0032</v>
          </cell>
          <cell r="N152" t="str">
            <v>RH</v>
          </cell>
          <cell r="O152" t="str">
            <v>robertiagus.haposan@alamtri.com</v>
          </cell>
          <cell r="P152">
            <v>311.86380000000003</v>
          </cell>
          <cell r="Q152">
            <v>4989820.8000000007</v>
          </cell>
          <cell r="R152" t="str">
            <v>Completed Sign PO</v>
          </cell>
          <cell r="T152" t="str">
            <v>MSW</v>
          </cell>
          <cell r="U152" t="str">
            <v>Starvi Nusa Gemilang, PT
Biotech Indo Gemilang, PT
Galaksi Mandiri Prima, PT
Atlas Copco Indonesia, PT
Reftech Jaya Optima, PT
Petrocom Nusa Synergy, PT
Pacific Tractor Indonesia, PT
Sola Anugerah Oilfield, PT
Outsourcindo, PT
Maju Teknik Utama, PT
Anugrah Cipta Energy, CV
Alfa Teknik Mandiri Makmur, PT</v>
          </cell>
          <cell r="V152" t="str">
            <v>Atlas Copco Indonesia, PT
Reftech Jaya Optima, PT
Petrocom Nusa Synergy, PT
Pacific Tractor Indonesia, PT</v>
          </cell>
          <cell r="W152" t="str">
            <v>12 of 12</v>
          </cell>
          <cell r="X152" t="str">
            <v>4 of 12</v>
          </cell>
          <cell r="Y152">
            <v>45679</v>
          </cell>
          <cell r="Z152">
            <v>45692</v>
          </cell>
          <cell r="AC152" t="str">
            <v xml:space="preserve"> of </v>
          </cell>
          <cell r="AD152" t="str">
            <v xml:space="preserve"> of </v>
          </cell>
          <cell r="AF152" t="str">
            <v/>
          </cell>
          <cell r="AI152" t="str">
            <v xml:space="preserve"> of </v>
          </cell>
          <cell r="AJ152" t="str">
            <v xml:space="preserve"> of </v>
          </cell>
          <cell r="AM152">
            <v>0.70833333333333337</v>
          </cell>
          <cell r="AN152" t="str">
            <v>Atlas Copco Indonesia, PT</v>
          </cell>
          <cell r="AO152" t="str">
            <v>jodi.juliandy@atlascopco.com</v>
          </cell>
          <cell r="AP152" t="str">
            <v>PO25000067</v>
          </cell>
          <cell r="AQ152">
            <v>4502000</v>
          </cell>
          <cell r="AR152">
            <v>45699</v>
          </cell>
          <cell r="AS152">
            <v>45705</v>
          </cell>
          <cell r="AT152">
            <v>45707</v>
          </cell>
          <cell r="AU152">
            <v>45758</v>
          </cell>
          <cell r="AV152">
            <v>45714</v>
          </cell>
          <cell r="AW152">
            <v>45765</v>
          </cell>
          <cell r="AX152">
            <v>7.2857142857142856</v>
          </cell>
          <cell r="AY152">
            <v>45737</v>
          </cell>
          <cell r="AZ152" t="str">
            <v/>
          </cell>
          <cell r="BA152" t="str">
            <v/>
          </cell>
          <cell r="BB152" t="str">
            <v>Completed</v>
          </cell>
          <cell r="BC152" t="str">
            <v>PR100009719</v>
          </cell>
        </row>
        <row r="153">
          <cell r="B153" t="str">
            <v>PR100009778</v>
          </cell>
          <cell r="C153" t="str">
            <v>Pembelian part for Bulk Acid &amp; Caustic tank</v>
          </cell>
          <cell r="E153" t="str">
            <v>Gevana, PT
Sumber Teknik Indonesia, PT
Dayaniaga Ekaselaras, PT
Sola Anugerah Oilfield, PT
Kin Kitra Kencana, PT
Adijaya Mitra Perkasa, PT
Outsourcindo, PT
Afghan Jaya Abadi, PT
Arita Prima Indonesia Tbk, PT
Lamindo Prima Mandiri, PT</v>
          </cell>
          <cell r="F153" t="str">
            <v>Gevana, PT
Dayaniaga Ekaselaras, PT
Arita Prima Indonesia Tbk, PT</v>
          </cell>
          <cell r="G153" t="str">
            <v>R1
3 of 10
20 Feb 25</v>
          </cell>
          <cell r="H153" t="str">
            <v>RIZKY AGUSTINA</v>
          </cell>
          <cell r="I153">
            <v>45678</v>
          </cell>
          <cell r="J153" t="str">
            <v>Tech Main</v>
          </cell>
          <cell r="K153" t="str">
            <v>B</v>
          </cell>
          <cell r="L153" t="str">
            <v>BID</v>
          </cell>
          <cell r="M153" t="str">
            <v>0033</v>
          </cell>
          <cell r="N153" t="str">
            <v>RH</v>
          </cell>
          <cell r="O153" t="str">
            <v>robertiagus.haposan@alamtri.com</v>
          </cell>
          <cell r="P153">
            <v>700</v>
          </cell>
          <cell r="Q153">
            <v>11200000</v>
          </cell>
          <cell r="R153" t="str">
            <v>Completed Sign PO</v>
          </cell>
          <cell r="T153" t="str">
            <v>MSW</v>
          </cell>
          <cell r="U153" t="str">
            <v>Perwira Sentra Officindo, PT
Monotaro Indonesia, PT
Sehati, CV
Sola Anugerah Oilfield, PT
Berkat Pratama Teknik, CV
Pacific Tractor Indonesia, PT
Petrocom Nusa Synergy, PT
Vhipa Mulia Pratama, PT
Alfa Teknik Mandiri Makmur, PT
Cahaya Murni, CV</v>
          </cell>
          <cell r="V153" t="str">
            <v>None</v>
          </cell>
          <cell r="W153" t="str">
            <v>10 of 10</v>
          </cell>
          <cell r="X153" t="str">
            <v>1 of 10</v>
          </cell>
          <cell r="Y153">
            <v>45679</v>
          </cell>
          <cell r="Z153">
            <v>45692</v>
          </cell>
          <cell r="AA153" t="str">
            <v>Gevana, PT
Sumber Teknik Indonesia, PT
Dayaniaga Ekaselaras, PT
Sola Anugerah Oilfield, PT
Kin Kitra Kencana, PT
Adijaya Mitra Perkasa, PT
Outsourcindo, PT
Afghan Jaya Abadi, PT
Arita Prima Indonesia Tbk, PT
Lamindo Prima Mandiri, PT</v>
          </cell>
          <cell r="AB153" t="str">
            <v>Gevana, PT
Dayaniaga Ekaselaras, PT
Arita Prima Indonesia Tbk, PT</v>
          </cell>
          <cell r="AC153" t="str">
            <v>10 of 10</v>
          </cell>
          <cell r="AD153" t="str">
            <v>3 of 10</v>
          </cell>
          <cell r="AE153">
            <v>45701</v>
          </cell>
          <cell r="AF153">
            <v>45708</v>
          </cell>
          <cell r="AI153" t="str">
            <v xml:space="preserve"> of </v>
          </cell>
          <cell r="AJ153" t="str">
            <v xml:space="preserve"> of </v>
          </cell>
          <cell r="AM153">
            <v>0.70833333333333337</v>
          </cell>
          <cell r="AN153" t="str">
            <v>Dayaniaga Ekaselaras, PT</v>
          </cell>
          <cell r="AO153" t="str">
            <v>info@dayaniaga.com</v>
          </cell>
          <cell r="AP153" t="str">
            <v>PO25000133</v>
          </cell>
          <cell r="AQ153">
            <v>28780000</v>
          </cell>
          <cell r="AR153">
            <v>45709</v>
          </cell>
          <cell r="AS153">
            <v>45726</v>
          </cell>
          <cell r="AT153">
            <v>45726</v>
          </cell>
          <cell r="AU153">
            <v>45821</v>
          </cell>
          <cell r="AV153">
            <v>45729</v>
          </cell>
          <cell r="AW153">
            <v>45824</v>
          </cell>
          <cell r="AX153">
            <v>13.571428571428571</v>
          </cell>
          <cell r="AY153">
            <v>45813</v>
          </cell>
          <cell r="AZ153" t="str">
            <v/>
          </cell>
          <cell r="BA153" t="str">
            <v/>
          </cell>
          <cell r="BB153" t="str">
            <v>Late Completed</v>
          </cell>
          <cell r="BC153" t="str">
            <v>PR100009778</v>
          </cell>
        </row>
        <row r="154">
          <cell r="B154" t="str">
            <v>PR100009949 (Line 6-7)</v>
          </cell>
          <cell r="C154" t="str">
            <v>Material untuk kebutuhan PM All DG IBT (barang langsung dikirimk ke IBT)</v>
          </cell>
          <cell r="E154" t="str">
            <v>Bima Kaltim Utama, PT
Alfa Teknik Mandiri Makmur, PT
Sehati, CV
Cahaya Murni, CV
Indo Tehnik Tanjung Tabalong, PT
Anugrah Mandiri Putra Tabalong, PT
Petrocom Nusa Synergy, PT
Berkat Pratama Teknik, CV
Perwira Sentra Officindo, PT
Arthapusaka Mitra Sakti, PT
Otto Sukses Jaya Perkasa, PT</v>
          </cell>
          <cell r="F154" t="str">
            <v>Alfa Teknik Mandiri Makmur, PT
Indo Tehnik Tanjung Tabalong, PT
Anugrah Mandiri Putra Tabalong, PT
Petrocom Nusa Synergy, PT
Perwira Sentra Officindo, PT
Arthapusaka Mitra Sakti, PT</v>
          </cell>
          <cell r="G154" t="str">
            <v>R0
6 of 11
04 Feb 25</v>
          </cell>
          <cell r="H154" t="str">
            <v>SLAMET</v>
          </cell>
          <cell r="I154">
            <v>45677</v>
          </cell>
          <cell r="J154" t="str">
            <v>Tech Main</v>
          </cell>
          <cell r="K154" t="str">
            <v>B</v>
          </cell>
          <cell r="L154" t="str">
            <v>BID</v>
          </cell>
          <cell r="M154" t="str">
            <v>0041</v>
          </cell>
          <cell r="N154" t="str">
            <v>RH</v>
          </cell>
          <cell r="O154" t="str">
            <v>robertiagus.haposan@alamtri.com</v>
          </cell>
          <cell r="P154">
            <v>1266.2759999999998</v>
          </cell>
          <cell r="Q154">
            <v>20260415.999999996</v>
          </cell>
          <cell r="R154" t="str">
            <v>Completed Sign PO</v>
          </cell>
          <cell r="T154" t="str">
            <v>MSW</v>
          </cell>
          <cell r="U154" t="str">
            <v>Bima Kaltim Utama, PT
Alfa Teknik Mandiri Makmur, PT
Sehati, CV
Cahaya Murni, CV
Indo Tehnik Tanjung Tabalong, PT
Anugrah Mandiri Putra Tabalong, PT
Petrocom Nusa Synergy, PT
Berkat Pratama Teknik, CV
Perwira Sentra Officindo, PT
Arthapusaka Mitra Sakti, PT
Otto Sukses Jaya Perkasa, PT</v>
          </cell>
          <cell r="V154" t="str">
            <v>Alfa Teknik Mandiri Makmur, PT
Indo Tehnik Tanjung Tabalong, PT
Anugrah Mandiri Putra Tabalong, PT
Petrocom Nusa Synergy, PT
Perwira Sentra Officindo, PT
Arthapusaka Mitra Sakti, PT</v>
          </cell>
          <cell r="W154" t="str">
            <v>11 of 11</v>
          </cell>
          <cell r="X154" t="str">
            <v>6 of 11</v>
          </cell>
          <cell r="Y154">
            <v>45679</v>
          </cell>
          <cell r="Z154">
            <v>45692</v>
          </cell>
          <cell r="AC154" t="str">
            <v xml:space="preserve"> of </v>
          </cell>
          <cell r="AD154" t="str">
            <v xml:space="preserve"> of </v>
          </cell>
          <cell r="AF154" t="str">
            <v/>
          </cell>
          <cell r="AI154" t="str">
            <v xml:space="preserve"> of </v>
          </cell>
          <cell r="AJ154" t="str">
            <v xml:space="preserve"> of </v>
          </cell>
          <cell r="AM154">
            <v>0.70833333333333337</v>
          </cell>
          <cell r="AN154" t="str">
            <v>Bima Kaltim Utama, PT</v>
          </cell>
          <cell r="AO154" t="str">
            <v>rera.bimakaltim@yahoo.com; albert.bimautama@yahoo.com; rya_bimakaltim@yahoo.com</v>
          </cell>
          <cell r="AP154" t="str">
            <v>PO25000104</v>
          </cell>
          <cell r="AQ154">
            <v>20900000</v>
          </cell>
          <cell r="AR154">
            <v>45694</v>
          </cell>
          <cell r="AS154">
            <v>45714</v>
          </cell>
          <cell r="AT154">
            <v>45719</v>
          </cell>
          <cell r="AU154">
            <v>45730</v>
          </cell>
          <cell r="AV154">
            <v>45722</v>
          </cell>
          <cell r="AW154">
            <v>45733</v>
          </cell>
          <cell r="AX154">
            <v>1.5714285714285714</v>
          </cell>
          <cell r="AY154">
            <v>45776</v>
          </cell>
          <cell r="AZ154">
            <v>43</v>
          </cell>
          <cell r="BA154">
            <v>1045000</v>
          </cell>
          <cell r="BB154" t="str">
            <v>Late Completed</v>
          </cell>
          <cell r="BC154" t="str">
            <v>PR100009949</v>
          </cell>
        </row>
        <row r="155">
          <cell r="B155" t="str">
            <v>PR100009939</v>
          </cell>
          <cell r="C155" t="str">
            <v>Reagent Set Silica Analyzer 5500 sc HACH Januari 2025</v>
          </cell>
          <cell r="E155" t="str">
            <v>Alfa Pegasus, PT
Intraparr Nusantara, PT
Ecolab International Indonesia, PT
Ribora Sukses Abadi, PT
Catur Inti Chemical, PT
New Praktika Alkesindo, PT
Global Satria Aji, PT
Alfa Teknik Mandiri Makmur, PT</v>
          </cell>
          <cell r="F155" t="str">
            <v>Alfa Pegasus, PT
Intraparr Nusantara, PT
Alfa Teknik Mandiri Makmur, PT</v>
          </cell>
          <cell r="G155" t="str">
            <v>R0
3 of 8
11 Feb 25</v>
          </cell>
          <cell r="H155" t="str">
            <v>DENI SUHENDRA</v>
          </cell>
          <cell r="I155">
            <v>45688</v>
          </cell>
          <cell r="J155" t="str">
            <v>Tech Op</v>
          </cell>
          <cell r="K155" t="str">
            <v>B</v>
          </cell>
          <cell r="L155" t="str">
            <v>BID</v>
          </cell>
          <cell r="M155" t="str">
            <v>0058</v>
          </cell>
          <cell r="N155" t="str">
            <v>RH</v>
          </cell>
          <cell r="O155" t="str">
            <v>robertiagus.haposan@alamtri.com</v>
          </cell>
          <cell r="P155">
            <v>2015</v>
          </cell>
          <cell r="Q155">
            <v>32240000</v>
          </cell>
          <cell r="R155" t="str">
            <v>Completed Sign PO</v>
          </cell>
          <cell r="T155" t="str">
            <v>MSW</v>
          </cell>
          <cell r="U155" t="str">
            <v>Alfa Pegasus, PT
Intraparr Nusantara, PT
Ecolab International Indonesia, PT
Ribora Sukses Abadi, PT
Catur Inti Chemical, PT
New Praktika Alkesindo, PT
Global Satria Aji, PT
Alfa Teknik Mandiri Makmur, PT</v>
          </cell>
          <cell r="V155" t="str">
            <v>Alfa Pegasus, PT
Intraparr Nusantara, PT
Alfa Teknik Mandiri Makmur, PT</v>
          </cell>
          <cell r="W155" t="str">
            <v>8 of 8</v>
          </cell>
          <cell r="X155" t="str">
            <v>3 of 8</v>
          </cell>
          <cell r="Y155">
            <v>45692</v>
          </cell>
          <cell r="Z155">
            <v>45699</v>
          </cell>
          <cell r="AC155" t="str">
            <v xml:space="preserve"> of </v>
          </cell>
          <cell r="AD155" t="str">
            <v xml:space="preserve"> of </v>
          </cell>
          <cell r="AF155" t="str">
            <v/>
          </cell>
          <cell r="AI155" t="str">
            <v xml:space="preserve"> of </v>
          </cell>
          <cell r="AJ155" t="str">
            <v xml:space="preserve"> of </v>
          </cell>
          <cell r="AM155">
            <v>0.70833333333333337</v>
          </cell>
          <cell r="AN155" t="str">
            <v>Alfa Pegasus, PT</v>
          </cell>
          <cell r="AO155" t="str">
            <v>amin.wahidi@alfapegasus.com; budi.setyawan@alfapegasus.com; rahmadhani.kurniawan@hach.com</v>
          </cell>
          <cell r="AP155" t="str">
            <v>PO25000063</v>
          </cell>
          <cell r="AQ155">
            <v>35400000</v>
          </cell>
          <cell r="AR155">
            <v>45702</v>
          </cell>
          <cell r="AS155">
            <v>45705</v>
          </cell>
          <cell r="AT155">
            <v>45706</v>
          </cell>
          <cell r="AU155">
            <v>45765</v>
          </cell>
          <cell r="AV155">
            <v>45714</v>
          </cell>
          <cell r="AW155">
            <v>45773</v>
          </cell>
          <cell r="AX155">
            <v>8.4285714285714288</v>
          </cell>
          <cell r="AY155">
            <v>45728</v>
          </cell>
          <cell r="AZ155" t="str">
            <v/>
          </cell>
          <cell r="BA155" t="str">
            <v/>
          </cell>
          <cell r="BB155" t="str">
            <v>Completed</v>
          </cell>
          <cell r="BC155" t="str">
            <v>PR100009939</v>
          </cell>
        </row>
        <row r="156">
          <cell r="B156" t="str">
            <v>PR100010019</v>
          </cell>
          <cell r="C156" t="str">
            <v>Equipment for CEMS</v>
          </cell>
          <cell r="E156" t="str">
            <v>Casa Terra Mandiri Indonesia, PT
Perwira Sentra Officindo, PT
Alfa Teknik Mandiri Makmur, PT
Antares Jaya Gemilang Prima, PT
Berkat Pratama Teknik, CV
Afghan Jaya Abadi, PT
Cahaya Murni, CV
Dayaniaga Ekaselaras, PT
Indo Makmur Mandiri, PT</v>
          </cell>
          <cell r="F156" t="str">
            <v>Perwira Sentra Officindo, PT
Berkat Pratama Teknik, CV
Indo Makmur Mandiri, PT</v>
          </cell>
          <cell r="G156" t="str">
            <v>R0
3 of 9
12 Feb 25</v>
          </cell>
          <cell r="H156" t="str">
            <v>DEDE SUDARJI</v>
          </cell>
          <cell r="I156">
            <v>45688</v>
          </cell>
          <cell r="J156" t="str">
            <v>Tech Main</v>
          </cell>
          <cell r="K156" t="str">
            <v>B</v>
          </cell>
          <cell r="L156" t="str">
            <v>BID</v>
          </cell>
          <cell r="M156" t="str">
            <v>0047</v>
          </cell>
          <cell r="N156" t="str">
            <v>RH</v>
          </cell>
          <cell r="O156" t="str">
            <v>robertiagus.haposan@alamtri.com</v>
          </cell>
          <cell r="P156">
            <v>238</v>
          </cell>
          <cell r="Q156">
            <v>3808000</v>
          </cell>
          <cell r="R156" t="str">
            <v>Completed Sign PO</v>
          </cell>
          <cell r="T156" t="str">
            <v>MSW</v>
          </cell>
          <cell r="U156" t="str">
            <v>Casa Terra Mandiri Indonesia, PT
Perwira Sentra Officindo, PT
Alfa Teknik Mandiri Makmur, PT
Antares Jaya Gemilang Prima, PT
Berkat Pratama Teknik, CV
Afghan Jaya Abadi, PT
Cahaya Murni, CV
Dayaniaga Ekaselaras, PT
Indo Makmur Mandiri, PT</v>
          </cell>
          <cell r="V156" t="str">
            <v>Perwira Sentra Officindo, PT
Berkat Pratama Teknik, CV
Indo Makmur Mandiri, PT</v>
          </cell>
          <cell r="W156" t="str">
            <v>9 of 9</v>
          </cell>
          <cell r="X156" t="str">
            <v>3 of 9</v>
          </cell>
          <cell r="Y156">
            <v>45692</v>
          </cell>
          <cell r="Z156">
            <v>45700</v>
          </cell>
          <cell r="AC156" t="str">
            <v xml:space="preserve"> of </v>
          </cell>
          <cell r="AD156" t="str">
            <v xml:space="preserve"> of </v>
          </cell>
          <cell r="AF156" t="str">
            <v/>
          </cell>
          <cell r="AI156" t="str">
            <v xml:space="preserve"> of </v>
          </cell>
          <cell r="AJ156" t="str">
            <v xml:space="preserve"> of </v>
          </cell>
          <cell r="AM156">
            <v>0.70833333333333337</v>
          </cell>
          <cell r="AN156" t="str">
            <v>Berkat Pratama Teknik, CV</v>
          </cell>
          <cell r="AO156" t="str">
            <v>berkatpratamateknik@gmail.com</v>
          </cell>
          <cell r="AP156" t="str">
            <v>PO25000101</v>
          </cell>
          <cell r="AQ156">
            <v>2430000</v>
          </cell>
          <cell r="AR156">
            <v>45702</v>
          </cell>
          <cell r="AS156">
            <v>45713</v>
          </cell>
          <cell r="AT156">
            <v>45716</v>
          </cell>
          <cell r="AU156">
            <v>45751</v>
          </cell>
          <cell r="AV156">
            <v>45720</v>
          </cell>
          <cell r="AW156">
            <v>45755</v>
          </cell>
          <cell r="AX156">
            <v>5</v>
          </cell>
          <cell r="AY156">
            <v>45827</v>
          </cell>
          <cell r="AZ156">
            <v>72</v>
          </cell>
          <cell r="BA156">
            <v>72900</v>
          </cell>
          <cell r="BB156" t="str">
            <v>Completed</v>
          </cell>
          <cell r="BC156" t="str">
            <v>PR100010019</v>
          </cell>
        </row>
        <row r="157">
          <cell r="B157" t="str">
            <v>PR100010017</v>
          </cell>
          <cell r="C157" t="str">
            <v>Solenoid Valve Stock Inventory</v>
          </cell>
          <cell r="E157" t="str">
            <v>ANP Engineering, PT
Putera Instrumenindo, PT
Gema Industrial, PT
Kin Kitra Kencana, PT
Antares Jaya Gemilang Prima, PT
ODG Indonesia, PT
Gamamitra Setia, PT
Lamindo Prima Mandiri, PT
Alva Valve Control, PT
Dycom Engineering, PT
Gading Mas Utama, PT
Contromatic Prima Mandiri, PT
Lienetic Jaya, PT</v>
          </cell>
          <cell r="F157" t="str">
            <v>Antares Jaya Gemilang Prima, PT
Lienetic Jaya, PT</v>
          </cell>
          <cell r="G157" t="str">
            <v>R1
2 of 13
19 Feb 25</v>
          </cell>
          <cell r="H157" t="str">
            <v>DEDE SUDARJI</v>
          </cell>
          <cell r="I157">
            <v>45688</v>
          </cell>
          <cell r="J157" t="str">
            <v>Inv</v>
          </cell>
          <cell r="K157" t="str">
            <v>B</v>
          </cell>
          <cell r="L157" t="str">
            <v>BID</v>
          </cell>
          <cell r="M157" t="str">
            <v>0046</v>
          </cell>
          <cell r="N157" t="str">
            <v>RH</v>
          </cell>
          <cell r="O157" t="str">
            <v>robertiagus.haposan@alamtri.com</v>
          </cell>
          <cell r="P157">
            <v>2050</v>
          </cell>
          <cell r="Q157">
            <v>32800000</v>
          </cell>
          <cell r="R157" t="str">
            <v>Completed Sign PO</v>
          </cell>
          <cell r="T157" t="str">
            <v>MSW</v>
          </cell>
          <cell r="U157" t="str">
            <v>Kin Kitra Kencana, PT
Putera Instrumenindo, PT
Antares Jaya Gemilang Prima, PT
Alfa Teknik Mandiri Makmur, PT
Gading Mas Utama, PT
ODG Indonesia, PT
Rande Buana Teknik, PT
Gamamitra Setia, PT
Gema Industrial, PT
Hikmah Jaya Sentosa, PT
Lamindo Prima Mandiri, PT
Alva Valve Control, PT
Perwira Sentra Officindo, PT
Dycom Engineering, PT</v>
          </cell>
          <cell r="V157" t="str">
            <v>None</v>
          </cell>
          <cell r="W157" t="str">
            <v>14 of 14</v>
          </cell>
          <cell r="X157" t="str">
            <v>1 of 14</v>
          </cell>
          <cell r="Y157">
            <v>45692</v>
          </cell>
          <cell r="Z157">
            <v>45699</v>
          </cell>
          <cell r="AA157" t="str">
            <v>ANP Engineering, PT
Putera Instrumenindo, PT
Gema Industrial, PT
Kin Kitra Kencana, PT
Antares Jaya Gemilang Prima, PT
ODG Indonesia, PT
Gamamitra Setia, PT
Lamindo Prima Mandiri, PT
Alva Valve Control, PT
Dycom Engineering, PT
Gading Mas Utama, PT
Contromatic Prima Mandiri, PT
Lienetic Jaya, PT</v>
          </cell>
          <cell r="AB157" t="str">
            <v>Antares Jaya Gemilang Prima, PT
Lienetic Jaya, PT</v>
          </cell>
          <cell r="AC157" t="str">
            <v>13 of 13</v>
          </cell>
          <cell r="AD157" t="str">
            <v>2 of 13</v>
          </cell>
          <cell r="AE157">
            <v>45700</v>
          </cell>
          <cell r="AF157">
            <v>45707</v>
          </cell>
          <cell r="AI157" t="str">
            <v xml:space="preserve"> of </v>
          </cell>
          <cell r="AJ157" t="str">
            <v xml:space="preserve"> of </v>
          </cell>
          <cell r="AM157">
            <v>0.70833333333333337</v>
          </cell>
          <cell r="AN157" t="str">
            <v>Lienetic Jaya, PT</v>
          </cell>
          <cell r="AO157" t="str">
            <v>inquiry@lieneticjaya.com; Lieneticjaya@cbn.net.id</v>
          </cell>
          <cell r="AP157" t="str">
            <v>PO25000132</v>
          </cell>
          <cell r="AQ157">
            <v>25880000</v>
          </cell>
          <cell r="AR157">
            <v>45709</v>
          </cell>
          <cell r="AS157">
            <v>45716</v>
          </cell>
          <cell r="AT157">
            <v>45728</v>
          </cell>
          <cell r="AU157">
            <v>45842</v>
          </cell>
          <cell r="AV157">
            <v>45736</v>
          </cell>
          <cell r="AW157">
            <v>45850</v>
          </cell>
          <cell r="AX157">
            <v>16.285714285714285</v>
          </cell>
          <cell r="AY157">
            <v>45864</v>
          </cell>
          <cell r="AZ157">
            <v>14</v>
          </cell>
          <cell r="BA157">
            <v>362320</v>
          </cell>
          <cell r="BB157" t="str">
            <v>Late Completed</v>
          </cell>
          <cell r="BC157" t="str">
            <v>PR100010017</v>
          </cell>
        </row>
        <row r="158">
          <cell r="B158" t="str">
            <v>PR100010014</v>
          </cell>
          <cell r="C158" t="str">
            <v>Service, Refurbish &amp; Rewinding 3 Phase Motor 93 Kw for CT Fan</v>
          </cell>
          <cell r="E158" t="str">
            <v>Multi Jaya Mesindotama, PT
Jaya Listrik, CV
Amanda Sejahtera Abadi, PT
Uno Solusi Teknik, CV
Panca Daya Indonesia Persada, PT
Zidan Putra Gemilang, PT
Daha Surya Persada, PT
Rahmat Parna Sakti, CV</v>
          </cell>
          <cell r="F158" t="str">
            <v>Jaya Listrik, CV
Amanda Sejahtera Abadi, PT
Zidan Putra Gemilang, PT
Daha Surya Persada, PT</v>
          </cell>
          <cell r="G158" t="str">
            <v>R0
4 of 8
11 Feb 25</v>
          </cell>
          <cell r="H158" t="str">
            <v>DEDE SUDARJI</v>
          </cell>
          <cell r="I158">
            <v>45688</v>
          </cell>
          <cell r="J158" t="str">
            <v>Tech Main</v>
          </cell>
          <cell r="K158" t="str">
            <v>J</v>
          </cell>
          <cell r="L158" t="str">
            <v>BID</v>
          </cell>
          <cell r="M158" t="str">
            <v>0045</v>
          </cell>
          <cell r="N158" t="str">
            <v>RH</v>
          </cell>
          <cell r="O158" t="str">
            <v>robertiagus.haposan@alamtri.com</v>
          </cell>
          <cell r="P158">
            <v>900</v>
          </cell>
          <cell r="Q158">
            <v>14400000</v>
          </cell>
          <cell r="R158" t="str">
            <v>Completed Sign PO</v>
          </cell>
          <cell r="T158" t="str">
            <v>MSW</v>
          </cell>
          <cell r="U158" t="str">
            <v>Multi Jaya Mesindotama, PT
Jaya Listrik, CV
Amanda Sejahtera Abadi, PT
Uno Solusi Teknik, CV
Panca Daya Indonesia Persada, PT
Zidan Putra Gemilang, PT
Daha Surya Persada, PT
Rahmat Parna Sakti, CV</v>
          </cell>
          <cell r="V158" t="str">
            <v>Jaya Listrik, CV
Amanda Sejahtera Abadi, PT
Zidan Putra Gemilang, PT
Daha Surya Persada, PT</v>
          </cell>
          <cell r="W158" t="str">
            <v>8 of 8</v>
          </cell>
          <cell r="X158" t="str">
            <v>4 of 8</v>
          </cell>
          <cell r="Y158">
            <v>45692</v>
          </cell>
          <cell r="Z158">
            <v>45699</v>
          </cell>
          <cell r="AC158" t="str">
            <v xml:space="preserve"> of </v>
          </cell>
          <cell r="AD158" t="str">
            <v xml:space="preserve"> of </v>
          </cell>
          <cell r="AF158" t="str">
            <v/>
          </cell>
          <cell r="AI158" t="str">
            <v xml:space="preserve"> of </v>
          </cell>
          <cell r="AJ158" t="str">
            <v xml:space="preserve"> of </v>
          </cell>
          <cell r="AM158">
            <v>0.70833333333333337</v>
          </cell>
          <cell r="AN158" t="str">
            <v>Jaya Listrik, CV</v>
          </cell>
          <cell r="AO158" t="str">
            <v>jayalistrik@yahoo.com</v>
          </cell>
          <cell r="AP158" t="str">
            <v>PO25000123R1</v>
          </cell>
          <cell r="AQ158">
            <v>45950000</v>
          </cell>
          <cell r="AR158">
            <v>45701</v>
          </cell>
          <cell r="AS158">
            <v>45716</v>
          </cell>
          <cell r="AT158">
            <v>45720</v>
          </cell>
          <cell r="AU158">
            <v>45765</v>
          </cell>
          <cell r="AV158">
            <v>45729</v>
          </cell>
          <cell r="AW158">
            <v>45774</v>
          </cell>
          <cell r="AX158">
            <v>6.4285714285714288</v>
          </cell>
          <cell r="AY158">
            <v>45758</v>
          </cell>
          <cell r="AZ158" t="str">
            <v/>
          </cell>
          <cell r="BA158" t="str">
            <v/>
          </cell>
          <cell r="BB158" t="str">
            <v>Late Completed</v>
          </cell>
          <cell r="BC158" t="str">
            <v>PR100010014</v>
          </cell>
        </row>
        <row r="159">
          <cell r="B159" t="str">
            <v>PR100010022</v>
          </cell>
          <cell r="C159" t="str">
            <v>Pengadaan Lime Stone Untuk Tahun 2025</v>
          </cell>
          <cell r="E159" t="str">
            <v>Sembilan Jaya Abadi Resources, PT</v>
          </cell>
          <cell r="F159" t="str">
            <v>Sembilan Jaya Abadi Resources, PT</v>
          </cell>
          <cell r="G159" t="str">
            <v>R0
1 of 1
03 Feb 25</v>
          </cell>
          <cell r="H159" t="str">
            <v>ARIES KURNIAWAN</v>
          </cell>
          <cell r="I159">
            <v>45691</v>
          </cell>
          <cell r="J159" t="str">
            <v>Tech OP</v>
          </cell>
          <cell r="K159" t="str">
            <v>B</v>
          </cell>
          <cell r="L159" t="str">
            <v>BID</v>
          </cell>
          <cell r="N159" t="str">
            <v>RH</v>
          </cell>
          <cell r="O159" t="str">
            <v>robertiagus.haposan@alamtri.com</v>
          </cell>
          <cell r="P159">
            <v>15336</v>
          </cell>
          <cell r="Q159">
            <v>245376000</v>
          </cell>
          <cell r="R159" t="str">
            <v>Completed Sign PO</v>
          </cell>
          <cell r="T159" t="str">
            <v>MSW</v>
          </cell>
          <cell r="U159" t="str">
            <v>Sembilan Jaya Abadi Resources, PT</v>
          </cell>
          <cell r="V159" t="str">
            <v>Sembilan Jaya Abadi Resources, PT</v>
          </cell>
          <cell r="W159" t="str">
            <v>1 of 1</v>
          </cell>
          <cell r="X159" t="str">
            <v>1 of 1</v>
          </cell>
          <cell r="Y159">
            <v>45690</v>
          </cell>
          <cell r="Z159">
            <v>45691</v>
          </cell>
          <cell r="AC159" t="str">
            <v xml:space="preserve"> of </v>
          </cell>
          <cell r="AD159" t="str">
            <v xml:space="preserve"> of </v>
          </cell>
          <cell r="AF159" t="str">
            <v/>
          </cell>
          <cell r="AI159" t="str">
            <v xml:space="preserve"> of </v>
          </cell>
          <cell r="AJ159" t="str">
            <v xml:space="preserve"> of </v>
          </cell>
          <cell r="AM159">
            <v>0.70833333333333337</v>
          </cell>
          <cell r="AN159" t="str">
            <v>Sembilan Jaya Abadi Resources, PT</v>
          </cell>
          <cell r="AO159" t="str">
            <v>tri.mariono@yahoo.com</v>
          </cell>
          <cell r="AP159" t="str">
            <v>PO25000137</v>
          </cell>
          <cell r="AQ159">
            <v>199800000</v>
          </cell>
          <cell r="AR159">
            <v>45694</v>
          </cell>
          <cell r="AS159">
            <v>45721</v>
          </cell>
          <cell r="AT159">
            <v>45726</v>
          </cell>
          <cell r="AU159">
            <v>45758</v>
          </cell>
          <cell r="AV159">
            <v>45729</v>
          </cell>
          <cell r="AW159">
            <v>45761</v>
          </cell>
          <cell r="AX159">
            <v>4.5714285714285712</v>
          </cell>
          <cell r="AY159">
            <v>45756</v>
          </cell>
          <cell r="AZ159" t="str">
            <v/>
          </cell>
          <cell r="BA159" t="str">
            <v/>
          </cell>
          <cell r="BB159" t="str">
            <v>Late Completed</v>
          </cell>
          <cell r="BC159" t="str">
            <v>PR100010022</v>
          </cell>
        </row>
        <row r="160">
          <cell r="B160" t="str">
            <v>PR100010020</v>
          </cell>
          <cell r="C160" t="str">
            <v>Sparepart MOV Bed Ash Drain for WO10734046</v>
          </cell>
          <cell r="E160" t="str">
            <v>Carakamas Intialam, PT
Artam Borneo Automatika, PT
Total Solusi Instrument, PT
Prestasi Jaya Maju, PT
Central Automatic System, PT
Lamindo Prima Mandiri, PT
Vhipa Mulia Pratama, PT
Kin Kitra Kencana, PT
Outsourcindo, PT
Petrocom Nusa Synergy, PT</v>
          </cell>
          <cell r="F160" t="str">
            <v>Artam Borneo Automatika, PT
Total Solusi Instrument, PT
Outsourcindo, PT</v>
          </cell>
          <cell r="G160" t="str">
            <v>R0
3 of 10
10 Feb 25</v>
          </cell>
          <cell r="H160" t="str">
            <v>DEDE SUDARJI</v>
          </cell>
          <cell r="I160">
            <v>45691</v>
          </cell>
          <cell r="J160" t="str">
            <v>Tech Main</v>
          </cell>
          <cell r="K160" t="str">
            <v>B</v>
          </cell>
          <cell r="L160" t="str">
            <v>BID</v>
          </cell>
          <cell r="M160" t="str">
            <v>0044</v>
          </cell>
          <cell r="N160" t="str">
            <v>RH</v>
          </cell>
          <cell r="O160" t="str">
            <v>robertiagus.haposan@alamtri.com</v>
          </cell>
          <cell r="P160">
            <v>2000</v>
          </cell>
          <cell r="Q160">
            <v>32000000</v>
          </cell>
          <cell r="R160" t="str">
            <v>Completed Sign PO</v>
          </cell>
          <cell r="T160" t="str">
            <v>MSW</v>
          </cell>
          <cell r="U160" t="str">
            <v>Carakamas Intialam, PT
Artam Borneo Automatika, PT
Total Solusi Instrument, PT
Prestasi Jaya Maju, PT
Central Automatic System, PT
Lamindo Prima Mandiri, PT
Vhipa Mulia Pratama, PT
Kin Kitra Kencana, PT
Outsourcindo, PT
Petrocom Nusa Synergy, PT</v>
          </cell>
          <cell r="V160" t="str">
            <v>Artam Borneo Automatika, PT
Total Solusi Instrument, PT
Outsourcindo, PT</v>
          </cell>
          <cell r="W160" t="str">
            <v>10 of 10</v>
          </cell>
          <cell r="X160" t="str">
            <v>3 of 10</v>
          </cell>
          <cell r="Y160">
            <v>45691</v>
          </cell>
          <cell r="Z160">
            <v>45698</v>
          </cell>
          <cell r="AC160" t="str">
            <v xml:space="preserve"> of </v>
          </cell>
          <cell r="AD160" t="str">
            <v xml:space="preserve"> of </v>
          </cell>
          <cell r="AF160" t="str">
            <v/>
          </cell>
          <cell r="AI160" t="str">
            <v xml:space="preserve"> of </v>
          </cell>
          <cell r="AJ160" t="str">
            <v xml:space="preserve"> of </v>
          </cell>
          <cell r="AM160">
            <v>0.70833333333333337</v>
          </cell>
          <cell r="AN160" t="str">
            <v>Artam Borneo Automatika, PT</v>
          </cell>
          <cell r="AO160" t="str">
            <v>sales@artam.co.id; arie@artam.co.id; inquiry@artam.co.id; artamborneo@gmail.com; alfian.hambali@artam.co.id; sales.bpn@artam.co.id</v>
          </cell>
          <cell r="AP160" t="str">
            <v>PO25000209</v>
          </cell>
          <cell r="AQ160">
            <v>306800000</v>
          </cell>
          <cell r="AR160">
            <v>45701</v>
          </cell>
          <cell r="AS160">
            <v>45735</v>
          </cell>
          <cell r="AT160">
            <v>45743</v>
          </cell>
          <cell r="AU160">
            <v>45996</v>
          </cell>
          <cell r="AV160">
            <v>45755</v>
          </cell>
          <cell r="AW160">
            <v>46008</v>
          </cell>
          <cell r="AX160">
            <v>36.142857142857146</v>
          </cell>
          <cell r="AZ160" t="str">
            <v/>
          </cell>
          <cell r="BA160" t="str">
            <v/>
          </cell>
          <cell r="BB160" t="str">
            <v>Late Completed</v>
          </cell>
          <cell r="BC160" t="str">
            <v>PR100010020</v>
          </cell>
        </row>
        <row r="161">
          <cell r="B161" t="str">
            <v>PR100009955 (Line 4)</v>
          </cell>
          <cell r="C161" t="str">
            <v>Calibration Gas Standard &amp; Part CEMS</v>
          </cell>
          <cell r="E161" t="str">
            <v>Putera Instrumenindo, PT
Polaris Instrumentasi Dinamika, PT
Gema Industrial, PT
Petrocom Nusa Synergy, PT
Wahana Mitra Sukses, PT
Antares Jaya Gemilang Prima, PT
Alfa Teknik Mandiri Makmur, PT
Rande Buana Teknik, PT
Kin Kitra Kencana, PT</v>
          </cell>
          <cell r="F161" t="str">
            <v>Putera Instrumenindo, PT
Wahana Mitra Sukses, PT</v>
          </cell>
          <cell r="G161" t="str">
            <v>R1
2 of 9
12 Feb 25</v>
          </cell>
          <cell r="H161" t="str">
            <v>DEDE SUDARJI</v>
          </cell>
          <cell r="I161">
            <v>45678</v>
          </cell>
          <cell r="J161" t="str">
            <v>Tech Main</v>
          </cell>
          <cell r="K161" t="str">
            <v>B</v>
          </cell>
          <cell r="L161" t="str">
            <v>BID</v>
          </cell>
          <cell r="M161" t="str">
            <v>0027</v>
          </cell>
          <cell r="N161" t="str">
            <v>RH</v>
          </cell>
          <cell r="O161" t="str">
            <v>robertiagus.haposan@alamtri.com</v>
          </cell>
          <cell r="P161">
            <v>750</v>
          </cell>
          <cell r="Q161">
            <v>12000000</v>
          </cell>
          <cell r="R161" t="str">
            <v>Completed Sign PO</v>
          </cell>
          <cell r="T161" t="str">
            <v>MSW</v>
          </cell>
          <cell r="U161" t="str">
            <v>Petro Gama Industri, PT
Surya Biru Murni Acetylene, PT
Indo Base Harapan, PT
Tiga Putri Abadi, CV
Samator Gas Industri, PT
Pratama Graha Semesta, PT
Energi Indogas Nusantara, PT</v>
          </cell>
          <cell r="V161" t="str">
            <v>Putera Instrumenindo, PT
Wahana Mitra Sukses, PT</v>
          </cell>
          <cell r="W161" t="str">
            <v>7 of 7</v>
          </cell>
          <cell r="X161" t="str">
            <v>2 of 7</v>
          </cell>
          <cell r="Y161">
            <v>45678</v>
          </cell>
          <cell r="Z161">
            <v>45688</v>
          </cell>
          <cell r="AA161" t="str">
            <v>Putera Instrumenindo, PT
Polaris Instrumentasi Dinamika, PT
Gema Industrial, PT
Petrocom Nusa Synergy, PT
Wahana Mitra Sukses, PT
Antares Jaya Gemilang Prima, PT
Alfa Teknik Mandiri Makmur, PT
Rande Buana Teknik, PT
Kin Kitra Kencana, PT</v>
          </cell>
          <cell r="AB161" t="str">
            <v>Putera Instrumenindo, PT
Wahana Mitra Sukses, PT</v>
          </cell>
          <cell r="AC161" t="str">
            <v>9 of 9</v>
          </cell>
          <cell r="AD161" t="str">
            <v>2 of 9</v>
          </cell>
          <cell r="AE161">
            <v>45693</v>
          </cell>
          <cell r="AF161">
            <v>45700</v>
          </cell>
          <cell r="AI161" t="str">
            <v xml:space="preserve"> of </v>
          </cell>
          <cell r="AJ161" t="str">
            <v xml:space="preserve"> of </v>
          </cell>
          <cell r="AM161">
            <v>0.70833333333333337</v>
          </cell>
          <cell r="AN161" t="str">
            <v>Putera Instrumenindo, PT</v>
          </cell>
          <cell r="AO161" t="str">
            <v>vergi@pinst.co.id; linda@pinst.co.id; putri@pinst.co.id</v>
          </cell>
          <cell r="AP161" t="str">
            <v>PO25000093</v>
          </cell>
          <cell r="AQ161">
            <v>11100000</v>
          </cell>
          <cell r="AR161">
            <v>45702</v>
          </cell>
          <cell r="AS161">
            <v>45709</v>
          </cell>
          <cell r="AT161">
            <v>45714</v>
          </cell>
          <cell r="AU161">
            <v>45737</v>
          </cell>
          <cell r="AV161">
            <v>45720</v>
          </cell>
          <cell r="AW161">
            <v>45743</v>
          </cell>
          <cell r="AX161">
            <v>3.2857142857142856</v>
          </cell>
          <cell r="AZ161" t="str">
            <v/>
          </cell>
          <cell r="BA161" t="str">
            <v/>
          </cell>
          <cell r="BB161" t="str">
            <v>Late Completed</v>
          </cell>
          <cell r="BC161" t="str">
            <v>PR100009955</v>
          </cell>
        </row>
        <row r="162">
          <cell r="B162" t="str">
            <v>PR100009986</v>
          </cell>
          <cell r="C162" t="str">
            <v>Asset trafo Spare Tutupan Area HW (T&amp;D 2025)</v>
          </cell>
          <cell r="E162" t="str">
            <v>Borneo Maju Jaya, PT
Bambang Djaja, PT
Trafindo Prima Perkasa, PT
Axel Jaya Cakraniaga, PT
Helix Elektrindo, PT
Maxima Daya Indonesia, PT
Indotara Persada, PT
Sanggadelima Nusantara, PT
Chint Indonesia, PT
Prakarsalanggeng Majubersama, PT
Takano Redho Indonesia, PT
Stanindo Artha Langgeng, PT
Surya Abadi Elektrindo, PT
Siemens Energy Indonesia, PT
Hikmah Jaya Sentosa, PT</v>
          </cell>
          <cell r="F162" t="str">
            <v>Takano Redho Indonesia, PT
Axel Jaya Cakraniaga, PT</v>
          </cell>
          <cell r="G162" t="str">
            <v>R0
2 of 15
14 Feb 25</v>
          </cell>
          <cell r="H162" t="str">
            <v>GUNARA FERY FAHNANI</v>
          </cell>
          <cell r="I162">
            <v>45692</v>
          </cell>
          <cell r="J162" t="str">
            <v>Tech Main</v>
          </cell>
          <cell r="K162" t="str">
            <v>B</v>
          </cell>
          <cell r="L162" t="str">
            <v>BID</v>
          </cell>
          <cell r="M162" t="str">
            <v>0064</v>
          </cell>
          <cell r="N162" t="str">
            <v>RH</v>
          </cell>
          <cell r="O162" t="str">
            <v>robertiagus.haposan@alamtri.com</v>
          </cell>
          <cell r="P162">
            <v>40000</v>
          </cell>
          <cell r="Q162">
            <v>640000000</v>
          </cell>
          <cell r="R162" t="str">
            <v>Completed Sign PO</v>
          </cell>
          <cell r="T162" t="str">
            <v>MSW</v>
          </cell>
          <cell r="U162" t="str">
            <v>Borneo Maju Jaya, PT
Bambang Djaja, PT
Trafindo Prima Perkasa, PT
Axel Jaya Cakraniaga, PT
Helix Elektrindo, PT
Maxima Daya Indonesia, PT
Indotara Persada, PT
Sanggadelima Nusantara, PT
Chint Indonesia, PT
Prakarsalanggeng Majubersama, PT
Takano Redho Indonesia, PT
Stanindo Artha Langgeng, PT
Surya Abadi Elektrindo, PT
Siemens Energy Indonesia, PT
Hikmah Jaya Sentosa, PT</v>
          </cell>
          <cell r="V162" t="str">
            <v>Takano Redho Indonesia, PT
Axel Jaya Cakraniaga, PT</v>
          </cell>
          <cell r="W162" t="str">
            <v>15 of 15</v>
          </cell>
          <cell r="X162" t="str">
            <v>2 of 15</v>
          </cell>
          <cell r="Y162">
            <v>45695</v>
          </cell>
          <cell r="Z162">
            <v>45702</v>
          </cell>
          <cell r="AC162" t="str">
            <v xml:space="preserve"> of </v>
          </cell>
          <cell r="AD162" t="str">
            <v xml:space="preserve"> of </v>
          </cell>
          <cell r="AF162" t="str">
            <v/>
          </cell>
          <cell r="AI162" t="str">
            <v xml:space="preserve"> of </v>
          </cell>
          <cell r="AJ162" t="str">
            <v xml:space="preserve"> of </v>
          </cell>
          <cell r="AM162">
            <v>0.70833333333333337</v>
          </cell>
          <cell r="AN162" t="str">
            <v>Borneo Maju Jaya, PT</v>
          </cell>
          <cell r="AO162" t="str">
            <v>welas@borneomajujaya.com</v>
          </cell>
          <cell r="AP162" t="str">
            <v>PO25000138</v>
          </cell>
          <cell r="AQ162">
            <v>368000000</v>
          </cell>
          <cell r="AR162">
            <v>45706</v>
          </cell>
          <cell r="AS162">
            <v>45721</v>
          </cell>
          <cell r="AT162">
            <v>45727</v>
          </cell>
          <cell r="AU162">
            <v>45807</v>
          </cell>
          <cell r="AV162">
            <v>45729</v>
          </cell>
          <cell r="AW162">
            <v>45809</v>
          </cell>
          <cell r="AX162">
            <v>11.428571428571429</v>
          </cell>
          <cell r="AY162">
            <v>45827</v>
          </cell>
          <cell r="AZ162">
            <v>18</v>
          </cell>
          <cell r="BA162">
            <v>6624000</v>
          </cell>
          <cell r="BB162" t="str">
            <v>Late Completed</v>
          </cell>
          <cell r="BC162" t="str">
            <v>PR100009986</v>
          </cell>
        </row>
        <row r="163">
          <cell r="B163" t="str">
            <v>PR100009989</v>
          </cell>
          <cell r="C163" t="str">
            <v>Pengadaan unit oil dryout system</v>
          </cell>
          <cell r="E163" t="str">
            <v>Streamer Electric Indonesia, PT
Sanggadelima Nusantara, PT
Hanju Nusantara Power, PT
Global Energitama, PT
Mulya Jatra, PT
Hydac Technology Indonesia, PT</v>
          </cell>
          <cell r="F163" t="str">
            <v>Sanggadelima Nusantara, PT</v>
          </cell>
          <cell r="G163" t="str">
            <v>R1
1 of 6
06 Mar 25</v>
          </cell>
          <cell r="H163" t="str">
            <v>IFIT PRABOWO</v>
          </cell>
          <cell r="I163">
            <v>45692</v>
          </cell>
          <cell r="J163" t="str">
            <v>Tech Main</v>
          </cell>
          <cell r="K163" t="str">
            <v>B</v>
          </cell>
          <cell r="L163" t="str">
            <v>BID</v>
          </cell>
          <cell r="M163" t="str">
            <v>0063</v>
          </cell>
          <cell r="N163" t="str">
            <v>RH</v>
          </cell>
          <cell r="O163" t="str">
            <v>robertiagus.haposan@alamtri.com</v>
          </cell>
          <cell r="P163">
            <v>27826</v>
          </cell>
          <cell r="Q163">
            <v>445216000</v>
          </cell>
          <cell r="R163" t="str">
            <v>Completed Sign PO</v>
          </cell>
          <cell r="T163" t="str">
            <v>MSW</v>
          </cell>
          <cell r="U163" t="str">
            <v>Kin Kitra Kencana, PT
Putera Instrumenindo, PT
Hanju Nusantara Power, PT
Sanggadelima Nusantara, PT
Siemens Energy Indonesia, PT
Hydac Technology Indonesia, PT
Rachmat Citra Utama, PT
Crosstech Anggina Madina, CV
Streamer Electric Indonesia, PT
Delta Samitra Utama, PT
Transformator Servis Indonesia, PT
Axel Jaya Cakraniaga, PT</v>
          </cell>
          <cell r="V163" t="str">
            <v>Sanggadelima Nusantara, PT</v>
          </cell>
          <cell r="W163" t="str">
            <v>12 of 12</v>
          </cell>
          <cell r="X163" t="str">
            <v>1 of 12</v>
          </cell>
          <cell r="Y163">
            <v>45695</v>
          </cell>
          <cell r="Z163">
            <v>45702</v>
          </cell>
          <cell r="AA163" t="str">
            <v>Streamer Electric Indonesia, PT
Sanggadelima Nusantara, PT
Hanju Nusantara Power, PT
Global Energitama, PT
Mulya Jatra, PT
Hydac Technology Indonesia, PT</v>
          </cell>
          <cell r="AB163" t="str">
            <v>Sanggadelima Nusantara, PT</v>
          </cell>
          <cell r="AC163" t="str">
            <v>6 of 6</v>
          </cell>
          <cell r="AD163" t="str">
            <v>1 of 6</v>
          </cell>
          <cell r="AE163">
            <v>45715</v>
          </cell>
          <cell r="AF163">
            <v>45722</v>
          </cell>
          <cell r="AI163" t="str">
            <v xml:space="preserve"> of </v>
          </cell>
          <cell r="AJ163" t="str">
            <v xml:space="preserve"> of </v>
          </cell>
          <cell r="AM163">
            <v>0.70833333333333337</v>
          </cell>
          <cell r="AN163" t="str">
            <v>Sanggadelima Nusantara, PT</v>
          </cell>
          <cell r="AO163" t="str">
            <v>anggie@sanggadelima.com; agung.nugroho@sanggadelima.com</v>
          </cell>
          <cell r="AP163" t="str">
            <v>PO25000207</v>
          </cell>
          <cell r="AQ163">
            <v>800043260</v>
          </cell>
          <cell r="AR163">
            <v>45734</v>
          </cell>
          <cell r="AS163">
            <v>45737</v>
          </cell>
          <cell r="AT163">
            <v>45743</v>
          </cell>
          <cell r="AU163">
            <v>45919</v>
          </cell>
          <cell r="AV163">
            <v>45755</v>
          </cell>
          <cell r="AW163">
            <v>45931</v>
          </cell>
          <cell r="AX163">
            <v>25.142857142857142</v>
          </cell>
          <cell r="AY163">
            <v>45904</v>
          </cell>
          <cell r="AZ163" t="str">
            <v/>
          </cell>
          <cell r="BA163" t="str">
            <v/>
          </cell>
          <cell r="BB163" t="str">
            <v>Late Completed</v>
          </cell>
          <cell r="BC163" t="str">
            <v>PR100009989</v>
          </cell>
        </row>
        <row r="164">
          <cell r="B164" t="str">
            <v>PR100009881</v>
          </cell>
          <cell r="C164" t="str">
            <v>Mesin purifikasi oli trafo 2025</v>
          </cell>
          <cell r="E164" t="str">
            <v>Bisan Electric, PT
Dielektrika Persada Teknik, PT
Hanju Nusantara Power, PT
Benteng Reka Energi, PT
Jaya Prima Mandiri, PT
Megatama Electric, PT
Sanggadelima Nusantara, PT
Duta Sarana Engineering, PT
Mardika Sarana Engineering, PT
Eco Tangguh Lubriondo, PT
Mulya Jatra, PT
Kin Kitra Kencana, PT</v>
          </cell>
          <cell r="F164" t="str">
            <v>Bisan Electric, PT
Dielektrika Persada Teknik, PT
Benteng Reka Energi, PT
Sanggadelima Nusantara, PT
Mulya Jatra, PT</v>
          </cell>
          <cell r="G164" t="str">
            <v>R0
5 of 12
14 Feb 25</v>
          </cell>
          <cell r="H164" t="str">
            <v>IFIT PRABOWO</v>
          </cell>
          <cell r="I164">
            <v>45693</v>
          </cell>
          <cell r="J164" t="str">
            <v>Tech Main</v>
          </cell>
          <cell r="K164" t="str">
            <v>B</v>
          </cell>
          <cell r="L164" t="str">
            <v>BID</v>
          </cell>
          <cell r="M164" t="str">
            <v>0059</v>
          </cell>
          <cell r="N164" t="str">
            <v>RH</v>
          </cell>
          <cell r="O164" t="str">
            <v>robertiagus.haposan@alamtri.com</v>
          </cell>
          <cell r="P164">
            <v>41739</v>
          </cell>
          <cell r="Q164">
            <v>667824000</v>
          </cell>
          <cell r="R164" t="str">
            <v>Completed Sign PO</v>
          </cell>
          <cell r="T164" t="str">
            <v>MSW</v>
          </cell>
          <cell r="U164" t="str">
            <v>Bisan Electric, PT
Dielektrika Persada Teknik, PT
Hanju Nusantara Power, PT
Benteng Reka Energi, PT
Jaya Prima Mandiri, PT
Megatama Electric, PT
Sanggadelima Nusantara, PT
Duta Sarana Engineering, PT
Mardika Sarana Engineering, PT
Eco Tangguh Lubriondo, PT
Mulya Jatra, PT
Kin Kitra Kencana, PT</v>
          </cell>
          <cell r="V164" t="str">
            <v>Bisan Electric, PT
Dielektrika Persada Teknik, PT
Benteng Reka Energi, PT
Sanggadelima Nusantara, PT
Mulya Jatra, PT</v>
          </cell>
          <cell r="W164" t="str">
            <v>12 of 12</v>
          </cell>
          <cell r="X164" t="str">
            <v>5 of 12</v>
          </cell>
          <cell r="Y164">
            <v>45695</v>
          </cell>
          <cell r="Z164">
            <v>45702</v>
          </cell>
          <cell r="AC164" t="str">
            <v xml:space="preserve"> of </v>
          </cell>
          <cell r="AD164" t="str">
            <v xml:space="preserve"> of </v>
          </cell>
          <cell r="AF164" t="str">
            <v/>
          </cell>
          <cell r="AI164" t="str">
            <v xml:space="preserve"> of </v>
          </cell>
          <cell r="AJ164" t="str">
            <v xml:space="preserve"> of </v>
          </cell>
          <cell r="AM164">
            <v>0.70833333333333337</v>
          </cell>
          <cell r="AN164" t="str">
            <v>Duta Sarana Engineering, PT</v>
          </cell>
          <cell r="AO164" t="str">
            <v>danny@dutasaranaeng.com; andry@dutasaranaeng.com</v>
          </cell>
          <cell r="AP164" t="str">
            <v>PO25000286R1</v>
          </cell>
          <cell r="AQ164">
            <v>580000000</v>
          </cell>
          <cell r="AR164">
            <v>45706</v>
          </cell>
          <cell r="AS164">
            <v>45758</v>
          </cell>
          <cell r="AT164">
            <v>45786</v>
          </cell>
          <cell r="AU164">
            <v>45870</v>
          </cell>
          <cell r="AV164">
            <v>45790</v>
          </cell>
          <cell r="AW164">
            <v>45874</v>
          </cell>
          <cell r="AX164">
            <v>12</v>
          </cell>
          <cell r="AY164">
            <v>45881</v>
          </cell>
          <cell r="AZ164">
            <v>7</v>
          </cell>
          <cell r="BA164">
            <v>4060000</v>
          </cell>
          <cell r="BB164" t="str">
            <v>Late Completed</v>
          </cell>
          <cell r="BC164" t="str">
            <v>PR100009881</v>
          </cell>
        </row>
        <row r="165">
          <cell r="B165" t="str">
            <v>PR100010035</v>
          </cell>
          <cell r="C165" t="str">
            <v>Penyediaan Material Biomass (Wood Chip)( Periode Bulan January 2025)</v>
          </cell>
          <cell r="D165" t="str">
            <v>Agri Multi Lestari, PT</v>
          </cell>
          <cell r="E165" t="str">
            <v/>
          </cell>
          <cell r="F165" t="str">
            <v/>
          </cell>
          <cell r="G165" t="str">
            <v/>
          </cell>
          <cell r="H165" t="str">
            <v>ARIES KURNIAWAN</v>
          </cell>
          <cell r="I165">
            <v>45693</v>
          </cell>
          <cell r="J165" t="str">
            <v>Tech OP</v>
          </cell>
          <cell r="K165" t="str">
            <v>B</v>
          </cell>
          <cell r="L165" t="str">
            <v>IOM</v>
          </cell>
          <cell r="N165" t="str">
            <v>RH</v>
          </cell>
          <cell r="O165" t="str">
            <v>robertiagus.haposan@alamtri.com</v>
          </cell>
          <cell r="P165">
            <v>211.80439999999999</v>
          </cell>
          <cell r="Q165">
            <v>3388870.4</v>
          </cell>
          <cell r="R165" t="str">
            <v>Completed Sign PO</v>
          </cell>
          <cell r="T165" t="str">
            <v>MSW</v>
          </cell>
          <cell r="U165" t="str">
            <v>Agri Multi Lestari, PT</v>
          </cell>
          <cell r="V165" t="str">
            <v>Agri Multi Lestari, PT</v>
          </cell>
          <cell r="W165" t="str">
            <v>1 of 1</v>
          </cell>
          <cell r="X165" t="str">
            <v>1 of 1</v>
          </cell>
          <cell r="Z165" t="str">
            <v/>
          </cell>
          <cell r="AC165" t="str">
            <v xml:space="preserve"> of </v>
          </cell>
          <cell r="AD165" t="str">
            <v xml:space="preserve"> of </v>
          </cell>
          <cell r="AF165" t="str">
            <v/>
          </cell>
          <cell r="AI165" t="str">
            <v xml:space="preserve"> of </v>
          </cell>
          <cell r="AJ165" t="str">
            <v xml:space="preserve"> of </v>
          </cell>
          <cell r="AM165">
            <v>0.70833333333333337</v>
          </cell>
          <cell r="AN165" t="str">
            <v>Agri Multi Lestari, PT</v>
          </cell>
          <cell r="AO165" t="str">
            <v>nandasetya.kurniawan@adaro.com; novita.rindriyanti@adaro.com</v>
          </cell>
          <cell r="AP165" t="str">
            <v>PO25000117</v>
          </cell>
          <cell r="AQ165">
            <v>3179000</v>
          </cell>
          <cell r="AR165">
            <v>45730</v>
          </cell>
          <cell r="AS165">
            <v>45734</v>
          </cell>
          <cell r="AT165">
            <v>45730</v>
          </cell>
          <cell r="AU165">
            <v>45761</v>
          </cell>
          <cell r="AV165">
            <v>45734</v>
          </cell>
          <cell r="AW165">
            <v>45765</v>
          </cell>
          <cell r="AX165">
            <v>4.4285714285714288</v>
          </cell>
          <cell r="AY165">
            <v>45736</v>
          </cell>
          <cell r="AZ165" t="str">
            <v/>
          </cell>
          <cell r="BA165" t="str">
            <v/>
          </cell>
          <cell r="BB165" t="str">
            <v>Late Completed</v>
          </cell>
          <cell r="BC165" t="str">
            <v>PR100010035</v>
          </cell>
        </row>
        <row r="166">
          <cell r="B166" t="str">
            <v>PR100010024</v>
          </cell>
          <cell r="C166" t="str">
            <v>Upgrade Grounding Sistem 70kV (scope of work terlampir) Elektrifikasi 2025</v>
          </cell>
          <cell r="E166" t="str">
            <v>Graha Usaha Teknik, PT
Borneo Maju Jaya, PT
Powerindo Prima Perkasa, PT
Sinergi Indo Pranata, PT
Tunas Karya Aditama, PT
Tri Aldino Sejahtera, PT</v>
          </cell>
          <cell r="F166" t="str">
            <v>Graha Usaha Teknik, PT</v>
          </cell>
          <cell r="G166" t="str">
            <v>R1
1 of 6
06 Mar 25</v>
          </cell>
          <cell r="H166" t="str">
            <v>GUNARA FERY FAHNANI</v>
          </cell>
          <cell r="I166">
            <v>45698</v>
          </cell>
          <cell r="J166" t="str">
            <v>Tech Main</v>
          </cell>
          <cell r="K166" t="str">
            <v>J</v>
          </cell>
          <cell r="L166" t="str">
            <v>BID</v>
          </cell>
          <cell r="M166" t="str">
            <v>0074</v>
          </cell>
          <cell r="N166" t="str">
            <v>RH</v>
          </cell>
          <cell r="O166" t="str">
            <v>robertiagus.haposan@alamtri.com</v>
          </cell>
          <cell r="P166">
            <v>10000</v>
          </cell>
          <cell r="Q166">
            <v>160000000</v>
          </cell>
          <cell r="R166" t="str">
            <v>Completed Sign PO</v>
          </cell>
          <cell r="T166" t="str">
            <v>MSW</v>
          </cell>
          <cell r="U166" t="str">
            <v>ODG Indonesia, PT
Graha Usaha Teknik, PT
Sinergi Indo Pranata, PT
Cipta Wisesa Energi, PT
Borneo Maju Jaya, PT
Powerindo Prima Perkasa, PT
Tunas Karya Aditama, PT
Gridtech Indonesia, PT</v>
          </cell>
          <cell r="V166" t="str">
            <v>Graha Usaha Teknik, PT</v>
          </cell>
          <cell r="W166" t="str">
            <v>8 of 8</v>
          </cell>
          <cell r="X166" t="str">
            <v>1 of 8</v>
          </cell>
          <cell r="Y166">
            <v>45701</v>
          </cell>
          <cell r="Z166">
            <v>45708</v>
          </cell>
          <cell r="AA166" t="str">
            <v>Graha Usaha Teknik, PT
Borneo Maju Jaya, PT
Powerindo Prima Perkasa, PT
Sinergi Indo Pranata, PT
Tunas Karya Aditama, PT
Tri Aldino Sejahtera, PT</v>
          </cell>
          <cell r="AB166" t="str">
            <v>Graha Usaha Teknik, PT</v>
          </cell>
          <cell r="AC166" t="str">
            <v>6 of 6</v>
          </cell>
          <cell r="AD166" t="str">
            <v>1 of 6</v>
          </cell>
          <cell r="AE166">
            <v>45715</v>
          </cell>
          <cell r="AF166">
            <v>45722</v>
          </cell>
          <cell r="AI166" t="str">
            <v xml:space="preserve"> of </v>
          </cell>
          <cell r="AJ166" t="str">
            <v xml:space="preserve"> of </v>
          </cell>
          <cell r="AM166">
            <v>0.70833333333333337</v>
          </cell>
          <cell r="AN166" t="str">
            <v>Graha Usaha Teknik, PT</v>
          </cell>
          <cell r="AO166" t="str">
            <v>zakie@ptgut.co.id</v>
          </cell>
          <cell r="AP166" t="str">
            <v>PO25000296</v>
          </cell>
          <cell r="AQ166">
            <v>170000000</v>
          </cell>
          <cell r="AR166">
            <v>45736</v>
          </cell>
          <cell r="AS166">
            <v>45763</v>
          </cell>
          <cell r="AT166">
            <v>45768</v>
          </cell>
          <cell r="AU166">
            <v>45814</v>
          </cell>
          <cell r="AV166">
            <v>45770</v>
          </cell>
          <cell r="AW166">
            <v>45816</v>
          </cell>
          <cell r="AX166">
            <v>6.5714285714285712</v>
          </cell>
          <cell r="AZ166" t="str">
            <v/>
          </cell>
          <cell r="BA166" t="str">
            <v/>
          </cell>
          <cell r="BB166" t="str">
            <v>Late Completed</v>
          </cell>
          <cell r="BC166" t="str">
            <v>PR100010024</v>
          </cell>
        </row>
        <row r="167">
          <cell r="B167" t="str">
            <v>PR100010059</v>
          </cell>
          <cell r="C167" t="str">
            <v>Tools perawatan Jaringan 20kv OHL  dan FO (holder attachment elektrifikasi 2025)</v>
          </cell>
          <cell r="E167" t="str">
            <v>Berkat Mandiri Utama Tanjung, PT
Perwira Sentra Officindo, PT
Sehati, CV
Anugrah Mandiri Putra Tabalong, PT
Gevana, PT
Radian Fokus Mandiri, CV
Sola Anugerah Oilfield, PT
Berkat Pratama Teknik, CV
Cahaya Murni, CV
Alfa Teknik Mandiri Makmur, PT</v>
          </cell>
          <cell r="F167" t="str">
            <v>Perwira Sentra Officindo, PT
Alfa Teknik Mandiri Makmur, PT</v>
          </cell>
          <cell r="G167" t="str">
            <v>R0
2 of 10
17 Feb 25</v>
          </cell>
          <cell r="H167" t="str">
            <v>GUNARA FERY FAHNANI</v>
          </cell>
          <cell r="I167">
            <v>45698</v>
          </cell>
          <cell r="J167" t="str">
            <v>Tech Main</v>
          </cell>
          <cell r="K167" t="str">
            <v>B</v>
          </cell>
          <cell r="L167" t="str">
            <v>BID</v>
          </cell>
          <cell r="M167" t="str">
            <v>0065</v>
          </cell>
          <cell r="N167" t="str">
            <v>RH</v>
          </cell>
          <cell r="O167" t="str">
            <v>robertiagus.haposan@alamtri.com</v>
          </cell>
          <cell r="P167">
            <v>2365.3615</v>
          </cell>
          <cell r="Q167">
            <v>37845784</v>
          </cell>
          <cell r="R167" t="str">
            <v>Completed Sign PO</v>
          </cell>
          <cell r="T167" t="str">
            <v>MSW</v>
          </cell>
          <cell r="U167" t="str">
            <v>Berkat Mandiri Utama Tanjung, PT
Perwira Sentra Officindo, PT
Sehati, CV
Anugrah Mandiri Putra Tabalong, PT
Gevana, PT
Radian Fokus Mandiri, CV
Sola Anugerah Oilfield, PT
Berkat Pratama Teknik, CV
Cahaya Murni, CV
Alfa Teknik Mandiri Makmur, PT</v>
          </cell>
          <cell r="V167" t="str">
            <v>Perwira Sentra Officindo, PT
Alfa Teknik Mandiri Makmur, PT</v>
          </cell>
          <cell r="W167" t="str">
            <v>10 of 10</v>
          </cell>
          <cell r="X167" t="str">
            <v>2 of 10</v>
          </cell>
          <cell r="Y167">
            <v>45698</v>
          </cell>
          <cell r="Z167">
            <v>45705</v>
          </cell>
          <cell r="AC167" t="str">
            <v xml:space="preserve"> of </v>
          </cell>
          <cell r="AD167" t="str">
            <v xml:space="preserve"> of </v>
          </cell>
          <cell r="AF167" t="str">
            <v/>
          </cell>
          <cell r="AI167" t="str">
            <v xml:space="preserve"> of </v>
          </cell>
          <cell r="AJ167" t="str">
            <v xml:space="preserve"> of </v>
          </cell>
          <cell r="AM167">
            <v>0.70833333333333337</v>
          </cell>
          <cell r="AN167" t="str">
            <v>Gevana, PT</v>
          </cell>
          <cell r="AO167" t="str">
            <v>charlierobiansa7@gmail.com; eviedenny277@gmail.com</v>
          </cell>
          <cell r="AP167" t="str">
            <v>PO25000135</v>
          </cell>
          <cell r="AQ167">
            <v>52193760</v>
          </cell>
          <cell r="AR167">
            <v>45706</v>
          </cell>
          <cell r="AS167">
            <v>45721</v>
          </cell>
          <cell r="AT167">
            <v>45726</v>
          </cell>
          <cell r="AU167">
            <v>45758</v>
          </cell>
          <cell r="AV167">
            <v>45729</v>
          </cell>
          <cell r="AW167">
            <v>45761</v>
          </cell>
          <cell r="AX167">
            <v>4.5714285714285712</v>
          </cell>
          <cell r="AY167">
            <v>45741</v>
          </cell>
          <cell r="AZ167" t="str">
            <v/>
          </cell>
          <cell r="BA167" t="str">
            <v/>
          </cell>
          <cell r="BB167" t="str">
            <v>Completed</v>
          </cell>
          <cell r="BC167" t="str">
            <v>PR100010059</v>
          </cell>
        </row>
        <row r="168">
          <cell r="B168" t="str">
            <v>PR100010053</v>
          </cell>
          <cell r="C168" t="str">
            <v>Temperature Handheld Probe VIB 8608 for Vibxpert II</v>
          </cell>
          <cell r="E168" t="str">
            <v>Pruftechnik Condition Monitoring Indonesia, PT
Indocahaya Wira Nusantara, PT
Putranata Adi Mandiri, PT
Gama Tritunggal Pratama, PT
Vhipa Mulia Pratama, PT
Antares Jaya Gemilang Prima, PT
Gema Industrial, PT
Kin Kitra Kencana, PT</v>
          </cell>
          <cell r="F168" t="str">
            <v>Pruftechnik Condition Monitoring Indonesia, PT</v>
          </cell>
          <cell r="G168" t="str">
            <v>R0
1 of 8
17 Feb 25</v>
          </cell>
          <cell r="H168" t="str">
            <v>SASTRA IRAWAN</v>
          </cell>
          <cell r="I168">
            <v>45698</v>
          </cell>
          <cell r="J168" t="str">
            <v>Tech Main</v>
          </cell>
          <cell r="K168" t="str">
            <v>B</v>
          </cell>
          <cell r="L168" t="str">
            <v>BID</v>
          </cell>
          <cell r="M168" t="str">
            <v>0066</v>
          </cell>
          <cell r="N168" t="str">
            <v>RH</v>
          </cell>
          <cell r="O168" t="str">
            <v>robertiagus.haposan@alamtri.com</v>
          </cell>
          <cell r="P168">
            <v>4669.1189999999997</v>
          </cell>
          <cell r="Q168">
            <v>74705904</v>
          </cell>
          <cell r="R168" t="str">
            <v>Completed Sign PO</v>
          </cell>
          <cell r="T168" t="str">
            <v>MSW</v>
          </cell>
          <cell r="U168" t="str">
            <v>Pruftechnik Condition Monitoring Indonesia, PT
Indocahaya Wira Nusantara, PT
Putranata Adi Mandiri, PT
Gama Tritunggal Pratama, PT
Vhipa Mulia Pratama, PT
Antares Jaya Gemilang Prima, PT
Gema Industrial, PT
Kin Kitra Kencana, PT</v>
          </cell>
          <cell r="V168" t="str">
            <v>Pruftechnik Condition Monitoring Indonesia, PT</v>
          </cell>
          <cell r="W168" t="str">
            <v>8 of 8</v>
          </cell>
          <cell r="X168" t="str">
            <v>1 of 8</v>
          </cell>
          <cell r="Y168">
            <v>45698</v>
          </cell>
          <cell r="Z168">
            <v>45705</v>
          </cell>
          <cell r="AC168" t="str">
            <v xml:space="preserve"> of </v>
          </cell>
          <cell r="AD168" t="str">
            <v xml:space="preserve"> of </v>
          </cell>
          <cell r="AF168" t="str">
            <v/>
          </cell>
          <cell r="AI168" t="str">
            <v xml:space="preserve"> of </v>
          </cell>
          <cell r="AJ168" t="str">
            <v xml:space="preserve"> of </v>
          </cell>
          <cell r="AM168">
            <v>0.70833333333333337</v>
          </cell>
          <cell r="AN168" t="str">
            <v>Pruftechnik Condition, PT</v>
          </cell>
          <cell r="AO168" t="str">
            <v>cesilia.batsyua@fluke.com</v>
          </cell>
          <cell r="AP168" t="str">
            <v>PO25000134</v>
          </cell>
          <cell r="AQ168">
            <v>39468353</v>
          </cell>
          <cell r="AR168">
            <v>45715</v>
          </cell>
          <cell r="AS168">
            <v>45723</v>
          </cell>
          <cell r="AT168">
            <v>45726</v>
          </cell>
          <cell r="AU168">
            <v>45786</v>
          </cell>
          <cell r="AV168">
            <v>45729</v>
          </cell>
          <cell r="AW168">
            <v>45789</v>
          </cell>
          <cell r="AX168">
            <v>8.5714285714285712</v>
          </cell>
          <cell r="AY168">
            <v>45776</v>
          </cell>
          <cell r="AZ168" t="str">
            <v/>
          </cell>
          <cell r="BA168" t="str">
            <v/>
          </cell>
          <cell r="BB168" t="str">
            <v>Completed</v>
          </cell>
          <cell r="BC168" t="str">
            <v>PR100010053</v>
          </cell>
        </row>
        <row r="169">
          <cell r="B169" t="str">
            <v>PR100009976 (Line 1-2)</v>
          </cell>
          <cell r="C169" t="str">
            <v>Sparepart Actuator Control Valve</v>
          </cell>
          <cell r="E169" t="str">
            <v>Arita Prima Indonesia Tbk, PT
Indo Tehnik Tanjung Tabalong, PT
Agung Perkasa Sejahtera, PT
Wahana Mitra Sukses, PT
Solutec Daya Mandiri, PT
Lienetic Jaya, PT
Andalan Tiga Berlian, PT
Artam Borneo Automatika, PT
Adijaya Mitra Perkasa, PT
Gevana, PT
KSB Sales Indonesia, PT
Nusafluid Solusi Utama, PT
Putranata Adi Mandiri, PT
Gema Industrial, PT
Berkah Fikri Pratama, PT</v>
          </cell>
          <cell r="F169" t="str">
            <v>Artam Borneo Automatika, PT
Gevana, PT
Nusafluid Solusi Utama, PT</v>
          </cell>
          <cell r="G169" t="str">
            <v>R2
3 of 15
07 Mar 25</v>
          </cell>
          <cell r="H169" t="str">
            <v>DEDE SUDARJI</v>
          </cell>
          <cell r="I169">
            <v>45678</v>
          </cell>
          <cell r="J169" t="str">
            <v>Tech Main</v>
          </cell>
          <cell r="K169" t="str">
            <v>B</v>
          </cell>
          <cell r="L169" t="str">
            <v>BID</v>
          </cell>
          <cell r="M169" t="str">
            <v>0038</v>
          </cell>
          <cell r="N169" t="str">
            <v>RH</v>
          </cell>
          <cell r="O169" t="str">
            <v>robertiagus.haposan@alamtri.com</v>
          </cell>
          <cell r="P169">
            <v>7934.2597000000005</v>
          </cell>
          <cell r="Q169">
            <v>126948155.2</v>
          </cell>
          <cell r="R169" t="str">
            <v>Completed Sign PO</v>
          </cell>
          <cell r="T169" t="str">
            <v>MSW</v>
          </cell>
          <cell r="U169" t="str">
            <v>Putranata Adi Mandiri, PT
Outsourcindo, PT
Kin Kitra Kencana, PT
Putera Instrumenindo, PT
Casa Terra Mandiri Indonesia, PT
Artam Borneo Automatika, PT
Total Solusi Instrument, PT
Petrocom Nusa Synergy, PT
Festo, PT
Arita Prima Indonesia Tbk, PT
Sahabat Energi Persada, PT</v>
          </cell>
          <cell r="V169" t="str">
            <v>Kin Kitra Kencana, PT
Casa Terra Mandiri Indonesia, PT
Artam Borneo Automatika, PT
Petrocom Nusa Synergy, PT</v>
          </cell>
          <cell r="W169" t="str">
            <v>11 of 11</v>
          </cell>
          <cell r="X169" t="str">
            <v>4 of 11</v>
          </cell>
          <cell r="Y169">
            <v>45679</v>
          </cell>
          <cell r="Z169">
            <v>45692</v>
          </cell>
          <cell r="AA169" t="str">
            <v>Artam Borneo Automatika, PT
Alfa Teknik Mandiri Makmur, PT
Dwijaya Sentral Sarana, PT
Antares Jaya Gemilang Prima, PT
Gema Industrial, PT
Andalan Tiga Berlian, PT
KSB Sales Indonesia, PT
Mitra Wira Pratama, PT
Lamindo Prima Mandiri, PT
Cakra Instrumindo Utama, PT
Axel Jaya Cakraniaga, PT</v>
          </cell>
          <cell r="AB169" t="str">
            <v>Artam Borneo Automatika, PT</v>
          </cell>
          <cell r="AC169" t="str">
            <v>11 of 11</v>
          </cell>
          <cell r="AD169" t="str">
            <v>1 of 11</v>
          </cell>
          <cell r="AE169">
            <v>45701</v>
          </cell>
          <cell r="AF169">
            <v>45708</v>
          </cell>
          <cell r="AG169" t="str">
            <v>Arita Prima Indonesia Tbk, PT
Indo Tehnik Tanjung Tabalong, PT
Agung Perkasa Sejahtera, PT
Wahana Mitra Sukses, PT
Solutec Daya Mandiri, PT
Lienetic Jaya, PT
Andalan Tiga Berlian, PT
Artam Borneo Automatika, PT
Adijaya Mitra Perkasa, PT
Gevana, PT
KSB Sales Indonesia, PT
Nusafluid Solusi Utama, PT
Putranata Adi Mandiri, PT
Gema Industrial, PT
Berkah Fikri Pratama, PT</v>
          </cell>
          <cell r="AH169" t="str">
            <v>Artam Borneo Automatika, PT
Gevana, PT
Nusafluid Solusi Utama, PT</v>
          </cell>
          <cell r="AI169" t="str">
            <v>15 of 15</v>
          </cell>
          <cell r="AJ169" t="str">
            <v>3 of 15</v>
          </cell>
          <cell r="AK169">
            <v>45716</v>
          </cell>
          <cell r="AL169">
            <v>45723</v>
          </cell>
          <cell r="AM169">
            <v>0.70833333333333337</v>
          </cell>
          <cell r="AN169" t="str">
            <v>Artam Borneo Automatika, PT</v>
          </cell>
          <cell r="AO169" t="str">
            <v>sales@artam.co.id; arie@artam.co.id; inquiry@artam.co.id; artamborneo@gmail.com; alfian.hambali@artam.co.id; sales.bpn@artam.co.id</v>
          </cell>
          <cell r="AP169" t="str">
            <v>PO25000210</v>
          </cell>
          <cell r="AQ169">
            <v>69655500</v>
          </cell>
          <cell r="AR169">
            <v>45726</v>
          </cell>
          <cell r="AS169">
            <v>45737</v>
          </cell>
          <cell r="AT169">
            <v>45743</v>
          </cell>
          <cell r="AU169">
            <v>45947</v>
          </cell>
          <cell r="AV169">
            <v>45755</v>
          </cell>
          <cell r="AW169">
            <v>45959</v>
          </cell>
          <cell r="AX169">
            <v>29.142857142857142</v>
          </cell>
          <cell r="AY169">
            <v>45827</v>
          </cell>
          <cell r="AZ169" t="str">
            <v/>
          </cell>
          <cell r="BA169" t="str">
            <v/>
          </cell>
          <cell r="BB169" t="str">
            <v>Late Completed</v>
          </cell>
          <cell r="BC169" t="str">
            <v>PR100009976</v>
          </cell>
        </row>
        <row r="170">
          <cell r="B170" t="str">
            <v>PR100010068 (Line 1, 3-6)</v>
          </cell>
          <cell r="C170" t="str">
            <v>Unit 1 &amp; Unit 2, Pembelian Material untuk Limestone system</v>
          </cell>
          <cell r="E170" t="str">
            <v>Arita Prima Indonesia Tbk, PT
Sola Anugerah Oilfield, PT
Golden Pratama Engineering, PT
Lienetic Jaya, PT
Alfa Teknik Mandiri Makmur, PT
Dwijaya Sentral Sarana, PT
Wahana Mitra Sukses, PT</v>
          </cell>
          <cell r="F170" t="str">
            <v>Arita Prima Indonesia Tbk, PT
Sola Anugerah Oilfield, PT
Golden Pratama Engineering, PT
Lienetic Jaya, PT
Alfa Teknik Mandiri Makmur, PT
Dwijaya Sentral Sarana, PT</v>
          </cell>
          <cell r="G170" t="str">
            <v>R1
6 of 7
04 Mar 25</v>
          </cell>
          <cell r="H170" t="str">
            <v>RIZKY AGUSTINA</v>
          </cell>
          <cell r="I170">
            <v>45699</v>
          </cell>
          <cell r="J170" t="str">
            <v>Tech Main</v>
          </cell>
          <cell r="K170" t="str">
            <v>B</v>
          </cell>
          <cell r="L170" t="str">
            <v>BID</v>
          </cell>
          <cell r="M170" t="str">
            <v>0075</v>
          </cell>
          <cell r="N170" t="str">
            <v>RH</v>
          </cell>
          <cell r="O170" t="str">
            <v>robertiagus.haposan@alamtri.com</v>
          </cell>
          <cell r="P170">
            <v>10624.288</v>
          </cell>
          <cell r="Q170">
            <v>169988608</v>
          </cell>
          <cell r="R170" t="str">
            <v>Completed Sign PO</v>
          </cell>
          <cell r="T170" t="str">
            <v>MSW</v>
          </cell>
          <cell r="U170" t="str">
            <v>Alfa Teknik Mandiri Makmur, PT
Arita Prima Indonesia Tbk, PT
Golden Pratama Engineering, PT
KSB Sales Indonesia, PT
Andalan Tiga Berlian, PT
Adijaya Mitra Perkasa, PT
Sarana Prima Lestari, CV
Petrocom Nusa Synergy, PT
Indo Tehnik Tanjung Tabalong, PT
Sola Anugerah Oilfield, PT
Trimitra Wahana Sukses, PT
Afghan Jaya Abadi, PT
Maju Langgeng Mandiri, PT
Mitra Wira Pratama, PT
Sinar Mas Sakti, PT</v>
          </cell>
          <cell r="V170" t="str">
            <v>Arita Prima Indonesia Tbk, PT
Sola Anugerah Oilfield, PT</v>
          </cell>
          <cell r="W170" t="str">
            <v>15 of 15</v>
          </cell>
          <cell r="X170" t="str">
            <v>2 of 15</v>
          </cell>
          <cell r="Y170">
            <v>45702</v>
          </cell>
          <cell r="Z170">
            <v>45709</v>
          </cell>
          <cell r="AA170" t="str">
            <v>Arita Prima Indonesia Tbk, PT
Sola Anugerah Oilfield, PT
Golden Pratama Engineering, PT
Lienetic Jaya, PT
Alfa Teknik Mandiri Makmur, PT
Dwijaya Sentral Sarana, PT
Wahana Mitra Sukses, PT</v>
          </cell>
          <cell r="AB170" t="str">
            <v>Arita Prima Indonesia Tbk, PT
Sola Anugerah Oilfield, PT
Golden Pratama Engineering, PT
Lienetic Jaya, PT
Alfa Teknik Mandiri Makmur, PT
Dwijaya Sentral Sarana, PT</v>
          </cell>
          <cell r="AC170" t="str">
            <v>7 of 7</v>
          </cell>
          <cell r="AD170" t="str">
            <v>6 of 7</v>
          </cell>
          <cell r="AE170">
            <v>45713</v>
          </cell>
          <cell r="AF170">
            <v>45720</v>
          </cell>
          <cell r="AI170" t="str">
            <v xml:space="preserve"> of </v>
          </cell>
          <cell r="AJ170" t="str">
            <v xml:space="preserve"> of </v>
          </cell>
          <cell r="AL170" t="str">
            <v/>
          </cell>
          <cell r="AM170">
            <v>0.70833333333333337</v>
          </cell>
          <cell r="AN170" t="str">
            <v>Sola Anugerah Oilfield, PT</v>
          </cell>
          <cell r="AO170" t="str">
            <v>mgr3@sola-oilfield.com;
sales3@sola-oilfield.com; admsolaanugerah@gmail.com; sales6@sola-oilfield.com</v>
          </cell>
          <cell r="AP170" t="str">
            <v>PO25000211</v>
          </cell>
          <cell r="AQ170">
            <v>12480000</v>
          </cell>
          <cell r="AR170">
            <v>45729</v>
          </cell>
          <cell r="AS170">
            <v>45735</v>
          </cell>
          <cell r="AT170">
            <v>45743</v>
          </cell>
          <cell r="AU170">
            <v>45793</v>
          </cell>
          <cell r="AV170">
            <v>45744</v>
          </cell>
          <cell r="AW170">
            <v>45794</v>
          </cell>
          <cell r="AX170">
            <v>7.1428571428571432</v>
          </cell>
          <cell r="AY170">
            <v>45771</v>
          </cell>
          <cell r="AZ170" t="str">
            <v/>
          </cell>
          <cell r="BA170" t="str">
            <v/>
          </cell>
          <cell r="BB170" t="str">
            <v>Late Completed</v>
          </cell>
          <cell r="BC170" t="str">
            <v>PR100010068</v>
          </cell>
        </row>
        <row r="171">
          <cell r="B171" t="str">
            <v>PR100010062</v>
          </cell>
          <cell r="C171" t="str">
            <v>Analisa Senyawa Mercury (Hg) Dalam Coal</v>
          </cell>
          <cell r="E171" t="str">
            <v>Tribhakti Inspektama, PT
Carsurin, PT
Bureau Veritas Indonesia, PT
SGS Indonesia, PT</v>
          </cell>
          <cell r="F171" t="str">
            <v>Tribhakti Inspektama, PT
Carsurin, PT
Bureau Veritas Indonesia, PT
SGS Indonesia, PT</v>
          </cell>
          <cell r="G171" t="str">
            <v>R2
4 of 4
18 Mar 25</v>
          </cell>
          <cell r="H171" t="str">
            <v>ARIES KURNIAWAN</v>
          </cell>
          <cell r="I171">
            <v>45701</v>
          </cell>
          <cell r="J171" t="str">
            <v>Tech Op</v>
          </cell>
          <cell r="K171" t="str">
            <v>J</v>
          </cell>
          <cell r="L171" t="str">
            <v>BID</v>
          </cell>
          <cell r="M171" t="str">
            <v>0076</v>
          </cell>
          <cell r="N171" t="str">
            <v>RH</v>
          </cell>
          <cell r="O171" t="str">
            <v>robertiagus.haposan@alamtri.com</v>
          </cell>
          <cell r="P171">
            <v>350</v>
          </cell>
          <cell r="Q171">
            <v>5600000</v>
          </cell>
          <cell r="R171" t="str">
            <v>Completed Sign PO</v>
          </cell>
          <cell r="T171" t="str">
            <v>MSW</v>
          </cell>
          <cell r="U171" t="str">
            <v>Carsurin, PT
ALS Indonesia, PT
Tribhakti Inspektama, PT
Sucofindo, PT
Jasa Mutu Mineral Indonesia, PT
Surveyor Indonesia, PT</v>
          </cell>
          <cell r="V171" t="str">
            <v>Tribhakti Inspektama, PT
Carsurin, PT
Bureau Veritas Indonesia, PT
SGS Indonesia, PT</v>
          </cell>
          <cell r="W171" t="str">
            <v>6 of 6</v>
          </cell>
          <cell r="X171" t="str">
            <v>4 of 6</v>
          </cell>
          <cell r="Z171" t="str">
            <v/>
          </cell>
          <cell r="AA171" t="str">
            <v>Carsurin, PT
ALS Indonesia, PT
Tribhakti Inspektama, PT
Sucofindo, PT
Jasa Mutu Mineral Indonesia, PT
Surveyor Indonesia, PT</v>
          </cell>
          <cell r="AC171" t="str">
            <v>6 of 6</v>
          </cell>
          <cell r="AD171" t="str">
            <v xml:space="preserve"> of 6</v>
          </cell>
          <cell r="AF171" t="str">
            <v/>
          </cell>
          <cell r="AG171" t="str">
            <v>Tribhakti Inspektama, PT
Carsurin, PT
Bureau Veritas Indonesia, PT
SGS Indonesia, PT</v>
          </cell>
          <cell r="AH171" t="str">
            <v>Tribhakti Inspektama, PT
Carsurin, PT
Bureau Veritas Indonesia, PT
SGS Indonesia, PT</v>
          </cell>
          <cell r="AI171" t="str">
            <v>4 of 4</v>
          </cell>
          <cell r="AJ171" t="str">
            <v>4 of 4</v>
          </cell>
          <cell r="AK171">
            <v>45727</v>
          </cell>
          <cell r="AL171">
            <v>45734</v>
          </cell>
          <cell r="AM171">
            <v>0.70833333333333337</v>
          </cell>
          <cell r="AN171" t="str">
            <v>Carsurin, PT</v>
          </cell>
          <cell r="AO171" t="str">
            <v>sales.coal12@carsurin.com; info@carsurin.com; kastalani@carsurin.com; irwin.pardosi@carsurin.com; horegional1@carsurin.com</v>
          </cell>
          <cell r="AP171" t="str">
            <v>PO25000233</v>
          </cell>
          <cell r="AQ171">
            <v>743000</v>
          </cell>
          <cell r="AR171">
            <v>45736</v>
          </cell>
          <cell r="AS171">
            <v>45743</v>
          </cell>
          <cell r="AT171">
            <v>45744</v>
          </cell>
          <cell r="AU171">
            <v>45765</v>
          </cell>
          <cell r="AV171">
            <v>45756</v>
          </cell>
          <cell r="AW171">
            <v>45777</v>
          </cell>
          <cell r="AX171">
            <v>3</v>
          </cell>
          <cell r="AY171">
            <v>45800</v>
          </cell>
          <cell r="AZ171">
            <v>23</v>
          </cell>
          <cell r="BA171">
            <v>22290</v>
          </cell>
          <cell r="BB171" t="str">
            <v>Late Completed</v>
          </cell>
          <cell r="BC171" t="str">
            <v>PR100010062</v>
          </cell>
        </row>
        <row r="172">
          <cell r="B172" t="str">
            <v>PR100009961 (Line 7 -13)</v>
          </cell>
          <cell r="C172" t="str">
            <v>Sparepart Bearing Motor</v>
          </cell>
          <cell r="E172" t="str">
            <v>Banjar Bearing Sentosa, PT
Perwira Sentra Officindo, PT
SLS Bearindo, PT
Outsourcindo, PT
Sehati, CV
Kogelahar Borneo, PT
Fortuna Anekamulti Gemilang, PT
Alfa Teknik Mandiri Makmur, PT</v>
          </cell>
          <cell r="F172" t="str">
            <v>SLS Bearindo, PT
Kogelahar Borneo, PT
Fortuna Anekamulti Gemilang, PT</v>
          </cell>
          <cell r="G172" t="str">
            <v>R1
3 of 8
24 Feb 25</v>
          </cell>
          <cell r="H172" t="str">
            <v>DEDE SUDARJI</v>
          </cell>
          <cell r="I172">
            <v>45677</v>
          </cell>
          <cell r="J172" t="str">
            <v>Tech Main</v>
          </cell>
          <cell r="K172" t="str">
            <v>B</v>
          </cell>
          <cell r="L172" t="str">
            <v>BID</v>
          </cell>
          <cell r="M172" t="str">
            <v>0040</v>
          </cell>
          <cell r="N172" t="str">
            <v>RH</v>
          </cell>
          <cell r="O172" t="str">
            <v>robertiagus.haposan@alamtri.com</v>
          </cell>
          <cell r="P172">
            <v>644.9072000000001</v>
          </cell>
          <cell r="Q172">
            <v>10318515.200000001</v>
          </cell>
          <cell r="R172" t="str">
            <v>Completed Sign PO</v>
          </cell>
          <cell r="T172" t="str">
            <v>MSW</v>
          </cell>
          <cell r="U172" t="str">
            <v>Perwira Sentra Officindo, PT
SLS Bearindo, PT
Banjar Bearing Sentosa, PT
Alfa Teknik Mandiri Makmur, PT
Satu Aneka Bering, PT
Fortuna Anekamulti Gemilang, PT
Anugerah Jaya Bearing
Kogelahar Borneo, PT
Garuda Bearindo Makmur, PT
Inti Bearingindo Logamsari, PT</v>
          </cell>
          <cell r="V172" t="str">
            <v>SLS Bearindo, PT
Banjar Bearing Sentosa, PT
Alfa Teknik Mandiri Makmur, PT
Fortuna Anekamulti Gemilang, PT
Kogelahar Borneo, PT</v>
          </cell>
          <cell r="W172" t="str">
            <v>10 of 10</v>
          </cell>
          <cell r="X172" t="str">
            <v>5 of 10</v>
          </cell>
          <cell r="Y172">
            <v>45679</v>
          </cell>
          <cell r="Z172">
            <v>45692</v>
          </cell>
          <cell r="AA172" t="str">
            <v>Banjar Bearing Sentosa, PT
Perwira Sentra Officindo, PT
SLS Bearindo, PT
Outsourcindo, PT
Sehati, CV
Kogelahar Borneo, PT
Fortuna Anekamulti Gemilang, PT
Alfa Teknik Mandiri Makmur, PT</v>
          </cell>
          <cell r="AB172" t="str">
            <v>SLS Bearindo, PT
Kogelahar Borneo, PT
Fortuna Anekamulti Gemilang, PT</v>
          </cell>
          <cell r="AC172" t="str">
            <v>8 of 8</v>
          </cell>
          <cell r="AD172" t="str">
            <v>3 of 8</v>
          </cell>
          <cell r="AE172">
            <v>45705</v>
          </cell>
          <cell r="AF172">
            <v>45712</v>
          </cell>
          <cell r="AI172" t="str">
            <v xml:space="preserve"> of </v>
          </cell>
          <cell r="AJ172" t="str">
            <v xml:space="preserve"> of </v>
          </cell>
          <cell r="AL172" t="str">
            <v/>
          </cell>
          <cell r="AM172">
            <v>0.70833333333333337</v>
          </cell>
          <cell r="AN172" t="str">
            <v>Kogelahar Borneo, PT</v>
          </cell>
          <cell r="AO172" t="str">
            <v>alika@kogelaharborneo.com; heriana@kogelaharborneo.com</v>
          </cell>
          <cell r="AP172" t="str">
            <v>PO25000183R1</v>
          </cell>
          <cell r="AQ172">
            <v>12186000</v>
          </cell>
          <cell r="AR172">
            <v>45715</v>
          </cell>
          <cell r="AS172">
            <v>45726</v>
          </cell>
          <cell r="AT172">
            <v>45764</v>
          </cell>
          <cell r="AU172">
            <v>45889</v>
          </cell>
          <cell r="AV172">
            <v>45768</v>
          </cell>
          <cell r="AW172">
            <v>45893</v>
          </cell>
          <cell r="AX172">
            <v>17.857142857142858</v>
          </cell>
          <cell r="AY172">
            <v>45842</v>
          </cell>
          <cell r="AZ172" t="str">
            <v/>
          </cell>
          <cell r="BA172" t="str">
            <v/>
          </cell>
          <cell r="BB172" t="str">
            <v>Late Completed</v>
          </cell>
          <cell r="BC172" t="str">
            <v>PR100009961</v>
          </cell>
        </row>
        <row r="173">
          <cell r="B173" t="str">
            <v>PR100010064</v>
          </cell>
          <cell r="C173" t="str">
            <v>Spare part motor rotary feeder Boiler</v>
          </cell>
          <cell r="E173" t="str">
            <v>Lienetic Jaya, PT
Putera Instrumenindo, PT
Kin Kitra Kencana, PT
Petrocom Nusa Synergy, PT
Surya Mega Teknik
Multi Mas, CV
Outsourcindo, PT
Alfa Teknik Mandiri Makmur, PT
Buana Cahayatama, PT
Gevana, PT
Alva Prima Sew, PT
Gema Industrial, PT</v>
          </cell>
          <cell r="F173" t="str">
            <v>Kin Kitra Kencana, PT
Multi Mas, CV
Gevana, PT</v>
          </cell>
          <cell r="G173" t="str">
            <v>R0
3 of 12
25 Feb 25</v>
          </cell>
          <cell r="H173" t="str">
            <v>DEDE SUDARJI</v>
          </cell>
          <cell r="I173">
            <v>45705</v>
          </cell>
          <cell r="J173" t="str">
            <v>Tech Main</v>
          </cell>
          <cell r="K173" t="str">
            <v>B</v>
          </cell>
          <cell r="L173" t="str">
            <v>BID</v>
          </cell>
          <cell r="M173" t="str">
            <v>0083</v>
          </cell>
          <cell r="N173" t="str">
            <v>RH</v>
          </cell>
          <cell r="O173" t="str">
            <v>robertiagus.haposan@alamtri.com</v>
          </cell>
          <cell r="P173">
            <v>2579</v>
          </cell>
          <cell r="Q173">
            <v>41264000</v>
          </cell>
          <cell r="R173" t="str">
            <v>Completed Sign PO</v>
          </cell>
          <cell r="T173" t="str">
            <v>MSW</v>
          </cell>
          <cell r="U173" t="str">
            <v>Lienetic Jaya, PT
Putera Instrumenindo, PT
Kin Kitra Kencana, PT
Petrocom Nusa Synergy, PT
Surya Mega Teknik
Multi Mas, CV
Outsourcindo, PT
Alfa Teknik Mandiri Makmur, PT
Buana Cahayatama, PT
Gevana, PT
Alva Prima Sew, PT
Gema Industrial, PT</v>
          </cell>
          <cell r="V173" t="str">
            <v>Kin Kitra Kencana, PT
Multi Mas, CV
Gevana, PT</v>
          </cell>
          <cell r="W173" t="str">
            <v>12 of 12</v>
          </cell>
          <cell r="X173" t="str">
            <v>3 of 12</v>
          </cell>
          <cell r="Y173">
            <v>45706</v>
          </cell>
          <cell r="Z173">
            <v>45713</v>
          </cell>
          <cell r="AC173" t="str">
            <v xml:space="preserve"> of </v>
          </cell>
          <cell r="AD173" t="str">
            <v xml:space="preserve"> of </v>
          </cell>
          <cell r="AF173" t="str">
            <v/>
          </cell>
          <cell r="AI173" t="str">
            <v xml:space="preserve"> of </v>
          </cell>
          <cell r="AJ173" t="str">
            <v xml:space="preserve"> of </v>
          </cell>
          <cell r="AL173" t="str">
            <v/>
          </cell>
          <cell r="AM173">
            <v>0.70833333333333337</v>
          </cell>
          <cell r="AN173" t="str">
            <v>Multi Mas, CV</v>
          </cell>
          <cell r="AO173" t="str">
            <v>sianhwa@sby.centrin.net.id</v>
          </cell>
          <cell r="AP173" t="str">
            <v>PO25000219</v>
          </cell>
          <cell r="AQ173">
            <v>43860000</v>
          </cell>
          <cell r="AR173">
            <v>45719</v>
          </cell>
          <cell r="AS173">
            <v>45734</v>
          </cell>
          <cell r="AT173">
            <v>45743</v>
          </cell>
          <cell r="AU173">
            <v>45884</v>
          </cell>
          <cell r="AV173">
            <v>45744</v>
          </cell>
          <cell r="AW173">
            <v>45885</v>
          </cell>
          <cell r="AX173">
            <v>20.142857142857142</v>
          </cell>
          <cell r="AY173">
            <v>45848</v>
          </cell>
          <cell r="AZ173" t="str">
            <v/>
          </cell>
          <cell r="BA173" t="str">
            <v/>
          </cell>
          <cell r="BB173" t="str">
            <v>Late Completed</v>
          </cell>
          <cell r="BC173" t="str">
            <v>PR100010064</v>
          </cell>
        </row>
        <row r="174">
          <cell r="B174" t="str">
            <v>PR100009926 (line 2-3)</v>
          </cell>
          <cell r="C174" t="str">
            <v>Sparepart Air Compressor for WO10727792</v>
          </cell>
          <cell r="E174" t="str">
            <v>Bem-Vindo Jaya, PT
Starvi Nusa Gemilang, PT
Putra Andalan Perkasa, PT
Sakata Prima Teknika, PT
SAMN Satya Wijaya, PT
Trimitra Wisesa Abadi, PT
Pacific Tractor Indonesia, PT
Atlas Copco Indonesia, PT
Petrocom Nusa Synergy, PT</v>
          </cell>
          <cell r="F174" t="str">
            <v>Bem-Vindo Jaya, PT
Starvi Nusa Gemilang, PT
Trimitra Wisesa Abadi, PT
Atlas Copco Indonesia, PT
Petrocom Nusa Synergy, PT</v>
          </cell>
          <cell r="G174" t="str">
            <v>R0
5 of 9
27 Jan 25</v>
          </cell>
          <cell r="H174" t="str">
            <v>DEDE SUDARJI</v>
          </cell>
          <cell r="I174">
            <v>45677</v>
          </cell>
          <cell r="J174" t="str">
            <v>Tech Main</v>
          </cell>
          <cell r="K174" t="str">
            <v>B</v>
          </cell>
          <cell r="L174" t="str">
            <v>BID</v>
          </cell>
          <cell r="M174" t="str">
            <v>0022</v>
          </cell>
          <cell r="N174" t="str">
            <v>RH</v>
          </cell>
          <cell r="O174" t="str">
            <v>robertiagus.haposan@alamtri.com</v>
          </cell>
          <cell r="P174">
            <v>1497.6578</v>
          </cell>
          <cell r="Q174">
            <v>23962524.800000001</v>
          </cell>
          <cell r="R174" t="str">
            <v>Completed Sign PO</v>
          </cell>
          <cell r="T174" t="str">
            <v>MSW</v>
          </cell>
          <cell r="U174" t="str">
            <v>Bem-Vindo Jaya, PT
Starvi Nusa Gemilang, PT
Putra Andalan Perkasa, PT
Sakata Prima Teknika, PT
SAMN Satya Wijaya, PT
Trimitra Wisesa Abadi, PT
Pacific Tractor Indonesia, PT
Atlas Copco Indonesia, PT
Petrocom Nusa Synergy, PT</v>
          </cell>
          <cell r="V174" t="str">
            <v>Bem-Vindo Jaya, PT
Starvi Nusa Gemilang, PT
Trimitra Wisesa Abadi, PT
Atlas Copco Indonesia, PT
Petrocom Nusa Synergy, PT</v>
          </cell>
          <cell r="W174" t="str">
            <v>9 of 9</v>
          </cell>
          <cell r="X174" t="str">
            <v>5 of 9</v>
          </cell>
          <cell r="Y174">
            <v>45677</v>
          </cell>
          <cell r="Z174">
            <v>45684</v>
          </cell>
          <cell r="AC174" t="str">
            <v xml:space="preserve"> of </v>
          </cell>
          <cell r="AD174" t="str">
            <v xml:space="preserve"> of </v>
          </cell>
          <cell r="AF174" t="str">
            <v/>
          </cell>
          <cell r="AI174" t="str">
            <v xml:space="preserve"> of </v>
          </cell>
          <cell r="AJ174" t="str">
            <v xml:space="preserve"> of </v>
          </cell>
          <cell r="AL174" t="str">
            <v/>
          </cell>
          <cell r="AM174">
            <v>0.70833333333333337</v>
          </cell>
          <cell r="AN174" t="str">
            <v>Pacific Tractor Indonesia, PT</v>
          </cell>
          <cell r="AO174" t="str">
            <v>tati@pacifictractors.com</v>
          </cell>
          <cell r="AP174" t="str">
            <v>PO25000106</v>
          </cell>
          <cell r="AQ174">
            <v>22500000</v>
          </cell>
          <cell r="AR174">
            <v>45693</v>
          </cell>
          <cell r="AS174">
            <v>45714</v>
          </cell>
          <cell r="AT174">
            <v>45719</v>
          </cell>
          <cell r="AU174">
            <v>45786</v>
          </cell>
          <cell r="AV174">
            <v>45726</v>
          </cell>
          <cell r="AW174">
            <v>45793</v>
          </cell>
          <cell r="AX174">
            <v>9.5714285714285712</v>
          </cell>
          <cell r="AY174">
            <v>45797</v>
          </cell>
          <cell r="AZ174">
            <v>4</v>
          </cell>
          <cell r="BA174">
            <v>90000</v>
          </cell>
          <cell r="BB174" t="str">
            <v>Late Completed</v>
          </cell>
          <cell r="BC174" t="str">
            <v>PR100009926</v>
          </cell>
        </row>
        <row r="175">
          <cell r="B175" t="str">
            <v>PR100010104</v>
          </cell>
          <cell r="C175" t="str">
            <v>tool support Elektrifikasi 2025</v>
          </cell>
          <cell r="E175" t="str">
            <v>Asaro Anugerah, PT
Banjar Bearing Sentosa, PT
Alfa Teknik Mandiri Makmur, PT
Sehati, CV
Berkat Pratama Teknik, CV
Indo Tehnik Tanjung Tabalong, PT
Perwira Sentra Officindo, PT
Growrich Indonesia, PT
Petrocom Nusa Synergy, PT
Bhakti Ratutama Jaya, PT</v>
          </cell>
          <cell r="F175" t="str">
            <v>Sehati, CV
Berkat Pratama Teknik, CV
Indo Tehnik Tanjung Tabalong, PT
Perwira Sentra Officindo, PT</v>
          </cell>
          <cell r="G175" t="str">
            <v>R0
4 of 10
03 Mar 25</v>
          </cell>
          <cell r="H175" t="str">
            <v>GUNARA FERY FAHNANI</v>
          </cell>
          <cell r="I175">
            <v>45708</v>
          </cell>
          <cell r="J175" t="str">
            <v>Tech Main</v>
          </cell>
          <cell r="K175" t="str">
            <v>B</v>
          </cell>
          <cell r="L175" t="str">
            <v>BID</v>
          </cell>
          <cell r="M175" t="str">
            <v>0088</v>
          </cell>
          <cell r="N175" t="str">
            <v>RH</v>
          </cell>
          <cell r="O175" t="str">
            <v>robertiagus.haposan@alamtri.com</v>
          </cell>
          <cell r="P175">
            <v>3110.8359999999998</v>
          </cell>
          <cell r="Q175">
            <v>49773376</v>
          </cell>
          <cell r="R175" t="str">
            <v>Completed Sign PO</v>
          </cell>
          <cell r="T175" t="str">
            <v>MSW</v>
          </cell>
          <cell r="U175" t="str">
            <v>Asaro Anugerah, PT
Banjar Bearing Sentosa, PT
Alfa Teknik Mandiri Makmur, PT
Sehati, CV
Berkat Pratama Teknik, CV
Indo Tehnik Tanjung Tabalong, PT
Perwira Sentra Officindo, PT
Growrich Indonesia, PT
Petrocom Nusa Synergy, PT
Bhakti Ratutama Jaya, PT</v>
          </cell>
          <cell r="V175" t="str">
            <v>Sehati, CV
Berkat Pratama Teknik, CV
Indo Tehnik Tanjung Tabalong, PT
Perwira Sentra Officindo, PT</v>
          </cell>
          <cell r="W175" t="str">
            <v>10 of 10</v>
          </cell>
          <cell r="X175" t="str">
            <v>4 of 10</v>
          </cell>
          <cell r="Y175">
            <v>45712</v>
          </cell>
          <cell r="Z175">
            <v>45719</v>
          </cell>
          <cell r="AC175" t="str">
            <v xml:space="preserve"> of </v>
          </cell>
          <cell r="AD175" t="str">
            <v xml:space="preserve"> of </v>
          </cell>
          <cell r="AF175" t="str">
            <v/>
          </cell>
          <cell r="AI175" t="str">
            <v xml:space="preserve"> of </v>
          </cell>
          <cell r="AJ175" t="str">
            <v xml:space="preserve"> of </v>
          </cell>
          <cell r="AL175" t="str">
            <v/>
          </cell>
          <cell r="AM175">
            <v>0.70833333333333337</v>
          </cell>
          <cell r="AN175" t="str">
            <v>Petrocom Nusa Synergy, PT</v>
          </cell>
          <cell r="AO175" t="str">
            <v>petrocomnusasynergy@gmail.com</v>
          </cell>
          <cell r="AP175" t="str">
            <v>PO25000217</v>
          </cell>
          <cell r="AQ175">
            <v>18190000</v>
          </cell>
          <cell r="AR175">
            <v>45723</v>
          </cell>
          <cell r="AS175">
            <v>45736</v>
          </cell>
          <cell r="AT175">
            <v>45755</v>
          </cell>
          <cell r="AU175">
            <v>45786</v>
          </cell>
          <cell r="AV175">
            <v>45756</v>
          </cell>
          <cell r="AW175">
            <v>45787</v>
          </cell>
          <cell r="AX175">
            <v>4.4285714285714288</v>
          </cell>
          <cell r="AY175">
            <v>45780</v>
          </cell>
          <cell r="AZ175" t="str">
            <v/>
          </cell>
          <cell r="BA175" t="str">
            <v/>
          </cell>
          <cell r="BB175" t="str">
            <v>Late Completed</v>
          </cell>
          <cell r="BC175" t="str">
            <v>PR100010104</v>
          </cell>
        </row>
        <row r="176">
          <cell r="B176" t="str">
            <v>PR100010102</v>
          </cell>
          <cell r="C176" t="str">
            <v>Material Skun cable dan Joint sleeve Elektrifikasi 2025</v>
          </cell>
          <cell r="E176" t="str">
            <v>Perwira Sentra Officindo, PT
Ganesha Wirya Pratama, PT
Gema Industrial, PT
Lienetic Jaya, PT
Alfa Teknik Mandiri Makmur, PT
Surya Citra, CV
Gevana, PT
Vhipa Mulia Pratama, PT
Greentek Elektrikal Indonesia, PT
Afghan Jaya Abadi, PT</v>
          </cell>
          <cell r="F176" t="str">
            <v>Perwira Sentra Officindo, PT
Ganesha Wirya Pratama, PT
Alfa Teknik Mandiri Makmur, PT
Surya Citra, CV
Vhipa Mulia Pratama, PT
Greentek Elektrikal Indonesia, PT</v>
          </cell>
          <cell r="G176" t="str">
            <v>R1
6 of 10
17 Mar 25</v>
          </cell>
          <cell r="H176" t="str">
            <v>GUNARA FERY FAHNANI</v>
          </cell>
          <cell r="I176">
            <v>45708</v>
          </cell>
          <cell r="J176" t="str">
            <v>Tech Main</v>
          </cell>
          <cell r="K176" t="str">
            <v>B</v>
          </cell>
          <cell r="L176" t="str">
            <v>BID</v>
          </cell>
          <cell r="M176" t="str">
            <v>0089</v>
          </cell>
          <cell r="N176" t="str">
            <v>RH</v>
          </cell>
          <cell r="O176" t="str">
            <v>robertiagus.haposan@alamtri.com</v>
          </cell>
          <cell r="P176">
            <v>2786.2829999999999</v>
          </cell>
          <cell r="Q176">
            <v>44580528</v>
          </cell>
          <cell r="R176" t="str">
            <v>Completed Sign PO</v>
          </cell>
          <cell r="T176" t="str">
            <v>MSW</v>
          </cell>
          <cell r="U176" t="str">
            <v>Borneo Maju Jaya, PT
Perwira Sentra Officindo, PT
Ganesha Wirya Pratama, PT
Gema Industrial, PT
Alfa Teknik Mandiri Makmur, PT
Indo Tehnik Tanjung Tabalong, PT
Berkat Pratama Teknik, CV
Sarana Prima Lestari, CV
Sola Anugerah Oilfield, PT</v>
          </cell>
          <cell r="V176" t="str">
            <v>Perwira Sentra Officindo, PT
Ganesha Wirya Pratama, PT</v>
          </cell>
          <cell r="W176" t="str">
            <v>9 of 9</v>
          </cell>
          <cell r="X176" t="str">
            <v>2 of 9</v>
          </cell>
          <cell r="Y176">
            <v>45713</v>
          </cell>
          <cell r="Z176">
            <v>45720</v>
          </cell>
          <cell r="AA176" t="str">
            <v>Perwira Sentra Officindo, PT
Ganesha Wirya Pratama, PT
Gema Industrial, PT
Lienetic Jaya, PT
Alfa Teknik Mandiri Makmur, PT
Surya Citra, CV
Gevana, PT
Vhipa Mulia Pratama, PT
Greentek Elektrikal Indonesia, PT
Afghan Jaya Abadi, PT</v>
          </cell>
          <cell r="AB176" t="str">
            <v>Perwira Sentra Officindo, PT
Ganesha Wirya Pratama, PT
Alfa Teknik Mandiri Makmur, PT
Surya Citra, CV
Vhipa Mulia Pratama, PT
Greentek Elektrikal Indonesia, PT</v>
          </cell>
          <cell r="AC176" t="str">
            <v>10 of 10</v>
          </cell>
          <cell r="AD176" t="str">
            <v>6 of 10</v>
          </cell>
          <cell r="AE176">
            <v>45726</v>
          </cell>
          <cell r="AF176">
            <v>45733</v>
          </cell>
          <cell r="AI176" t="str">
            <v xml:space="preserve"> of </v>
          </cell>
          <cell r="AJ176" t="str">
            <v xml:space="preserve"> of </v>
          </cell>
          <cell r="AL176" t="str">
            <v/>
          </cell>
          <cell r="AM176">
            <v>0.70833333333333337</v>
          </cell>
          <cell r="AN176" t="str">
            <v>Ganesha Wirya Pratama, PT</v>
          </cell>
          <cell r="AO176" t="str">
            <v>ganeshawiryapratama@gmail.com</v>
          </cell>
          <cell r="AP176" t="str">
            <v>PO25000235</v>
          </cell>
          <cell r="AQ176">
            <v>39475000</v>
          </cell>
          <cell r="AR176">
            <v>45736</v>
          </cell>
          <cell r="AS176">
            <v>45743</v>
          </cell>
          <cell r="AT176">
            <v>45744</v>
          </cell>
          <cell r="AU176">
            <v>45793</v>
          </cell>
          <cell r="AV176">
            <v>45756</v>
          </cell>
          <cell r="AW176">
            <v>45805</v>
          </cell>
          <cell r="AX176">
            <v>7</v>
          </cell>
          <cell r="AY176">
            <v>45777</v>
          </cell>
          <cell r="AZ176" t="str">
            <v/>
          </cell>
          <cell r="BA176" t="str">
            <v/>
          </cell>
          <cell r="BB176" t="str">
            <v>Late Completed</v>
          </cell>
          <cell r="BC176" t="str">
            <v>PR100010102</v>
          </cell>
        </row>
        <row r="177">
          <cell r="B177" t="str">
            <v>PR100009976 (Line 5)</v>
          </cell>
          <cell r="C177" t="str">
            <v>Sparepart Actuator Control Valve</v>
          </cell>
          <cell r="E177" t="str">
            <v>Putranata Adi Mandiri, PT
Outsourcindo, PT
Kin Kitra Kencana, PT
Putera Instrumenindo, PT
Casa Terra Mandiri Indonesia, PT
Artam Borneo Automatika, PT
Total Solusi Instrument, PT
Petrocom Nusa Synergy, PT
Festo, PT
Arita Prima Indonesia Tbk, PT
Sahabat Energi Persada, PT</v>
          </cell>
          <cell r="F177" t="str">
            <v>Kin Kitra Kencana, PT
Casa Terra Mandiri Indonesia, PT
Artam Borneo Automatika, PT
Petrocom Nusa Synergy, PT</v>
          </cell>
          <cell r="G177" t="str">
            <v>R0
4 of 11
04 Feb 25</v>
          </cell>
          <cell r="H177" t="str">
            <v>DEDE SUDARJI</v>
          </cell>
          <cell r="I177">
            <v>45678</v>
          </cell>
          <cell r="J177" t="str">
            <v>Tech Main</v>
          </cell>
          <cell r="K177" t="str">
            <v>B</v>
          </cell>
          <cell r="L177" t="str">
            <v>BID</v>
          </cell>
          <cell r="M177" t="str">
            <v>0038</v>
          </cell>
          <cell r="N177" t="str">
            <v>RH</v>
          </cell>
          <cell r="O177" t="str">
            <v>robertiagus.haposan@alamtri.com</v>
          </cell>
          <cell r="P177">
            <v>100</v>
          </cell>
          <cell r="Q177">
            <v>1600000</v>
          </cell>
          <cell r="R177" t="str">
            <v>Completed Sign PO</v>
          </cell>
          <cell r="T177" t="str">
            <v>MSW</v>
          </cell>
          <cell r="U177" t="str">
            <v>Putranata Adi Mandiri, PT
Outsourcindo, PT
Kin Kitra Kencana, PT
Putera Instrumenindo, PT
Casa Terra Mandiri Indonesia, PT
Artam Borneo Automatika, PT
Total Solusi Instrument, PT
Petrocom Nusa Synergy, PT
Festo, PT
Arita Prima Indonesia Tbk, PT
Sahabat Energi Persada, PT</v>
          </cell>
          <cell r="V177" t="str">
            <v>Kin Kitra Kencana, PT
Casa Terra Mandiri Indonesia, PT
Artam Borneo Automatika, PT
Petrocom Nusa Synergy, PT</v>
          </cell>
          <cell r="W177" t="str">
            <v>11 of 11</v>
          </cell>
          <cell r="X177" t="str">
            <v>4 of 11</v>
          </cell>
          <cell r="Y177">
            <v>45679</v>
          </cell>
          <cell r="Z177">
            <v>45692</v>
          </cell>
          <cell r="AC177" t="str">
            <v xml:space="preserve"> of </v>
          </cell>
          <cell r="AD177" t="str">
            <v xml:space="preserve"> of </v>
          </cell>
          <cell r="AI177" t="str">
            <v xml:space="preserve"> of </v>
          </cell>
          <cell r="AJ177" t="str">
            <v xml:space="preserve"> of </v>
          </cell>
          <cell r="AL177" t="str">
            <v/>
          </cell>
          <cell r="AM177">
            <v>0.70833333333333337</v>
          </cell>
          <cell r="AN177" t="str">
            <v>Casa Terra Mandiri Indonesia, PT</v>
          </cell>
          <cell r="AO177" t="str">
            <v>contactus.casa@gmail.com</v>
          </cell>
          <cell r="AP177" t="str">
            <v>PO25000097</v>
          </cell>
          <cell r="AQ177">
            <v>1830000</v>
          </cell>
          <cell r="AR177">
            <v>45694</v>
          </cell>
          <cell r="AS177">
            <v>45714</v>
          </cell>
          <cell r="AT177">
            <v>45716</v>
          </cell>
          <cell r="AU177">
            <v>45758</v>
          </cell>
          <cell r="AV177">
            <v>45720</v>
          </cell>
          <cell r="AW177">
            <v>45762</v>
          </cell>
          <cell r="AX177">
            <v>6</v>
          </cell>
          <cell r="AY177">
            <v>45735</v>
          </cell>
          <cell r="AZ177" t="str">
            <v/>
          </cell>
          <cell r="BA177" t="str">
            <v/>
          </cell>
          <cell r="BB177" t="str">
            <v>Late Completed</v>
          </cell>
          <cell r="BC177" t="str">
            <v>PR100009976</v>
          </cell>
        </row>
        <row r="178">
          <cell r="B178" t="str">
            <v>PR100009949 (Line 8)</v>
          </cell>
          <cell r="C178" t="str">
            <v>Material untuk kebutuhan PM All DG IBT (barang langsung dikirimk ke IBT)</v>
          </cell>
          <cell r="E178" t="str">
            <v>Bima Kaltim Utama, PT
Alfa Teknik Mandiri Makmur, PT
Sehati, CV
Cahaya Murni, CV
Indo Tehnik Tanjung Tabalong, PT
Anugrah Mandiri Putra Tabalong, PT
Petrocom Nusa Synergy, PT
Berkat Pratama Teknik, CV
Perwira Sentra Officindo, PT
Arthapusaka Mitra Sakti, PT
Otto Sukses Jaya Perkasa, PT</v>
          </cell>
          <cell r="F178" t="str">
            <v>Bima Kaltim Utama, PT
Alfa Teknik Mandiri Makmur, PT
Indo Tehnik Tanjung Tabalong, PT
Anugrah Mandiri Putra Tabalong, PT
Petrocom Nusa Synergy, PT
Perwira Sentra Officindo, PT</v>
          </cell>
          <cell r="G178" t="str">
            <v>R0
6 of 11
04 Feb 25</v>
          </cell>
          <cell r="H178" t="str">
            <v>SLAMET</v>
          </cell>
          <cell r="I178">
            <v>45677</v>
          </cell>
          <cell r="J178" t="str">
            <v>Tech Main</v>
          </cell>
          <cell r="K178" t="str">
            <v>B</v>
          </cell>
          <cell r="L178" t="str">
            <v>BID</v>
          </cell>
          <cell r="M178" t="str">
            <v>0041</v>
          </cell>
          <cell r="N178" t="str">
            <v>RH</v>
          </cell>
          <cell r="O178" t="str">
            <v>robertiagus.haposan@alamtri.com</v>
          </cell>
          <cell r="P178">
            <v>11000</v>
          </cell>
          <cell r="Q178">
            <v>176000000</v>
          </cell>
          <cell r="R178" t="str">
            <v>Completed Sign PO</v>
          </cell>
          <cell r="T178" t="str">
            <v>MSW</v>
          </cell>
          <cell r="U178" t="str">
            <v>Bima Kaltim Utama, PT
Alfa Teknik Mandiri Makmur, PT
Sehati, CV
Cahaya Murni, CV
Indo Tehnik Tanjung Tabalong, PT
Anugrah Mandiri Putra Tabalong, PT
Petrocom Nusa Synergy, PT
Berkat Pratama Teknik, CV
Perwira Sentra Officindo, PT
Arthapusaka Mitra Sakti, PT
Otto Sukses Jaya Perkasa, PT</v>
          </cell>
          <cell r="V178" t="str">
            <v>Bima Kaltim Utama, PT
Alfa Teknik Mandiri Makmur, PT
Indo Tehnik Tanjung Tabalong, PT
Anugrah Mandiri Putra Tabalong, PT
Petrocom Nusa Synergy, PT
Perwira Sentra Officindo, PT</v>
          </cell>
          <cell r="W178" t="str">
            <v>11 of 11</v>
          </cell>
          <cell r="X178" t="str">
            <v>6 of 11</v>
          </cell>
          <cell r="Y178">
            <v>45679</v>
          </cell>
          <cell r="Z178">
            <v>45692</v>
          </cell>
          <cell r="AC178" t="str">
            <v xml:space="preserve"> of </v>
          </cell>
          <cell r="AD178" t="str">
            <v xml:space="preserve"> of </v>
          </cell>
          <cell r="AF178" t="str">
            <v/>
          </cell>
          <cell r="AI178" t="str">
            <v xml:space="preserve"> of </v>
          </cell>
          <cell r="AJ178" t="str">
            <v xml:space="preserve"> of </v>
          </cell>
          <cell r="AL178" t="str">
            <v/>
          </cell>
          <cell r="AM178">
            <v>0.70833333333333337</v>
          </cell>
          <cell r="AN178" t="str">
            <v>Arthapusaka Mitra Sakti, PT</v>
          </cell>
          <cell r="AO178" t="str">
            <v>putu@ptapms.com; acc.bjm@ptapms.com</v>
          </cell>
          <cell r="AP178" t="str">
            <v>PO25000105</v>
          </cell>
          <cell r="AQ178">
            <v>154000000</v>
          </cell>
          <cell r="AR178">
            <v>45694</v>
          </cell>
          <cell r="AS178">
            <v>45714</v>
          </cell>
          <cell r="AT178">
            <v>45719</v>
          </cell>
          <cell r="AU178">
            <v>45730</v>
          </cell>
          <cell r="AV178">
            <v>45720</v>
          </cell>
          <cell r="AW178">
            <v>45731</v>
          </cell>
          <cell r="AX178">
            <v>1.5714285714285714</v>
          </cell>
          <cell r="AY178">
            <v>45735</v>
          </cell>
          <cell r="AZ178">
            <v>4</v>
          </cell>
          <cell r="BA178">
            <v>616000</v>
          </cell>
          <cell r="BB178" t="str">
            <v>Late Completed</v>
          </cell>
          <cell r="BC178" t="str">
            <v>PR100009949</v>
          </cell>
        </row>
        <row r="179">
          <cell r="B179" t="str">
            <v>PR100010134 (Line 1,3-7)</v>
          </cell>
          <cell r="C179" t="str">
            <v>Pengadaan Material Automasi Blower</v>
          </cell>
          <cell r="E179" t="str">
            <v>Perwira Sentra Officindo, PT
Borneo Maju Jaya, PT
Simenteknindo, PT
Antares Jaya Gemilang Prima, PT
Gema Industrial, PT
Greentek Elektrikal Indonesia, PT
Alfa Teknik Mandiri Makmur, PT
Raja Listrik Indonesia, PT
Anugrah Andalan Bestindo, PT
Gridtech Indonesia, PT
Lienetic Jaya, PT
Axel Jaya Cakraniaga, PT
Viktori Profindo Automation, PT
Reitama Engineering, PT
Adika Mitra Sehati, PT</v>
          </cell>
          <cell r="F179" t="str">
            <v>Perwira Sentra Officindo, PT
Borneo Maju Jaya, PT
Simenteknindo, PT
Antares Jaya Gemilang Prima, PT
Greentek Elektrikal Indonesia, PT
Anugrah Andalan Bestindo, PT
Axel Jaya Cakraniaga, PT
Viktori Profindo Automation, PT</v>
          </cell>
          <cell r="G179" t="str">
            <v>R0
8 of 15
07 Mar 25</v>
          </cell>
          <cell r="H179" t="str">
            <v>IFIT PRABOWO</v>
          </cell>
          <cell r="I179">
            <v>45713</v>
          </cell>
          <cell r="J179" t="str">
            <v>Tech Main</v>
          </cell>
          <cell r="K179" t="str">
            <v>B</v>
          </cell>
          <cell r="L179" t="str">
            <v>BID</v>
          </cell>
          <cell r="M179" t="str">
            <v>0099</v>
          </cell>
          <cell r="N179" t="str">
            <v>RH</v>
          </cell>
          <cell r="O179" t="str">
            <v>robertiagus.haposan@alamtri.com</v>
          </cell>
          <cell r="P179">
            <v>7287.8842000000004</v>
          </cell>
          <cell r="Q179">
            <v>116606147.2</v>
          </cell>
          <cell r="R179" t="str">
            <v>Completed Sign PO</v>
          </cell>
          <cell r="T179" t="str">
            <v>MSW</v>
          </cell>
          <cell r="U179" t="str">
            <v>Perwira Sentra Officindo, PT
Borneo Maju Jaya, PT
Simenteknindo, PT
Antares Jaya Gemilang Prima, PT
Gema Industrial, PT
Greentek Elektrikal Indonesia, PT
Alfa Teknik Mandiri Makmur, PT
Raja Listrik Indonesia, PT
Anugrah Andalan Bestindo, PT
Gridtech Indonesia, PT
Lienetic Jaya, PT
Axel Jaya Cakraniaga, PT
Viktori Profindo Automation, PT
Reitama Engineering, PT
Adika Mitra Sehati, PT</v>
          </cell>
          <cell r="V179" t="str">
            <v>Perwira Sentra Officindo, PT
Borneo Maju Jaya, PT
Simenteknindo, PT
Antares Jaya Gemilang Prima, PT
Greentek Elektrikal Indonesia, PT
Anugrah Andalan Bestindo, PT
Axel Jaya Cakraniaga, PT
Viktori Profindo Automation, PT</v>
          </cell>
          <cell r="W179" t="str">
            <v>15 of 15</v>
          </cell>
          <cell r="X179" t="str">
            <v>8 of 15</v>
          </cell>
          <cell r="Y179">
            <v>45716</v>
          </cell>
          <cell r="Z179">
            <v>45723</v>
          </cell>
          <cell r="AC179" t="str">
            <v xml:space="preserve"> of </v>
          </cell>
          <cell r="AD179" t="str">
            <v xml:space="preserve"> of </v>
          </cell>
          <cell r="AF179" t="str">
            <v/>
          </cell>
          <cell r="AI179" t="str">
            <v xml:space="preserve"> of </v>
          </cell>
          <cell r="AJ179" t="str">
            <v xml:space="preserve"> of </v>
          </cell>
          <cell r="AL179" t="str">
            <v/>
          </cell>
          <cell r="AM179">
            <v>0.70833333333333337</v>
          </cell>
          <cell r="AN179" t="str">
            <v>Axel Jaya Cakraniaga, PT</v>
          </cell>
          <cell r="AO179" t="str">
            <v>ajcakraniaga@gmail.com; sales@ajcakraniaga.com</v>
          </cell>
          <cell r="AP179" t="str">
            <v>PO25000449</v>
          </cell>
          <cell r="AQ179">
            <v>61200000</v>
          </cell>
          <cell r="AR179">
            <v>45729</v>
          </cell>
          <cell r="AS179">
            <v>45827</v>
          </cell>
          <cell r="AT179">
            <v>45839</v>
          </cell>
          <cell r="AU179">
            <v>45881</v>
          </cell>
          <cell r="AV179">
            <v>45842</v>
          </cell>
          <cell r="AW179">
            <v>45884</v>
          </cell>
          <cell r="AX179">
            <v>6</v>
          </cell>
          <cell r="AY179">
            <v>45875</v>
          </cell>
          <cell r="AZ179" t="str">
            <v/>
          </cell>
          <cell r="BA179" t="str">
            <v/>
          </cell>
          <cell r="BB179" t="str">
            <v>Late Completed</v>
          </cell>
          <cell r="BC179" t="str">
            <v>PR100010134</v>
          </cell>
        </row>
        <row r="180">
          <cell r="B180" t="str">
            <v>PR100010139</v>
          </cell>
          <cell r="C180" t="str">
            <v>Pengadaan Material Proteksi 70kV Relay Schneider</v>
          </cell>
          <cell r="E180" t="str">
            <v>Borneo Maju Jaya, PT
Perwira Sentra Officindo, PT
Antares Jaya Gemilang Prima, PT
Greentek Elektrikal Indonesia, PT
Sola Anugerah Oilfield, PT
Axel Jaya Cakraniaga, PT
DCN Indonesia, PT
Lienetic Jaya, PT
Gema Industrial, PT
Radian Fokus Mandiri, CV
Ganesha Wirya Pratama, PT</v>
          </cell>
          <cell r="F180" t="str">
            <v>Perwira Sentra Officindo, PT
Antares Jaya Gemilang Prima, PT
Greentek Elektrikal Indonesia, PT
Sola Anugerah Oilfield, PT
Axel Jaya Cakraniaga, PT
Ganesha Wirya Pratama, PT</v>
          </cell>
          <cell r="G180" t="str">
            <v>R0
6 of 11
07 Mar 25</v>
          </cell>
          <cell r="H180" t="str">
            <v>GUNARA FERY FAHNANI</v>
          </cell>
          <cell r="I180">
            <v>45716</v>
          </cell>
          <cell r="J180" t="str">
            <v>Tech Main</v>
          </cell>
          <cell r="K180" t="str">
            <v>B</v>
          </cell>
          <cell r="L180" t="str">
            <v>BID</v>
          </cell>
          <cell r="M180" t="str">
            <v>0100</v>
          </cell>
          <cell r="N180" t="str">
            <v>RH</v>
          </cell>
          <cell r="O180" t="str">
            <v>robertiagus.haposan@alamtri.com</v>
          </cell>
          <cell r="P180">
            <v>1600</v>
          </cell>
          <cell r="Q180">
            <v>25600000</v>
          </cell>
          <cell r="R180" t="str">
            <v>Completed Sign PO</v>
          </cell>
          <cell r="T180" t="str">
            <v>MSW</v>
          </cell>
          <cell r="U180" t="str">
            <v>Borneo Maju Jaya, PT
Perwira Sentra Officindo, PT
Antares Jaya Gemilang Prima, PT
Greentek Elektrikal Indonesia, PT
Sola Anugerah Oilfield, PT
Axel Jaya Cakraniaga, PT
DCN Indonesia, PT
Lienetic Jaya, PT
Gema Industrial, PT
Radian Fokus Mandiri, CV
Ganesha Wirya Pratama, PT</v>
          </cell>
          <cell r="V180" t="str">
            <v>Perwira Sentra Officindo, PT
Antares Jaya Gemilang Prima, PT
Greentek Elektrikal Indonesia, PT
Sola Anugerah Oilfield, PT
Axel Jaya Cakraniaga, PT
Ganesha Wirya Pratama, PT</v>
          </cell>
          <cell r="W180" t="str">
            <v>11 of 11</v>
          </cell>
          <cell r="X180" t="str">
            <v>6 of 11</v>
          </cell>
          <cell r="Y180">
            <v>45716</v>
          </cell>
          <cell r="Z180">
            <v>45723</v>
          </cell>
          <cell r="AC180" t="str">
            <v xml:space="preserve"> of </v>
          </cell>
          <cell r="AD180" t="str">
            <v xml:space="preserve"> of </v>
          </cell>
          <cell r="AF180" t="str">
            <v/>
          </cell>
          <cell r="AI180" t="str">
            <v xml:space="preserve"> of </v>
          </cell>
          <cell r="AJ180" t="str">
            <v xml:space="preserve"> of </v>
          </cell>
          <cell r="AL180" t="str">
            <v/>
          </cell>
          <cell r="AM180">
            <v>0.70833333333333337</v>
          </cell>
          <cell r="AN180" t="str">
            <v>Antares Jaya Gemilang Prima, PT</v>
          </cell>
          <cell r="AO180" t="str">
            <v>info@pt-antares.com; antares.jgp@gmail.com</v>
          </cell>
          <cell r="AP180" t="str">
            <v>PO25000107</v>
          </cell>
          <cell r="AQ180">
            <v>52160000</v>
          </cell>
          <cell r="AR180">
            <v>45729</v>
          </cell>
          <cell r="AS180">
            <v>45755</v>
          </cell>
          <cell r="AT180">
            <v>45756</v>
          </cell>
          <cell r="AU180">
            <v>45877</v>
          </cell>
          <cell r="AV180">
            <v>45761</v>
          </cell>
          <cell r="AW180">
            <v>45882</v>
          </cell>
          <cell r="AX180">
            <v>17.285714285714285</v>
          </cell>
          <cell r="AY180">
            <v>45887</v>
          </cell>
          <cell r="AZ180">
            <v>5</v>
          </cell>
          <cell r="BA180">
            <v>260800</v>
          </cell>
          <cell r="BB180" t="str">
            <v>Late Completed</v>
          </cell>
          <cell r="BC180" t="str">
            <v>PR100010139</v>
          </cell>
        </row>
        <row r="181">
          <cell r="B181" t="str">
            <v>PR100010156</v>
          </cell>
          <cell r="C181" t="str">
            <v>Kalibrasi CGA (Cylinder Gas Audit) &amp; RCA (Response Correlation Audit) Unit 1 &amp; Unit 2</v>
          </cell>
          <cell r="E181" t="str">
            <v>Eksperta Adi Manusa, PT
Putera Instrumenindo, PT
TUV SUD Indonesia, PT
Prima Akurasi Solusindo, PT
Trusur Unggul Teknusa, PT
Chemviro Buana Indonesia, PT
Adhikarilab Indonesia, PT
Enerviro Rinata Adi, PT
Medialab Indonesia, PT
Omega Solusindo Bersama, PT
Mrene Wae Solusi, PT</v>
          </cell>
          <cell r="F181" t="str">
            <v>Trusur Unggul Teknusa, PT
Chemviro Buana Indonesia, PT
Adhikarilab Indonesia, PT
Enerviro Rinata Adi, PT
Medialab Indonesia, PT
Eksperta Adi Manusa, PT</v>
          </cell>
          <cell r="G181" t="str">
            <v>R0
6 of 11
14 Mar 25</v>
          </cell>
          <cell r="H181" t="str">
            <v>ADITIYA KUSUMA WARDANA</v>
          </cell>
          <cell r="I181">
            <v>45722</v>
          </cell>
          <cell r="J181" t="str">
            <v>HSE</v>
          </cell>
          <cell r="K181" t="str">
            <v>J</v>
          </cell>
          <cell r="L181" t="str">
            <v>BID</v>
          </cell>
          <cell r="M181" t="str">
            <v>0101</v>
          </cell>
          <cell r="N181" t="str">
            <v>RH</v>
          </cell>
          <cell r="O181" t="str">
            <v>robertiagus.haposan@alamtri.com</v>
          </cell>
          <cell r="P181">
            <v>22580</v>
          </cell>
          <cell r="Q181">
            <v>361280000</v>
          </cell>
          <cell r="R181" t="str">
            <v>Completed Sign PO</v>
          </cell>
          <cell r="T181" t="str">
            <v>MSW</v>
          </cell>
          <cell r="U181" t="str">
            <v>Eksperta Adi Manusa, PT
Putera Instrumenindo, PT
TUV SUD Indonesia, PT
Prima Akurasi Solusindo, PT
Trusur Unggul Teknusa, PT
Chemviro Buana Indonesia, PT
Adhikarilab Indonesia, PT
Enerviro Rinata Adi, PT
Medialab Indonesia, PT
Omega Solusindo Bersama, PT
Mrene Wae Solusi, PT</v>
          </cell>
          <cell r="V181" t="str">
            <v>Trusur Unggul Teknusa, PT
Chemviro Buana Indonesia, PT
Adhikarilab Indonesia, PT
Enerviro Rinata Adi, PT
Medialab Indonesia, PT
Eksperta Adi Manusa, PT</v>
          </cell>
          <cell r="W181" t="str">
            <v>11 of 11</v>
          </cell>
          <cell r="X181" t="str">
            <v>6 of 11</v>
          </cell>
          <cell r="Y181">
            <v>45723</v>
          </cell>
          <cell r="Z181">
            <v>45730</v>
          </cell>
          <cell r="AC181" t="str">
            <v xml:space="preserve"> of </v>
          </cell>
          <cell r="AD181" t="str">
            <v xml:space="preserve"> of </v>
          </cell>
          <cell r="AF181" t="str">
            <v/>
          </cell>
          <cell r="AI181" t="str">
            <v xml:space="preserve"> of </v>
          </cell>
          <cell r="AJ181" t="str">
            <v xml:space="preserve"> of </v>
          </cell>
          <cell r="AL181" t="str">
            <v/>
          </cell>
          <cell r="AM181">
            <v>0.70833333333333337</v>
          </cell>
          <cell r="AN181" t="str">
            <v>Eksperta Adi Manusia, PT</v>
          </cell>
          <cell r="AO181" t="str">
            <v>info@eksperta.co.id; salwa@eksperta.co.id; salwamalika23@gmail.com</v>
          </cell>
          <cell r="AP181" t="str">
            <v>PO25000271</v>
          </cell>
          <cell r="AQ181">
            <v>315000000</v>
          </cell>
          <cell r="AR181">
            <v>45740</v>
          </cell>
          <cell r="AS181">
            <v>45758</v>
          </cell>
          <cell r="AT181">
            <v>45761</v>
          </cell>
          <cell r="AU181">
            <v>45800</v>
          </cell>
          <cell r="AV181">
            <v>45766</v>
          </cell>
          <cell r="AW181">
            <v>45805</v>
          </cell>
          <cell r="AX181">
            <v>5.5714285714285712</v>
          </cell>
          <cell r="AY181">
            <v>45862</v>
          </cell>
          <cell r="AZ181">
            <v>57</v>
          </cell>
          <cell r="BA181">
            <v>15750000</v>
          </cell>
          <cell r="BB181" t="str">
            <v>Late Completed</v>
          </cell>
          <cell r="BC181" t="str">
            <v>PR100010156</v>
          </cell>
        </row>
        <row r="182">
          <cell r="B182" t="str">
            <v>PR100010159</v>
          </cell>
          <cell r="C182" t="str">
            <v>Penyediaan Material Biomass (Wood Chip)( Periode Bulan Februari 2025)</v>
          </cell>
          <cell r="D182" t="str">
            <v>Agri Multi Lestari, PT</v>
          </cell>
          <cell r="E182" t="str">
            <v/>
          </cell>
          <cell r="F182" t="str">
            <v/>
          </cell>
          <cell r="G182" t="str">
            <v/>
          </cell>
          <cell r="H182" t="str">
            <v>ARIES KURNIAWAN</v>
          </cell>
          <cell r="I182">
            <v>45728</v>
          </cell>
          <cell r="J182" t="str">
            <v>Tech OP</v>
          </cell>
          <cell r="K182" t="str">
            <v>B</v>
          </cell>
          <cell r="L182" t="str">
            <v>IOM</v>
          </cell>
          <cell r="N182" t="str">
            <v>RH</v>
          </cell>
          <cell r="O182" t="str">
            <v>robertiagus.haposan@alamtri.com</v>
          </cell>
          <cell r="P182">
            <v>410.01710000000003</v>
          </cell>
          <cell r="Q182">
            <v>6560273.6000000006</v>
          </cell>
          <cell r="R182" t="str">
            <v>Completed Sign PO</v>
          </cell>
          <cell r="T182" t="str">
            <v>MSW</v>
          </cell>
          <cell r="U182" t="str">
            <v>Agri Multi Lestari, PT</v>
          </cell>
          <cell r="V182" t="str">
            <v>Agri Multi Lestari, PT</v>
          </cell>
          <cell r="W182" t="str">
            <v>1 of 1</v>
          </cell>
          <cell r="X182" t="str">
            <v>1 of 1</v>
          </cell>
          <cell r="Z182" t="str">
            <v/>
          </cell>
          <cell r="AC182" t="str">
            <v xml:space="preserve"> of </v>
          </cell>
          <cell r="AD182" t="str">
            <v xml:space="preserve"> of </v>
          </cell>
          <cell r="AF182" t="str">
            <v/>
          </cell>
          <cell r="AI182" t="str">
            <v xml:space="preserve"> of </v>
          </cell>
          <cell r="AJ182" t="str">
            <v xml:space="preserve"> of </v>
          </cell>
          <cell r="AL182" t="str">
            <v/>
          </cell>
          <cell r="AM182">
            <v>0.70833333333333337</v>
          </cell>
          <cell r="AN182" t="str">
            <v>Agri Multi Lestari, PT</v>
          </cell>
          <cell r="AO182" t="str">
            <v>nandasetya.kurniawan@adaro.com; novita.rindriyanti@adaro.com</v>
          </cell>
          <cell r="AP182" t="str">
            <v>PO25000155</v>
          </cell>
          <cell r="AQ182">
            <v>6154000</v>
          </cell>
          <cell r="AR182">
            <v>45730</v>
          </cell>
          <cell r="AS182">
            <v>45734</v>
          </cell>
          <cell r="AT182">
            <v>45730</v>
          </cell>
          <cell r="AU182">
            <v>45761</v>
          </cell>
          <cell r="AV182">
            <v>45734</v>
          </cell>
          <cell r="AW182">
            <v>45765</v>
          </cell>
          <cell r="AX182">
            <v>4.4285714285714288</v>
          </cell>
          <cell r="AY182">
            <v>45736</v>
          </cell>
          <cell r="AZ182" t="str">
            <v/>
          </cell>
          <cell r="BA182" t="str">
            <v/>
          </cell>
          <cell r="BB182" t="str">
            <v>Completed</v>
          </cell>
          <cell r="BC182" t="str">
            <v>PR100010159</v>
          </cell>
        </row>
        <row r="183">
          <cell r="B183" t="str">
            <v>PR100010165</v>
          </cell>
          <cell r="C183" t="str">
            <v>Pengadaan socket komunikasi Relay Sepam MIA4 SIS</v>
          </cell>
          <cell r="E183" t="str">
            <v>Sola Anugerah Oilfield, PT
Axel Jaya Cakraniaga, PT
DCN Indonesia, PT
Perwira Sentra Officindo, PT
Greentek Elektrikal Indonesia, PT
Antares Jaya Gemilang Prima, PT
Berlian Sejahtera Teknik, PT</v>
          </cell>
          <cell r="F183" t="str">
            <v>Axel Jaya Cakraniaga, PT
Perwira Sentra Officindo, PT
Greentek Elektrikal Indonesia, PT
Antares Jaya Gemilang Prima, PT</v>
          </cell>
          <cell r="G183" t="str">
            <v>R0
4 of 7
21 Mar 25</v>
          </cell>
          <cell r="H183" t="str">
            <v>GUNARA FERY FAHNANI</v>
          </cell>
          <cell r="I183">
            <v>45728</v>
          </cell>
          <cell r="J183" t="str">
            <v>Tech Main</v>
          </cell>
          <cell r="K183" t="str">
            <v>B</v>
          </cell>
          <cell r="L183" t="str">
            <v>BID</v>
          </cell>
          <cell r="M183" t="str">
            <v>0105</v>
          </cell>
          <cell r="N183" t="str">
            <v>RH</v>
          </cell>
          <cell r="O183" t="str">
            <v>robertiagus.haposan@alamtri.com</v>
          </cell>
          <cell r="P183">
            <v>825</v>
          </cell>
          <cell r="Q183">
            <v>13200000</v>
          </cell>
          <cell r="R183" t="str">
            <v>Completed Sign PO</v>
          </cell>
          <cell r="T183" t="str">
            <v>MSW</v>
          </cell>
          <cell r="U183" t="str">
            <v>Sola Anugerah Oilfield, PT
Axel Jaya Cakraniaga, PT
DCN Indonesia, PT
Perwira Sentra Officindo, PT
Greentek Elektrikal Indonesia, PT
Antares Jaya Gemilang Prima, PT
Berlian Sejahtera Teknik, PT</v>
          </cell>
          <cell r="V183" t="str">
            <v>Axel Jaya Cakraniaga, PT
Perwira Sentra Officindo, PT
Greentek Elektrikal Indonesia, PT
Antares Jaya Gemilang Prima, PT</v>
          </cell>
          <cell r="W183" t="str">
            <v>7 of 7</v>
          </cell>
          <cell r="X183" t="str">
            <v>4 of 7</v>
          </cell>
          <cell r="Y183">
            <v>45730</v>
          </cell>
          <cell r="Z183">
            <v>45737</v>
          </cell>
          <cell r="AC183" t="str">
            <v xml:space="preserve"> of </v>
          </cell>
          <cell r="AD183" t="str">
            <v xml:space="preserve"> of </v>
          </cell>
          <cell r="AF183" t="str">
            <v/>
          </cell>
          <cell r="AI183" t="str">
            <v xml:space="preserve"> of </v>
          </cell>
          <cell r="AJ183" t="str">
            <v xml:space="preserve"> of </v>
          </cell>
          <cell r="AL183" t="str">
            <v/>
          </cell>
          <cell r="AM183">
            <v>0.70833333333333337</v>
          </cell>
          <cell r="AN183" t="str">
            <v>Antares Jaya Gemilang Prima, PT</v>
          </cell>
          <cell r="AO183" t="str">
            <v>info@pt-antares.com; antares.jgp@gmail.com</v>
          </cell>
          <cell r="AP183" t="str">
            <v>PO25000287</v>
          </cell>
          <cell r="AQ183">
            <v>10425000</v>
          </cell>
          <cell r="AR183">
            <v>45741</v>
          </cell>
          <cell r="AS183">
            <v>45757</v>
          </cell>
          <cell r="AT183">
            <v>45763</v>
          </cell>
          <cell r="AU183">
            <v>45945</v>
          </cell>
          <cell r="AV183">
            <v>45766</v>
          </cell>
          <cell r="AW183">
            <v>45948</v>
          </cell>
          <cell r="AX183">
            <v>26</v>
          </cell>
          <cell r="AY183">
            <v>45844</v>
          </cell>
          <cell r="AZ183" t="str">
            <v/>
          </cell>
          <cell r="BA183" t="str">
            <v/>
          </cell>
          <cell r="BB183" t="str">
            <v>Late Completed</v>
          </cell>
          <cell r="BC183" t="str">
            <v>PR100010165</v>
          </cell>
        </row>
        <row r="184">
          <cell r="B184" t="str">
            <v>PR100010184 (Line 1-2, 6-7)</v>
          </cell>
          <cell r="C184" t="str">
            <v>Pembelian Material Genset  Untuk Support AI dan Plant</v>
          </cell>
          <cell r="E184" t="str">
            <v>Bima Kaltim Utama, PT
Indo Tehnik Tanjung Tabalong, PT
Anugrah Mandiri Putra Tabalong, PT
Petrocom Nusa Synergy, PT
Perwira Sentra Officindo, PT
Cahaya Mitra Saftindo, PT
Wahana Safety Indonesia, PT
Sarana Prima Lestari, CV
Bintang Anugrah Sehati, PT
Sentra Tanjung Jaya, CV</v>
          </cell>
          <cell r="F184" t="str">
            <v>Bima Kaltim Utama, PT
Indo Tehnik Tanjung Tabalong, PT
Anugrah Mandiri Putra Tabalong, PT
Perwira Sentra Officindo, PT
Cahaya Mitra Saftindo, PT
Wahana Safety Indonesia, PT
Sarana Prima Lestari, CV</v>
          </cell>
          <cell r="G184" t="str">
            <v>R0
7 of 10
20 Mar 25</v>
          </cell>
          <cell r="H184" t="str">
            <v>SLAMET</v>
          </cell>
          <cell r="I184">
            <v>45728</v>
          </cell>
          <cell r="J184" t="str">
            <v>Tech Main</v>
          </cell>
          <cell r="K184" t="str">
            <v>B</v>
          </cell>
          <cell r="L184" t="str">
            <v>BID</v>
          </cell>
          <cell r="M184" t="str">
            <v>0102</v>
          </cell>
          <cell r="N184" t="str">
            <v>RH</v>
          </cell>
          <cell r="O184" t="str">
            <v>robertiagus.haposan@alamtri.com</v>
          </cell>
          <cell r="P184">
            <v>2130.0713999999998</v>
          </cell>
          <cell r="Q184">
            <v>34081142.399999999</v>
          </cell>
          <cell r="R184" t="str">
            <v>Completed Sign PO</v>
          </cell>
          <cell r="T184" t="str">
            <v>MSW</v>
          </cell>
          <cell r="U184" t="str">
            <v>Bima Kaltim Utama, PT
Indo Tehnik Tanjung Tabalong, PT
Anugrah Mandiri Putra Tabalong, PT
Petrocom Nusa Synergy, PT
Perwira Sentra Officindo, PT
Cahaya Mitra Saftindo, PT
Wahana Safety Indonesia, PT
Sarana Prima Lestari, CV
Bintang Anugrah Sehati, PT
Sentra Tanjung Jaya, CV</v>
          </cell>
          <cell r="V184" t="str">
            <v>Bima Kaltim Utama, PT
Indo Tehnik Tanjung Tabalong, PT
Anugrah Mandiri Putra Tabalong, PT
Perwira Sentra Officindo, PT
Cahaya Mitra Saftindo, PT
Wahana Safety Indonesia, PT
Sarana Prima Lestari, CV</v>
          </cell>
          <cell r="W184" t="str">
            <v>10 of 10</v>
          </cell>
          <cell r="X184" t="str">
            <v>7 of 10</v>
          </cell>
          <cell r="Y184">
            <v>45729</v>
          </cell>
          <cell r="Z184">
            <v>45736</v>
          </cell>
          <cell r="AC184" t="str">
            <v xml:space="preserve"> of </v>
          </cell>
          <cell r="AD184" t="str">
            <v xml:space="preserve"> of </v>
          </cell>
          <cell r="AF184" t="str">
            <v/>
          </cell>
          <cell r="AI184" t="str">
            <v xml:space="preserve"> of </v>
          </cell>
          <cell r="AJ184" t="str">
            <v xml:space="preserve"> of </v>
          </cell>
          <cell r="AL184" t="str">
            <v/>
          </cell>
          <cell r="AM184">
            <v>0.70833333333333337</v>
          </cell>
          <cell r="AN184" t="str">
            <v>Bima Kaltim Utama, PT</v>
          </cell>
          <cell r="AO184" t="str">
            <v>rera.bimakaltim@yahoo.com; albert.bimautama@yahoo.com; rya_bimakaltim@yahoo.com</v>
          </cell>
          <cell r="AP184" t="str">
            <v>PO25000263</v>
          </cell>
          <cell r="AQ184">
            <v>30640000</v>
          </cell>
          <cell r="AR184">
            <v>45740</v>
          </cell>
          <cell r="AS184">
            <v>45743</v>
          </cell>
          <cell r="AT184">
            <v>45758</v>
          </cell>
          <cell r="AU184">
            <v>45779</v>
          </cell>
          <cell r="AV184">
            <v>45761</v>
          </cell>
          <cell r="AW184">
            <v>45782</v>
          </cell>
          <cell r="AX184">
            <v>3</v>
          </cell>
          <cell r="AY184">
            <v>45771</v>
          </cell>
          <cell r="AZ184" t="str">
            <v/>
          </cell>
          <cell r="BA184" t="str">
            <v/>
          </cell>
          <cell r="BB184" t="str">
            <v>Completed</v>
          </cell>
          <cell r="BC184" t="str">
            <v>PR100010184</v>
          </cell>
        </row>
        <row r="185">
          <cell r="B185" t="str">
            <v>PR100009976 (Line 6-7)</v>
          </cell>
          <cell r="C185" t="str">
            <v>Sparepart Actuator Control Valve</v>
          </cell>
          <cell r="E185" t="str">
            <v>Arita Prima Indonesia Tbk, PT
Indo Tehnik Tanjung Tabalong, PT
Agung Perkasa Sejahtera, PT
Wahana Mitra Sukses, PT
Solutec Daya Mandiri, PT
Lienetic Jaya, PT
Andalan Tiga Berlian, PT
Artam Borneo Automatika, PT
Adijaya Mitra Perkasa, PT
Gevana, PT
KSB Sales Indonesia, PT
Nusafluid Solusi Utama, PT
Putranata Adi Mandiri, PT
Gema Industrial, PT
Berkah Fikri Pratama, PT</v>
          </cell>
          <cell r="F185" t="str">
            <v>Arita Prima Indonesia Tbk, PT
Gevana, PT</v>
          </cell>
          <cell r="G185" t="str">
            <v>R2
2 of 15
07 Mar 25</v>
          </cell>
          <cell r="H185" t="str">
            <v>DEDE SUDARJI</v>
          </cell>
          <cell r="I185">
            <v>45678</v>
          </cell>
          <cell r="J185" t="str">
            <v>Tech Main</v>
          </cell>
          <cell r="K185" t="str">
            <v>B</v>
          </cell>
          <cell r="L185" t="str">
            <v>BID</v>
          </cell>
          <cell r="M185" t="str">
            <v>0038</v>
          </cell>
          <cell r="N185" t="str">
            <v>RH</v>
          </cell>
          <cell r="O185" t="str">
            <v>robertiagus.haposan@alamtri.com</v>
          </cell>
          <cell r="P185">
            <v>38</v>
          </cell>
          <cell r="Q185">
            <v>608000</v>
          </cell>
          <cell r="R185" t="str">
            <v>Completed Sign PO</v>
          </cell>
          <cell r="T185" t="str">
            <v>MSW</v>
          </cell>
          <cell r="U185" t="str">
            <v>Putranata Adi Mandiri, PT
Outsourcindo, PT
Kin Kitra Kencana, PT
Putera Instrumenindo, PT
Casa Terra Mandiri Indonesia, PT
Artam Borneo Automatika, PT
Total Solusi Instrument, PT
Petrocom Nusa Synergy, PT
Festo, PT
Arita Prima Indonesia Tbk, PT
Sahabat Energi Persada, PT</v>
          </cell>
          <cell r="V185" t="str">
            <v>Kin Kitra Kencana, PT
Casa Terra Mandiri Indonesia, PT
Artam Borneo Automatika, PT
Petrocom Nusa Synergy, PT</v>
          </cell>
          <cell r="W185" t="str">
            <v>11 of 11</v>
          </cell>
          <cell r="X185" t="str">
            <v>4 of 11</v>
          </cell>
          <cell r="Y185">
            <v>45679</v>
          </cell>
          <cell r="Z185">
            <v>45692</v>
          </cell>
          <cell r="AA185" t="str">
            <v>Artam Borneo Automatika, PT
Alfa Teknik Mandiri Makmur, PT
Dwijaya Sentral Sarana, PT
Antares Jaya Gemilang Prima, PT
Gema Industrial, PT
Andalan Tiga Berlian, PT
KSB Sales Indonesia, PT
Mitra Wira Pratama, PT
Lamindo Prima Mandiri, PT
Cakra Instrumindo Utama, PT
Axel Jaya Cakraniaga, PT</v>
          </cell>
          <cell r="AB185" t="str">
            <v>Artam Borneo Automatika, PT</v>
          </cell>
          <cell r="AC185" t="str">
            <v>11 of 11</v>
          </cell>
          <cell r="AD185" t="str">
            <v>1 of 11</v>
          </cell>
          <cell r="AE185">
            <v>45701</v>
          </cell>
          <cell r="AF185">
            <v>45708</v>
          </cell>
          <cell r="AG185" t="str">
            <v>Arita Prima Indonesia Tbk, PT
Indo Tehnik Tanjung Tabalong, PT
Agung Perkasa Sejahtera, PT
Wahana Mitra Sukses, PT
Solutec Daya Mandiri, PT
Lienetic Jaya, PT
Andalan Tiga Berlian, PT
Artam Borneo Automatika, PT
Adijaya Mitra Perkasa, PT
Gevana, PT
KSB Sales Indonesia, PT
Nusafluid Solusi Utama, PT
Putranata Adi Mandiri, PT
Gema Industrial, PT
Berkah Fikri Pratama, PT</v>
          </cell>
          <cell r="AH185" t="str">
            <v>Arita Prima Indonesia Tbk, PT
Gevana, PT</v>
          </cell>
          <cell r="AI185" t="str">
            <v>15 of 15</v>
          </cell>
          <cell r="AJ185" t="str">
            <v>2 of 15</v>
          </cell>
          <cell r="AK185">
            <v>45716</v>
          </cell>
          <cell r="AL185">
            <v>45723</v>
          </cell>
          <cell r="AM185">
            <v>0.70833333333333337</v>
          </cell>
          <cell r="AN185" t="str">
            <v>Gevana, PT</v>
          </cell>
          <cell r="AO185" t="str">
            <v>charlierobiansa7@gmail.com; eviedenny277@gmail.com</v>
          </cell>
          <cell r="AP185" t="str">
            <v>PO25000214</v>
          </cell>
          <cell r="AQ185">
            <v>5880000</v>
          </cell>
          <cell r="AR185">
            <v>45726</v>
          </cell>
          <cell r="AS185">
            <v>45737</v>
          </cell>
          <cell r="AT185">
            <v>45743</v>
          </cell>
          <cell r="AU185">
            <v>45793</v>
          </cell>
          <cell r="AV185">
            <v>45744</v>
          </cell>
          <cell r="AW185">
            <v>45794</v>
          </cell>
          <cell r="AX185">
            <v>7.1428571428571432</v>
          </cell>
          <cell r="AY185">
            <v>45762</v>
          </cell>
          <cell r="AZ185" t="str">
            <v/>
          </cell>
          <cell r="BA185" t="str">
            <v/>
          </cell>
          <cell r="BB185" t="str">
            <v>Late Completed</v>
          </cell>
          <cell r="BC185" t="str">
            <v>PR100009976</v>
          </cell>
        </row>
        <row r="186">
          <cell r="B186" t="str">
            <v>PR100010173 (Line 4)</v>
          </cell>
          <cell r="C186" t="str">
            <v>Material untuk PM  DG  CAT 3456 AI</v>
          </cell>
          <cell r="E186" t="str">
            <v>Indo Tehnik Tanjung Tabalong, PT
Haji Usnan, CV
Mubaroqah, CV
Anugrah Mandiri Putra Tabalong, PT
Sarana Prima Lestari, CV
Sehati, CV
Alfa Teknik Mandiri Makmur, PT
Perwira Sentra Officindo, PT</v>
          </cell>
          <cell r="F186" t="str">
            <v>Indo Tehnik Tanjung Tabalong, PT
Haji Usnan, CV
Anugrah Mandiri Putra Tabalong, PT
Sehati, CV
Alfa Teknik Mandiri Makmur, PT
Perwira Sentra Officindo, PT</v>
          </cell>
          <cell r="G186" t="str">
            <v>R0
6 of 8
17 Apr 25</v>
          </cell>
          <cell r="H186" t="str">
            <v>SLAMET</v>
          </cell>
          <cell r="I186">
            <v>45741</v>
          </cell>
          <cell r="J186" t="str">
            <v>Tech Main</v>
          </cell>
          <cell r="K186" t="str">
            <v>B</v>
          </cell>
          <cell r="L186" t="str">
            <v>BID</v>
          </cell>
          <cell r="M186" t="str">
            <v>0109</v>
          </cell>
          <cell r="N186" t="str">
            <v>RH</v>
          </cell>
          <cell r="O186" t="str">
            <v>robertiagus.haposan@alamtri.com</v>
          </cell>
          <cell r="P186">
            <v>37.799999999999997</v>
          </cell>
          <cell r="Q186">
            <v>604800</v>
          </cell>
          <cell r="R186" t="str">
            <v>Completed Sign PO</v>
          </cell>
          <cell r="T186" t="str">
            <v>MSW</v>
          </cell>
          <cell r="U186" t="str">
            <v>Indo Tehnik Tanjung Tabalong, PT
Haji Usnan, CV
Mubaroqah, CV
Anugrah Mandiri Putra Tabalong, PT
Sarana Prima Lestari, CV
Sehati, CV
Alfa Teknik Mandiri Makmur, PT
Perwira Sentra Officindo, PT</v>
          </cell>
          <cell r="V186" t="str">
            <v>Indo Tehnik Tanjung Tabalong, PT
Haji Usnan, CV
Anugrah Mandiri Putra Tabalong, PT
Sehati, CV
Alfa Teknik Mandiri Makmur, PT
Perwira Sentra Officindo, PT</v>
          </cell>
          <cell r="W186" t="str">
            <v>8 of 8</v>
          </cell>
          <cell r="X186" t="str">
            <v>6 of 8</v>
          </cell>
          <cell r="Y186">
            <v>45755</v>
          </cell>
          <cell r="Z186">
            <v>45764</v>
          </cell>
          <cell r="AC186" t="str">
            <v xml:space="preserve"> of </v>
          </cell>
          <cell r="AD186" t="str">
            <v xml:space="preserve"> of </v>
          </cell>
          <cell r="AF186" t="str">
            <v/>
          </cell>
          <cell r="AI186" t="str">
            <v xml:space="preserve"> of </v>
          </cell>
          <cell r="AJ186" t="str">
            <v xml:space="preserve"> of </v>
          </cell>
          <cell r="AL186" t="str">
            <v/>
          </cell>
          <cell r="AM186">
            <v>0.70833333333333337</v>
          </cell>
          <cell r="AN186" t="str">
            <v>Haji Usnan Electric, CV</v>
          </cell>
          <cell r="AO186" t="str">
            <v>hji.usnan@gmail.com</v>
          </cell>
          <cell r="AP186" t="str">
            <v>PO25000304</v>
          </cell>
          <cell r="AQ186">
            <v>600000</v>
          </cell>
          <cell r="AR186">
            <v>45768</v>
          </cell>
          <cell r="AS186">
            <v>45771</v>
          </cell>
          <cell r="AT186">
            <v>45772</v>
          </cell>
          <cell r="AU186">
            <v>45786</v>
          </cell>
          <cell r="AV186">
            <v>45782</v>
          </cell>
          <cell r="AW186">
            <v>45796</v>
          </cell>
          <cell r="AX186">
            <v>2</v>
          </cell>
          <cell r="AY186">
            <v>45784</v>
          </cell>
          <cell r="AZ186" t="str">
            <v/>
          </cell>
          <cell r="BA186" t="str">
            <v/>
          </cell>
          <cell r="BB186" t="str">
            <v>Late Completed</v>
          </cell>
          <cell r="BC186" t="str">
            <v>PR100010173</v>
          </cell>
        </row>
        <row r="187">
          <cell r="B187" t="str">
            <v>PR100010068 (Line 2)</v>
          </cell>
          <cell r="C187" t="str">
            <v>Unit 1 &amp; Unit 2, Pembelian Material untuk Limestone system</v>
          </cell>
          <cell r="E187" t="str">
            <v>Arita Prima Indonesia Tbk, PT
Sola Anugerah Oilfield, PT
Golden Pratama Engineering, PT
Lienetic Jaya, PT
Alfa Teknik Mandiri Makmur, PT
Dwijaya Sentral Sarana, PT
Wahana Mitra Sukses, PT</v>
          </cell>
          <cell r="F187" t="str">
            <v>Arita Prima Indonesia Tbk, PT
Sola Anugerah Oilfield, PT
Golden Pratama Engineering, PT
Lienetic Jaya, PT
Alfa Teknik Mandiri Makmur, PT
Dwijaya Sentral Sarana, PT</v>
          </cell>
          <cell r="G187" t="str">
            <v>R1
6 of 7
04 Mar 25</v>
          </cell>
          <cell r="H187" t="str">
            <v>RIZKY AGUSTINA</v>
          </cell>
          <cell r="I187">
            <v>45699</v>
          </cell>
          <cell r="J187" t="str">
            <v>Tech Main</v>
          </cell>
          <cell r="K187" t="str">
            <v>B</v>
          </cell>
          <cell r="L187" t="str">
            <v>BID</v>
          </cell>
          <cell r="M187" t="str">
            <v>0075</v>
          </cell>
          <cell r="N187" t="str">
            <v>RH</v>
          </cell>
          <cell r="O187" t="str">
            <v>robertiagus.haposan@alamtri.com</v>
          </cell>
          <cell r="P187">
            <v>10624.288</v>
          </cell>
          <cell r="Q187">
            <v>169988608</v>
          </cell>
          <cell r="R187" t="str">
            <v>Completed Sign PO</v>
          </cell>
          <cell r="T187" t="str">
            <v>MSW</v>
          </cell>
          <cell r="U187" t="str">
            <v>Alfa Teknik Mandiri Makmur, PT
Arita Prima Indonesia Tbk, PT
Golden Pratama Engineering, PT
KSB Sales Indonesia, PT
Andalan Tiga Berlian, PT
Adijaya Mitra Perkasa, PT
Sarana Prima Lestari, CV
Petrocom Nusa Synergy, PT
Indo Tehnik Tanjung Tabalong, PT
Sola Anugerah Oilfield, PT
Trimitra Wahana Sukses, PT
Afghan Jaya Abadi, PT
Maju Langgeng Mandiri, PT
Mitra Wira Pratama, PT
Sinar Mas Sakti, PT</v>
          </cell>
          <cell r="V187" t="str">
            <v>Arita Prima Indonesia Tbk, PT
Sola Anugerah Oilfield, PT</v>
          </cell>
          <cell r="W187" t="str">
            <v>15 of 15</v>
          </cell>
          <cell r="X187" t="str">
            <v>2 of 15</v>
          </cell>
          <cell r="Y187">
            <v>45702</v>
          </cell>
          <cell r="Z187">
            <v>45709</v>
          </cell>
          <cell r="AA187" t="str">
            <v>Arita Prima Indonesia Tbk, PT
Sola Anugerah Oilfield, PT
Golden Pratama Engineering, PT
Lienetic Jaya, PT
Alfa Teknik Mandiri Makmur, PT
Dwijaya Sentral Sarana, PT
Wahana Mitra Sukses, PT</v>
          </cell>
          <cell r="AB187" t="str">
            <v>Arita Prima Indonesia Tbk, PT
Sola Anugerah Oilfield, PT
Golden Pratama Engineering, PT
Lienetic Jaya, PT
Alfa Teknik Mandiri Makmur, PT
Dwijaya Sentral Sarana, PT</v>
          </cell>
          <cell r="AC187" t="str">
            <v>7 of 7</v>
          </cell>
          <cell r="AD187" t="str">
            <v>6 of 7</v>
          </cell>
          <cell r="AE187">
            <v>45713</v>
          </cell>
          <cell r="AF187">
            <v>45720</v>
          </cell>
          <cell r="AI187" t="str">
            <v xml:space="preserve"> of </v>
          </cell>
          <cell r="AJ187" t="str">
            <v xml:space="preserve"> of </v>
          </cell>
          <cell r="AL187" t="str">
            <v/>
          </cell>
          <cell r="AM187">
            <v>0.70833333333333337</v>
          </cell>
          <cell r="AN187" t="str">
            <v>Alfa Teknik Mandiri Makmur, PT</v>
          </cell>
          <cell r="AO187" t="str">
            <v>sales.atmm@gmail.com; alex_atmm@yahoo.com</v>
          </cell>
          <cell r="AP187" t="str">
            <v>PO25000212</v>
          </cell>
          <cell r="AQ187">
            <v>56000000</v>
          </cell>
          <cell r="AR187">
            <v>45729</v>
          </cell>
          <cell r="AS187">
            <v>45735</v>
          </cell>
          <cell r="AT187">
            <v>45743</v>
          </cell>
          <cell r="AU187">
            <v>45877</v>
          </cell>
          <cell r="AV187">
            <v>45755</v>
          </cell>
          <cell r="AW187">
            <v>45889</v>
          </cell>
          <cell r="AX187">
            <v>19.142857142857142</v>
          </cell>
          <cell r="AY187">
            <v>45819</v>
          </cell>
          <cell r="AZ187" t="str">
            <v/>
          </cell>
          <cell r="BA187" t="str">
            <v/>
          </cell>
          <cell r="BB187" t="str">
            <v>Late Completed</v>
          </cell>
          <cell r="BC187" t="str">
            <v>PR100010068</v>
          </cell>
        </row>
        <row r="188">
          <cell r="B188" t="str">
            <v>PR100010349 (Line 2-3)</v>
          </cell>
          <cell r="C188" t="str">
            <v>Sparepart Cable Motor Intake WTP</v>
          </cell>
          <cell r="E188" t="str">
            <v>Alfa Teknik Mandiri Makmur, PT
Panca Global Solusindo, PT
Niatsae Prakarsa Indonesia, PT
Perwira Sentra Officindo, PT
Gema Industrial, PT
Berkat Pratama Teknik, CV
Vhipa Mulia Pratama, PT
Cahaya Murni, CV
Raja Listrik Indonesia, PT
Greentek Elektrikal Indonesia, PT</v>
          </cell>
          <cell r="F188" t="str">
            <v>Panca Global Solusindo, PT
Gema Industrial, PT
Vhipa Mulia Pratama, PT</v>
          </cell>
          <cell r="G188" t="str">
            <v>R0
3 of 10
12 Jun 25</v>
          </cell>
          <cell r="H188" t="str">
            <v>DEDE SUDARJI</v>
          </cell>
          <cell r="I188">
            <v>45803</v>
          </cell>
          <cell r="J188" t="str">
            <v>Tech Main</v>
          </cell>
          <cell r="K188" t="str">
            <v>B</v>
          </cell>
          <cell r="L188" t="str">
            <v>BID</v>
          </cell>
          <cell r="M188" t="str">
            <v>0166</v>
          </cell>
          <cell r="N188" t="str">
            <v>RH</v>
          </cell>
          <cell r="O188" t="str">
            <v>robertiagus.haposan@alamtri.com</v>
          </cell>
          <cell r="P188">
            <v>8887</v>
          </cell>
          <cell r="Q188">
            <v>142192000</v>
          </cell>
          <cell r="R188" t="str">
            <v>Completed Sign PO</v>
          </cell>
          <cell r="T188" t="str">
            <v>MSW</v>
          </cell>
          <cell r="U188" t="str">
            <v>Alfa Teknik Mandiri Makmur, PT
Panca Global Solusindo, PT
Niatsae Prakarsa Indonesia, PT
Perwira Sentra Officindo, PT
Gema Industrial, PT
Berkat Pratama Teknik, CV
Vhipa Mulia Pratama, PT
Cahaya Murni, CV
Raja Listrik Indonesia, PT
Greentek Elektrikal Indonesia, PT</v>
          </cell>
          <cell r="V188" t="str">
            <v>Panca Global Solusindo, PT
Gema Industrial, PT
Vhipa Mulia Pratama, PT</v>
          </cell>
          <cell r="W188" t="str">
            <v>10 of 10</v>
          </cell>
          <cell r="X188" t="str">
            <v>3 of 10</v>
          </cell>
          <cell r="Y188">
            <v>45804</v>
          </cell>
          <cell r="Z188">
            <v>45820</v>
          </cell>
          <cell r="AC188" t="str">
            <v xml:space="preserve"> of </v>
          </cell>
          <cell r="AD188" t="str">
            <v xml:space="preserve"> of </v>
          </cell>
          <cell r="AF188" t="str">
            <v/>
          </cell>
          <cell r="AI188" t="str">
            <v xml:space="preserve"> of </v>
          </cell>
          <cell r="AJ188" t="str">
            <v xml:space="preserve"> of </v>
          </cell>
          <cell r="AL188" t="str">
            <v/>
          </cell>
          <cell r="AM188">
            <v>0.70833333333333337</v>
          </cell>
          <cell r="AN188" t="str">
            <v>Gema Industrial, PT</v>
          </cell>
          <cell r="AO188" t="str">
            <v>marketing@gema-industrial.com</v>
          </cell>
          <cell r="AP188" t="str">
            <v>PO25000571</v>
          </cell>
          <cell r="AQ188">
            <v>36420000</v>
          </cell>
          <cell r="AR188">
            <v>45826</v>
          </cell>
          <cell r="AS188">
            <v>45875</v>
          </cell>
          <cell r="AT188">
            <v>45889</v>
          </cell>
          <cell r="AU188">
            <v>45919</v>
          </cell>
          <cell r="AV188">
            <v>45903</v>
          </cell>
          <cell r="AW188">
            <v>45933</v>
          </cell>
          <cell r="AX188">
            <v>4.2857142857142856</v>
          </cell>
          <cell r="AY188">
            <v>45918</v>
          </cell>
          <cell r="AZ188" t="str">
            <v/>
          </cell>
          <cell r="BA188" t="str">
            <v/>
          </cell>
          <cell r="BB188" t="str">
            <v>Late Completed</v>
          </cell>
          <cell r="BC188" t="str">
            <v>PR100010349</v>
          </cell>
        </row>
        <row r="189">
          <cell r="B189" t="str">
            <v>PR100010340 (Line 4,5)</v>
          </cell>
          <cell r="C189" t="str">
            <v>Sparepart Cable Electrical Instrument</v>
          </cell>
          <cell r="E189" t="str">
            <v>Alfa Teknik Mandiri Makmur, PT
Perwira Sentra Officindo, PT
Aka Prima Komputindo, PT
Antares Jaya Gemilang Prima, PT
Kin Kitra Kencana, PT
Anugrah Mandiri Putra Tabalong, PT
Gevana, PT
Greentek Elektrikal Indonesia, PT
Gema Industrial, PT
Berkat Pratama Teknik, CV</v>
          </cell>
          <cell r="F189" t="str">
            <v>Perwira Sentra Officindo, PT
Gevana, PT
Gema Industrial, PT</v>
          </cell>
          <cell r="G189" t="str">
            <v>R0
3 of 10
29 May 25</v>
          </cell>
          <cell r="H189" t="str">
            <v>DEDE SUDARJI</v>
          </cell>
          <cell r="I189">
            <v>45797</v>
          </cell>
          <cell r="J189" t="str">
            <v>Tech Main</v>
          </cell>
          <cell r="K189" t="str">
            <v>B</v>
          </cell>
          <cell r="L189" t="str">
            <v>BID</v>
          </cell>
          <cell r="M189" t="str">
            <v>0157</v>
          </cell>
          <cell r="N189" t="str">
            <v>RH</v>
          </cell>
          <cell r="O189" t="str">
            <v>robertiagus.haposan@alamtri.com</v>
          </cell>
          <cell r="P189">
            <v>4398.8032999999996</v>
          </cell>
          <cell r="Q189">
            <v>70380852.799999997</v>
          </cell>
          <cell r="R189" t="str">
            <v>Completed Sign PO</v>
          </cell>
          <cell r="T189" t="str">
            <v>MSW</v>
          </cell>
          <cell r="U189" t="str">
            <v>Alfa Teknik Mandiri Makmur, PT
Perwira Sentra Officindo, PT
Aka Prima Komputindo, PT
Antares Jaya Gemilang Prima, PT
Kin Kitra Kencana, PT
Anugrah Mandiri Putra Tabalong, PT
Gevana, PT
Greentek Elektrikal Indonesia, PT
Gema Industrial, PT
Berkat Pratama Teknik, CV</v>
          </cell>
          <cell r="V189" t="str">
            <v>Perwira Sentra Officindo, PT
Gevana, PT
Gema Industrial, PT</v>
          </cell>
          <cell r="W189" t="str">
            <v>10 of 10</v>
          </cell>
          <cell r="X189" t="str">
            <v>3 of 10</v>
          </cell>
          <cell r="Y189">
            <v>45799</v>
          </cell>
          <cell r="Z189">
            <v>45806</v>
          </cell>
          <cell r="AC189" t="str">
            <v xml:space="preserve"> of </v>
          </cell>
          <cell r="AD189" t="str">
            <v xml:space="preserve"> of </v>
          </cell>
          <cell r="AF189" t="str">
            <v/>
          </cell>
          <cell r="AI189" t="str">
            <v xml:space="preserve"> of </v>
          </cell>
          <cell r="AJ189" t="str">
            <v xml:space="preserve"> of </v>
          </cell>
          <cell r="AL189" t="str">
            <v/>
          </cell>
          <cell r="AM189">
            <v>0.70833333333333337</v>
          </cell>
          <cell r="AN189" t="str">
            <v>Perwira Sentra Officindo, PT</v>
          </cell>
          <cell r="AO189" t="str">
            <v>d_santos63@yahoo.com</v>
          </cell>
          <cell r="AP189" t="str">
            <v>PO25000563</v>
          </cell>
          <cell r="AQ189">
            <v>29407200</v>
          </cell>
          <cell r="AR189">
            <v>45824</v>
          </cell>
          <cell r="AS189">
            <v>45874</v>
          </cell>
          <cell r="AT189">
            <v>45874</v>
          </cell>
          <cell r="AU189">
            <v>45912</v>
          </cell>
          <cell r="AV189">
            <v>45890</v>
          </cell>
          <cell r="AW189">
            <v>45928</v>
          </cell>
          <cell r="AX189">
            <v>5.4285714285714288</v>
          </cell>
          <cell r="AY189">
            <v>45920</v>
          </cell>
          <cell r="AZ189" t="str">
            <v/>
          </cell>
          <cell r="BA189" t="str">
            <v/>
          </cell>
          <cell r="BB189" t="str">
            <v>Late Completed</v>
          </cell>
          <cell r="BC189" t="str">
            <v>PR100010340</v>
          </cell>
        </row>
        <row r="190">
          <cell r="B190" t="str">
            <v>PR100010039</v>
          </cell>
          <cell r="C190" t="str">
            <v>Adendum 1 Atas Perjanjian Penyediaan Jasa Pengamanan</v>
          </cell>
          <cell r="D190" t="str">
            <v>Demitra Karsa Perdana, PT</v>
          </cell>
          <cell r="E190" t="str">
            <v>Demitra Karsa Perdana, PT</v>
          </cell>
          <cell r="F190" t="str">
            <v/>
          </cell>
          <cell r="G190" t="str">
            <v/>
          </cell>
          <cell r="H190" t="str">
            <v>KHRISNA RANGGA PRAYUDA</v>
          </cell>
          <cell r="I190">
            <v>45692</v>
          </cell>
          <cell r="J190" t="str">
            <v>HR</v>
          </cell>
          <cell r="K190" t="str">
            <v>J</v>
          </cell>
          <cell r="L190" t="str">
            <v>CTR</v>
          </cell>
          <cell r="N190" t="str">
            <v>RH</v>
          </cell>
          <cell r="O190" t="str">
            <v>robertiagus.haposan@alamtri.com</v>
          </cell>
          <cell r="P190">
            <v>713136.75760000001</v>
          </cell>
          <cell r="Q190">
            <v>11410188121.6</v>
          </cell>
          <cell r="R190" t="str">
            <v>Completed Contract dan CANCEL PR</v>
          </cell>
          <cell r="T190" t="str">
            <v>MSW</v>
          </cell>
          <cell r="U190" t="str">
            <v>Demitra Karsa Perdana, PT</v>
          </cell>
          <cell r="V190" t="str">
            <v>Demitra Karsa Perdana, PT</v>
          </cell>
          <cell r="W190" t="str">
            <v>1 of 1</v>
          </cell>
          <cell r="X190" t="str">
            <v>1 of 1</v>
          </cell>
          <cell r="Z190" t="str">
            <v/>
          </cell>
          <cell r="AC190" t="str">
            <v xml:space="preserve"> of </v>
          </cell>
          <cell r="AD190" t="str">
            <v xml:space="preserve"> of </v>
          </cell>
          <cell r="AF190" t="str">
            <v/>
          </cell>
          <cell r="AI190" t="str">
            <v xml:space="preserve"> of </v>
          </cell>
          <cell r="AJ190" t="str">
            <v xml:space="preserve"> of </v>
          </cell>
          <cell r="AM190">
            <v>0.70833333333333337</v>
          </cell>
          <cell r="AN190" t="str">
            <v>Demitra Karsa Perdana, PT</v>
          </cell>
          <cell r="AO190" t="str">
            <v>ardhiep@a5-indonesia.com</v>
          </cell>
          <cell r="AQ190">
            <v>14228307504</v>
          </cell>
          <cell r="AW190" t="str">
            <v/>
          </cell>
          <cell r="AX190" t="str">
            <v/>
          </cell>
          <cell r="AZ190" t="str">
            <v/>
          </cell>
          <cell r="BA190" t="str">
            <v/>
          </cell>
          <cell r="BB190" t="str">
            <v/>
          </cell>
          <cell r="BC190" t="str">
            <v>PR100010039</v>
          </cell>
        </row>
        <row r="191">
          <cell r="B191" t="str">
            <v>PR100010049</v>
          </cell>
          <cell r="C191" t="str">
            <v>Adendum 1 Atas Perjanjian Jasa Pengujian dan Analisis Oli</v>
          </cell>
          <cell r="D191" t="str">
            <v>Petrolab Services, PT</v>
          </cell>
          <cell r="E191" t="str">
            <v>Petrolab Services, PT</v>
          </cell>
          <cell r="F191" t="str">
            <v/>
          </cell>
          <cell r="G191" t="str">
            <v/>
          </cell>
          <cell r="H191" t="str">
            <v>ARFAN WIJAYA</v>
          </cell>
          <cell r="I191">
            <v>45698</v>
          </cell>
          <cell r="J191" t="str">
            <v>HR</v>
          </cell>
          <cell r="K191" t="str">
            <v>J</v>
          </cell>
          <cell r="L191" t="str">
            <v>CTR</v>
          </cell>
          <cell r="N191" t="str">
            <v>RH</v>
          </cell>
          <cell r="O191" t="str">
            <v>robertiagus.haposan@alamtri.com</v>
          </cell>
          <cell r="P191">
            <v>43000</v>
          </cell>
          <cell r="Q191">
            <v>688000000</v>
          </cell>
          <cell r="R191" t="str">
            <v>Completed Contract dan CANCEL PR</v>
          </cell>
          <cell r="T191" t="str">
            <v>MSW</v>
          </cell>
          <cell r="U191" t="str">
            <v>Petrolab Services, PT</v>
          </cell>
          <cell r="V191" t="str">
            <v>Petrolab Services, PT</v>
          </cell>
          <cell r="W191" t="str">
            <v>1 of 1</v>
          </cell>
          <cell r="X191" t="str">
            <v>1 of 1</v>
          </cell>
          <cell r="Z191" t="str">
            <v/>
          </cell>
          <cell r="AC191" t="str">
            <v xml:space="preserve"> of </v>
          </cell>
          <cell r="AD191" t="str">
            <v xml:space="preserve"> of </v>
          </cell>
          <cell r="AF191" t="str">
            <v/>
          </cell>
          <cell r="AI191" t="str">
            <v xml:space="preserve"> of </v>
          </cell>
          <cell r="AJ191" t="str">
            <v xml:space="preserve"> of </v>
          </cell>
          <cell r="AM191">
            <v>0.70833333333333337</v>
          </cell>
          <cell r="AN191" t="str">
            <v>Petrolab Services, PT</v>
          </cell>
          <cell r="AO191" t="str">
            <v xml:space="preserve">arzi@petrolab.co.id; adrian@petrolab.co.id </v>
          </cell>
          <cell r="AQ191">
            <v>2848200000</v>
          </cell>
          <cell r="AW191" t="str">
            <v/>
          </cell>
          <cell r="AX191" t="str">
            <v/>
          </cell>
          <cell r="AZ191" t="str">
            <v/>
          </cell>
          <cell r="BA191" t="str">
            <v/>
          </cell>
          <cell r="BB191" t="str">
            <v/>
          </cell>
          <cell r="BC191" t="str">
            <v>PR100010049</v>
          </cell>
        </row>
        <row r="192">
          <cell r="B192" t="str">
            <v>PR100010148</v>
          </cell>
          <cell r="C192" t="str">
            <v>Amandemen 1 Kontrak MSW-AMP : MSW/4/NEC-AMP/IV/2024</v>
          </cell>
          <cell r="D192" t="str">
            <v>Adijaya Mitra Perkasa, PT</v>
          </cell>
          <cell r="E192" t="str">
            <v>Adijaya Mitra Perkasa, PT</v>
          </cell>
          <cell r="F192" t="str">
            <v/>
          </cell>
          <cell r="G192" t="str">
            <v/>
          </cell>
          <cell r="H192" t="str">
            <v>DEDE SUDARJI</v>
          </cell>
          <cell r="I192">
            <v>45757</v>
          </cell>
          <cell r="J192" t="str">
            <v>Tech Main</v>
          </cell>
          <cell r="K192" t="str">
            <v>J</v>
          </cell>
          <cell r="L192" t="str">
            <v>CTR</v>
          </cell>
          <cell r="N192" t="str">
            <v>RH</v>
          </cell>
          <cell r="O192" t="str">
            <v>robertiagus.haposan@alamtri.com</v>
          </cell>
          <cell r="P192">
            <v>218683.57</v>
          </cell>
          <cell r="Q192">
            <v>3498937120</v>
          </cell>
          <cell r="R192" t="str">
            <v>Completed Contract dan CANCEL PR</v>
          </cell>
          <cell r="T192" t="str">
            <v>MSW</v>
          </cell>
          <cell r="U192" t="str">
            <v>Adijaya Mitra Perkasa, PT</v>
          </cell>
          <cell r="V192" t="str">
            <v>Adijaya Mitra Perkasa, PT</v>
          </cell>
          <cell r="W192" t="str">
            <v>1 of 1</v>
          </cell>
          <cell r="X192" t="str">
            <v>1 of 1</v>
          </cell>
          <cell r="Z192" t="str">
            <v/>
          </cell>
          <cell r="AC192" t="str">
            <v xml:space="preserve"> of </v>
          </cell>
          <cell r="AD192" t="str">
            <v xml:space="preserve"> of </v>
          </cell>
          <cell r="AF192" t="str">
            <v/>
          </cell>
          <cell r="AI192" t="str">
            <v xml:space="preserve"> of </v>
          </cell>
          <cell r="AJ192" t="str">
            <v xml:space="preserve"> of </v>
          </cell>
          <cell r="AL192" t="str">
            <v/>
          </cell>
          <cell r="AM192">
            <v>0.70833333333333337</v>
          </cell>
          <cell r="AN192" t="str">
            <v>Adijaya Mitra Perkasa, PT</v>
          </cell>
          <cell r="AO192" t="str">
            <v>info@adijayamitra.com; adijayamitra@gmail.com</v>
          </cell>
          <cell r="AQ192">
            <v>3585100000</v>
          </cell>
          <cell r="AW192" t="str">
            <v/>
          </cell>
          <cell r="AX192" t="str">
            <v/>
          </cell>
          <cell r="AZ192" t="str">
            <v/>
          </cell>
          <cell r="BA192" t="str">
            <v/>
          </cell>
          <cell r="BB192" t="str">
            <v/>
          </cell>
          <cell r="BC192" t="str">
            <v/>
          </cell>
        </row>
        <row r="193">
          <cell r="B193" t="str">
            <v>PR100010436</v>
          </cell>
          <cell r="C193" t="str">
            <v>Sparepart for Motor for WO10774153</v>
          </cell>
          <cell r="D193" t="str">
            <v>Greentek Elektrikal Indonesia, PT</v>
          </cell>
          <cell r="E193" t="str">
            <v/>
          </cell>
          <cell r="F193" t="str">
            <v/>
          </cell>
          <cell r="G193" t="str">
            <v/>
          </cell>
          <cell r="H193" t="str">
            <v>DEDE SUDARJI</v>
          </cell>
          <cell r="I193">
            <v>45824</v>
          </cell>
          <cell r="J193" t="str">
            <v>Tech Main</v>
          </cell>
          <cell r="K193" t="str">
            <v>B</v>
          </cell>
          <cell r="L193" t="str">
            <v>BID</v>
          </cell>
          <cell r="M193" t="str">
            <v>0182</v>
          </cell>
          <cell r="N193" t="str">
            <v>RH</v>
          </cell>
          <cell r="O193" t="str">
            <v>robertiagus.haposan@alamtri.com</v>
          </cell>
          <cell r="P193">
            <v>1879</v>
          </cell>
          <cell r="Q193">
            <v>30064000</v>
          </cell>
          <cell r="R193" t="str">
            <v>CANCEL</v>
          </cell>
          <cell r="S193" t="str">
            <v>CANCEL as email ZB 060825</v>
          </cell>
          <cell r="T193" t="str">
            <v>MSW</v>
          </cell>
          <cell r="U193" t="str">
            <v>Greentek Elektrikal Indonesia, PT
Antares Jaya Gemilang Prima, PT
Gema Industrial, PT
Gading Mas Utama, PT
Gevana, PT
Ganesha Wirya Pratama, PT
ABB Sakti Industri, PT
Stanindo Artha Langgeng, PT
Trimitra Bangun Karyatama, PT
Promitra Prima Indonesia, PT</v>
          </cell>
          <cell r="V193" t="str">
            <v>Greentek Elektrikal Indonesia, PT
Antares Jaya Gemilang Prima, PT
Gema Industrial, PT
Gading Mas Utama, PT
Gevana, PT
Stanindo Artha Langgeng, PT
Trimitra Bangun Karyatama, PT
Promitra Prima Indonesia, PT</v>
          </cell>
          <cell r="W193" t="str">
            <v>10 of 10</v>
          </cell>
          <cell r="X193" t="str">
            <v>8 of 10</v>
          </cell>
          <cell r="Y193">
            <v>45826</v>
          </cell>
          <cell r="Z193">
            <v>45833</v>
          </cell>
          <cell r="AC193" t="str">
            <v xml:space="preserve"> of </v>
          </cell>
          <cell r="AD193" t="str">
            <v xml:space="preserve"> of </v>
          </cell>
          <cell r="AF193" t="str">
            <v/>
          </cell>
          <cell r="AI193" t="str">
            <v xml:space="preserve"> of </v>
          </cell>
          <cell r="AJ193" t="str">
            <v xml:space="preserve"> of </v>
          </cell>
          <cell r="AM193">
            <v>0.70833333333333337</v>
          </cell>
          <cell r="AO193" t="str">
            <v/>
          </cell>
          <cell r="AR193">
            <v>45840</v>
          </cell>
          <cell r="AW193" t="str">
            <v/>
          </cell>
          <cell r="AX193" t="str">
            <v/>
          </cell>
          <cell r="AZ193" t="str">
            <v/>
          </cell>
          <cell r="BA193" t="str">
            <v/>
          </cell>
          <cell r="BB193" t="str">
            <v/>
          </cell>
          <cell r="BC193" t="str">
            <v>PR100010436</v>
          </cell>
        </row>
        <row r="194">
          <cell r="B194" t="str">
            <v>PR100010448</v>
          </cell>
          <cell r="C194" t="str">
            <v>Spare Part Turbine OH Unit 1</v>
          </cell>
          <cell r="D194" t="str">
            <v>Siemens Indonesia, PT</v>
          </cell>
          <cell r="E194" t="str">
            <v/>
          </cell>
          <cell r="F194" t="str">
            <v/>
          </cell>
          <cell r="G194" t="str">
            <v/>
          </cell>
          <cell r="H194" t="str">
            <v>TOPAN BAYU PRAPTOMO</v>
          </cell>
          <cell r="I194">
            <v>45852</v>
          </cell>
          <cell r="J194" t="str">
            <v>Tech Main</v>
          </cell>
          <cell r="K194" t="str">
            <v>B</v>
          </cell>
          <cell r="L194" t="str">
            <v>IOM</v>
          </cell>
          <cell r="M194">
            <v>6</v>
          </cell>
          <cell r="N194" t="str">
            <v>RH</v>
          </cell>
          <cell r="O194" t="str">
            <v>robertiagus.haposan@alamtri.com</v>
          </cell>
          <cell r="P194">
            <v>639943.23</v>
          </cell>
          <cell r="Q194">
            <v>10239091680</v>
          </cell>
          <cell r="R194" t="str">
            <v>CANCEL</v>
          </cell>
          <cell r="T194" t="str">
            <v>MSW</v>
          </cell>
          <cell r="U194" t="str">
            <v>Siemens Indonesia, PT</v>
          </cell>
          <cell r="V194" t="str">
            <v>Siemens Indonesia, PT</v>
          </cell>
          <cell r="W194" t="str">
            <v>1 of 1</v>
          </cell>
          <cell r="X194" t="str">
            <v>1 of 1</v>
          </cell>
          <cell r="Y194">
            <v>45854</v>
          </cell>
          <cell r="Z194">
            <v>45855</v>
          </cell>
          <cell r="AC194" t="str">
            <v xml:space="preserve"> of </v>
          </cell>
          <cell r="AD194" t="str">
            <v xml:space="preserve"> of </v>
          </cell>
          <cell r="AF194" t="str">
            <v/>
          </cell>
          <cell r="AI194" t="str">
            <v xml:space="preserve"> of </v>
          </cell>
          <cell r="AJ194" t="str">
            <v xml:space="preserve"> of </v>
          </cell>
          <cell r="AM194">
            <v>0.70833333333333337</v>
          </cell>
          <cell r="AO194" t="str">
            <v/>
          </cell>
          <cell r="AW194" t="str">
            <v/>
          </cell>
          <cell r="AX194" t="str">
            <v/>
          </cell>
          <cell r="AZ194" t="str">
            <v/>
          </cell>
          <cell r="BA194" t="str">
            <v/>
          </cell>
          <cell r="BB194" t="str">
            <v/>
          </cell>
          <cell r="BC194" t="str">
            <v>PR100010448</v>
          </cell>
        </row>
        <row r="195">
          <cell r="B195" t="str">
            <v>PR100009929</v>
          </cell>
          <cell r="C195" t="str">
            <v>Jasa service Insulation Tester (meger) Fluke 1550C 5kV</v>
          </cell>
          <cell r="E195" t="str">
            <v/>
          </cell>
          <cell r="F195" t="str">
            <v/>
          </cell>
          <cell r="G195" t="str">
            <v/>
          </cell>
          <cell r="H195" t="str">
            <v>DEDE SUDARJI</v>
          </cell>
          <cell r="I195">
            <v>45677</v>
          </cell>
          <cell r="J195" t="str">
            <v>Tech Main</v>
          </cell>
          <cell r="K195" t="str">
            <v>J</v>
          </cell>
          <cell r="L195" t="str">
            <v>BID</v>
          </cell>
          <cell r="M195" t="str">
            <v>0019</v>
          </cell>
          <cell r="N195" t="str">
            <v>RH</v>
          </cell>
          <cell r="O195" t="str">
            <v>robertiagus.haposan@alamtri.com</v>
          </cell>
          <cell r="P195">
            <v>800</v>
          </cell>
          <cell r="Q195">
            <v>12800000</v>
          </cell>
          <cell r="R195" t="str">
            <v>CANCEL</v>
          </cell>
          <cell r="T195" t="str">
            <v>MSW</v>
          </cell>
          <cell r="U195" t="str">
            <v>Narmada Setia, PT
Siwali Swantika, PT
Prokalindo Global Presisi, PT
Global Quality Indonesia, PT
Fluke South East Pte Ltd
Karya Master Mandiri Indonesia, PT
Global Instrument Services, PT
Gaya Instrumentasi Numerik, PT</v>
          </cell>
          <cell r="V195" t="str">
            <v>Global Quality Indonesia, PT</v>
          </cell>
          <cell r="W195" t="str">
            <v>8 of 8</v>
          </cell>
          <cell r="X195" t="str">
            <v>1 of 8</v>
          </cell>
          <cell r="Y195">
            <v>45677</v>
          </cell>
          <cell r="Z195">
            <v>45688</v>
          </cell>
          <cell r="AA195" t="str">
            <v>Narmada Setia, PT
Siwali Swantika, PT
Global Quality Indonesia, PT
Tunas Dielektrika Nusantara, PT
Fluke South East Pte Ltd</v>
          </cell>
          <cell r="AB195" t="str">
            <v>Narmada Setia, PT
Global Quality Indonesia, PT</v>
          </cell>
          <cell r="AC195" t="str">
            <v>5 of 5</v>
          </cell>
          <cell r="AD195" t="str">
            <v>2 of 5</v>
          </cell>
          <cell r="AE195">
            <v>45691</v>
          </cell>
          <cell r="AF195">
            <v>45698</v>
          </cell>
          <cell r="AI195" t="str">
            <v xml:space="preserve"> of </v>
          </cell>
          <cell r="AJ195" t="str">
            <v xml:space="preserve"> of </v>
          </cell>
          <cell r="AM195">
            <v>0.70833333333333337</v>
          </cell>
          <cell r="AO195" t="str">
            <v/>
          </cell>
          <cell r="AR195">
            <v>45701</v>
          </cell>
          <cell r="AW195" t="str">
            <v/>
          </cell>
          <cell r="AX195" t="str">
            <v/>
          </cell>
          <cell r="AZ195" t="str">
            <v/>
          </cell>
          <cell r="BA195" t="str">
            <v/>
          </cell>
          <cell r="BB195" t="str">
            <v/>
          </cell>
          <cell r="BC195" t="str">
            <v>PR100009929</v>
          </cell>
        </row>
        <row r="196">
          <cell r="B196" t="str">
            <v>PR100009906</v>
          </cell>
          <cell r="C196" t="str">
            <v>Biaya Sewa dan Instalasi SDWAN</v>
          </cell>
          <cell r="E196" t="str">
            <v/>
          </cell>
          <cell r="F196" t="str">
            <v/>
          </cell>
          <cell r="G196" t="str">
            <v/>
          </cell>
          <cell r="H196" t="str">
            <v>SIGIT TRI ANGGODO</v>
          </cell>
          <cell r="I196">
            <v>45677</v>
          </cell>
          <cell r="J196" t="str">
            <v>IT</v>
          </cell>
          <cell r="K196" t="str">
            <v>J</v>
          </cell>
          <cell r="L196" t="str">
            <v>IOM</v>
          </cell>
          <cell r="N196" t="str">
            <v>RH</v>
          </cell>
          <cell r="O196" t="str">
            <v>robertiagus.haposan@alamtri.com</v>
          </cell>
          <cell r="Q196" t="str">
            <v/>
          </cell>
          <cell r="R196" t="str">
            <v>CANCEL</v>
          </cell>
          <cell r="T196" t="str">
            <v>MSW</v>
          </cell>
          <cell r="V196" t="str">
            <v/>
          </cell>
          <cell r="W196" t="str">
            <v xml:space="preserve"> of </v>
          </cell>
          <cell r="X196" t="str">
            <v xml:space="preserve"> of </v>
          </cell>
          <cell r="Z196" t="str">
            <v/>
          </cell>
          <cell r="AC196" t="str">
            <v xml:space="preserve"> of </v>
          </cell>
          <cell r="AD196" t="str">
            <v xml:space="preserve"> of </v>
          </cell>
          <cell r="AF196" t="str">
            <v/>
          </cell>
          <cell r="AI196" t="str">
            <v xml:space="preserve"> of </v>
          </cell>
          <cell r="AJ196" t="str">
            <v xml:space="preserve"> of </v>
          </cell>
          <cell r="AM196">
            <v>0.70833333333333337</v>
          </cell>
          <cell r="AO196" t="str">
            <v/>
          </cell>
          <cell r="AW196" t="str">
            <v/>
          </cell>
          <cell r="AX196" t="str">
            <v/>
          </cell>
          <cell r="AZ196" t="str">
            <v/>
          </cell>
          <cell r="BA196" t="str">
            <v/>
          </cell>
          <cell r="BB196" t="str">
            <v/>
          </cell>
          <cell r="BC196" t="str">
            <v>PR100009906</v>
          </cell>
        </row>
        <row r="197">
          <cell r="B197" t="str">
            <v>PR100010051</v>
          </cell>
          <cell r="C197" t="str">
            <v>Spare part Conveyor lamp for CHP area</v>
          </cell>
          <cell r="E197" t="str">
            <v/>
          </cell>
          <cell r="F197" t="str">
            <v/>
          </cell>
          <cell r="G197" t="str">
            <v/>
          </cell>
          <cell r="H197" t="str">
            <v>DEDE SUDARJI</v>
          </cell>
          <cell r="I197">
            <v>45698</v>
          </cell>
          <cell r="J197" t="str">
            <v>Tech Main</v>
          </cell>
          <cell r="K197" t="str">
            <v>B</v>
          </cell>
          <cell r="L197" t="str">
            <v>BID</v>
          </cell>
          <cell r="M197" t="str">
            <v>0068</v>
          </cell>
          <cell r="N197" t="str">
            <v>RH</v>
          </cell>
          <cell r="O197" t="str">
            <v>robertiagus.haposan@alamtri.com</v>
          </cell>
          <cell r="P197">
            <v>11424</v>
          </cell>
          <cell r="Q197">
            <v>182784000</v>
          </cell>
          <cell r="R197" t="str">
            <v>CANCEL</v>
          </cell>
          <cell r="T197" t="str">
            <v>MSW</v>
          </cell>
          <cell r="U197" t="str">
            <v>Gema Industrial, PT
Greentek Elektrikal Indonesia, PT
Borneo Maju Jaya, PT
Perwira Sentra Officindo, PT
Ganesha Wirya Pratama, PT
Duta Teknik Perkasa, PT
Alfa Teknik Mandiri Makmur, PT
Ellight Prima Indonesia, PT</v>
          </cell>
          <cell r="V197" t="str">
            <v>Greentek Elektrikal Indonesia, PT
Borneo Maju Jaya, PT
Ganesha Wirya Pratama, PT
Elang Mas Indoasia, PT
Alfa Teknik Mandiri Makmur, PT
Mega Citra Bestari, PT</v>
          </cell>
          <cell r="W197" t="str">
            <v>8 of 8</v>
          </cell>
          <cell r="X197" t="str">
            <v>6 of 8</v>
          </cell>
          <cell r="Y197">
            <v>45699</v>
          </cell>
          <cell r="Z197">
            <v>45706</v>
          </cell>
          <cell r="AA197" t="str">
            <v xml:space="preserve">
Greentek Elektrikal Indonesia, PT
Borneo Maju Jaya, PT
Ganesha Wirya Pratama, PT
Elang Mas Indoasia, PT
Alfa Teknik Mandiri Makmur, PT
Lienetic Jaya, PT
Kin Kitra Kencana, PT
Perwira Sentra Officindo, PT
Gema Industrial, PT
Duta Teknik Perkasa, PT
Ellight Prima Indonesia, PT
Berkat Cahaya Cemerlang
Sinarmonas Industries, PT
Mitra Technic Indonesia, CV
Mega Citra Bestari, PT</v>
          </cell>
          <cell r="AC197" t="str">
            <v>16 of 16</v>
          </cell>
          <cell r="AD197" t="str">
            <v xml:space="preserve"> of 16</v>
          </cell>
          <cell r="AF197" t="str">
            <v/>
          </cell>
          <cell r="AI197" t="str">
            <v xml:space="preserve"> of </v>
          </cell>
          <cell r="AJ197" t="str">
            <v xml:space="preserve"> of </v>
          </cell>
          <cell r="AM197">
            <v>0.70833333333333337</v>
          </cell>
          <cell r="AO197" t="str">
            <v/>
          </cell>
          <cell r="AR197">
            <v>45728</v>
          </cell>
          <cell r="AW197" t="str">
            <v/>
          </cell>
          <cell r="AX197" t="str">
            <v/>
          </cell>
          <cell r="AZ197" t="str">
            <v/>
          </cell>
          <cell r="BA197" t="str">
            <v/>
          </cell>
          <cell r="BB197" t="str">
            <v/>
          </cell>
          <cell r="BC197" t="str">
            <v>PR100010051</v>
          </cell>
        </row>
        <row r="198">
          <cell r="B198" t="str">
            <v>PR100010050</v>
          </cell>
          <cell r="C198" t="str">
            <v>Spare part Floodlight lamp for CHP and sand screen area</v>
          </cell>
          <cell r="E198" t="str">
            <v/>
          </cell>
          <cell r="F198" t="str">
            <v/>
          </cell>
          <cell r="G198" t="str">
            <v/>
          </cell>
          <cell r="H198" t="str">
            <v>DEDE SUDARJI</v>
          </cell>
          <cell r="I198">
            <v>45698</v>
          </cell>
          <cell r="J198" t="str">
            <v>Tech Main</v>
          </cell>
          <cell r="K198" t="str">
            <v>B</v>
          </cell>
          <cell r="L198" t="str">
            <v>BID</v>
          </cell>
          <cell r="M198" t="str">
            <v>0067</v>
          </cell>
          <cell r="N198" t="str">
            <v>RH</v>
          </cell>
          <cell r="O198" t="str">
            <v>robertiagus.haposan@alamtri.com</v>
          </cell>
          <cell r="P198">
            <v>10421.5906</v>
          </cell>
          <cell r="Q198">
            <v>166745449.59999999</v>
          </cell>
          <cell r="R198" t="str">
            <v>CANCEL</v>
          </cell>
          <cell r="T198" t="str">
            <v>MSW</v>
          </cell>
          <cell r="U198" t="str">
            <v>Gema Industrial, PT
Greentek Elektrikal Indonesia, PT
Borneo Maju Jaya, PT
Perwira Sentra Officindo, PT
Elang Mas Indoasia, PT
Duta Teknik Perkasa, PT
Alfa Teknik Mandiri Makmur, PT
Indoparts, CV
Anugrah Mandiri Putra Tabalong, PT
Ganesha Wirya Pratama, PT</v>
          </cell>
          <cell r="V198" t="str">
            <v>Borneo Maju Jaya, PT
Elang Mas Indoasia, PT
Ganesha Wirya Pratama, PT
Alfa Teknik Mandiri Makmur, PT
Mega Citra Bestari, PT</v>
          </cell>
          <cell r="W198" t="str">
            <v>10 of 10</v>
          </cell>
          <cell r="X198" t="str">
            <v>5 of 10</v>
          </cell>
          <cell r="Y198">
            <v>45699</v>
          </cell>
          <cell r="Z198">
            <v>45706</v>
          </cell>
          <cell r="AA198" t="str">
            <v xml:space="preserve">
Greentek Elektrikal Indonesia, PT
Borneo Maju Jaya, PT
Ganesha Wirya Pratama, PT
Elang Mas Indoasia, PT
Alfa Teknik Mandiri Makmur, PT
Lienetic Jaya, PT
Kin Kitra Kencana, PT
Perwira Sentra Officindo, PT
Gema Industrial, PT
Duta Teknik Perkasa, PT
Ellight Prima Indonesia, PT
Berkat Cahaya Cemerlang
Sinarmonas Industries, PT
Mitra Technic Indonesia, CV
Mega Citra Bestari, PT</v>
          </cell>
          <cell r="AC198" t="str">
            <v>16 of 16</v>
          </cell>
          <cell r="AD198" t="str">
            <v xml:space="preserve"> of 16</v>
          </cell>
          <cell r="AF198" t="str">
            <v/>
          </cell>
          <cell r="AI198" t="str">
            <v xml:space="preserve"> of </v>
          </cell>
          <cell r="AJ198" t="str">
            <v xml:space="preserve"> of </v>
          </cell>
          <cell r="AM198">
            <v>0.70833333333333337</v>
          </cell>
          <cell r="AO198" t="str">
            <v/>
          </cell>
          <cell r="AR198">
            <v>45728</v>
          </cell>
          <cell r="AW198" t="str">
            <v/>
          </cell>
          <cell r="AX198" t="str">
            <v/>
          </cell>
          <cell r="AZ198" t="str">
            <v/>
          </cell>
          <cell r="BA198" t="str">
            <v/>
          </cell>
          <cell r="BB198" t="str">
            <v/>
          </cell>
          <cell r="BC198" t="str">
            <v>PR100010050</v>
          </cell>
        </row>
        <row r="199">
          <cell r="B199" t="str">
            <v>PR100010054</v>
          </cell>
          <cell r="C199" t="str">
            <v>Spare part High Bay Lamp for Building Facilities dan Street Lighting</v>
          </cell>
          <cell r="E199" t="str">
            <v/>
          </cell>
          <cell r="F199" t="str">
            <v/>
          </cell>
          <cell r="G199" t="str">
            <v/>
          </cell>
          <cell r="H199" t="str">
            <v>DEDE SUDARJI</v>
          </cell>
          <cell r="I199">
            <v>45698</v>
          </cell>
          <cell r="J199" t="str">
            <v>Tech Main</v>
          </cell>
          <cell r="K199" t="str">
            <v>B</v>
          </cell>
          <cell r="L199" t="str">
            <v>BID</v>
          </cell>
          <cell r="M199" t="str">
            <v>0069</v>
          </cell>
          <cell r="N199" t="str">
            <v>RH</v>
          </cell>
          <cell r="O199" t="str">
            <v>robertiagus.haposan@alamtri.com</v>
          </cell>
          <cell r="P199">
            <v>8841.8539999999994</v>
          </cell>
          <cell r="Q199">
            <v>141469664</v>
          </cell>
          <cell r="R199" t="str">
            <v>CANCEL</v>
          </cell>
          <cell r="T199" t="str">
            <v>MSW</v>
          </cell>
          <cell r="U199" t="str">
            <v>Gema Industrial, PT
Greentek Elektrikal Indonesia, PT
Borneo Maju Jaya, PT
Perwira Sentra Officindo, PT
Elang Mas Indoasia, PT
Duta Teknik Perkasa, PT
Alfa Teknik Mandiri Makmur, PT
Indoparts, CV
Anugrah Mandiri Putra Tabalong, PT
Ganesha Wirya Pratama, PT</v>
          </cell>
          <cell r="V199" t="str">
            <v>Borneo Maju Jaya, PT
Alfa Teknik Mandiri Makmur, PT
Ganesha Wirya Pratama, PT
Elang Mas Indoasia, PT
Mega Citra Bestari, PT</v>
          </cell>
          <cell r="W199" t="str">
            <v>10 of 10</v>
          </cell>
          <cell r="X199" t="str">
            <v>5 of 10</v>
          </cell>
          <cell r="Y199">
            <v>45699</v>
          </cell>
          <cell r="Z199">
            <v>45706</v>
          </cell>
          <cell r="AA199" t="str">
            <v xml:space="preserve">
Greentek Elektrikal Indonesia, PT
Borneo Maju Jaya, PT
Ganesha Wirya Pratama, PT
Elang Mas Indoasia, PT
Alfa Teknik Mandiri Makmur, PT
Lienetic Jaya, PT
Kin Kitra Kencana, PT
Perwira Sentra Officindo, PT
Gema Industrial, PT
Duta Teknik Perkasa, PT
Ellight Prima Indonesia, PT
Berkat Cahaya Cemerlang
Sinarmonas Industries, PT
Mitra Technic Indonesia, CV
Mega Citra Bestari, PT</v>
          </cell>
          <cell r="AC199" t="str">
            <v>16 of 16</v>
          </cell>
          <cell r="AD199" t="str">
            <v xml:space="preserve"> of 16</v>
          </cell>
          <cell r="AF199" t="str">
            <v/>
          </cell>
          <cell r="AI199" t="str">
            <v xml:space="preserve"> of </v>
          </cell>
          <cell r="AJ199" t="str">
            <v xml:space="preserve"> of </v>
          </cell>
          <cell r="AM199">
            <v>0.70833333333333337</v>
          </cell>
          <cell r="AO199" t="str">
            <v/>
          </cell>
          <cell r="AR199">
            <v>45728</v>
          </cell>
          <cell r="AW199" t="str">
            <v/>
          </cell>
          <cell r="AX199" t="str">
            <v/>
          </cell>
          <cell r="AZ199" t="str">
            <v/>
          </cell>
          <cell r="BA199" t="str">
            <v/>
          </cell>
          <cell r="BB199" t="str">
            <v/>
          </cell>
          <cell r="BC199" t="str">
            <v>PR100010054</v>
          </cell>
        </row>
        <row r="200">
          <cell r="B200" t="str">
            <v>PR100009928 (Line 3)</v>
          </cell>
          <cell r="C200" t="str">
            <v>Sparepart Transmitter Boiler</v>
          </cell>
          <cell r="E200" t="str">
            <v/>
          </cell>
          <cell r="F200" t="str">
            <v/>
          </cell>
          <cell r="G200" t="str">
            <v/>
          </cell>
          <cell r="H200" t="str">
            <v>DEDE SUDARJI</v>
          </cell>
          <cell r="I200">
            <v>45677</v>
          </cell>
          <cell r="J200" t="str">
            <v>Tech Main</v>
          </cell>
          <cell r="K200" t="str">
            <v>B</v>
          </cell>
          <cell r="L200" t="str">
            <v>BID</v>
          </cell>
          <cell r="M200" t="str">
            <v>0023</v>
          </cell>
          <cell r="N200" t="str">
            <v>RH</v>
          </cell>
          <cell r="O200" t="str">
            <v>robertiagus.haposan@alamtri.com</v>
          </cell>
          <cell r="P200">
            <v>1500</v>
          </cell>
          <cell r="Q200">
            <v>24000000</v>
          </cell>
          <cell r="R200" t="str">
            <v>CANCEL</v>
          </cell>
          <cell r="S200" t="str">
            <v>Tidak bisa dibeli secara part sehingga di CANCEL</v>
          </cell>
          <cell r="T200" t="str">
            <v>MSW</v>
          </cell>
          <cell r="U200" t="str">
            <v>Kin Kitra Kencana, PT
Putera Instrumenindo, PT
Gema Industrial, PT
Gading Mas Utama, PT
Sola Anugerah Oilfield, PT
Golden Pratama Engineering, PT
Artam Borneo Automatika, PT
Petrocom Nusa Synergy, PT
Taman Baru , PT
Vhipa Mulia Pratama, PT</v>
          </cell>
          <cell r="V200" t="str">
            <v>Kin Kitra Kencana, PT
Gading Mas Utama, PT
Artam Borneo Automatika, PT</v>
          </cell>
          <cell r="W200" t="str">
            <v>10 of 10</v>
          </cell>
          <cell r="X200" t="str">
            <v>3 of 10</v>
          </cell>
          <cell r="Y200">
            <v>45677</v>
          </cell>
          <cell r="Z200">
            <v>45688</v>
          </cell>
          <cell r="AA200" t="str">
            <v>Lienetic Jaya, PT
Kin Kitra Kencana, PT
Alfa Teknik Mandiri Makmur, PT
Amanda Sejahtera Abadi, PT
Dycom Engineering, PT
Karya Energi Indonesia, PT
Gevana, PT</v>
          </cell>
          <cell r="AB200" t="str">
            <v>Alfa Teknik Mandiri Makmur, PT</v>
          </cell>
          <cell r="AC200" t="str">
            <v>7 of 7</v>
          </cell>
          <cell r="AD200" t="str">
            <v>1 of 7</v>
          </cell>
          <cell r="AE200">
            <v>45712</v>
          </cell>
          <cell r="AF200">
            <v>45719</v>
          </cell>
          <cell r="AG200" t="str">
            <v>Lienetic Jaya, PT
Duta Sarana Engineering, PT
Alfa Teknik Mandiri Makmur, PT
Adijaya Mitra Perkasa, PT
Firetech Perkasa, PT
Lima Makmur Jaya, PT
Maju Langgeng Mandiri, PT
Hanju Nusantara Power, PT
Afghan Jaya Abadi, PT
Norgantara Andalan Mandiri Indonesia, PT
ODG Indonesia, PT</v>
          </cell>
          <cell r="AH200" t="str">
            <v>Alfa Teknik Mandiri Makmur, PT</v>
          </cell>
          <cell r="AI200" t="str">
            <v>11 of 11</v>
          </cell>
          <cell r="AJ200" t="str">
            <v>1 of 11</v>
          </cell>
          <cell r="AK200">
            <v>45769</v>
          </cell>
          <cell r="AL200">
            <v>45786</v>
          </cell>
          <cell r="AM200">
            <v>0.70833333333333337</v>
          </cell>
          <cell r="AO200" t="str">
            <v/>
          </cell>
          <cell r="AW200" t="str">
            <v/>
          </cell>
          <cell r="AX200" t="str">
            <v/>
          </cell>
          <cell r="AZ200" t="str">
            <v/>
          </cell>
          <cell r="BA200" t="str">
            <v/>
          </cell>
          <cell r="BB200" t="str">
            <v/>
          </cell>
          <cell r="BC200" t="str">
            <v>PR100009928</v>
          </cell>
        </row>
        <row r="201">
          <cell r="B201" t="str">
            <v>PR100009913 (Line 5)</v>
          </cell>
          <cell r="C201" t="str">
            <v>Sparepart Fire Fighting System</v>
          </cell>
          <cell r="E201" t="str">
            <v/>
          </cell>
          <cell r="F201" t="str">
            <v/>
          </cell>
          <cell r="G201" t="str">
            <v/>
          </cell>
          <cell r="H201" t="str">
            <v>DEDE SUDARJI</v>
          </cell>
          <cell r="I201">
            <v>45677</v>
          </cell>
          <cell r="J201" t="str">
            <v>Tech Main</v>
          </cell>
          <cell r="K201" t="str">
            <v>B</v>
          </cell>
          <cell r="L201" t="str">
            <v>BID</v>
          </cell>
          <cell r="M201" t="str">
            <v>0020</v>
          </cell>
          <cell r="N201" t="str">
            <v>RH</v>
          </cell>
          <cell r="O201" t="str">
            <v>robertiagus.haposan@alamtri.com</v>
          </cell>
          <cell r="P201">
            <v>1323.8050000000001</v>
          </cell>
          <cell r="Q201">
            <v>21180880</v>
          </cell>
          <cell r="R201" t="str">
            <v>CANCEL</v>
          </cell>
          <cell r="S201" t="str">
            <v>Tidak bisa dibeli secara part sehingga di CANCEL</v>
          </cell>
          <cell r="T201" t="str">
            <v>MSW</v>
          </cell>
          <cell r="U201" t="str">
            <v>ODG Indonesia, PT
Perwira Sentra Officindo, PT
Indoparts, CV
Norgantara Andalan Mandiri Indonesia, PT
Gema Industrial, PT
Vhipa Mulia Pratama, PT
Antares Jaya Gemilang Prima, PT
Kin Kitra Kencana, PT
Putera Instrumenindo, PT
Mitra Energi Abadi, PT</v>
          </cell>
          <cell r="V201" t="str">
            <v/>
          </cell>
          <cell r="W201" t="str">
            <v>10 of 10</v>
          </cell>
          <cell r="X201" t="str">
            <v xml:space="preserve"> of 10</v>
          </cell>
          <cell r="Y201">
            <v>45677</v>
          </cell>
          <cell r="Z201">
            <v>45688</v>
          </cell>
          <cell r="AA201" t="str">
            <v>Antares Jaya Gemilang Prima, PT
Norgantara Andalan Mandiri Indonesia, PT
ODG Indonesia, PT
Putera Instrumenindo, PT
Kin Kitra Kencana, PT
Alfa Teknik Mandiri Makmur, PT
Mitra Energi Abadi, PT
Dinar Utama Kalimantan, PT</v>
          </cell>
          <cell r="AB201" t="str">
            <v>Antares Jaya Gemilang Prima, PT
Norgantara Andalan Mandiri Indonesia, PT
ODG Indonesia, PT</v>
          </cell>
          <cell r="AC201" t="str">
            <v>8 of 8</v>
          </cell>
          <cell r="AD201" t="str">
            <v>3 of 8</v>
          </cell>
          <cell r="AE201">
            <v>45661</v>
          </cell>
          <cell r="AF201">
            <v>45670</v>
          </cell>
          <cell r="AG201" t="str">
            <v>Lienetic Jaya, PT
Duta Sarana Engineering, PT
Alfa Teknik Mandiri Makmur, PT
Adijaya Mitra Perkasa, PT
Firetech Perkasa, PT
Lima Makmur Jaya, PT
Maju Langgeng Mandiri, PT
Hanju Nusantara Power, PT
Afghan Jaya Abadi, PT
Norgantara Andalan Mandiri Indonesia, PT
ODG Indonesia, PT</v>
          </cell>
          <cell r="AH201" t="str">
            <v>Alfa Teknik Mandiri Makmur, PT</v>
          </cell>
          <cell r="AI201" t="str">
            <v>11 of 11</v>
          </cell>
          <cell r="AJ201" t="str">
            <v>1 of 11</v>
          </cell>
          <cell r="AK201">
            <v>45769</v>
          </cell>
          <cell r="AL201">
            <v>45776</v>
          </cell>
          <cell r="AM201">
            <v>0.70833333333333337</v>
          </cell>
          <cell r="AO201" t="str">
            <v/>
          </cell>
          <cell r="AW201" t="str">
            <v/>
          </cell>
          <cell r="AX201" t="str">
            <v/>
          </cell>
          <cell r="AZ201" t="str">
            <v/>
          </cell>
          <cell r="BA201" t="str">
            <v/>
          </cell>
          <cell r="BB201" t="str">
            <v/>
          </cell>
          <cell r="BC201" t="str">
            <v>PR100009913</v>
          </cell>
        </row>
        <row r="202">
          <cell r="B202" t="str">
            <v>PR100010294</v>
          </cell>
          <cell r="C202" t="str">
            <v>Jasa Service Tools Electric Hydraulic Puller</v>
          </cell>
          <cell r="E202" t="str">
            <v/>
          </cell>
          <cell r="F202" t="str">
            <v/>
          </cell>
          <cell r="G202" t="str">
            <v/>
          </cell>
          <cell r="H202" t="str">
            <v>DEDE SUDARJI</v>
          </cell>
          <cell r="I202">
            <v>45772</v>
          </cell>
          <cell r="J202" t="str">
            <v>Tech Main</v>
          </cell>
          <cell r="K202" t="str">
            <v>J</v>
          </cell>
          <cell r="L202" t="str">
            <v>BID</v>
          </cell>
          <cell r="M202" t="str">
            <v>0142</v>
          </cell>
          <cell r="N202" t="str">
            <v>RH</v>
          </cell>
          <cell r="O202" t="str">
            <v>robertiagus.haposan@alamtri.com</v>
          </cell>
          <cell r="P202">
            <v>800</v>
          </cell>
          <cell r="Q202">
            <v>12800000</v>
          </cell>
          <cell r="R202" t="str">
            <v>CANCEL</v>
          </cell>
          <cell r="S202" t="str">
            <v>Daripada diperbaiki malah lebih mahal daripada beli baru</v>
          </cell>
          <cell r="T202" t="str">
            <v>MSW</v>
          </cell>
          <cell r="U202" t="str">
            <v>Xservice, CV
Panca Tehnik Tanjung, PT
Amanda Sejahtera Abadi, PT
Gapura Kembar Teknindo, PT
Adijaya Mitra Perkasa, PT
Tjokro Bersaudara Banjarindo, PT
Cakra Perkasa Jayamulia, PT
Sriwijaya Teknik Utama, PT
Cipta Hydropower Abadi, PT
Agrindo Kalimantan Lestari, PT
Central Hydraulic Indonesia, PT
Pandu Hydro Pneumatics, PT
Bumi Intan Gemilang, PT
Misuba Guna Indonesia, PT</v>
          </cell>
          <cell r="V202" t="str">
            <v/>
          </cell>
          <cell r="W202" t="str">
            <v>14 of 14</v>
          </cell>
          <cell r="X202" t="str">
            <v xml:space="preserve"> of 14</v>
          </cell>
          <cell r="Y202">
            <v>45785</v>
          </cell>
          <cell r="Z202">
            <v>45796</v>
          </cell>
          <cell r="AC202" t="str">
            <v xml:space="preserve"> of </v>
          </cell>
          <cell r="AD202" t="str">
            <v xml:space="preserve"> of </v>
          </cell>
          <cell r="AF202" t="str">
            <v/>
          </cell>
          <cell r="AI202" t="str">
            <v xml:space="preserve"> of </v>
          </cell>
          <cell r="AJ202" t="str">
            <v xml:space="preserve"> of </v>
          </cell>
          <cell r="AL202" t="str">
            <v/>
          </cell>
          <cell r="AM202">
            <v>0.70833333333333337</v>
          </cell>
          <cell r="AO202" t="str">
            <v/>
          </cell>
          <cell r="AW202" t="str">
            <v/>
          </cell>
          <cell r="AX202" t="str">
            <v/>
          </cell>
          <cell r="AZ202" t="str">
            <v/>
          </cell>
          <cell r="BA202" t="str">
            <v/>
          </cell>
          <cell r="BB202" t="str">
            <v/>
          </cell>
          <cell r="BC202" t="str">
            <v>PR100010294</v>
          </cell>
        </row>
        <row r="203">
          <cell r="B203" t="str">
            <v>PR100010360</v>
          </cell>
          <cell r="C203" t="str">
            <v>Pekerjaan Pemasangan Arrester pada Recloser 20kV (Attachment)</v>
          </cell>
          <cell r="E203" t="str">
            <v/>
          </cell>
          <cell r="F203" t="str">
            <v/>
          </cell>
          <cell r="G203" t="str">
            <v/>
          </cell>
          <cell r="H203" t="str">
            <v>GUNARA FERY FAHNANI</v>
          </cell>
          <cell r="I203">
            <v>45797</v>
          </cell>
          <cell r="J203" t="str">
            <v>Tech Eng</v>
          </cell>
          <cell r="K203" t="str">
            <v>J</v>
          </cell>
          <cell r="L203" t="str">
            <v>BID</v>
          </cell>
          <cell r="M203" t="str">
            <v>0155</v>
          </cell>
          <cell r="N203" t="str">
            <v>RH</v>
          </cell>
          <cell r="O203" t="str">
            <v>robertiagus.haposan@alamtri.com</v>
          </cell>
          <cell r="P203">
            <v>7275</v>
          </cell>
          <cell r="Q203">
            <v>116400000</v>
          </cell>
          <cell r="R203" t="str">
            <v>CANCEL</v>
          </cell>
          <cell r="T203" t="str">
            <v>MSW</v>
          </cell>
          <cell r="U203" t="str">
            <v>Rinas Bangun Sejahtera, PT
DCT Total Solutions, PT
AMB Indonesia, PT
Graha Usaha Teknik, PT
Berkat Mandiri Utama Tanjung, PT
Tabalong Inti Mitra, PT
Kalimantan Teknik Mandiri, PT
Westindo Esa Perkasa, PT
Panca Tehnik Tanjung, PT
Jaya Induksi Elektrik, PT
Gridtech Indonesia, PT
Dwijaya Sentral Sarana, PT</v>
          </cell>
          <cell r="V203" t="str">
            <v/>
          </cell>
          <cell r="W203" t="str">
            <v>12 of 12</v>
          </cell>
          <cell r="X203" t="str">
            <v xml:space="preserve"> of 12</v>
          </cell>
          <cell r="Y203">
            <v>45799</v>
          </cell>
          <cell r="Z203">
            <v>45811</v>
          </cell>
          <cell r="AC203" t="str">
            <v xml:space="preserve"> of </v>
          </cell>
          <cell r="AD203" t="str">
            <v xml:space="preserve"> of </v>
          </cell>
          <cell r="AF203" t="str">
            <v/>
          </cell>
          <cell r="AI203" t="str">
            <v xml:space="preserve"> of </v>
          </cell>
          <cell r="AJ203" t="str">
            <v xml:space="preserve"> of </v>
          </cell>
          <cell r="AL203" t="str">
            <v/>
          </cell>
          <cell r="AM203">
            <v>0.70833333333333337</v>
          </cell>
          <cell r="AO203" t="str">
            <v/>
          </cell>
          <cell r="AW203" t="str">
            <v/>
          </cell>
          <cell r="AX203" t="str">
            <v/>
          </cell>
          <cell r="AZ203" t="str">
            <v/>
          </cell>
          <cell r="BA203" t="str">
            <v/>
          </cell>
          <cell r="BB203" t="str">
            <v/>
          </cell>
          <cell r="BC203" t="str">
            <v>PR100010360</v>
          </cell>
        </row>
        <row r="204">
          <cell r="B204" t="str">
            <v>PR100010296 (Line 11)</v>
          </cell>
          <cell r="C204" t="str">
            <v>Material Baut Skun Grounding, &amp; Tools Project PLTS 200KWP 2025</v>
          </cell>
          <cell r="E204" t="str">
            <v/>
          </cell>
          <cell r="F204" t="str">
            <v/>
          </cell>
          <cell r="G204" t="str">
            <v/>
          </cell>
          <cell r="H204" t="str">
            <v>GUNARA FERY FAHNANI</v>
          </cell>
          <cell r="I204">
            <v>45817</v>
          </cell>
          <cell r="J204" t="str">
            <v>Tech Eng</v>
          </cell>
          <cell r="K204" t="str">
            <v>B</v>
          </cell>
          <cell r="L204" t="str">
            <v>BID</v>
          </cell>
          <cell r="M204" t="str">
            <v>0154</v>
          </cell>
          <cell r="N204" t="str">
            <v>RH</v>
          </cell>
          <cell r="O204" t="str">
            <v>robertiagus.haposan@alamtri.com</v>
          </cell>
          <cell r="P204">
            <v>9861.3295999999991</v>
          </cell>
          <cell r="Q204">
            <v>157781273.59999999</v>
          </cell>
          <cell r="R204" t="str">
            <v>CANCEL</v>
          </cell>
          <cell r="S204" t="str">
            <v>Di CANCEL oleh User</v>
          </cell>
          <cell r="T204" t="str">
            <v>MSW</v>
          </cell>
          <cell r="U204" t="str">
            <v>Ganesha Wirya Pratama, PT
Perwira Sentra Officindo, PT
Siwali Swantika, PT
Berkat Pratama Teknik, CV
Axel Jaya Cakraniaga, PT
Sola Anugerah Oilfield, PT
Alfa Teknik Mandiri Makmur, PT
Indoparts, CV
Radian Fokus Mandiri, CV
Quartee Technologies, PT
ALKS, CV
Alpha Bumi Persada, CV</v>
          </cell>
          <cell r="V204" t="str">
            <v>Ganesha Wirya Pratama, PT
Perwira Sentra Officindo, PT
Siwali Swantika, PT
Alpha Bumi Persada, CV</v>
          </cell>
          <cell r="W204" t="str">
            <v>12 of 12</v>
          </cell>
          <cell r="X204" t="str">
            <v>4 of 12</v>
          </cell>
          <cell r="Y204">
            <v>45799</v>
          </cell>
          <cell r="Z204">
            <v>45813</v>
          </cell>
          <cell r="AC204" t="str">
            <v xml:space="preserve"> of </v>
          </cell>
          <cell r="AD204" t="str">
            <v xml:space="preserve"> of </v>
          </cell>
          <cell r="AF204" t="str">
            <v/>
          </cell>
          <cell r="AI204" t="str">
            <v xml:space="preserve"> of </v>
          </cell>
          <cell r="AJ204" t="str">
            <v xml:space="preserve"> of </v>
          </cell>
          <cell r="AL204" t="str">
            <v/>
          </cell>
          <cell r="AM204">
            <v>0.70833333333333337</v>
          </cell>
          <cell r="AO204" t="str">
            <v/>
          </cell>
          <cell r="AR204">
            <v>45824</v>
          </cell>
          <cell r="AS204">
            <v>45877</v>
          </cell>
          <cell r="AW204" t="str">
            <v/>
          </cell>
          <cell r="AX204" t="str">
            <v/>
          </cell>
          <cell r="AZ204" t="str">
            <v/>
          </cell>
          <cell r="BA204" t="str">
            <v/>
          </cell>
          <cell r="BB204" t="str">
            <v/>
          </cell>
          <cell r="BC204" t="str">
            <v>PR100010296</v>
          </cell>
        </row>
        <row r="205">
          <cell r="B205" t="str">
            <v>PR100010441 (Line 3)</v>
          </cell>
          <cell r="C205" t="str">
            <v>Pembelian part OH Unit 1</v>
          </cell>
          <cell r="D205" t="str">
            <v>Andalan Tiga Berlian, PT</v>
          </cell>
          <cell r="E205" t="str">
            <v>Pacific Tractor Indonesia, PT
Andalan Tiga Berlian, PT
Arita Prima Indonesia Tbk, PT
Alfa Teknik Mandiri Makmur, PT
Sola Anugerah Oilfield, PT
Alpha Bumi Persada, PT
Bosindo Jaya, PT
Perdana Surya Niaga, PT
Karindo Abadi Makmur, PT
Gevana, PT</v>
          </cell>
          <cell r="F205" t="str">
            <v>Pacific Tractor Indonesia, PT
Andalan Tiga Berlian, PT
Sola Anugerah Oilfield, PT
Alpha Bumi Persada, PT
Gevana, PT</v>
          </cell>
          <cell r="G205" t="str">
            <v>R1
5 of 10
28 Aug 25</v>
          </cell>
          <cell r="H205" t="str">
            <v>TOPAN BAYU PRAPTOMO</v>
          </cell>
          <cell r="I205">
            <v>45870</v>
          </cell>
          <cell r="J205" t="str">
            <v>Tech Main</v>
          </cell>
          <cell r="K205" t="str">
            <v>B</v>
          </cell>
          <cell r="L205" t="str">
            <v>BID</v>
          </cell>
          <cell r="M205">
            <v>214</v>
          </cell>
          <cell r="N205" t="str">
            <v>RH</v>
          </cell>
          <cell r="O205" t="str">
            <v>robertiagus.haposan@alamtri.com</v>
          </cell>
          <cell r="P205">
            <v>9663.9887999999992</v>
          </cell>
          <cell r="Q205">
            <v>154623820.79999998</v>
          </cell>
          <cell r="R205" t="str">
            <v>PO Sign Vendor</v>
          </cell>
          <cell r="T205" t="str">
            <v>MSW</v>
          </cell>
          <cell r="U205" t="str">
            <v>Andalan Tiga Berlian, PT
Alfa Teknik Mandiri Makmur, PT
Lienetic Jaya, PT
Vhipa Mulia Pratama, PT
Anugrah Mandiri Putra Tabalong, PT
Petrocom Nusa Synergy, PT
Gevana, PT
Pacific Tractor Indonesia, PT
Kawan Lama Solusi, PT
Arita Prima Indonesia Tbk, PT</v>
          </cell>
          <cell r="V205" t="str">
            <v>Pacific Tractor Indonesia, PT</v>
          </cell>
          <cell r="W205" t="str">
            <v>10 of 10</v>
          </cell>
          <cell r="X205" t="str">
            <v>1 of 10</v>
          </cell>
          <cell r="Y205">
            <v>45874</v>
          </cell>
          <cell r="Z205">
            <v>45881</v>
          </cell>
          <cell r="AA205" t="str">
            <v>Pacific Tractor Indonesia, PT
Andalan Tiga Berlian, PT
Arita Prima Indonesia Tbk, PT
Alfa Teknik Mandiri Makmur, PT
Sola Anugerah Oilfield, PT
Alpha Bumi Persada, PT
Bosindo Jaya, PT
Perdana Surya Niaga, PT
Karindo Abadi Makmur, PT
Gevana, PT</v>
          </cell>
          <cell r="AB205" t="str">
            <v>Pacific Tractor Indonesia, PT
Andalan Tiga Berlian, PT
Sola Anugerah Oilfield, PT
Alpha Bumi Persada, PT
Gevana, PT</v>
          </cell>
          <cell r="AC205" t="str">
            <v>10 of 10</v>
          </cell>
          <cell r="AD205" t="str">
            <v>5 of 10</v>
          </cell>
          <cell r="AE205">
            <v>45890</v>
          </cell>
          <cell r="AF205">
            <v>45897</v>
          </cell>
          <cell r="AI205" t="str">
            <v xml:space="preserve"> of </v>
          </cell>
          <cell r="AJ205" t="str">
            <v xml:space="preserve"> of </v>
          </cell>
          <cell r="AL205" t="str">
            <v/>
          </cell>
          <cell r="AM205">
            <v>0.70833333333333337</v>
          </cell>
          <cell r="AN205" t="str">
            <v>Andalan Tiga Berlian, PT</v>
          </cell>
          <cell r="AO205" t="str">
            <v>basuki@ptatb.co.id; dinda.sabilah@ptatb.co.id; sales@ptatb.co.id; denny.suria@ptatb.co.id</v>
          </cell>
          <cell r="AP205" t="str">
            <v>PO25000757</v>
          </cell>
          <cell r="AQ205">
            <v>20849500</v>
          </cell>
          <cell r="AR205">
            <v>45902</v>
          </cell>
          <cell r="AS205">
            <v>45924</v>
          </cell>
          <cell r="AT205">
            <v>45925</v>
          </cell>
          <cell r="AU205">
            <v>45966</v>
          </cell>
          <cell r="AV205">
            <v>45926</v>
          </cell>
          <cell r="AW205">
            <v>45967</v>
          </cell>
          <cell r="AX205">
            <v>5.8571428571428568</v>
          </cell>
          <cell r="AZ205" t="str">
            <v/>
          </cell>
          <cell r="BA205" t="str">
            <v/>
          </cell>
          <cell r="BB205" t="str">
            <v>Late Completed</v>
          </cell>
          <cell r="BC205" t="str">
            <v>PR100010441</v>
          </cell>
        </row>
        <row r="206">
          <cell r="B206" t="str">
            <v>PR100010441 (Line 10-11)</v>
          </cell>
          <cell r="C206" t="str">
            <v>Pembelian part OH Unit 1</v>
          </cell>
          <cell r="D206" t="str">
            <v>Andalan Tiga Berlian, PT</v>
          </cell>
          <cell r="E206" t="str">
            <v/>
          </cell>
          <cell r="F206" t="str">
            <v/>
          </cell>
          <cell r="G206" t="str">
            <v/>
          </cell>
          <cell r="H206" t="str">
            <v>TOPAN BAYU PRAPTOMO</v>
          </cell>
          <cell r="I206">
            <v>45870</v>
          </cell>
          <cell r="J206" t="str">
            <v>Tech Main</v>
          </cell>
          <cell r="K206" t="str">
            <v>B</v>
          </cell>
          <cell r="L206" t="str">
            <v>BID</v>
          </cell>
          <cell r="M206">
            <v>214</v>
          </cell>
          <cell r="N206" t="str">
            <v>RH</v>
          </cell>
          <cell r="O206" t="str">
            <v>robertiagus.haposan@alamtri.com</v>
          </cell>
          <cell r="P206">
            <v>1812.9277999999999</v>
          </cell>
          <cell r="Q206">
            <v>29006844.800000001</v>
          </cell>
          <cell r="R206" t="str">
            <v>CANCEL</v>
          </cell>
          <cell r="S206" t="str">
            <v>buatkan surat CANCEL</v>
          </cell>
          <cell r="T206" t="str">
            <v>MSW</v>
          </cell>
          <cell r="U206" t="str">
            <v>Andalan Tiga Berlian, PT
Alfa Teknik Mandiri Makmur, PT
Lienetic Jaya, PT
Vhipa Mulia Pratama, PT
Anugrah Mandiri Putra Tabalong, PT
Petrocom Nusa Synergy, PT
Gevana, PT
Pacific Tractor Indonesia, PT
Kawan Lama Solusi, PT
Arita Prima Indonesia Tbk, PT</v>
          </cell>
          <cell r="V206" t="str">
            <v>Pacific Tractor Indonesia, PT</v>
          </cell>
          <cell r="W206" t="str">
            <v>10 of 10</v>
          </cell>
          <cell r="X206" t="str">
            <v>1 of 10</v>
          </cell>
          <cell r="Y206">
            <v>45874</v>
          </cell>
          <cell r="Z206">
            <v>45881</v>
          </cell>
          <cell r="AA206" t="str">
            <v>Pacific Tractor Indonesia, PT
Andalan Tiga Berlian, PT
Arita Prima Indonesia Tbk, PT
Alfa Teknik Mandiri Makmur, PT
Sola Anugerah Oilfield, PT
Alpha Bumi Persada, PT
Bosindo Jaya, PT
Perdana Surya Niaga, PT
Karindo Abadi Makmur, PT
Gevana, PT</v>
          </cell>
          <cell r="AB206" t="str">
            <v>Pacific Tractor Indonesia, PT
Andalan Tiga Berlian, PT
Sola Anugerah Oilfield, PT
Alpha Bumi Persada, PT
Gevana, PT</v>
          </cell>
          <cell r="AC206" t="str">
            <v>10 of 10</v>
          </cell>
          <cell r="AD206" t="str">
            <v>5 of 10</v>
          </cell>
          <cell r="AE206">
            <v>45890</v>
          </cell>
          <cell r="AF206">
            <v>45897</v>
          </cell>
          <cell r="AG206" t="str">
            <v>Sola Anugerah Oilfield, PT
Arita Prima Indonesia Tbk, PT
Adijaya Mitra Perkasa, PT
Golden Pratama Engineering, PT
Vhipa Mulia Pratama, PT
Gevana, PT
Indo Makmur Mandiri, PT
Intani Jaya Semesta, PT</v>
          </cell>
          <cell r="AI206" t="str">
            <v>8 of 8</v>
          </cell>
          <cell r="AJ206" t="str">
            <v xml:space="preserve"> of 8</v>
          </cell>
          <cell r="AK206">
            <v>45924</v>
          </cell>
          <cell r="AL206">
            <v>45931</v>
          </cell>
          <cell r="AM206">
            <v>0.70833333333333337</v>
          </cell>
          <cell r="AO206" t="str">
            <v/>
          </cell>
          <cell r="AW206" t="str">
            <v/>
          </cell>
          <cell r="AX206" t="str">
            <v/>
          </cell>
          <cell r="AZ206" t="str">
            <v/>
          </cell>
          <cell r="BA206" t="str">
            <v/>
          </cell>
          <cell r="BB206" t="str">
            <v/>
          </cell>
          <cell r="BC206" t="str">
            <v>PR100010441</v>
          </cell>
        </row>
        <row r="207">
          <cell r="B207" t="str">
            <v>PR100010514 (Line 1-2)</v>
          </cell>
          <cell r="C207" t="str">
            <v>Sparepart Proximity</v>
          </cell>
          <cell r="E207" t="str">
            <v/>
          </cell>
          <cell r="F207" t="str">
            <v/>
          </cell>
          <cell r="G207" t="str">
            <v/>
          </cell>
          <cell r="H207" t="str">
            <v>DEDE SUDARJI</v>
          </cell>
          <cell r="I207">
            <v>45875</v>
          </cell>
          <cell r="J207" t="str">
            <v>Tech Main</v>
          </cell>
          <cell r="K207" t="str">
            <v>B</v>
          </cell>
          <cell r="L207" t="str">
            <v>BID</v>
          </cell>
          <cell r="M207">
            <v>234</v>
          </cell>
          <cell r="N207" t="str">
            <v>RH</v>
          </cell>
          <cell r="O207" t="str">
            <v>robertiagus.haposan@alamtri.com</v>
          </cell>
          <cell r="P207">
            <v>4107</v>
          </cell>
          <cell r="Q207">
            <v>65712000</v>
          </cell>
          <cell r="R207" t="str">
            <v>CANCEL</v>
          </cell>
          <cell r="S207" t="str">
            <v>menunggu review DS untuk spesifikasi atau ada gambarnya
dipindahkan ke PC0125-000000352 
ES 101225</v>
          </cell>
          <cell r="T207" t="str">
            <v>MSW</v>
          </cell>
          <cell r="U207" t="str">
            <v>Antares Jaya Gemilang Prima, PT
Kin Kitra Kencana, PT
Indoparts, CV
Elang Mas Indoasia, PT
Gema Industrial, PT
Sahabat Mitra Intrabuana, PT
Karya Energi Indonesia, PT
Afghan Jaya Abadi, PT
Gevana, PT
Sola Anugerah Oilfield, PT
Axel Jaya Cakraniaga, PT
Alpha Bumi Persada, PT
Gading Mas Utama, PT</v>
          </cell>
          <cell r="V207" t="str">
            <v>Antares Jaya Gemilang Prima, PT
Elang Mas Indoasia, PT</v>
          </cell>
          <cell r="W207" t="str">
            <v>13 of 13</v>
          </cell>
          <cell r="X207" t="str">
            <v>2 of 13</v>
          </cell>
          <cell r="Y207">
            <v>45887</v>
          </cell>
          <cell r="Z207">
            <v>45894</v>
          </cell>
          <cell r="AA207" t="str">
            <v>Antares Jaya Gemilang Prima, PT
Elang Mas Indoasia, PT
Promitra Prima Indonesia, PT
Control Systems Arena Para Nusa, PT
Alfa Teknik Mandiri Makmur, PT
Perwira Sentra Officindo, PT
Indo Tehnik Tanjung Tabalong, PT
Vhipa Mulia Pratama, PT</v>
          </cell>
          <cell r="AB207" t="str">
            <v>Antares Jaya Gemilang Prima, PT
Elang Mas Indoasia, PT
Promitra Prima Indonesia, PT</v>
          </cell>
          <cell r="AC207" t="str">
            <v>8 of 8</v>
          </cell>
          <cell r="AD207" t="str">
            <v>3 of 8</v>
          </cell>
          <cell r="AE207">
            <v>45896</v>
          </cell>
          <cell r="AF207">
            <v>45903</v>
          </cell>
          <cell r="AG207" t="str">
            <v>Elang Mas Indoasia, PT
Antares Jaya Gemilang Prima, PT
Gema Industrial, PT
Kin Kitra Kencana, PT
Rande Buana Teknik, PT
Trimitra Bangun Karyatama, PT
Sola Anugerah Oilfield, PT
Adika Mitra Sehati, PT
Gading Mas Utama, PT
Promitra Prima Indonesia, PT</v>
          </cell>
          <cell r="AH207" t="str">
            <v>Elang Mas Indoasia, PT
Trimitra Bangun Karyatama, PT</v>
          </cell>
          <cell r="AI207" t="str">
            <v>10 of 10</v>
          </cell>
          <cell r="AJ207" t="str">
            <v>2 of 10</v>
          </cell>
          <cell r="AK207">
            <v>45950</v>
          </cell>
          <cell r="AL207">
            <v>45957</v>
          </cell>
          <cell r="AM207">
            <v>0.70833333333333337</v>
          </cell>
          <cell r="AN207" t="str">
            <v>Trimitra Bangun Karyatama, PT</v>
          </cell>
          <cell r="AO207" t="str">
            <v/>
          </cell>
          <cell r="AR207">
            <v>45987</v>
          </cell>
          <cell r="AS207">
            <v>46010</v>
          </cell>
          <cell r="AW207" t="str">
            <v/>
          </cell>
          <cell r="AX207" t="str">
            <v/>
          </cell>
          <cell r="AZ207" t="str">
            <v/>
          </cell>
          <cell r="BA207" t="str">
            <v/>
          </cell>
          <cell r="BB207" t="str">
            <v/>
          </cell>
          <cell r="BC207" t="str">
            <v>PR100010514</v>
          </cell>
        </row>
        <row r="208">
          <cell r="B208" t="str">
            <v>PR100010512</v>
          </cell>
          <cell r="C208" t="str">
            <v>Material untuk DG 2x 40 Kva</v>
          </cell>
          <cell r="D208" t="str">
            <v>Alfa Teknik Mandiri Makmur, PT (Line 1-5)
Andalan Gaya Bhakti Pratama, PT (Line 6)</v>
          </cell>
          <cell r="E208" t="str">
            <v/>
          </cell>
          <cell r="F208" t="str">
            <v/>
          </cell>
          <cell r="G208" t="str">
            <v/>
          </cell>
          <cell r="H208" t="str">
            <v>SLAMET</v>
          </cell>
          <cell r="I208">
            <v>45923</v>
          </cell>
          <cell r="J208" t="str">
            <v>Tech Main</v>
          </cell>
          <cell r="K208" t="str">
            <v>B</v>
          </cell>
          <cell r="L208" t="str">
            <v>BID</v>
          </cell>
          <cell r="M208">
            <v>265</v>
          </cell>
          <cell r="N208" t="str">
            <v>RH</v>
          </cell>
          <cell r="O208" t="str">
            <v>robertiagus.haposan@alamtri.com</v>
          </cell>
          <cell r="P208">
            <v>1378.9708000000001</v>
          </cell>
          <cell r="Q208">
            <v>22063532.800000001</v>
          </cell>
          <cell r="R208" t="str">
            <v>CANCEL</v>
          </cell>
          <cell r="S208" t="str">
            <v>karena double PR karena sebelumnya ada perubahan pada line 6 karena pendobs</v>
          </cell>
          <cell r="T208" t="str">
            <v>MSW</v>
          </cell>
          <cell r="U208" t="str">
            <v>Alfa Teknik Mandiri Makmur, PT
Andalan Gaya Bhakti Pratama, PT
Kapuas Kencana Jaya, PT
Indo Jaya Perkasa Lubricant, PT
Bima Kaltim Utama, PT
Sentrapart Niaga Utama, PT
Aneka Mitra Cipta, PT
Cipta Dua Power Frans Diesel, PT
Gevana, PT
Sehati, CV</v>
          </cell>
          <cell r="W208" t="str">
            <v>10 of 10</v>
          </cell>
          <cell r="X208" t="str">
            <v xml:space="preserve"> of 10</v>
          </cell>
          <cell r="Y208">
            <v>45926</v>
          </cell>
          <cell r="Z208">
            <v>45933</v>
          </cell>
          <cell r="AC208" t="str">
            <v xml:space="preserve"> of </v>
          </cell>
          <cell r="AD208" t="str">
            <v xml:space="preserve"> of </v>
          </cell>
          <cell r="AF208" t="str">
            <v/>
          </cell>
          <cell r="AI208" t="str">
            <v xml:space="preserve"> of </v>
          </cell>
          <cell r="AJ208" t="str">
            <v xml:space="preserve"> of </v>
          </cell>
          <cell r="AL208" t="str">
            <v/>
          </cell>
          <cell r="AM208">
            <v>0.70833333333333337</v>
          </cell>
          <cell r="AO208" t="str">
            <v/>
          </cell>
          <cell r="AW208" t="str">
            <v/>
          </cell>
          <cell r="AX208" t="str">
            <v/>
          </cell>
          <cell r="AZ208" t="str">
            <v/>
          </cell>
          <cell r="BA208" t="str">
            <v/>
          </cell>
          <cell r="BB208" t="str">
            <v/>
          </cell>
          <cell r="BC208" t="str">
            <v/>
          </cell>
        </row>
        <row r="209">
          <cell r="B209" t="str">
            <v>PR100010715</v>
          </cell>
          <cell r="C209" t="str">
            <v>Sparepart Zirconia Oxygen</v>
          </cell>
          <cell r="D209" t="str">
            <v>Sinto Cahaya Tanamo, PT - Line 1</v>
          </cell>
          <cell r="E209" t="str">
            <v/>
          </cell>
          <cell r="F209" t="str">
            <v/>
          </cell>
          <cell r="G209" t="str">
            <v/>
          </cell>
          <cell r="H209" t="str">
            <v>DEDE SUDARJI</v>
          </cell>
          <cell r="I209">
            <v>45923</v>
          </cell>
          <cell r="J209" t="str">
            <v>Tech Main</v>
          </cell>
          <cell r="K209" t="str">
            <v>B</v>
          </cell>
          <cell r="L209" t="str">
            <v>BID</v>
          </cell>
          <cell r="M209">
            <v>266</v>
          </cell>
          <cell r="N209" t="str">
            <v>RH</v>
          </cell>
          <cell r="O209" t="str">
            <v>robertiagus.haposan@alamtri.com</v>
          </cell>
          <cell r="P209">
            <v>4478</v>
          </cell>
          <cell r="Q209">
            <v>71648000</v>
          </cell>
          <cell r="R209" t="str">
            <v>CANCEL</v>
          </cell>
          <cell r="S209" t="str">
            <v>dipindahkan ke 
PC0125-000000851 (line 1)
PC0125-000000397 (line 2)</v>
          </cell>
          <cell r="T209" t="str">
            <v>MSW</v>
          </cell>
          <cell r="U209" t="str">
            <v>Dayaniaga Ekaselaras, PT
Putra Andalan Perkasa, PT
Mulia Solusindo, PT
Alfa Teknik Mandiri Makmur, PT
Perwira Sentra Officindo, PT
Gevana, PT
Sola Anugerah Oilfield, PT
Putera Instrumenindo, PT
Vhipa Mulia Pratama, PT
Lienetic Jaya, PT</v>
          </cell>
          <cell r="V209" t="str">
            <v>Dayaniaga Ekaselaras, PT
Gevana, PT
Putera Instrumenindo, PT
Lienetic Jaya, PT</v>
          </cell>
          <cell r="W209" t="str">
            <v>10 of 10</v>
          </cell>
          <cell r="X209" t="str">
            <v>4 of 10</v>
          </cell>
          <cell r="Y209">
            <v>45926</v>
          </cell>
          <cell r="Z209">
            <v>45933</v>
          </cell>
          <cell r="AC209" t="str">
            <v xml:space="preserve"> of </v>
          </cell>
          <cell r="AD209" t="str">
            <v xml:space="preserve"> of </v>
          </cell>
          <cell r="AF209" t="str">
            <v/>
          </cell>
          <cell r="AI209" t="str">
            <v xml:space="preserve"> of </v>
          </cell>
          <cell r="AJ209" t="str">
            <v xml:space="preserve"> of </v>
          </cell>
          <cell r="AL209" t="str">
            <v/>
          </cell>
          <cell r="AM209">
            <v>0.70833333333333337</v>
          </cell>
          <cell r="AO209" t="str">
            <v/>
          </cell>
          <cell r="AR209">
            <v>45938</v>
          </cell>
          <cell r="AS209">
            <v>45993</v>
          </cell>
          <cell r="AW209" t="str">
            <v/>
          </cell>
          <cell r="AX209" t="str">
            <v/>
          </cell>
          <cell r="AZ209" t="str">
            <v/>
          </cell>
          <cell r="BA209" t="str">
            <v/>
          </cell>
          <cell r="BB209" t="str">
            <v/>
          </cell>
          <cell r="BC209" t="str">
            <v>PR100010715</v>
          </cell>
        </row>
        <row r="210">
          <cell r="B210" t="str">
            <v>PR100010698</v>
          </cell>
          <cell r="C210" t="str">
            <v>Repair Trafo 2500kva - 3,3Kv</v>
          </cell>
          <cell r="E210" t="str">
            <v/>
          </cell>
          <cell r="F210" t="str">
            <v/>
          </cell>
          <cell r="G210" t="str">
            <v/>
          </cell>
          <cell r="H210" t="str">
            <v>GUNARA FERY FAHNANI</v>
          </cell>
          <cell r="I210">
            <v>45923</v>
          </cell>
          <cell r="J210" t="str">
            <v>Tech Main</v>
          </cell>
          <cell r="K210" t="str">
            <v>J</v>
          </cell>
          <cell r="L210" t="str">
            <v>BID</v>
          </cell>
          <cell r="M210">
            <v>267</v>
          </cell>
          <cell r="N210" t="str">
            <v>RH</v>
          </cell>
          <cell r="O210" t="str">
            <v>robertiagus.haposan@alamtri.com</v>
          </cell>
          <cell r="P210">
            <v>16900</v>
          </cell>
          <cell r="Q210">
            <v>270400000</v>
          </cell>
          <cell r="R210" t="str">
            <v>CANCEL</v>
          </cell>
          <cell r="S210" t="str">
            <v>Di cancel as info Pak Gunara</v>
          </cell>
          <cell r="T210" t="str">
            <v>MSW</v>
          </cell>
          <cell r="U210" t="str">
            <v>Duta Sarana Engineering, PT
KSO Sinergi Indo Pranata,PT - Arjuna Mas Abadi,PT
Bambang Djaja, PT
Trafoindo Prima Perkasa, PT
Sanggadelima Nusantara, PT
Graha Usaha Teknik, PT
Greentek Elektrikal Indonesia, PT
Borneo Maju Jaya, PT
Uno Solusi Teknik, CV
Misuba Guna Indonesia, PT
Triputra Electric Abadi, PT</v>
          </cell>
          <cell r="V210" t="str">
            <v>Duta Sarana Engineering, PT
Trafoindo Prima Perkasa, PT</v>
          </cell>
          <cell r="W210" t="str">
            <v>11 of 11</v>
          </cell>
          <cell r="X210" t="str">
            <v>2 of 11</v>
          </cell>
          <cell r="Y210">
            <v>45929</v>
          </cell>
          <cell r="Z210">
            <v>45936</v>
          </cell>
          <cell r="AA210" t="str">
            <v>Duta Sarana Engineering, PT
Trafoindo Prima Perkasa, PT
Mardika Sarana Engineering, PT
Pahala Mitra Elektrik, PT
Agape Trikarsa Libratama, PT
Mulya Jatra, PT
Gridtech Engineering, PT</v>
          </cell>
          <cell r="AB210" t="str">
            <v>Duta Sarana Engineering, PT
Trafoindo Prima Perkasa, PT
Mardika Sarana Engineering, PT
Pahala Mitra Elektrik, PT
Agape Trikarsa Libratama, PT</v>
          </cell>
          <cell r="AC210" t="str">
            <v>7 of 7</v>
          </cell>
          <cell r="AD210" t="str">
            <v>5 of 7</v>
          </cell>
          <cell r="AE210">
            <v>45943</v>
          </cell>
          <cell r="AF210">
            <v>45950</v>
          </cell>
          <cell r="AI210" t="str">
            <v xml:space="preserve"> of </v>
          </cell>
          <cell r="AJ210" t="str">
            <v xml:space="preserve"> of </v>
          </cell>
          <cell r="AL210" t="str">
            <v/>
          </cell>
          <cell r="AM210">
            <v>0.70833333333333337</v>
          </cell>
          <cell r="AO210" t="str">
            <v/>
          </cell>
          <cell r="AR210">
            <v>45982</v>
          </cell>
          <cell r="AW210" t="str">
            <v/>
          </cell>
          <cell r="AX210" t="str">
            <v/>
          </cell>
          <cell r="AZ210" t="str">
            <v/>
          </cell>
          <cell r="BA210" t="str">
            <v/>
          </cell>
          <cell r="BB210" t="str">
            <v/>
          </cell>
          <cell r="BC210" t="str">
            <v>PR100010698</v>
          </cell>
        </row>
        <row r="211">
          <cell r="B211" t="str">
            <v>PR100008795</v>
          </cell>
          <cell r="C211" t="str">
            <v>Perjanjian Penyediaan Jasa Tenaga Kerja Kontrak 2 Tahun (01 Apr 2024 - 31 Mar 2026)</v>
          </cell>
          <cell r="E211" t="str">
            <v/>
          </cell>
          <cell r="F211" t="str">
            <v/>
          </cell>
          <cell r="G211" t="str">
            <v/>
          </cell>
          <cell r="H211" t="str">
            <v>KHRISNA RANGGA PRAYUDA</v>
          </cell>
          <cell r="I211">
            <v>45321</v>
          </cell>
          <cell r="J211" t="str">
            <v>HR</v>
          </cell>
          <cell r="K211" t="str">
            <v>J</v>
          </cell>
          <cell r="L211" t="str">
            <v>TDR</v>
          </cell>
          <cell r="M211" t="str">
            <v>TENDER</v>
          </cell>
          <cell r="N211" t="str">
            <v>RH</v>
          </cell>
          <cell r="O211" t="str">
            <v>robertiagus.haposan@alamtri.com</v>
          </cell>
          <cell r="P211">
            <v>1055228.6288000001</v>
          </cell>
          <cell r="Q211">
            <v>16883658060.800001</v>
          </cell>
          <cell r="R211" t="str">
            <v>Complete Contract and Cancel PR</v>
          </cell>
          <cell r="S211" t="str">
            <v>KBLI
78300
15 Feb 24
On Proses review teknis oleh user - done</v>
          </cell>
          <cell r="T211" t="str">
            <v>MSW</v>
          </cell>
          <cell r="U211" t="str">
            <v>Vistra Utama, PT
Sekar Adi Karya, PT
Kalindo Prima Tara, PT
Tanjung Baru 63, PT
Batu Timur Permai, PT
ISS Indonesia, PT</v>
          </cell>
          <cell r="V211" t="str">
            <v>Sekar Adi Karya, PT
Batu Timur Permai, PT
ISS Indonesia, PT</v>
          </cell>
          <cell r="W211" t="str">
            <v>6 of 6</v>
          </cell>
          <cell r="X211" t="str">
            <v>3 of 6</v>
          </cell>
          <cell r="Y211">
            <v>45337</v>
          </cell>
          <cell r="Z211">
            <v>45344</v>
          </cell>
          <cell r="AC211" t="str">
            <v xml:space="preserve"> of </v>
          </cell>
          <cell r="AD211" t="str">
            <v xml:space="preserve"> of </v>
          </cell>
          <cell r="AF211" t="str">
            <v/>
          </cell>
          <cell r="AI211" t="str">
            <v xml:space="preserve"> of </v>
          </cell>
          <cell r="AJ211" t="str">
            <v xml:space="preserve"> of </v>
          </cell>
          <cell r="AL211" t="str">
            <v/>
          </cell>
          <cell r="AM211">
            <v>0.70833333333333337</v>
          </cell>
          <cell r="AN211" t="str">
            <v>ISS Indonesia, PT</v>
          </cell>
          <cell r="AO211" t="str">
            <v>iksan.wiyadi@id.issworld.com</v>
          </cell>
          <cell r="AQ211">
            <v>13580774888</v>
          </cell>
          <cell r="AR211">
            <v>45337</v>
          </cell>
          <cell r="AS211">
            <v>45386</v>
          </cell>
          <cell r="AT211">
            <v>45383</v>
          </cell>
          <cell r="AU211">
            <v>45386</v>
          </cell>
          <cell r="AV211">
            <v>45383</v>
          </cell>
          <cell r="AW211">
            <v>45386</v>
          </cell>
          <cell r="AX211">
            <v>0.42857142857142855</v>
          </cell>
          <cell r="AZ211" t="str">
            <v/>
          </cell>
          <cell r="BA211" t="str">
            <v/>
          </cell>
          <cell r="BB211" t="str">
            <v>Late Completed</v>
          </cell>
          <cell r="BC211" t="str">
            <v>PR100008795</v>
          </cell>
        </row>
        <row r="212">
          <cell r="B212" t="str">
            <v>PR100008794</v>
          </cell>
          <cell r="C212" t="str">
            <v>Perjanjian Sewa Menyewa Kendaraan 4 Tahun (2024 - 2028)</v>
          </cell>
          <cell r="E212" t="str">
            <v/>
          </cell>
          <cell r="F212" t="str">
            <v/>
          </cell>
          <cell r="G212" t="str">
            <v/>
          </cell>
          <cell r="H212" t="str">
            <v>KHRISNA RANGGA PRAYUDA</v>
          </cell>
          <cell r="I212">
            <v>45314</v>
          </cell>
          <cell r="J212" t="str">
            <v>HR</v>
          </cell>
          <cell r="K212" t="str">
            <v>B &amp; J</v>
          </cell>
          <cell r="L212" t="str">
            <v>TDR</v>
          </cell>
          <cell r="M212" t="str">
            <v>TENDER</v>
          </cell>
          <cell r="N212" t="str">
            <v>RH</v>
          </cell>
          <cell r="O212" t="str">
            <v>robertiagus.haposan@alamtri.com</v>
          </cell>
          <cell r="P212">
            <v>893278.94099999999</v>
          </cell>
          <cell r="Q212">
            <v>14292463056</v>
          </cell>
          <cell r="R212" t="str">
            <v>Complete Contract and Cancel PR</v>
          </cell>
          <cell r="S212" t="str">
            <v>KBLI
78300
77100
Menunggu Dok. Teknis - Done
BA Admin - MJ
Menunggu hasil best price dari TRAC - Done
BAK esign</v>
          </cell>
          <cell r="T212" t="str">
            <v>MSW</v>
          </cell>
          <cell r="U212" t="str">
            <v>Tanjung Prima Persada, PT
Restu Tanjung Permai, PT
Serasi Autoraya, PT (Astra Trac)
Adelian Karya Putri, PT
Anugerah Bersama Saudara, PT
Tri Jaya Utama Cahaya Abadi, PT
Adi Sarana Armada, Tbk, PT (Assa rent)</v>
          </cell>
          <cell r="V212" t="str">
            <v>Tanjung Prima Persada, PT
Restu Tanjung Permai, PT
Serasi Autoraya, PT (Astra Trac)</v>
          </cell>
          <cell r="W212" t="str">
            <v>7 of 7</v>
          </cell>
          <cell r="X212" t="str">
            <v>3 of 7</v>
          </cell>
          <cell r="Y212">
            <v>45365</v>
          </cell>
          <cell r="Z212">
            <v>45370</v>
          </cell>
          <cell r="AC212" t="str">
            <v xml:space="preserve"> of </v>
          </cell>
          <cell r="AD212" t="str">
            <v xml:space="preserve"> of </v>
          </cell>
          <cell r="AF212" t="str">
            <v/>
          </cell>
          <cell r="AI212" t="str">
            <v xml:space="preserve"> of </v>
          </cell>
          <cell r="AJ212" t="str">
            <v xml:space="preserve"> of </v>
          </cell>
          <cell r="AL212" t="str">
            <v/>
          </cell>
          <cell r="AM212">
            <v>0.70833333333333337</v>
          </cell>
          <cell r="AN212" t="str">
            <v>Serasi Autoraya, PT</v>
          </cell>
          <cell r="AO212" t="str">
            <v>Jesika.pakpahan@trac.astra.co.id</v>
          </cell>
          <cell r="AQ212">
            <v>15130000000</v>
          </cell>
          <cell r="AR212">
            <v>45384</v>
          </cell>
          <cell r="AS212">
            <v>45405</v>
          </cell>
          <cell r="AT212">
            <v>45406</v>
          </cell>
          <cell r="AU212">
            <v>45408</v>
          </cell>
          <cell r="AV212">
            <v>45407</v>
          </cell>
          <cell r="AW212">
            <v>45409</v>
          </cell>
          <cell r="AX212">
            <v>0.2857142857142857</v>
          </cell>
          <cell r="AZ212" t="str">
            <v/>
          </cell>
          <cell r="BA212" t="str">
            <v/>
          </cell>
          <cell r="BB212" t="str">
            <v>Late Completed</v>
          </cell>
          <cell r="BC212" t="str">
            <v>Folder tidak ditemukan</v>
          </cell>
        </row>
        <row r="213">
          <cell r="B213" t="str">
            <v>PR100009689</v>
          </cell>
          <cell r="C213" t="str">
            <v>Untuk tender ke 2 pengadaan saw dust periode 2025 - 2028</v>
          </cell>
          <cell r="E213" t="str">
            <v/>
          </cell>
          <cell r="F213" t="str">
            <v/>
          </cell>
          <cell r="G213" t="str">
            <v/>
          </cell>
          <cell r="H213" t="str">
            <v>JUNAWAN KAUNO</v>
          </cell>
          <cell r="I213">
            <v>45572</v>
          </cell>
          <cell r="J213" t="str">
            <v>Tech Op</v>
          </cell>
          <cell r="K213" t="str">
            <v>B</v>
          </cell>
          <cell r="L213" t="str">
            <v>TDR</v>
          </cell>
          <cell r="M213" t="str">
            <v>TENDER</v>
          </cell>
          <cell r="N213" t="str">
            <v>RH</v>
          </cell>
          <cell r="O213" t="str">
            <v>robertiagus.haposan@alamtri.com</v>
          </cell>
          <cell r="P213">
            <v>1068738.98</v>
          </cell>
          <cell r="Q213">
            <v>17099823680</v>
          </cell>
          <cell r="R213" t="str">
            <v>Complete Contract and Cancel PR</v>
          </cell>
          <cell r="S213" t="str">
            <v>Menunggu RFP yang lengkap - Done
SPP dan SP - Done
Kontrak paraf user</v>
          </cell>
          <cell r="T213" t="str">
            <v>MSW</v>
          </cell>
          <cell r="U213" t="str">
            <v>Fahri Bersaudara, CV
Kalimantan Teknik Mandiri, PT
Usaha Barokah Bersama Rakyat, CV
Rinas Bangun Sejahtera, PT</v>
          </cell>
          <cell r="V213" t="str">
            <v>Fahri Bersaudara, CV
Kalimantan Teknik Mandiri, PT</v>
          </cell>
          <cell r="W213" t="str">
            <v>4 of 4</v>
          </cell>
          <cell r="X213" t="str">
            <v>2 of 4</v>
          </cell>
          <cell r="Y213">
            <v>45583</v>
          </cell>
          <cell r="Z213">
            <v>45597</v>
          </cell>
          <cell r="AC213" t="str">
            <v xml:space="preserve"> of </v>
          </cell>
          <cell r="AD213" t="str">
            <v xml:space="preserve"> of </v>
          </cell>
          <cell r="AF213" t="str">
            <v/>
          </cell>
          <cell r="AI213" t="str">
            <v xml:space="preserve"> of </v>
          </cell>
          <cell r="AJ213" t="str">
            <v xml:space="preserve"> of </v>
          </cell>
          <cell r="AL213" t="str">
            <v/>
          </cell>
          <cell r="AM213">
            <v>0.70833333333333337</v>
          </cell>
          <cell r="AN213" t="str">
            <v>Kalimantan Tehnik Mandiri, PT</v>
          </cell>
          <cell r="AO213" t="str">
            <v>kaltekmandiri@yahoo.com</v>
          </cell>
          <cell r="AQ213">
            <v>9427950000</v>
          </cell>
          <cell r="AR213">
            <v>45604</v>
          </cell>
          <cell r="AS213">
            <v>45618</v>
          </cell>
          <cell r="AT213">
            <v>45645</v>
          </cell>
          <cell r="AU213">
            <v>45646</v>
          </cell>
          <cell r="AV213">
            <v>45645</v>
          </cell>
          <cell r="AW213">
            <v>45646</v>
          </cell>
          <cell r="AX213" t="str">
            <v/>
          </cell>
          <cell r="AZ213" t="str">
            <v/>
          </cell>
          <cell r="BA213" t="str">
            <v/>
          </cell>
          <cell r="BB213" t="str">
            <v>Late Completed</v>
          </cell>
          <cell r="BC213" t="str">
            <v>PR100009689</v>
          </cell>
        </row>
        <row r="214">
          <cell r="B214" t="str">
            <v>PR100009252</v>
          </cell>
          <cell r="C214" t="str">
            <v>untuk perpanjangan ke-2 kontrak Pengadaan Saw Dust tahun 2025 sd 2026</v>
          </cell>
          <cell r="D214" t="str">
            <v>Fahri Bersaudara, CV</v>
          </cell>
          <cell r="E214" t="str">
            <v>Fahri Bersaudara, CV</v>
          </cell>
          <cell r="F214" t="str">
            <v/>
          </cell>
          <cell r="G214" t="str">
            <v/>
          </cell>
          <cell r="H214" t="str">
            <v>JUNAWAN KAUNO</v>
          </cell>
          <cell r="I214">
            <v>45595</v>
          </cell>
          <cell r="J214" t="str">
            <v>Tech Op</v>
          </cell>
          <cell r="K214" t="str">
            <v>B</v>
          </cell>
          <cell r="L214" t="str">
            <v>CTR</v>
          </cell>
          <cell r="M214" t="str">
            <v>TENDER</v>
          </cell>
          <cell r="N214" t="str">
            <v>RH</v>
          </cell>
          <cell r="O214" t="str">
            <v>robertiagus.haposan@alamtri.com</v>
          </cell>
          <cell r="P214">
            <v>140623.54999999999</v>
          </cell>
          <cell r="Q214">
            <v>2249976800</v>
          </cell>
          <cell r="R214" t="str">
            <v>Complete Contract and Cancel PR</v>
          </cell>
          <cell r="S214" t="str">
            <v>Ass Buyer AN
Contract on proses vendor - Done</v>
          </cell>
          <cell r="T214" t="str">
            <v>MSW</v>
          </cell>
          <cell r="U214" t="str">
            <v>Fahri Bersaudara, CV</v>
          </cell>
          <cell r="V214" t="str">
            <v>Fahri Bersaudara, CV</v>
          </cell>
          <cell r="W214" t="str">
            <v>1 of 1</v>
          </cell>
          <cell r="X214" t="str">
            <v>1 of 1</v>
          </cell>
          <cell r="Z214" t="str">
            <v/>
          </cell>
          <cell r="AC214" t="str">
            <v xml:space="preserve"> of </v>
          </cell>
          <cell r="AD214" t="str">
            <v xml:space="preserve"> of </v>
          </cell>
          <cell r="AF214" t="str">
            <v/>
          </cell>
          <cell r="AI214" t="str">
            <v xml:space="preserve"> of </v>
          </cell>
          <cell r="AJ214" t="str">
            <v xml:space="preserve"> of </v>
          </cell>
          <cell r="AL214" t="str">
            <v/>
          </cell>
          <cell r="AM214">
            <v>0.70833333333333337</v>
          </cell>
          <cell r="AN214" t="str">
            <v>Fahri Bersaudara, CV</v>
          </cell>
          <cell r="AO214" t="str">
            <v>fahrianifahmi89@gmail.com</v>
          </cell>
          <cell r="AQ214">
            <v>5041600000</v>
          </cell>
          <cell r="AW214" t="str">
            <v/>
          </cell>
          <cell r="AX214" t="str">
            <v/>
          </cell>
          <cell r="AZ214" t="str">
            <v/>
          </cell>
          <cell r="BA214" t="str">
            <v/>
          </cell>
          <cell r="BB214" t="str">
            <v/>
          </cell>
          <cell r="BC214" t="str">
            <v>PR100009252</v>
          </cell>
        </row>
        <row r="215">
          <cell r="B215" t="str">
            <v>PR100009833</v>
          </cell>
          <cell r="C215" t="str">
            <v>Untuk tender pengadaan Pasir Silika</v>
          </cell>
          <cell r="E215" t="str">
            <v/>
          </cell>
          <cell r="F215" t="str">
            <v/>
          </cell>
          <cell r="G215" t="str">
            <v/>
          </cell>
          <cell r="H215" t="str">
            <v>JUNAWAN KAUNO</v>
          </cell>
          <cell r="I215">
            <v>45629</v>
          </cell>
          <cell r="J215" t="str">
            <v>Tech OP</v>
          </cell>
          <cell r="K215" t="str">
            <v>B</v>
          </cell>
          <cell r="L215" t="str">
            <v>TDR</v>
          </cell>
          <cell r="M215" t="str">
            <v>TENDER</v>
          </cell>
          <cell r="N215" t="str">
            <v>RH</v>
          </cell>
          <cell r="O215" t="str">
            <v>robertiagus.haposan@alamtri.com</v>
          </cell>
          <cell r="P215">
            <v>122976</v>
          </cell>
          <cell r="Q215">
            <v>1967616000</v>
          </cell>
          <cell r="R215" t="str">
            <v>Complete Contract and Cancel PR</v>
          </cell>
          <cell r="S215" t="str">
            <v>2880 Ton 4 th
Open Tender penawaran - Komite tender - Done
Re-tender</v>
          </cell>
          <cell r="T215" t="str">
            <v>MSW</v>
          </cell>
          <cell r="U215" t="str">
            <v>Sembilan Jaya Abadi Resources, PT
Berkat Daya Laksana, CV
Indoalam Mineral Persada, CV
Inti Dwijaya Sentosa, CV</v>
          </cell>
          <cell r="V215" t="str">
            <v>Inti Dwijaya Sentosa, CV</v>
          </cell>
          <cell r="W215" t="str">
            <v>4 of 4</v>
          </cell>
          <cell r="X215" t="str">
            <v>1 of 4</v>
          </cell>
          <cell r="Y215">
            <v>45702</v>
          </cell>
          <cell r="Z215">
            <v>45716</v>
          </cell>
          <cell r="AA215" t="str">
            <v>Sembilan Jaya Abadi Resources, PT
Berkat Daya Laksana, CV
Indoalam Mineral Persada, CV
Inti Dwijaya Sentosa, CV</v>
          </cell>
          <cell r="AB215" t="str">
            <v>Sembilan Jaya Abadi Resources, PT
Indoalam Mineral Persada, CV
Inti Dwijaya Sentosa, CV</v>
          </cell>
          <cell r="AC215" t="str">
            <v>4 of 4</v>
          </cell>
          <cell r="AD215" t="str">
            <v>3 of 4</v>
          </cell>
          <cell r="AE215">
            <v>45763</v>
          </cell>
          <cell r="AF215">
            <v>45771</v>
          </cell>
          <cell r="AI215" t="str">
            <v xml:space="preserve"> of </v>
          </cell>
          <cell r="AJ215" t="str">
            <v xml:space="preserve"> of </v>
          </cell>
          <cell r="AL215" t="str">
            <v/>
          </cell>
          <cell r="AM215">
            <v>0.70833333333333337</v>
          </cell>
          <cell r="AO215" t="str">
            <v/>
          </cell>
          <cell r="AW215" t="str">
            <v/>
          </cell>
          <cell r="AX215" t="str">
            <v/>
          </cell>
          <cell r="AZ215" t="str">
            <v/>
          </cell>
          <cell r="BA215" t="str">
            <v/>
          </cell>
          <cell r="BB215" t="str">
            <v/>
          </cell>
          <cell r="BC215" t="str">
            <v>PR100009833</v>
          </cell>
        </row>
        <row r="216">
          <cell r="B216" t="str">
            <v>PR100009522</v>
          </cell>
          <cell r="C216" t="str">
            <v>Jasa pekerjaan TOH 3G1 (Reimburse to IBT) Tahap 2</v>
          </cell>
          <cell r="D216" t="str">
            <v>Trakindo Utama, PT</v>
          </cell>
          <cell r="E216" t="str">
            <v/>
          </cell>
          <cell r="F216" t="str">
            <v/>
          </cell>
          <cell r="G216" t="str">
            <v/>
          </cell>
          <cell r="H216" t="str">
            <v>SLAMET</v>
          </cell>
          <cell r="I216">
            <v>45518</v>
          </cell>
          <cell r="J216" t="str">
            <v>Tech Main</v>
          </cell>
          <cell r="K216" t="str">
            <v>J</v>
          </cell>
          <cell r="L216" t="str">
            <v>IOM</v>
          </cell>
          <cell r="N216" t="str">
            <v>RH</v>
          </cell>
          <cell r="O216" t="str">
            <v>robertiagus.haposan@alamtri.com</v>
          </cell>
          <cell r="P216">
            <v>164377</v>
          </cell>
          <cell r="Q216">
            <v>2630032000</v>
          </cell>
          <cell r="R216" t="str">
            <v>Completed Sign PO</v>
          </cell>
          <cell r="T216" t="str">
            <v>MSW</v>
          </cell>
          <cell r="U216" t="str">
            <v>Trakindo Utama, PT</v>
          </cell>
          <cell r="V216" t="str">
            <v>Trakindo Utama, PT</v>
          </cell>
          <cell r="W216" t="str">
            <v>1 of 1</v>
          </cell>
          <cell r="X216" t="str">
            <v>1 of 1</v>
          </cell>
          <cell r="Z216" t="str">
            <v/>
          </cell>
          <cell r="AC216" t="str">
            <v xml:space="preserve"> of </v>
          </cell>
          <cell r="AD216" t="str">
            <v xml:space="preserve"> of </v>
          </cell>
          <cell r="AF216" t="str">
            <v/>
          </cell>
          <cell r="AI216" t="str">
            <v xml:space="preserve"> of </v>
          </cell>
          <cell r="AJ216" t="str">
            <v xml:space="preserve"> of </v>
          </cell>
          <cell r="AL216" t="str">
            <v/>
          </cell>
          <cell r="AM216">
            <v>0.70833333333333337</v>
          </cell>
          <cell r="AN216" t="str">
            <v>Trakindo Utama, PT</v>
          </cell>
          <cell r="AO216" t="str">
            <v>hjuniater.sidauruk@trakindo.co.id</v>
          </cell>
          <cell r="AP216" t="str">
            <v>PO24000527</v>
          </cell>
          <cell r="AQ216">
            <v>2221320601</v>
          </cell>
          <cell r="AT216">
            <v>45541</v>
          </cell>
          <cell r="AU216">
            <v>45604</v>
          </cell>
          <cell r="AV216">
            <v>45614</v>
          </cell>
          <cell r="AW216">
            <v>45677</v>
          </cell>
          <cell r="AX216">
            <v>9</v>
          </cell>
          <cell r="AY216">
            <v>45615</v>
          </cell>
          <cell r="AZ216" t="str">
            <v/>
          </cell>
          <cell r="BA216" t="str">
            <v/>
          </cell>
          <cell r="BB216" t="str">
            <v>Completed</v>
          </cell>
          <cell r="BC216" t="str">
            <v>PR100009522</v>
          </cell>
        </row>
        <row r="217">
          <cell r="B217" t="str">
            <v>PR100009096</v>
          </cell>
          <cell r="C217" t="str">
            <v>Perbaikan Refraktori Outage Unit-2 Mei Tahun 2024</v>
          </cell>
          <cell r="D217" t="str">
            <v>Benteng Api Technic, PT</v>
          </cell>
          <cell r="E217" t="str">
            <v>Benteng Api Technic, PT</v>
          </cell>
          <cell r="F217" t="str">
            <v/>
          </cell>
          <cell r="G217" t="str">
            <v/>
          </cell>
          <cell r="H217" t="str">
            <v>RIDHANI TAUFIQ</v>
          </cell>
          <cell r="I217">
            <v>45400</v>
          </cell>
          <cell r="J217" t="str">
            <v>Tech Main</v>
          </cell>
          <cell r="K217" t="str">
            <v>B &amp; J</v>
          </cell>
          <cell r="L217" t="str">
            <v>CTR</v>
          </cell>
          <cell r="N217" t="str">
            <v>RH</v>
          </cell>
          <cell r="O217" t="str">
            <v>robertiagus.haposan@alamtri.com</v>
          </cell>
          <cell r="P217">
            <v>372331</v>
          </cell>
          <cell r="Q217">
            <v>5957296000</v>
          </cell>
          <cell r="R217" t="str">
            <v>Completed Sign PO Contract</v>
          </cell>
          <cell r="T217" t="str">
            <v>MSW</v>
          </cell>
          <cell r="U217" t="str">
            <v>Benteng Api Technic, PT</v>
          </cell>
          <cell r="V217" t="str">
            <v>Benteng Api Technic, PT</v>
          </cell>
          <cell r="W217" t="str">
            <v>1 of 1</v>
          </cell>
          <cell r="X217" t="str">
            <v>1 of 1</v>
          </cell>
          <cell r="Z217" t="str">
            <v/>
          </cell>
          <cell r="AC217" t="str">
            <v xml:space="preserve"> of </v>
          </cell>
          <cell r="AD217" t="str">
            <v xml:space="preserve"> of </v>
          </cell>
          <cell r="AF217" t="str">
            <v/>
          </cell>
          <cell r="AI217" t="str">
            <v xml:space="preserve"> of </v>
          </cell>
          <cell r="AJ217" t="str">
            <v xml:space="preserve"> of </v>
          </cell>
          <cell r="AL217" t="str">
            <v/>
          </cell>
          <cell r="AM217">
            <v>0.70833333333333337</v>
          </cell>
          <cell r="AN217" t="str">
            <v>Benteng Api Technic, PT</v>
          </cell>
          <cell r="AO217" t="str">
            <v>dimas@bentengapi.com</v>
          </cell>
          <cell r="AP217" t="str">
            <v>PO24000157</v>
          </cell>
          <cell r="AQ217">
            <v>5021950000</v>
          </cell>
          <cell r="AT217">
            <v>45400</v>
          </cell>
          <cell r="AU217">
            <v>45513</v>
          </cell>
          <cell r="AV217">
            <v>45484</v>
          </cell>
          <cell r="AW217">
            <v>45597</v>
          </cell>
          <cell r="AX217">
            <v>16.142857142857142</v>
          </cell>
          <cell r="AY217">
            <v>45484</v>
          </cell>
          <cell r="AZ217" t="str">
            <v/>
          </cell>
          <cell r="BA217" t="str">
            <v/>
          </cell>
          <cell r="BB217" t="str">
            <v>Completed</v>
          </cell>
          <cell r="BC217" t="str">
            <v>PR100009096</v>
          </cell>
        </row>
        <row r="218">
          <cell r="B218" t="str">
            <v>PR100009081 (Jan - Jun 24)</v>
          </cell>
          <cell r="C218" t="str">
            <v>Penyediaan Jasa Pengamanan (Security) Periode 2024</v>
          </cell>
          <cell r="D218" t="str">
            <v>Demitra Karsa Perdana, PT</v>
          </cell>
          <cell r="E218" t="str">
            <v>Demitra Karsa Perdana, PT</v>
          </cell>
          <cell r="F218" t="str">
            <v/>
          </cell>
          <cell r="G218" t="str">
            <v/>
          </cell>
          <cell r="H218" t="str">
            <v>M FIKRY MAULANA</v>
          </cell>
          <cell r="I218">
            <v>45400</v>
          </cell>
          <cell r="J218" t="str">
            <v>HR</v>
          </cell>
          <cell r="K218" t="str">
            <v>J</v>
          </cell>
          <cell r="L218" t="str">
            <v>CTR</v>
          </cell>
          <cell r="N218" t="str">
            <v>RH</v>
          </cell>
          <cell r="O218" t="str">
            <v>robertiagus.haposan@alamtri.com</v>
          </cell>
          <cell r="P218">
            <v>110298.7032</v>
          </cell>
          <cell r="Q218">
            <v>1764779251.2</v>
          </cell>
          <cell r="R218" t="str">
            <v>Completed Sign PO Contract</v>
          </cell>
          <cell r="T218" t="str">
            <v>MSW</v>
          </cell>
          <cell r="U218" t="str">
            <v>Demitra Karsa Perdana, PT</v>
          </cell>
          <cell r="V218" t="str">
            <v>Demitra Karsa Perdana, PT</v>
          </cell>
          <cell r="W218" t="str">
            <v>1 of 1</v>
          </cell>
          <cell r="X218" t="str">
            <v>1 of 1</v>
          </cell>
          <cell r="Z218" t="str">
            <v/>
          </cell>
          <cell r="AC218" t="str">
            <v xml:space="preserve"> of </v>
          </cell>
          <cell r="AD218" t="str">
            <v xml:space="preserve"> of </v>
          </cell>
          <cell r="AF218" t="str">
            <v/>
          </cell>
          <cell r="AI218" t="str">
            <v xml:space="preserve"> of </v>
          </cell>
          <cell r="AJ218" t="str">
            <v xml:space="preserve"> of </v>
          </cell>
          <cell r="AL218" t="str">
            <v/>
          </cell>
          <cell r="AM218">
            <v>0.70833333333333337</v>
          </cell>
          <cell r="AN218" t="str">
            <v>Demitra Karsa Perdana, PT</v>
          </cell>
          <cell r="AO218" t="str">
            <v>ardhiep@a5-indonesia.com</v>
          </cell>
          <cell r="AP218" t="str">
            <v>PO24000287</v>
          </cell>
          <cell r="AQ218">
            <v>1654480578</v>
          </cell>
          <cell r="AT218">
            <v>45447</v>
          </cell>
          <cell r="AU218">
            <v>45478</v>
          </cell>
          <cell r="AV218">
            <v>45449</v>
          </cell>
          <cell r="AW218">
            <v>45480</v>
          </cell>
          <cell r="AX218">
            <v>4.4285714285714288</v>
          </cell>
          <cell r="AY218">
            <v>45468</v>
          </cell>
          <cell r="AZ218" t="str">
            <v/>
          </cell>
          <cell r="BA218" t="str">
            <v/>
          </cell>
          <cell r="BB218" t="str">
            <v>Late Completed</v>
          </cell>
          <cell r="BC218" t="str">
            <v>PR100009081</v>
          </cell>
        </row>
        <row r="219">
          <cell r="B219" t="str">
            <v>PR100009133</v>
          </cell>
          <cell r="C219" t="str">
            <v>Jasa Pekerjaan Pemeriksaan dan Analisa Struktur Bangungan Transfer Tower</v>
          </cell>
          <cell r="D219" t="str">
            <v>Graha Survei Indonesia, PT</v>
          </cell>
          <cell r="E219" t="str">
            <v>Graha Survei Indonesia, PT</v>
          </cell>
          <cell r="F219" t="str">
            <v/>
          </cell>
          <cell r="G219" t="str">
            <v/>
          </cell>
          <cell r="H219" t="str">
            <v>RIDHANI TAUFIQ</v>
          </cell>
          <cell r="I219">
            <v>45419</v>
          </cell>
          <cell r="J219" t="str">
            <v>Tech Main</v>
          </cell>
          <cell r="K219" t="str">
            <v>J</v>
          </cell>
          <cell r="L219" t="str">
            <v>CTR</v>
          </cell>
          <cell r="N219" t="str">
            <v>RH</v>
          </cell>
          <cell r="O219" t="str">
            <v>robertiagus.haposan@alamtri.com</v>
          </cell>
          <cell r="P219">
            <v>42771</v>
          </cell>
          <cell r="Q219">
            <v>684336000</v>
          </cell>
          <cell r="R219" t="str">
            <v>Completed Sign PO Contract</v>
          </cell>
          <cell r="T219" t="str">
            <v>MSW</v>
          </cell>
          <cell r="U219" t="str">
            <v>Graha Survei Indonesia, PT</v>
          </cell>
          <cell r="V219" t="str">
            <v>Graha Survei Indonesia, PT</v>
          </cell>
          <cell r="W219" t="str">
            <v>1 of 1</v>
          </cell>
          <cell r="X219" t="str">
            <v>1 of 1</v>
          </cell>
          <cell r="Z219" t="str">
            <v/>
          </cell>
          <cell r="AC219" t="str">
            <v xml:space="preserve"> of </v>
          </cell>
          <cell r="AD219" t="str">
            <v xml:space="preserve"> of </v>
          </cell>
          <cell r="AF219" t="str">
            <v/>
          </cell>
          <cell r="AI219" t="str">
            <v xml:space="preserve"> of </v>
          </cell>
          <cell r="AJ219" t="str">
            <v xml:space="preserve"> of </v>
          </cell>
          <cell r="AL219" t="str">
            <v/>
          </cell>
          <cell r="AM219">
            <v>0.70833333333333337</v>
          </cell>
          <cell r="AN219" t="str">
            <v>Graha Survei Indonesia, PT</v>
          </cell>
          <cell r="AO219" t="str">
            <v>info@grahasurvei.com; leo.mahardhika@grahasurvei.com; andi.sumantri@grahasurvei.com</v>
          </cell>
          <cell r="AP219" t="str">
            <v>PO24000240</v>
          </cell>
          <cell r="AQ219">
            <v>641565000</v>
          </cell>
          <cell r="AT219">
            <v>45426</v>
          </cell>
          <cell r="AU219">
            <v>45457</v>
          </cell>
          <cell r="AV219">
            <v>45428</v>
          </cell>
          <cell r="AW219">
            <v>45459</v>
          </cell>
          <cell r="AX219">
            <v>4.4285714285714288</v>
          </cell>
          <cell r="AY219">
            <v>45429</v>
          </cell>
          <cell r="AZ219" t="str">
            <v/>
          </cell>
          <cell r="BA219" t="str">
            <v/>
          </cell>
          <cell r="BB219" t="str">
            <v>Completed</v>
          </cell>
          <cell r="BC219" t="str">
            <v>PR100009133</v>
          </cell>
        </row>
        <row r="220">
          <cell r="B220" t="str">
            <v>PR100009186</v>
          </cell>
          <cell r="C220" t="str">
            <v>FUEL B35 TRANSPORTATION SERVICE 10KL MEI 2024</v>
          </cell>
          <cell r="D220" t="str">
            <v>Sinar Alam Duta Perdana, PT</v>
          </cell>
          <cell r="E220" t="str">
            <v>Sinar Alam Duta Perdana, PT</v>
          </cell>
          <cell r="F220" t="str">
            <v/>
          </cell>
          <cell r="G220" t="str">
            <v/>
          </cell>
          <cell r="H220" t="str">
            <v>ARTHUR BRAMIYANA</v>
          </cell>
          <cell r="I220">
            <v>45429</v>
          </cell>
          <cell r="J220" t="str">
            <v>Tech OP</v>
          </cell>
          <cell r="K220" t="str">
            <v>B</v>
          </cell>
          <cell r="L220" t="str">
            <v>CTR</v>
          </cell>
          <cell r="N220" t="str">
            <v>RH</v>
          </cell>
          <cell r="O220" t="str">
            <v>robertiagus.haposan@alamtri.com</v>
          </cell>
          <cell r="P220">
            <v>426</v>
          </cell>
          <cell r="Q220">
            <v>6816000</v>
          </cell>
          <cell r="R220" t="str">
            <v>Completed Sign PO Contract</v>
          </cell>
          <cell r="T220" t="str">
            <v>MSW</v>
          </cell>
          <cell r="U220" t="str">
            <v>Sinar Alam Duta Perdana, PT</v>
          </cell>
          <cell r="V220" t="str">
            <v>Sinar Alam Duta Perdana, PT</v>
          </cell>
          <cell r="W220" t="str">
            <v>1 of 1</v>
          </cell>
          <cell r="X220" t="str">
            <v>1 of 1</v>
          </cell>
          <cell r="Z220" t="str">
            <v/>
          </cell>
          <cell r="AC220" t="str">
            <v xml:space="preserve"> of </v>
          </cell>
          <cell r="AD220" t="str">
            <v xml:space="preserve"> of </v>
          </cell>
          <cell r="AF220" t="str">
            <v/>
          </cell>
          <cell r="AI220" t="str">
            <v xml:space="preserve"> of </v>
          </cell>
          <cell r="AJ220" t="str">
            <v xml:space="preserve"> of </v>
          </cell>
          <cell r="AL220" t="str">
            <v/>
          </cell>
          <cell r="AM220">
            <v>0.70833333333333337</v>
          </cell>
          <cell r="AN220" t="str">
            <v>Sinar Alam Duta Perdana, PT</v>
          </cell>
          <cell r="AO220" t="str">
            <v>sherlly@sadp.co.id; misrawardi@sadp.co.id; sales1@sadp.co.id; marini@sadp.co.id; ridho@sadp.co.id; nisa_fitria@sadp.co.id; ismawati@sadp.co.id</v>
          </cell>
          <cell r="AP220" t="str">
            <v>PO24000255</v>
          </cell>
          <cell r="AQ220">
            <v>4000000</v>
          </cell>
          <cell r="AT220">
            <v>45429</v>
          </cell>
          <cell r="AU220">
            <v>45443</v>
          </cell>
          <cell r="AV220">
            <v>45439</v>
          </cell>
          <cell r="AW220">
            <v>45453</v>
          </cell>
          <cell r="AX220">
            <v>2</v>
          </cell>
          <cell r="AY220">
            <v>45440</v>
          </cell>
          <cell r="AZ220" t="str">
            <v/>
          </cell>
          <cell r="BA220" t="str">
            <v/>
          </cell>
          <cell r="BB220" t="str">
            <v>Completed</v>
          </cell>
          <cell r="BC220" t="str">
            <v>PR100009186</v>
          </cell>
        </row>
        <row r="221">
          <cell r="B221" t="str">
            <v>PR100009187</v>
          </cell>
          <cell r="C221" t="str">
            <v>FUEL B35 FOR  MAIN LDO TANK 10KL REORDER MEI 2024</v>
          </cell>
          <cell r="D221" t="str">
            <v>Pertamina Patra Niaga, PT</v>
          </cell>
          <cell r="E221" t="str">
            <v>Pertamina Patra Niaga, PT</v>
          </cell>
          <cell r="F221" t="str">
            <v/>
          </cell>
          <cell r="G221" t="str">
            <v/>
          </cell>
          <cell r="H221" t="str">
            <v>ARTHUR BRAMIYANA</v>
          </cell>
          <cell r="I221">
            <v>45429</v>
          </cell>
          <cell r="J221" t="str">
            <v>INV</v>
          </cell>
          <cell r="K221" t="str">
            <v>B</v>
          </cell>
          <cell r="L221" t="str">
            <v>CTR</v>
          </cell>
          <cell r="N221" t="str">
            <v>RH</v>
          </cell>
          <cell r="O221" t="str">
            <v>robertiagus.haposan@alamtri.com</v>
          </cell>
          <cell r="P221">
            <v>7535.9993000000004</v>
          </cell>
          <cell r="Q221">
            <v>120575988.80000001</v>
          </cell>
          <cell r="R221" t="str">
            <v>Completed Sign PO Contract</v>
          </cell>
          <cell r="T221" t="str">
            <v>MSW</v>
          </cell>
          <cell r="U221" t="str">
            <v>Pertamina Patra Niaga, PT</v>
          </cell>
          <cell r="V221" t="str">
            <v>Pertamina Patra Niaga, PT</v>
          </cell>
          <cell r="W221" t="str">
            <v>1 of 1</v>
          </cell>
          <cell r="X221" t="str">
            <v>1 of 1</v>
          </cell>
          <cell r="Z221" t="str">
            <v/>
          </cell>
          <cell r="AC221" t="str">
            <v xml:space="preserve"> of </v>
          </cell>
          <cell r="AD221" t="str">
            <v xml:space="preserve"> of </v>
          </cell>
          <cell r="AF221" t="str">
            <v/>
          </cell>
          <cell r="AI221" t="str">
            <v xml:space="preserve"> of </v>
          </cell>
          <cell r="AJ221" t="str">
            <v xml:space="preserve"> of </v>
          </cell>
          <cell r="AL221" t="str">
            <v/>
          </cell>
          <cell r="AM221">
            <v>0.70833333333333337</v>
          </cell>
          <cell r="AN221" t="str">
            <v>Pertamina Patra Niaga, PT</v>
          </cell>
          <cell r="AO221" t="str">
            <v>ibnu.kautsar@pertamina.com; muhammad.nurdin@pertamina.com; mk.ihdimahyapi@mitrakerja.pertamina.com; mk.muhammad.jamil@mitrakerja.pertamina.com; pandu.dwijayanto@pertamina.com; mk.della.putri@mitrakerja.pertamina.com; mk.dwi.oktaviana@mitrakerja.pertamina.com; mk.mardhiyah.m@mitrakerja.pertamina.com</v>
          </cell>
          <cell r="AP221" t="str">
            <v>PO24000254</v>
          </cell>
          <cell r="AQ221">
            <v>120978657</v>
          </cell>
          <cell r="AT221">
            <v>45429</v>
          </cell>
          <cell r="AU221">
            <v>45443</v>
          </cell>
          <cell r="AV221">
            <v>45436</v>
          </cell>
          <cell r="AW221">
            <v>45450</v>
          </cell>
          <cell r="AX221">
            <v>2</v>
          </cell>
          <cell r="AY221">
            <v>45442</v>
          </cell>
          <cell r="AZ221" t="str">
            <v/>
          </cell>
          <cell r="BA221" t="str">
            <v/>
          </cell>
          <cell r="BB221" t="str">
            <v>Completed</v>
          </cell>
          <cell r="BC221" t="str">
            <v>PR100009187</v>
          </cell>
        </row>
        <row r="222">
          <cell r="B222" t="str">
            <v>PR100009200</v>
          </cell>
          <cell r="C222" t="str">
            <v>FUEL B35 TRANSPORTATION SERVICE 15 KL MEI 2024</v>
          </cell>
          <cell r="D222" t="str">
            <v>Sinar Alam Duta Perdana, PT</v>
          </cell>
          <cell r="E222" t="str">
            <v>Sinar Alam Duta Perdana, PT</v>
          </cell>
          <cell r="F222" t="str">
            <v/>
          </cell>
          <cell r="G222" t="str">
            <v/>
          </cell>
          <cell r="H222" t="str">
            <v>ARTHUR BRAMIYANA</v>
          </cell>
          <cell r="I222">
            <v>45439</v>
          </cell>
          <cell r="J222" t="str">
            <v>Tech OP</v>
          </cell>
          <cell r="K222" t="str">
            <v>J</v>
          </cell>
          <cell r="L222" t="str">
            <v>CTR</v>
          </cell>
          <cell r="N222" t="str">
            <v>RH</v>
          </cell>
          <cell r="O222" t="str">
            <v>robertiagus.haposan@alamtri.com</v>
          </cell>
          <cell r="P222">
            <v>639</v>
          </cell>
          <cell r="Q222">
            <v>10224000</v>
          </cell>
          <cell r="R222" t="str">
            <v>Completed Sign PO Contract</v>
          </cell>
          <cell r="T222" t="str">
            <v>MSW</v>
          </cell>
          <cell r="U222" t="str">
            <v>Sinar Alam Duta Perdana, PT</v>
          </cell>
          <cell r="V222" t="str">
            <v>Sinar Alam Duta Perdana, PT</v>
          </cell>
          <cell r="W222" t="str">
            <v>1 of 1</v>
          </cell>
          <cell r="X222" t="str">
            <v>1 of 1</v>
          </cell>
          <cell r="Z222" t="str">
            <v/>
          </cell>
          <cell r="AC222" t="str">
            <v xml:space="preserve"> of </v>
          </cell>
          <cell r="AD222" t="str">
            <v xml:space="preserve"> of </v>
          </cell>
          <cell r="AF222" t="str">
            <v/>
          </cell>
          <cell r="AI222" t="str">
            <v xml:space="preserve"> of </v>
          </cell>
          <cell r="AJ222" t="str">
            <v xml:space="preserve"> of </v>
          </cell>
          <cell r="AL222" t="str">
            <v/>
          </cell>
          <cell r="AM222">
            <v>0.70833333333333337</v>
          </cell>
          <cell r="AN222" t="str">
            <v>Sinar Alam Duta Perdana, PT</v>
          </cell>
          <cell r="AO222" t="str">
            <v>sherlly@sadp.co.id; misrawardi@sadp.co.id; sales1@sadp.co.id; marini@sadp.co.id; ridho@sadp.co.id; nisa_fitria@sadp.co.id; ismawati@sadp.co.id</v>
          </cell>
          <cell r="AP222" t="str">
            <v>PO24000283</v>
          </cell>
          <cell r="AQ222">
            <v>6000000</v>
          </cell>
          <cell r="AT222">
            <v>45447</v>
          </cell>
          <cell r="AU222">
            <v>45450</v>
          </cell>
          <cell r="AV222">
            <v>45448</v>
          </cell>
          <cell r="AW222">
            <v>45451</v>
          </cell>
          <cell r="AX222">
            <v>0.42857142857142855</v>
          </cell>
          <cell r="AY222">
            <v>45454</v>
          </cell>
          <cell r="AZ222">
            <v>3</v>
          </cell>
          <cell r="BA222">
            <v>180000</v>
          </cell>
          <cell r="BB222" t="str">
            <v>Completed</v>
          </cell>
          <cell r="BC222" t="str">
            <v>PR100009200</v>
          </cell>
        </row>
        <row r="223">
          <cell r="B223" t="str">
            <v>PR100009202</v>
          </cell>
          <cell r="C223" t="str">
            <v>FUEL B35 FOR  MAIN LDO TANK 15 KL REORDER MEI 2024</v>
          </cell>
          <cell r="D223" t="str">
            <v>Pertamina Patra Niaga, PT</v>
          </cell>
          <cell r="E223" t="str">
            <v>Pertamina Patra Niaga, PT</v>
          </cell>
          <cell r="F223" t="str">
            <v/>
          </cell>
          <cell r="G223" t="str">
            <v/>
          </cell>
          <cell r="H223" t="str">
            <v>ARTHUR BRAMIYANA</v>
          </cell>
          <cell r="I223">
            <v>45439</v>
          </cell>
          <cell r="J223" t="str">
            <v>INV</v>
          </cell>
          <cell r="K223" t="str">
            <v>B</v>
          </cell>
          <cell r="L223" t="str">
            <v>CTR</v>
          </cell>
          <cell r="N223" t="str">
            <v>RH</v>
          </cell>
          <cell r="O223" t="str">
            <v>robertiagus.haposan@alamtri.com</v>
          </cell>
          <cell r="P223">
            <v>10948.999299999999</v>
          </cell>
          <cell r="Q223">
            <v>175183988.79999998</v>
          </cell>
          <cell r="R223" t="str">
            <v>Completed Sign PO Contract</v>
          </cell>
          <cell r="T223" t="str">
            <v>MSW</v>
          </cell>
          <cell r="U223" t="str">
            <v>Pertamina Patra Niaga, PT</v>
          </cell>
          <cell r="V223" t="str">
            <v>Pertamina Patra Niaga, PT</v>
          </cell>
          <cell r="W223" t="str">
            <v>1 of 1</v>
          </cell>
          <cell r="X223" t="str">
            <v>1 of 1</v>
          </cell>
          <cell r="Z223" t="str">
            <v/>
          </cell>
          <cell r="AC223" t="str">
            <v xml:space="preserve"> of </v>
          </cell>
          <cell r="AD223" t="str">
            <v xml:space="preserve"> of </v>
          </cell>
          <cell r="AF223" t="str">
            <v/>
          </cell>
          <cell r="AI223" t="str">
            <v xml:space="preserve"> of </v>
          </cell>
          <cell r="AJ223" t="str">
            <v xml:space="preserve"> of </v>
          </cell>
          <cell r="AL223" t="str">
            <v/>
          </cell>
          <cell r="AM223">
            <v>0.70833333333333337</v>
          </cell>
          <cell r="AN223" t="str">
            <v>Pertamina Patra Niaga, PT</v>
          </cell>
          <cell r="AO223" t="str">
            <v>ibnu.kautsar@pertamina.com; muhammad.nurdin@pertamina.com; mk.ihdimahyapi@mitrakerja.pertamina.com; mk.muhammad.jamil@mitrakerja.pertamina.com; pandu.dwijayanto@pertamina.com; mk.della.putri@mitrakerja.pertamina.com; mk.dwi.oktaviana@mitrakerja.pertamina.com; mk.mardhiyah.m@mitrakerja.pertamina.com</v>
          </cell>
          <cell r="AP223" t="str">
            <v>PO24000282</v>
          </cell>
          <cell r="AQ223">
            <v>168047565.84999999</v>
          </cell>
          <cell r="AT223">
            <v>45447</v>
          </cell>
          <cell r="AU223">
            <v>45450</v>
          </cell>
          <cell r="AV223">
            <v>45448</v>
          </cell>
          <cell r="AW223">
            <v>45451</v>
          </cell>
          <cell r="AX223">
            <v>0.42857142857142855</v>
          </cell>
          <cell r="AY223">
            <v>45455</v>
          </cell>
          <cell r="AZ223">
            <v>4</v>
          </cell>
          <cell r="BA223">
            <v>672190.26339999994</v>
          </cell>
          <cell r="BB223" t="str">
            <v>Completed</v>
          </cell>
          <cell r="BC223" t="str">
            <v>PR100009202</v>
          </cell>
        </row>
        <row r="224">
          <cell r="B224" t="str">
            <v>PR100009688</v>
          </cell>
          <cell r="C224" t="str">
            <v>Jasa adjusment Valve 3G3 dan 3G4 schedule HM 2000</v>
          </cell>
          <cell r="D224" t="str">
            <v>Trakindo Utama, PT</v>
          </cell>
          <cell r="E224" t="str">
            <v>Trakindo Utama, PT</v>
          </cell>
          <cell r="F224" t="str">
            <v/>
          </cell>
          <cell r="G224" t="str">
            <v/>
          </cell>
          <cell r="H224" t="str">
            <v>SLAMET</v>
          </cell>
          <cell r="I224">
            <v>45576</v>
          </cell>
          <cell r="J224" t="str">
            <v>Tech Main</v>
          </cell>
          <cell r="K224" t="str">
            <v>B</v>
          </cell>
          <cell r="L224" t="str">
            <v>CTR</v>
          </cell>
          <cell r="M224">
            <v>2</v>
          </cell>
          <cell r="N224" t="str">
            <v>RH</v>
          </cell>
          <cell r="O224" t="str">
            <v>robertiagus.haposan@alamtri.com</v>
          </cell>
          <cell r="P224">
            <v>2480</v>
          </cell>
          <cell r="Q224">
            <v>39680000</v>
          </cell>
          <cell r="R224" t="str">
            <v>Completed Sign PO Contract</v>
          </cell>
          <cell r="T224" t="str">
            <v>MSW</v>
          </cell>
          <cell r="U224" t="str">
            <v>Trakindo Utama, PT</v>
          </cell>
          <cell r="V224" t="str">
            <v>Trakindo Utama, PT</v>
          </cell>
          <cell r="W224" t="str">
            <v>1 of 1</v>
          </cell>
          <cell r="X224" t="str">
            <v>1 of 1</v>
          </cell>
          <cell r="Z224" t="str">
            <v/>
          </cell>
          <cell r="AC224" t="str">
            <v xml:space="preserve"> of </v>
          </cell>
          <cell r="AD224" t="str">
            <v xml:space="preserve"> of </v>
          </cell>
          <cell r="AF224" t="str">
            <v/>
          </cell>
          <cell r="AI224" t="str">
            <v xml:space="preserve"> of </v>
          </cell>
          <cell r="AJ224" t="str">
            <v xml:space="preserve"> of </v>
          </cell>
          <cell r="AL224" t="str">
            <v/>
          </cell>
          <cell r="AM224">
            <v>0.70833333333333337</v>
          </cell>
          <cell r="AN224" t="str">
            <v>Trakindo Utama, PT</v>
          </cell>
          <cell r="AO224" t="str">
            <v>hjuniater.sidauruk@trakindo.co.id</v>
          </cell>
          <cell r="AP224" t="str">
            <v>PO24000719</v>
          </cell>
          <cell r="AQ224">
            <v>13427379</v>
          </cell>
          <cell r="AT224">
            <v>45581</v>
          </cell>
          <cell r="AU224">
            <v>45614</v>
          </cell>
          <cell r="AV224">
            <v>45586</v>
          </cell>
          <cell r="AW224">
            <v>45619</v>
          </cell>
          <cell r="AX224">
            <v>4.7142857142857144</v>
          </cell>
          <cell r="AY224">
            <v>45611</v>
          </cell>
          <cell r="AZ224" t="str">
            <v/>
          </cell>
          <cell r="BA224" t="str">
            <v/>
          </cell>
          <cell r="BB224" t="str">
            <v>Completed</v>
          </cell>
          <cell r="BC224" t="str">
            <v>PR100009688</v>
          </cell>
        </row>
        <row r="225">
          <cell r="B225" t="str">
            <v>PR100009766</v>
          </cell>
          <cell r="C225" t="str">
            <v>Jasa Reklamasi oli trafo 150/70kV 60 MVA IBT</v>
          </cell>
          <cell r="D225" t="str">
            <v>Sanggadelima Nusantara, PT</v>
          </cell>
          <cell r="E225" t="str">
            <v>Sanggadelima Nusantara, PT</v>
          </cell>
          <cell r="F225" t="str">
            <v/>
          </cell>
          <cell r="G225" t="str">
            <v/>
          </cell>
          <cell r="H225" t="str">
            <v>GUNARA FERY FAHNANI</v>
          </cell>
          <cell r="I225">
            <v>45601</v>
          </cell>
          <cell r="J225" t="str">
            <v>Tech Main</v>
          </cell>
          <cell r="K225" t="str">
            <v>J</v>
          </cell>
          <cell r="L225" t="str">
            <v>CTR</v>
          </cell>
          <cell r="N225" t="str">
            <v>RH</v>
          </cell>
          <cell r="O225" t="str">
            <v>robertiagus.haposan@alamtri.com</v>
          </cell>
          <cell r="P225">
            <v>10000</v>
          </cell>
          <cell r="Q225">
            <v>160000000</v>
          </cell>
          <cell r="R225" t="str">
            <v>Completed Sign PO Contract</v>
          </cell>
          <cell r="T225" t="str">
            <v>MSW</v>
          </cell>
          <cell r="U225" t="str">
            <v>Sanggadelima Nusantara, PT</v>
          </cell>
          <cell r="V225" t="str">
            <v>Sanggadelima Nusantara, PT</v>
          </cell>
          <cell r="W225" t="str">
            <v>1 of 1</v>
          </cell>
          <cell r="X225" t="str">
            <v>1 of 1</v>
          </cell>
          <cell r="Z225" t="str">
            <v/>
          </cell>
          <cell r="AC225" t="str">
            <v xml:space="preserve"> of </v>
          </cell>
          <cell r="AD225" t="str">
            <v xml:space="preserve"> of </v>
          </cell>
          <cell r="AF225" t="str">
            <v/>
          </cell>
          <cell r="AI225" t="str">
            <v xml:space="preserve"> of </v>
          </cell>
          <cell r="AJ225" t="str">
            <v xml:space="preserve"> of </v>
          </cell>
          <cell r="AL225" t="str">
            <v/>
          </cell>
          <cell r="AM225">
            <v>0.70833333333333337</v>
          </cell>
          <cell r="AN225" t="str">
            <v>Sanggadelima Nusantara, PT</v>
          </cell>
          <cell r="AO225" t="str">
            <v>anggie@sanggadelima.com; agung.nugroho@sanggadelima.com</v>
          </cell>
          <cell r="AP225" t="str">
            <v>PO24000810</v>
          </cell>
          <cell r="AQ225">
            <v>966848000</v>
          </cell>
          <cell r="AT225">
            <v>45604</v>
          </cell>
          <cell r="AU225">
            <v>45702</v>
          </cell>
          <cell r="AV225">
            <v>45610</v>
          </cell>
          <cell r="AW225">
            <v>45708</v>
          </cell>
          <cell r="AX225">
            <v>14</v>
          </cell>
          <cell r="AY225">
            <v>45757</v>
          </cell>
          <cell r="AZ225">
            <v>49</v>
          </cell>
          <cell r="BA225">
            <v>48342400</v>
          </cell>
          <cell r="BB225" t="str">
            <v>Completed</v>
          </cell>
          <cell r="BC225" t="str">
            <v>PR100009766</v>
          </cell>
        </row>
        <row r="226">
          <cell r="B226" t="str">
            <v>PR100009592</v>
          </cell>
          <cell r="C226" t="str">
            <v>PR Untuk Invoice Perjanjian Jasa Overhaul Pompa Amarex MSW-PPE (MSW/10/NEC/PPE/V/2023)</v>
          </cell>
          <cell r="D226" t="str">
            <v>Pola Proserve Engineering, PT</v>
          </cell>
          <cell r="E226" t="str">
            <v>Pola Proserve Engineering, PT</v>
          </cell>
          <cell r="F226" t="str">
            <v/>
          </cell>
          <cell r="G226" t="str">
            <v/>
          </cell>
          <cell r="H226" t="str">
            <v>TOPAN BAYU PRAPTOMO</v>
          </cell>
          <cell r="I226">
            <v>45545</v>
          </cell>
          <cell r="J226" t="str">
            <v>Tech Main</v>
          </cell>
          <cell r="K226" t="str">
            <v>J</v>
          </cell>
          <cell r="L226" t="str">
            <v>CTR</v>
          </cell>
          <cell r="N226" t="str">
            <v>RH</v>
          </cell>
          <cell r="O226" t="str">
            <v>robertiagus.haposan@alamtri.com</v>
          </cell>
          <cell r="P226">
            <v>45090</v>
          </cell>
          <cell r="Q226">
            <v>721440000</v>
          </cell>
          <cell r="R226" t="str">
            <v>Completed Sign PO Contract</v>
          </cell>
          <cell r="T226" t="str">
            <v>MSW</v>
          </cell>
          <cell r="U226" t="str">
            <v>Pola Proserve Engineering, PT</v>
          </cell>
          <cell r="V226" t="str">
            <v>Pola Proserve Engineering, PT</v>
          </cell>
          <cell r="W226" t="str">
            <v>1 of 1</v>
          </cell>
          <cell r="X226" t="str">
            <v>1 of 1</v>
          </cell>
          <cell r="Z226" t="str">
            <v/>
          </cell>
          <cell r="AC226" t="str">
            <v xml:space="preserve"> of </v>
          </cell>
          <cell r="AD226" t="str">
            <v xml:space="preserve"> of </v>
          </cell>
          <cell r="AF226" t="str">
            <v/>
          </cell>
          <cell r="AI226" t="str">
            <v xml:space="preserve"> of </v>
          </cell>
          <cell r="AJ226" t="str">
            <v xml:space="preserve"> of </v>
          </cell>
          <cell r="AL226" t="str">
            <v/>
          </cell>
          <cell r="AM226">
            <v>0.70833333333333337</v>
          </cell>
          <cell r="AN226" t="str">
            <v>Pola Proserve Engineering, PT</v>
          </cell>
          <cell r="AO226" t="str">
            <v>proserve@indo.net.id; inez@proserve.co.id; lilis@proserve.co.id; sales@proserve.co.id</v>
          </cell>
          <cell r="AP226" t="str">
            <v>PO24000893</v>
          </cell>
          <cell r="AQ226">
            <v>676350000</v>
          </cell>
          <cell r="AT226">
            <v>45646</v>
          </cell>
          <cell r="AU226">
            <v>45681</v>
          </cell>
          <cell r="AV226">
            <v>45650</v>
          </cell>
          <cell r="AW226">
            <v>45685</v>
          </cell>
          <cell r="AX226">
            <v>5</v>
          </cell>
          <cell r="AY226">
            <v>45671</v>
          </cell>
          <cell r="AZ226" t="str">
            <v/>
          </cell>
          <cell r="BA226" t="str">
            <v/>
          </cell>
          <cell r="BB226" t="str">
            <v>Late Completed</v>
          </cell>
          <cell r="BC226" t="str">
            <v>PR100009592</v>
          </cell>
        </row>
        <row r="227">
          <cell r="B227" t="str">
            <v>PR100009658</v>
          </cell>
          <cell r="C227" t="str">
            <v>Jasa perbaikan  Motor starter  DG Cat 3516 IBT  (3G3)</v>
          </cell>
          <cell r="E227" t="str">
            <v/>
          </cell>
          <cell r="F227" t="str">
            <v/>
          </cell>
          <cell r="G227" t="str">
            <v/>
          </cell>
          <cell r="H227" t="str">
            <v>SLAMET</v>
          </cell>
          <cell r="I227">
            <v>45567</v>
          </cell>
          <cell r="J227" t="str">
            <v>Tech Main</v>
          </cell>
          <cell r="K227" t="str">
            <v>J</v>
          </cell>
          <cell r="L227" t="str">
            <v>IOM</v>
          </cell>
          <cell r="N227" t="str">
            <v>RH</v>
          </cell>
          <cell r="O227" t="str">
            <v>robertiagus.haposan@alamtri.com</v>
          </cell>
          <cell r="Q227" t="str">
            <v/>
          </cell>
          <cell r="R227" t="str">
            <v>CANCEL</v>
          </cell>
          <cell r="T227" t="str">
            <v>MSW</v>
          </cell>
          <cell r="W227" t="str">
            <v xml:space="preserve"> of </v>
          </cell>
          <cell r="X227" t="str">
            <v xml:space="preserve"> of </v>
          </cell>
          <cell r="Z227" t="str">
            <v/>
          </cell>
          <cell r="AC227" t="str">
            <v xml:space="preserve"> of </v>
          </cell>
          <cell r="AD227" t="str">
            <v xml:space="preserve"> of </v>
          </cell>
          <cell r="AF227" t="str">
            <v/>
          </cell>
          <cell r="AI227" t="str">
            <v xml:space="preserve"> of </v>
          </cell>
          <cell r="AJ227" t="str">
            <v xml:space="preserve"> of </v>
          </cell>
          <cell r="AL227" t="str">
            <v/>
          </cell>
          <cell r="AM227">
            <v>0.70833333333333337</v>
          </cell>
          <cell r="AO227" t="str">
            <v/>
          </cell>
          <cell r="AW227" t="str">
            <v/>
          </cell>
          <cell r="AX227" t="str">
            <v/>
          </cell>
          <cell r="AZ227" t="str">
            <v/>
          </cell>
          <cell r="BA227" t="str">
            <v/>
          </cell>
          <cell r="BB227" t="str">
            <v/>
          </cell>
          <cell r="BC227" t="str">
            <v>PR100009658</v>
          </cell>
        </row>
        <row r="228">
          <cell r="B228" t="str">
            <v>PR100008570</v>
          </cell>
          <cell r="C228" t="str">
            <v>Supervisi &amp; Material (Chemical Degreasing, Acid Cleaning &amp; Passivation New Backpass Tube Unit #1)</v>
          </cell>
          <cell r="D228" t="str">
            <v>Kurita Indonesia, PT</v>
          </cell>
          <cell r="E228" t="str">
            <v/>
          </cell>
          <cell r="F228" t="str">
            <v/>
          </cell>
          <cell r="G228" t="str">
            <v/>
          </cell>
          <cell r="H228" t="str">
            <v>DENI SUHENDRA</v>
          </cell>
          <cell r="I228">
            <v>45328</v>
          </cell>
          <cell r="J228" t="str">
            <v>OP</v>
          </cell>
          <cell r="K228" t="str">
            <v>J</v>
          </cell>
          <cell r="L228" t="str">
            <v>IOM</v>
          </cell>
          <cell r="N228" t="str">
            <v>RH</v>
          </cell>
          <cell r="O228" t="str">
            <v>robertiagus.haposan@alamtri.com</v>
          </cell>
          <cell r="P228">
            <v>1074.2</v>
          </cell>
          <cell r="Q228" t="str">
            <v/>
          </cell>
          <cell r="R228" t="str">
            <v>Completed Sign PO</v>
          </cell>
          <cell r="T228" t="str">
            <v>MSW</v>
          </cell>
          <cell r="W228" t="str">
            <v xml:space="preserve"> of </v>
          </cell>
          <cell r="X228" t="str">
            <v xml:space="preserve"> of </v>
          </cell>
          <cell r="Z228" t="str">
            <v/>
          </cell>
          <cell r="AC228" t="str">
            <v xml:space="preserve"> of </v>
          </cell>
          <cell r="AD228" t="str">
            <v xml:space="preserve"> of </v>
          </cell>
          <cell r="AF228" t="str">
            <v/>
          </cell>
          <cell r="AI228" t="str">
            <v xml:space="preserve"> of </v>
          </cell>
          <cell r="AJ228" t="str">
            <v xml:space="preserve"> of </v>
          </cell>
          <cell r="AL228" t="str">
            <v/>
          </cell>
          <cell r="AM228">
            <v>0.70833333333333337</v>
          </cell>
          <cell r="AN228" t="str">
            <v>Kurita Indonesia, PT</v>
          </cell>
          <cell r="AO228" t="str">
            <v>r.padlani12@kurita-water.com</v>
          </cell>
          <cell r="AP228" t="str">
            <v>PO24000005</v>
          </cell>
          <cell r="AQ228">
            <v>9650000</v>
          </cell>
          <cell r="AR228">
            <v>45324</v>
          </cell>
          <cell r="AS228">
            <v>45327</v>
          </cell>
          <cell r="AT228">
            <v>45331</v>
          </cell>
          <cell r="AU228">
            <v>45443</v>
          </cell>
          <cell r="AV228">
            <v>45334</v>
          </cell>
          <cell r="AW228">
            <v>45446</v>
          </cell>
          <cell r="AX228">
            <v>16</v>
          </cell>
          <cell r="AY228">
            <v>45536</v>
          </cell>
          <cell r="AZ228">
            <v>90</v>
          </cell>
          <cell r="BA228">
            <v>289500</v>
          </cell>
          <cell r="BB228" t="str">
            <v>Completed</v>
          </cell>
          <cell r="BC228" t="str">
            <v>PR100008570</v>
          </cell>
        </row>
        <row r="229">
          <cell r="B229" t="str">
            <v>PR100008927</v>
          </cell>
          <cell r="C229" t="str">
            <v>Jasa pekerjaan TOH 3G4 (Reimburse  at IBT)</v>
          </cell>
          <cell r="D229" t="str">
            <v>Trakindo Utama, PT</v>
          </cell>
          <cell r="E229" t="str">
            <v/>
          </cell>
          <cell r="F229" t="str">
            <v/>
          </cell>
          <cell r="G229" t="str">
            <v/>
          </cell>
          <cell r="H229" t="str">
            <v>SLAMET</v>
          </cell>
          <cell r="I229">
            <v>45335</v>
          </cell>
          <cell r="J229" t="str">
            <v>Tech Main</v>
          </cell>
          <cell r="K229" t="str">
            <v>J</v>
          </cell>
          <cell r="L229" t="str">
            <v>IOM</v>
          </cell>
          <cell r="N229" t="str">
            <v>RH</v>
          </cell>
          <cell r="O229" t="str">
            <v>robertiagus.haposan@alamtri.com</v>
          </cell>
          <cell r="P229">
            <v>110344</v>
          </cell>
          <cell r="Q229">
            <v>1765504000</v>
          </cell>
          <cell r="R229" t="str">
            <v>Completed Sign PO</v>
          </cell>
          <cell r="T229" t="str">
            <v>MSW</v>
          </cell>
          <cell r="W229" t="str">
            <v xml:space="preserve"> of </v>
          </cell>
          <cell r="X229" t="str">
            <v xml:space="preserve"> of </v>
          </cell>
          <cell r="Z229" t="str">
            <v/>
          </cell>
          <cell r="AC229" t="str">
            <v xml:space="preserve"> of </v>
          </cell>
          <cell r="AD229" t="str">
            <v xml:space="preserve"> of </v>
          </cell>
          <cell r="AF229" t="str">
            <v/>
          </cell>
          <cell r="AI229" t="str">
            <v xml:space="preserve"> of </v>
          </cell>
          <cell r="AJ229" t="str">
            <v xml:space="preserve"> of </v>
          </cell>
          <cell r="AL229" t="str">
            <v/>
          </cell>
          <cell r="AM229">
            <v>0.70833333333333337</v>
          </cell>
          <cell r="AN229" t="str">
            <v>Trakindo Utama, PT</v>
          </cell>
          <cell r="AO229" t="str">
            <v>hjuniater.sidauruk@trakindo.co.id</v>
          </cell>
          <cell r="AP229" t="str">
            <v>PO24000028</v>
          </cell>
          <cell r="AQ229">
            <v>1384959795</v>
          </cell>
          <cell r="AR229">
            <v>45341</v>
          </cell>
          <cell r="AS229">
            <v>45342</v>
          </cell>
          <cell r="AT229">
            <v>45411</v>
          </cell>
          <cell r="AU229">
            <v>45450</v>
          </cell>
          <cell r="AV229">
            <v>45412</v>
          </cell>
          <cell r="AW229">
            <v>45451</v>
          </cell>
          <cell r="AX229">
            <v>5.5714285714285712</v>
          </cell>
          <cell r="AY229">
            <v>45412</v>
          </cell>
          <cell r="AZ229" t="str">
            <v/>
          </cell>
          <cell r="BA229" t="str">
            <v/>
          </cell>
          <cell r="BB229" t="str">
            <v>Late Completed</v>
          </cell>
          <cell r="BC229" t="str">
            <v>PR100008927</v>
          </cell>
        </row>
        <row r="230">
          <cell r="B230" t="str">
            <v>PR100009019</v>
          </cell>
          <cell r="C230" t="str">
            <v>Jasa perbaikan Low Voltage   DG Cat 3516 IBT  3G1(Urgent)</v>
          </cell>
          <cell r="D230" t="str">
            <v>Trakindo Utama, PT</v>
          </cell>
          <cell r="E230" t="str">
            <v/>
          </cell>
          <cell r="F230" t="str">
            <v/>
          </cell>
          <cell r="G230" t="str">
            <v/>
          </cell>
          <cell r="H230" t="str">
            <v>SLAMET</v>
          </cell>
          <cell r="I230">
            <v>45372</v>
          </cell>
          <cell r="J230" t="str">
            <v>Tech Main</v>
          </cell>
          <cell r="K230" t="str">
            <v>J</v>
          </cell>
          <cell r="L230" t="str">
            <v>IOM</v>
          </cell>
          <cell r="N230" t="str">
            <v>RH</v>
          </cell>
          <cell r="O230" t="str">
            <v>robertiagus.haposan@alamtri.com</v>
          </cell>
          <cell r="P230">
            <v>1310</v>
          </cell>
          <cell r="Q230">
            <v>20960000</v>
          </cell>
          <cell r="R230" t="str">
            <v>Completed Sign PO</v>
          </cell>
          <cell r="T230" t="str">
            <v>MSW</v>
          </cell>
          <cell r="W230" t="str">
            <v xml:space="preserve"> of </v>
          </cell>
          <cell r="X230" t="str">
            <v xml:space="preserve"> of </v>
          </cell>
          <cell r="Z230" t="str">
            <v/>
          </cell>
          <cell r="AC230" t="str">
            <v xml:space="preserve"> of </v>
          </cell>
          <cell r="AD230" t="str">
            <v xml:space="preserve"> of </v>
          </cell>
          <cell r="AF230" t="str">
            <v/>
          </cell>
          <cell r="AI230" t="str">
            <v xml:space="preserve"> of </v>
          </cell>
          <cell r="AJ230" t="str">
            <v xml:space="preserve"> of </v>
          </cell>
          <cell r="AL230" t="str">
            <v/>
          </cell>
          <cell r="AM230">
            <v>0.70833333333333337</v>
          </cell>
          <cell r="AN230" t="str">
            <v>Trakindo Utama, PT</v>
          </cell>
          <cell r="AO230" t="str">
            <v>hjuniater.sidauruk@trakindo.co.id</v>
          </cell>
          <cell r="AP230" t="str">
            <v>PO24000136</v>
          </cell>
          <cell r="AQ230">
            <v>18346560</v>
          </cell>
          <cell r="AR230">
            <v>45383</v>
          </cell>
          <cell r="AS230">
            <v>45383</v>
          </cell>
          <cell r="AT230">
            <v>45383</v>
          </cell>
          <cell r="AU230">
            <v>45429</v>
          </cell>
          <cell r="AV230">
            <v>45384</v>
          </cell>
          <cell r="AW230">
            <v>45430</v>
          </cell>
          <cell r="AX230">
            <v>6.5714285714285712</v>
          </cell>
          <cell r="AY230">
            <v>45387</v>
          </cell>
          <cell r="AZ230" t="str">
            <v/>
          </cell>
          <cell r="BA230" t="str">
            <v/>
          </cell>
          <cell r="BB230" t="str">
            <v>Completed</v>
          </cell>
          <cell r="BC230" t="str">
            <v>PR100009019</v>
          </cell>
        </row>
        <row r="231">
          <cell r="B231" t="str">
            <v>PR100009033</v>
          </cell>
          <cell r="C231" t="str">
            <v>Jasa pekerjaan TOH 3G1 (Reimburse to IBT) Tahap 1 Jasa Disassemble Engine</v>
          </cell>
          <cell r="D231" t="str">
            <v>Trakindo Utama, PT</v>
          </cell>
          <cell r="E231" t="str">
            <v/>
          </cell>
          <cell r="F231" t="str">
            <v/>
          </cell>
          <cell r="G231" t="str">
            <v/>
          </cell>
          <cell r="H231" t="str">
            <v>SLAMET</v>
          </cell>
          <cell r="I231">
            <v>45379</v>
          </cell>
          <cell r="J231" t="str">
            <v>Tech Main</v>
          </cell>
          <cell r="K231" t="str">
            <v>J</v>
          </cell>
          <cell r="L231" t="str">
            <v>IOM</v>
          </cell>
          <cell r="N231" t="str">
            <v>RH</v>
          </cell>
          <cell r="O231" t="str">
            <v>robertiagus.haposan@alamtri.com</v>
          </cell>
          <cell r="P231">
            <v>5551</v>
          </cell>
          <cell r="Q231">
            <v>88816000</v>
          </cell>
          <cell r="R231" t="str">
            <v>Completed Sign PO</v>
          </cell>
          <cell r="T231" t="str">
            <v>MSW</v>
          </cell>
          <cell r="W231" t="str">
            <v xml:space="preserve"> of </v>
          </cell>
          <cell r="X231" t="str">
            <v xml:space="preserve"> of </v>
          </cell>
          <cell r="Z231" t="str">
            <v/>
          </cell>
          <cell r="AC231" t="str">
            <v xml:space="preserve"> of </v>
          </cell>
          <cell r="AD231" t="str">
            <v xml:space="preserve"> of </v>
          </cell>
          <cell r="AF231" t="str">
            <v/>
          </cell>
          <cell r="AI231" t="str">
            <v xml:space="preserve"> of </v>
          </cell>
          <cell r="AJ231" t="str">
            <v xml:space="preserve"> of </v>
          </cell>
          <cell r="AL231" t="str">
            <v/>
          </cell>
          <cell r="AM231">
            <v>0.70833333333333337</v>
          </cell>
          <cell r="AN231" t="str">
            <v>Trakindo Utama, PT</v>
          </cell>
          <cell r="AO231" t="str">
            <v>hjuniater.sidauruk@trakindo.co.id</v>
          </cell>
          <cell r="AP231" t="str">
            <v>PO24000228</v>
          </cell>
          <cell r="AQ231">
            <v>81896560</v>
          </cell>
          <cell r="AR231">
            <v>45418</v>
          </cell>
          <cell r="AS231">
            <v>45423</v>
          </cell>
          <cell r="AT231">
            <v>45425</v>
          </cell>
          <cell r="AU231">
            <v>45457</v>
          </cell>
          <cell r="AV231">
            <v>45425</v>
          </cell>
          <cell r="AW231">
            <v>45457</v>
          </cell>
          <cell r="AX231">
            <v>4.5714285714285712</v>
          </cell>
          <cell r="AY231">
            <v>45507</v>
          </cell>
          <cell r="AZ231">
            <v>50</v>
          </cell>
          <cell r="BA231">
            <v>4094828</v>
          </cell>
          <cell r="BB231" t="str">
            <v>Late Completed</v>
          </cell>
          <cell r="BC231" t="str">
            <v>PR100009033</v>
          </cell>
        </row>
        <row r="232">
          <cell r="B232" t="str">
            <v>PR100009074</v>
          </cell>
          <cell r="C232" t="str">
            <v>Additional material  TOH 3G4 (Reimburse  at IBT)</v>
          </cell>
          <cell r="D232" t="str">
            <v>Trakindo Utama, PT</v>
          </cell>
          <cell r="E232" t="str">
            <v/>
          </cell>
          <cell r="F232" t="str">
            <v/>
          </cell>
          <cell r="G232" t="str">
            <v/>
          </cell>
          <cell r="H232" t="str">
            <v>SLAMET</v>
          </cell>
          <cell r="I232">
            <v>45398</v>
          </cell>
          <cell r="J232" t="str">
            <v>Tech Main</v>
          </cell>
          <cell r="K232" t="str">
            <v>J</v>
          </cell>
          <cell r="L232" t="str">
            <v>IOM</v>
          </cell>
          <cell r="N232" t="str">
            <v>RH</v>
          </cell>
          <cell r="O232" t="str">
            <v>robertiagus.haposan@alamtri.com</v>
          </cell>
          <cell r="P232">
            <v>7017</v>
          </cell>
          <cell r="Q232">
            <v>112272000</v>
          </cell>
          <cell r="R232" t="str">
            <v>Completed Sign PO</v>
          </cell>
          <cell r="T232" t="str">
            <v>MSW</v>
          </cell>
          <cell r="U232" t="str">
            <v>Trakindo Utama, PT</v>
          </cell>
          <cell r="V232" t="str">
            <v>Trakindo Utama, PT</v>
          </cell>
          <cell r="W232" t="str">
            <v>1 of 1</v>
          </cell>
          <cell r="X232" t="str">
            <v>1 of 1</v>
          </cell>
          <cell r="Z232" t="str">
            <v/>
          </cell>
          <cell r="AC232" t="str">
            <v xml:space="preserve"> of </v>
          </cell>
          <cell r="AD232" t="str">
            <v xml:space="preserve"> of </v>
          </cell>
          <cell r="AF232" t="str">
            <v/>
          </cell>
          <cell r="AI232" t="str">
            <v xml:space="preserve"> of </v>
          </cell>
          <cell r="AJ232" t="str">
            <v xml:space="preserve"> of </v>
          </cell>
          <cell r="AL232" t="str">
            <v/>
          </cell>
          <cell r="AM232">
            <v>0.70833333333333337</v>
          </cell>
          <cell r="AN232" t="str">
            <v>Trakindo Utama, PT</v>
          </cell>
          <cell r="AO232" t="str">
            <v>hjuniater.sidauruk@trakindo.co.id</v>
          </cell>
          <cell r="AP232" t="str">
            <v>PO24000215</v>
          </cell>
          <cell r="AQ232">
            <v>114738877</v>
          </cell>
          <cell r="AR232">
            <v>45415</v>
          </cell>
          <cell r="AS232">
            <v>45423</v>
          </cell>
          <cell r="AT232">
            <v>45425</v>
          </cell>
          <cell r="AU232">
            <v>45492</v>
          </cell>
          <cell r="AV232">
            <v>45425</v>
          </cell>
          <cell r="AW232">
            <v>45492</v>
          </cell>
          <cell r="AX232">
            <v>9.5714285714285712</v>
          </cell>
          <cell r="AY232">
            <v>45426</v>
          </cell>
          <cell r="AZ232" t="str">
            <v/>
          </cell>
          <cell r="BA232" t="str">
            <v/>
          </cell>
          <cell r="BB232" t="str">
            <v>Completed</v>
          </cell>
          <cell r="BC232" t="str">
            <v>PR100009074</v>
          </cell>
        </row>
        <row r="233">
          <cell r="B233" t="str">
            <v>PR100009213</v>
          </cell>
          <cell r="C233" t="str">
            <v>Jasa perbaikan Problem engine Glowing, Engine oil temperature dan Replace Cor Radiator  3G2  DG IBT</v>
          </cell>
          <cell r="D233" t="str">
            <v>Trakindo Utama, PT</v>
          </cell>
          <cell r="E233" t="str">
            <v/>
          </cell>
          <cell r="F233" t="str">
            <v/>
          </cell>
          <cell r="G233" t="str">
            <v/>
          </cell>
          <cell r="H233" t="str">
            <v>SLAMET</v>
          </cell>
          <cell r="I233">
            <v>45442</v>
          </cell>
          <cell r="J233" t="str">
            <v>Tech Main</v>
          </cell>
          <cell r="K233" t="str">
            <v>J</v>
          </cell>
          <cell r="L233" t="str">
            <v>IOM</v>
          </cell>
          <cell r="M233">
            <v>1</v>
          </cell>
          <cell r="N233" t="str">
            <v>RH</v>
          </cell>
          <cell r="O233" t="str">
            <v>robertiagus.haposan@alamtri.com</v>
          </cell>
          <cell r="P233">
            <v>2666</v>
          </cell>
          <cell r="Q233">
            <v>42656000</v>
          </cell>
          <cell r="R233" t="str">
            <v>Completed Sign PO</v>
          </cell>
          <cell r="T233" t="str">
            <v>MSW</v>
          </cell>
          <cell r="W233" t="str">
            <v xml:space="preserve"> of </v>
          </cell>
          <cell r="X233" t="str">
            <v xml:space="preserve"> of </v>
          </cell>
          <cell r="Z233" t="str">
            <v/>
          </cell>
          <cell r="AC233" t="str">
            <v xml:space="preserve"> of </v>
          </cell>
          <cell r="AD233" t="str">
            <v xml:space="preserve"> of </v>
          </cell>
          <cell r="AF233" t="str">
            <v/>
          </cell>
          <cell r="AI233" t="str">
            <v xml:space="preserve"> of </v>
          </cell>
          <cell r="AJ233" t="str">
            <v xml:space="preserve"> of </v>
          </cell>
          <cell r="AL233" t="str">
            <v/>
          </cell>
          <cell r="AM233">
            <v>0.70833333333333337</v>
          </cell>
          <cell r="AN233" t="str">
            <v>Trakindo Utama, PT</v>
          </cell>
          <cell r="AO233" t="str">
            <v>hjuniater.sidauruk@trakindo.co.id</v>
          </cell>
          <cell r="AP233" t="str">
            <v>PO24000276</v>
          </cell>
          <cell r="AQ233">
            <v>30886560</v>
          </cell>
          <cell r="AR233">
            <v>45432</v>
          </cell>
          <cell r="AS233">
            <v>45442</v>
          </cell>
          <cell r="AT233">
            <v>45443</v>
          </cell>
          <cell r="AU233">
            <v>45478</v>
          </cell>
          <cell r="AV233">
            <v>45446</v>
          </cell>
          <cell r="AW233">
            <v>45481</v>
          </cell>
          <cell r="AX233">
            <v>5</v>
          </cell>
          <cell r="AY233">
            <v>45507</v>
          </cell>
          <cell r="AZ233">
            <v>26</v>
          </cell>
          <cell r="BA233">
            <v>803050.56</v>
          </cell>
          <cell r="BB233" t="str">
            <v>Completed</v>
          </cell>
          <cell r="BC233" t="str">
            <v>PR100009213</v>
          </cell>
        </row>
        <row r="234">
          <cell r="B234" t="str">
            <v>PR100009358</v>
          </cell>
          <cell r="C234" t="str">
            <v>Pekerjaan Pemasangan Guide Vane Primary Air Ducting Boiler Unit 1</v>
          </cell>
          <cell r="D234" t="str">
            <v>Indonesian Marine, PT</v>
          </cell>
          <cell r="E234" t="str">
            <v/>
          </cell>
          <cell r="F234" t="str">
            <v/>
          </cell>
          <cell r="G234" t="str">
            <v/>
          </cell>
          <cell r="H234" t="str">
            <v>RIDHANI TAUFIQ</v>
          </cell>
          <cell r="I234">
            <v>45477</v>
          </cell>
          <cell r="J234" t="str">
            <v>Tech Eng</v>
          </cell>
          <cell r="K234" t="str">
            <v>B &amp; J</v>
          </cell>
          <cell r="L234" t="str">
            <v>IOM</v>
          </cell>
          <cell r="N234" t="str">
            <v>RH</v>
          </cell>
          <cell r="O234" t="str">
            <v>robertiagus.haposan@alamtri.com</v>
          </cell>
          <cell r="P234">
            <v>10934</v>
          </cell>
          <cell r="Q234" t="str">
            <v/>
          </cell>
          <cell r="R234" t="str">
            <v>Completed Sign PO</v>
          </cell>
          <cell r="T234" t="str">
            <v>MSW</v>
          </cell>
          <cell r="W234" t="str">
            <v xml:space="preserve"> of </v>
          </cell>
          <cell r="X234" t="str">
            <v xml:space="preserve"> of </v>
          </cell>
          <cell r="Z234" t="str">
            <v/>
          </cell>
          <cell r="AC234" t="str">
            <v xml:space="preserve"> of </v>
          </cell>
          <cell r="AD234" t="str">
            <v xml:space="preserve"> of </v>
          </cell>
          <cell r="AF234" t="str">
            <v/>
          </cell>
          <cell r="AI234" t="str">
            <v xml:space="preserve"> of </v>
          </cell>
          <cell r="AJ234" t="str">
            <v xml:space="preserve"> of </v>
          </cell>
          <cell r="AL234" t="str">
            <v/>
          </cell>
          <cell r="AM234">
            <v>0.70833333333333337</v>
          </cell>
          <cell r="AN234" t="str">
            <v>Indonesian Marine, PT</v>
          </cell>
          <cell r="AO234" t="str">
            <v>bobby.yusdyanto@indomarine.co.id</v>
          </cell>
          <cell r="AP234" t="str">
            <v>PO24000400</v>
          </cell>
          <cell r="AQ234">
            <v>164000000</v>
          </cell>
          <cell r="AR234">
            <v>45481</v>
          </cell>
          <cell r="AS234">
            <v>45485</v>
          </cell>
          <cell r="AT234">
            <v>45489</v>
          </cell>
          <cell r="AU234">
            <v>45548</v>
          </cell>
          <cell r="AV234">
            <v>45492</v>
          </cell>
          <cell r="AW234">
            <v>45551</v>
          </cell>
          <cell r="AX234">
            <v>8.4285714285714288</v>
          </cell>
          <cell r="AY234">
            <v>45536</v>
          </cell>
          <cell r="AZ234" t="str">
            <v/>
          </cell>
          <cell r="BA234" t="str">
            <v/>
          </cell>
          <cell r="BB234" t="str">
            <v>Completed</v>
          </cell>
          <cell r="BC234" t="str">
            <v>PR100009358</v>
          </cell>
        </row>
        <row r="235">
          <cell r="B235" t="str">
            <v>PR100009523</v>
          </cell>
          <cell r="C235" t="str">
            <v>Jasa perbaikan   DG Cat 3516 IBT  3G4 (Urgent)</v>
          </cell>
          <cell r="D235" t="str">
            <v>Trakindo Utama, PT</v>
          </cell>
          <cell r="E235" t="str">
            <v/>
          </cell>
          <cell r="F235" t="str">
            <v/>
          </cell>
          <cell r="G235" t="str">
            <v/>
          </cell>
          <cell r="H235" t="str">
            <v>SLAMET</v>
          </cell>
          <cell r="I235">
            <v>45513</v>
          </cell>
          <cell r="J235" t="str">
            <v>Tech Main</v>
          </cell>
          <cell r="K235" t="str">
            <v>J</v>
          </cell>
          <cell r="L235" t="str">
            <v>IOM</v>
          </cell>
          <cell r="N235" t="str">
            <v>RH</v>
          </cell>
          <cell r="O235" t="str">
            <v>robertiagus.haposan@alamtri.com</v>
          </cell>
          <cell r="P235">
            <v>1133</v>
          </cell>
          <cell r="Q235">
            <v>18128000</v>
          </cell>
          <cell r="R235" t="str">
            <v>Completed Sign PO</v>
          </cell>
          <cell r="T235" t="str">
            <v>MSW</v>
          </cell>
          <cell r="W235" t="str">
            <v xml:space="preserve"> of </v>
          </cell>
          <cell r="X235" t="str">
            <v xml:space="preserve"> of </v>
          </cell>
          <cell r="Z235" t="str">
            <v/>
          </cell>
          <cell r="AC235" t="str">
            <v xml:space="preserve"> of </v>
          </cell>
          <cell r="AD235" t="str">
            <v xml:space="preserve"> of </v>
          </cell>
          <cell r="AF235" t="str">
            <v/>
          </cell>
          <cell r="AI235" t="str">
            <v xml:space="preserve"> of </v>
          </cell>
          <cell r="AJ235" t="str">
            <v xml:space="preserve"> of </v>
          </cell>
          <cell r="AL235" t="str">
            <v/>
          </cell>
          <cell r="AM235">
            <v>0.70833333333333337</v>
          </cell>
          <cell r="AN235" t="str">
            <v>Trakindo Utama, PT</v>
          </cell>
          <cell r="AO235" t="str">
            <v>hjuniater.sidauruk@trakindo.co.id</v>
          </cell>
          <cell r="AP235" t="str">
            <v>PO24000506</v>
          </cell>
          <cell r="AQ235">
            <v>16445575</v>
          </cell>
          <cell r="AR235">
            <v>45516</v>
          </cell>
          <cell r="AS235">
            <v>45516</v>
          </cell>
          <cell r="AT235">
            <v>45518</v>
          </cell>
          <cell r="AU235">
            <v>45569</v>
          </cell>
          <cell r="AV235">
            <v>45523</v>
          </cell>
          <cell r="AW235">
            <v>45574</v>
          </cell>
          <cell r="AX235">
            <v>7.2857142857142856</v>
          </cell>
          <cell r="AY235">
            <v>45562</v>
          </cell>
          <cell r="AZ235" t="str">
            <v/>
          </cell>
          <cell r="BA235" t="str">
            <v/>
          </cell>
          <cell r="BB235" t="str">
            <v>Completed</v>
          </cell>
          <cell r="BC235" t="str">
            <v>PR100009523</v>
          </cell>
        </row>
        <row r="236">
          <cell r="B236" t="str">
            <v>PR100009590</v>
          </cell>
          <cell r="C236" t="str">
            <v>Pengiriman Barang Hibah Asset Furniture dari Adaro Power ke PT MSW dengan Ekspedisi</v>
          </cell>
          <cell r="E236" t="str">
            <v/>
          </cell>
          <cell r="F236" t="str">
            <v/>
          </cell>
          <cell r="G236" t="str">
            <v/>
          </cell>
          <cell r="H236" t="str">
            <v>M FIKRY MAULANA</v>
          </cell>
          <cell r="I236">
            <v>45533</v>
          </cell>
          <cell r="J236" t="str">
            <v>HR</v>
          </cell>
          <cell r="K236" t="str">
            <v>B &amp; J</v>
          </cell>
          <cell r="L236" t="str">
            <v>IOM</v>
          </cell>
          <cell r="N236" t="str">
            <v>RH</v>
          </cell>
          <cell r="O236" t="str">
            <v>robertiagus.haposan@alamtri.com</v>
          </cell>
          <cell r="Q236" t="str">
            <v/>
          </cell>
          <cell r="R236" t="str">
            <v>Completed Sign PO</v>
          </cell>
          <cell r="T236" t="str">
            <v>MSW</v>
          </cell>
          <cell r="W236" t="str">
            <v xml:space="preserve"> of </v>
          </cell>
          <cell r="X236" t="str">
            <v xml:space="preserve"> of </v>
          </cell>
          <cell r="Z236" t="str">
            <v/>
          </cell>
          <cell r="AC236" t="str">
            <v xml:space="preserve"> of </v>
          </cell>
          <cell r="AD236" t="str">
            <v xml:space="preserve"> of </v>
          </cell>
          <cell r="AF236" t="str">
            <v/>
          </cell>
          <cell r="AI236" t="str">
            <v xml:space="preserve"> of </v>
          </cell>
          <cell r="AJ236" t="str">
            <v xml:space="preserve"> of </v>
          </cell>
          <cell r="AL236" t="str">
            <v/>
          </cell>
          <cell r="AM236">
            <v>0.70833333333333337</v>
          </cell>
          <cell r="AN236" t="str">
            <v>Nuansa Nirmana Artistika, PT</v>
          </cell>
          <cell r="AO236" t="str">
            <v>dimasguntur86@gmail.com; tumbelakavico@gmail.com</v>
          </cell>
          <cell r="AP236" t="str">
            <v>PO24000582</v>
          </cell>
          <cell r="AQ236">
            <v>40738500</v>
          </cell>
          <cell r="AR236">
            <v>45533</v>
          </cell>
          <cell r="AS236">
            <v>45533</v>
          </cell>
          <cell r="AT236">
            <v>45534</v>
          </cell>
          <cell r="AU236">
            <v>45555</v>
          </cell>
          <cell r="AV236">
            <v>45540</v>
          </cell>
          <cell r="AW236">
            <v>45561</v>
          </cell>
          <cell r="AX236">
            <v>3</v>
          </cell>
          <cell r="AY236">
            <v>45575</v>
          </cell>
          <cell r="AZ236">
            <v>14</v>
          </cell>
          <cell r="BA236">
            <v>570339</v>
          </cell>
          <cell r="BB236" t="str">
            <v>Completed</v>
          </cell>
          <cell r="BC236" t="str">
            <v>PR100009590</v>
          </cell>
        </row>
        <row r="237">
          <cell r="B237" t="str">
            <v>PR100009653
(Line 1)</v>
          </cell>
          <cell r="C237" t="str">
            <v>Pengadaan Mobil Listrik (Electric Vehicle) Periode 2024</v>
          </cell>
          <cell r="E237" t="str">
            <v/>
          </cell>
          <cell r="F237" t="str">
            <v/>
          </cell>
          <cell r="G237" t="str">
            <v/>
          </cell>
          <cell r="H237" t="str">
            <v>M FIKRY MAULANA</v>
          </cell>
          <cell r="I237">
            <v>45595</v>
          </cell>
          <cell r="J237" t="str">
            <v>HRD</v>
          </cell>
          <cell r="K237" t="str">
            <v>B</v>
          </cell>
          <cell r="L237" t="str">
            <v>IOM</v>
          </cell>
          <cell r="N237" t="str">
            <v>RH</v>
          </cell>
          <cell r="O237" t="str">
            <v>robertiagus.haposan@alamtri.com</v>
          </cell>
          <cell r="P237">
            <v>43866.666700000002</v>
          </cell>
          <cell r="Q237" t="str">
            <v/>
          </cell>
          <cell r="R237" t="str">
            <v>Completed Sign PO</v>
          </cell>
          <cell r="T237" t="str">
            <v>MSW</v>
          </cell>
          <cell r="W237" t="str">
            <v xml:space="preserve"> of </v>
          </cell>
          <cell r="X237" t="str">
            <v xml:space="preserve"> of </v>
          </cell>
          <cell r="Z237" t="str">
            <v/>
          </cell>
          <cell r="AC237" t="str">
            <v xml:space="preserve"> of </v>
          </cell>
          <cell r="AD237" t="str">
            <v xml:space="preserve"> of </v>
          </cell>
          <cell r="AF237" t="str">
            <v/>
          </cell>
          <cell r="AI237" t="str">
            <v xml:space="preserve"> of </v>
          </cell>
          <cell r="AJ237" t="str">
            <v xml:space="preserve"> of </v>
          </cell>
          <cell r="AL237" t="str">
            <v/>
          </cell>
          <cell r="AM237">
            <v>0.70833333333333337</v>
          </cell>
          <cell r="AN237" t="str">
            <v>Indomobil Global Transportasi, PT</v>
          </cell>
          <cell r="AO237" t="str">
            <v>mario.steaffanus@igtrans.id</v>
          </cell>
          <cell r="AP237" t="str">
            <v>PO24000823</v>
          </cell>
          <cell r="AQ237">
            <v>592791793</v>
          </cell>
          <cell r="AR237">
            <v>45602</v>
          </cell>
          <cell r="AS237">
            <v>45604</v>
          </cell>
          <cell r="AT237">
            <v>45611</v>
          </cell>
          <cell r="AU237">
            <v>45632</v>
          </cell>
          <cell r="AV237">
            <v>45614</v>
          </cell>
          <cell r="AW237">
            <v>45635</v>
          </cell>
          <cell r="AX237">
            <v>3</v>
          </cell>
          <cell r="AY237">
            <v>45633</v>
          </cell>
          <cell r="AZ237" t="str">
            <v/>
          </cell>
          <cell r="BA237" t="str">
            <v/>
          </cell>
          <cell r="BB237" t="str">
            <v>Completed</v>
          </cell>
          <cell r="BC237" t="str">
            <v>PR100009653</v>
          </cell>
        </row>
        <row r="238">
          <cell r="B238" t="str">
            <v>PR100009653 (Line 2)</v>
          </cell>
          <cell r="C238" t="str">
            <v>Pengadaan Mobil Listrik (Electric Vehicle) Periode 2024</v>
          </cell>
          <cell r="E238" t="str">
            <v/>
          </cell>
          <cell r="F238" t="str">
            <v/>
          </cell>
          <cell r="G238" t="str">
            <v/>
          </cell>
          <cell r="H238" t="str">
            <v>M FIKRY MAULANA</v>
          </cell>
          <cell r="I238">
            <v>45595</v>
          </cell>
          <cell r="J238" t="str">
            <v>HRD</v>
          </cell>
          <cell r="K238" t="str">
            <v>B</v>
          </cell>
          <cell r="L238" t="str">
            <v>IOM</v>
          </cell>
          <cell r="N238" t="str">
            <v>RH</v>
          </cell>
          <cell r="O238" t="str">
            <v>robertiagus.haposan@alamtri.com</v>
          </cell>
          <cell r="Q238" t="str">
            <v/>
          </cell>
          <cell r="R238" t="str">
            <v>CANCEL</v>
          </cell>
          <cell r="T238" t="str">
            <v>MSW</v>
          </cell>
          <cell r="W238" t="str">
            <v xml:space="preserve"> of </v>
          </cell>
          <cell r="X238" t="str">
            <v xml:space="preserve"> of </v>
          </cell>
          <cell r="Z238" t="str">
            <v/>
          </cell>
          <cell r="AC238" t="str">
            <v xml:space="preserve"> of </v>
          </cell>
          <cell r="AD238" t="str">
            <v xml:space="preserve"> of </v>
          </cell>
          <cell r="AF238" t="str">
            <v/>
          </cell>
          <cell r="AI238" t="str">
            <v xml:space="preserve"> of </v>
          </cell>
          <cell r="AJ238" t="str">
            <v xml:space="preserve"> of </v>
          </cell>
          <cell r="AL238" t="str">
            <v/>
          </cell>
          <cell r="AM238">
            <v>0.70833333333333337</v>
          </cell>
          <cell r="AN238" t="str">
            <v>Mitra Borneo Indah, PT</v>
          </cell>
          <cell r="AO238" t="str">
            <v>ryanto.effendi@gmail.com</v>
          </cell>
          <cell r="AP238" t="str">
            <v>PO24000822R1</v>
          </cell>
          <cell r="AQ238">
            <v>395225225</v>
          </cell>
          <cell r="AR238">
            <v>45602</v>
          </cell>
          <cell r="AS238">
            <v>45604</v>
          </cell>
          <cell r="AT238">
            <v>45677</v>
          </cell>
          <cell r="AU238">
            <v>45702</v>
          </cell>
          <cell r="AV238">
            <v>45614</v>
          </cell>
          <cell r="AW238">
            <v>45639</v>
          </cell>
          <cell r="AX238">
            <v>3.5714285714285716</v>
          </cell>
          <cell r="AZ238" t="str">
            <v/>
          </cell>
          <cell r="BA238" t="str">
            <v/>
          </cell>
          <cell r="BB238" t="str">
            <v>Late Completed</v>
          </cell>
          <cell r="BC238" t="str">
            <v>PR100009653</v>
          </cell>
        </row>
        <row r="239">
          <cell r="B239" t="str">
            <v>PR100009743</v>
          </cell>
          <cell r="C239" t="str">
            <v>Penyediaan Material Biomass (Wood Chip)( Periode Bulan Oktober 2024)</v>
          </cell>
          <cell r="E239" t="str">
            <v/>
          </cell>
          <cell r="F239" t="str">
            <v/>
          </cell>
          <cell r="G239" t="str">
            <v/>
          </cell>
          <cell r="H239" t="str">
            <v>ARIES KURNIAWAN</v>
          </cell>
          <cell r="I239">
            <v>45589</v>
          </cell>
          <cell r="J239" t="str">
            <v>Tech Op</v>
          </cell>
          <cell r="K239" t="str">
            <v>B</v>
          </cell>
          <cell r="L239" t="str">
            <v>IOM</v>
          </cell>
          <cell r="N239" t="str">
            <v>RH</v>
          </cell>
          <cell r="O239" t="str">
            <v>robertiagus.haposan@alamtri.com</v>
          </cell>
          <cell r="Q239" t="str">
            <v/>
          </cell>
          <cell r="R239" t="str">
            <v>CANCEL</v>
          </cell>
          <cell r="T239" t="str">
            <v>MSW</v>
          </cell>
          <cell r="W239" t="str">
            <v xml:space="preserve"> of </v>
          </cell>
          <cell r="X239" t="str">
            <v xml:space="preserve"> of </v>
          </cell>
          <cell r="Z239" t="str">
            <v/>
          </cell>
          <cell r="AC239" t="str">
            <v xml:space="preserve"> of </v>
          </cell>
          <cell r="AD239" t="str">
            <v xml:space="preserve"> of </v>
          </cell>
          <cell r="AF239" t="str">
            <v/>
          </cell>
          <cell r="AI239" t="str">
            <v xml:space="preserve"> of </v>
          </cell>
          <cell r="AJ239" t="str">
            <v xml:space="preserve"> of </v>
          </cell>
          <cell r="AL239" t="str">
            <v/>
          </cell>
          <cell r="AM239">
            <v>0.70833333333333337</v>
          </cell>
          <cell r="AN239" t="str">
            <v>Agri Multi Lestari, PT</v>
          </cell>
          <cell r="AO239" t="str">
            <v>nandasetya.kurniawan@adaro.com; novita.rindriyanti@adaro.com</v>
          </cell>
          <cell r="AW239" t="str">
            <v/>
          </cell>
          <cell r="AX239" t="str">
            <v/>
          </cell>
          <cell r="AZ239" t="str">
            <v/>
          </cell>
          <cell r="BA239" t="str">
            <v/>
          </cell>
          <cell r="BB239" t="str">
            <v/>
          </cell>
          <cell r="BC239" t="str">
            <v>PR100009743</v>
          </cell>
        </row>
        <row r="240">
          <cell r="B240" t="str">
            <v>PR100009746</v>
          </cell>
          <cell r="C240" t="str">
            <v>Penyediaan Material Biomass (Wood Chip)( Periode Bulan November 2024)</v>
          </cell>
          <cell r="E240" t="str">
            <v/>
          </cell>
          <cell r="F240" t="str">
            <v/>
          </cell>
          <cell r="G240" t="str">
            <v/>
          </cell>
          <cell r="H240" t="str">
            <v>ARIES KURNIAWAN</v>
          </cell>
          <cell r="I240">
            <v>45589</v>
          </cell>
          <cell r="J240" t="str">
            <v>Tech Op</v>
          </cell>
          <cell r="K240" t="str">
            <v>B</v>
          </cell>
          <cell r="L240" t="str">
            <v>IOM</v>
          </cell>
          <cell r="N240" t="str">
            <v>RH</v>
          </cell>
          <cell r="O240" t="str">
            <v>robertiagus.haposan@alamtri.com</v>
          </cell>
          <cell r="Q240" t="str">
            <v/>
          </cell>
          <cell r="R240" t="str">
            <v>CANCEL</v>
          </cell>
          <cell r="T240" t="str">
            <v>MSW</v>
          </cell>
          <cell r="W240" t="str">
            <v xml:space="preserve"> of </v>
          </cell>
          <cell r="X240" t="str">
            <v xml:space="preserve"> of </v>
          </cell>
          <cell r="Z240" t="str">
            <v/>
          </cell>
          <cell r="AC240" t="str">
            <v xml:space="preserve"> of </v>
          </cell>
          <cell r="AD240" t="str">
            <v xml:space="preserve"> of </v>
          </cell>
          <cell r="AF240" t="str">
            <v/>
          </cell>
          <cell r="AI240" t="str">
            <v xml:space="preserve"> of </v>
          </cell>
          <cell r="AJ240" t="str">
            <v xml:space="preserve"> of </v>
          </cell>
          <cell r="AL240" t="str">
            <v/>
          </cell>
          <cell r="AM240">
            <v>0.70833333333333337</v>
          </cell>
          <cell r="AN240" t="str">
            <v>Agri Multi Lestari, PT</v>
          </cell>
          <cell r="AO240" t="str">
            <v>nandasetya.kurniawan@adaro.com; novita.rindriyanti@adaro.com</v>
          </cell>
          <cell r="AW240" t="str">
            <v/>
          </cell>
          <cell r="AX240" t="str">
            <v/>
          </cell>
          <cell r="AZ240" t="str">
            <v/>
          </cell>
          <cell r="BA240" t="str">
            <v/>
          </cell>
          <cell r="BB240" t="str">
            <v/>
          </cell>
          <cell r="BC240" t="str">
            <v>PR100009746</v>
          </cell>
        </row>
        <row r="241">
          <cell r="B241" t="str">
            <v>PR100009352</v>
          </cell>
          <cell r="C241" t="str">
            <v>Renewal layanan Osisoft PI System (SRP), Periode 1 Juli 2024 s/d 30 Juni 2025</v>
          </cell>
          <cell r="E241" t="str">
            <v/>
          </cell>
          <cell r="F241" t="str">
            <v/>
          </cell>
          <cell r="G241" t="str">
            <v/>
          </cell>
          <cell r="H241" t="str">
            <v>SIGIT TRI ANGGODO</v>
          </cell>
          <cell r="I241">
            <v>45595</v>
          </cell>
          <cell r="J241" t="str">
            <v>IT</v>
          </cell>
          <cell r="K241" t="str">
            <v>J</v>
          </cell>
          <cell r="L241" t="str">
            <v>IOM</v>
          </cell>
          <cell r="N241" t="str">
            <v>RH</v>
          </cell>
          <cell r="O241" t="str">
            <v>robertiagus.haposan@alamtri.com</v>
          </cell>
          <cell r="Q241" t="str">
            <v/>
          </cell>
          <cell r="R241" t="str">
            <v>CANCEL</v>
          </cell>
          <cell r="T241" t="str">
            <v>MSW</v>
          </cell>
          <cell r="W241" t="str">
            <v xml:space="preserve"> of </v>
          </cell>
          <cell r="X241" t="str">
            <v xml:space="preserve"> of </v>
          </cell>
          <cell r="Z241" t="str">
            <v/>
          </cell>
          <cell r="AC241" t="str">
            <v xml:space="preserve"> of </v>
          </cell>
          <cell r="AD241" t="str">
            <v xml:space="preserve"> of </v>
          </cell>
          <cell r="AF241" t="str">
            <v/>
          </cell>
          <cell r="AI241" t="str">
            <v xml:space="preserve"> of </v>
          </cell>
          <cell r="AJ241" t="str">
            <v xml:space="preserve"> of </v>
          </cell>
          <cell r="AL241" t="str">
            <v/>
          </cell>
          <cell r="AM241">
            <v>0.70833333333333337</v>
          </cell>
          <cell r="AO241" t="str">
            <v/>
          </cell>
          <cell r="AW241" t="str">
            <v/>
          </cell>
          <cell r="AX241" t="str">
            <v/>
          </cell>
          <cell r="AZ241" t="str">
            <v/>
          </cell>
          <cell r="BA241" t="str">
            <v/>
          </cell>
          <cell r="BB241" t="str">
            <v/>
          </cell>
          <cell r="BC241" t="str">
            <v>PR100009352</v>
          </cell>
        </row>
        <row r="242">
          <cell r="B242" t="str">
            <v>PR100008910</v>
          </cell>
          <cell r="C242" t="str">
            <v>Pembelian Main Oil Pump Part Turbin#2 (Capex 2024)</v>
          </cell>
          <cell r="E242" t="str">
            <v/>
          </cell>
          <cell r="F242" t="str">
            <v/>
          </cell>
          <cell r="G242" t="str">
            <v/>
          </cell>
          <cell r="H242" t="str">
            <v>TOPAN BAYU PRAPTOMO</v>
          </cell>
          <cell r="I242">
            <v>45372</v>
          </cell>
          <cell r="J242" t="str">
            <v>Tech Main</v>
          </cell>
          <cell r="K242" t="str">
            <v>J</v>
          </cell>
          <cell r="L242" t="str">
            <v>BID</v>
          </cell>
          <cell r="M242" t="str">
            <v>0333</v>
          </cell>
          <cell r="N242" t="str">
            <v>RH</v>
          </cell>
          <cell r="O242" t="str">
            <v>robertiagus.haposan@alamtri.com</v>
          </cell>
          <cell r="P242">
            <v>55500</v>
          </cell>
          <cell r="Q242">
            <v>888000000</v>
          </cell>
          <cell r="R242" t="str">
            <v>CANCEL</v>
          </cell>
          <cell r="T242" t="str">
            <v>MSW</v>
          </cell>
          <cell r="U242" t="str">
            <v>Bumi Cahaya Unggul, PT
Petrocom Nusa Synergy, PT
Multikarya Asia Pasifik Raya, PT
Kin Kitra Kencana, PT
Yabestindo Mitra Utama, PT
Antares Jaya Gemilang Prima, PT
Vhipa Mulia Pratama, PT
Emira Energi, PT
Sanggadelima Nusantara, PT
Adijaya Mitra Perkasa, PT
Tentra Eka Pratama, PT
Putra Andalan Perkasa, PT</v>
          </cell>
          <cell r="V242" t="str">
            <v>Bumi Cahaya Unggul, PT</v>
          </cell>
          <cell r="W242" t="str">
            <v>12 of 12</v>
          </cell>
          <cell r="X242" t="str">
            <v>1 of 12</v>
          </cell>
          <cell r="Z242" t="str">
            <v/>
          </cell>
          <cell r="AC242" t="str">
            <v xml:space="preserve"> of </v>
          </cell>
          <cell r="AD242" t="str">
            <v xml:space="preserve"> of </v>
          </cell>
          <cell r="AF242" t="str">
            <v/>
          </cell>
          <cell r="AI242" t="str">
            <v xml:space="preserve"> of </v>
          </cell>
          <cell r="AJ242" t="str">
            <v xml:space="preserve"> of </v>
          </cell>
          <cell r="AL242" t="str">
            <v/>
          </cell>
          <cell r="AM242">
            <v>0.70833333333333337</v>
          </cell>
          <cell r="AO242" t="str">
            <v/>
          </cell>
          <cell r="AW242" t="str">
            <v/>
          </cell>
          <cell r="AX242" t="str">
            <v/>
          </cell>
          <cell r="AZ242" t="str">
            <v/>
          </cell>
          <cell r="BA242" t="str">
            <v/>
          </cell>
          <cell r="BB242" t="str">
            <v/>
          </cell>
          <cell r="BC242" t="str">
            <v>PR100008910</v>
          </cell>
        </row>
        <row r="243">
          <cell r="B243" t="str">
            <v>PR100009058</v>
          </cell>
          <cell r="C243" t="str">
            <v>Jasa perbaikan Panel control Module Easygen  DG IBT (Urgent)</v>
          </cell>
          <cell r="E243" t="str">
            <v/>
          </cell>
          <cell r="F243" t="str">
            <v/>
          </cell>
          <cell r="G243" t="str">
            <v/>
          </cell>
          <cell r="H243" t="str">
            <v>SLAMET</v>
          </cell>
          <cell r="I243">
            <v>45372</v>
          </cell>
          <cell r="J243" t="str">
            <v>Tech Main</v>
          </cell>
          <cell r="K243" t="str">
            <v>J</v>
          </cell>
          <cell r="L243" t="str">
            <v>BID</v>
          </cell>
          <cell r="N243" t="str">
            <v>RH</v>
          </cell>
          <cell r="O243" t="str">
            <v>robertiagus.haposan@alamtri.com</v>
          </cell>
          <cell r="P243">
            <v>1310</v>
          </cell>
          <cell r="Q243">
            <v>20960000</v>
          </cell>
          <cell r="R243" t="str">
            <v>CANCEL</v>
          </cell>
          <cell r="T243" t="str">
            <v>MSW</v>
          </cell>
          <cell r="W243" t="str">
            <v xml:space="preserve"> of </v>
          </cell>
          <cell r="X243" t="str">
            <v xml:space="preserve"> of </v>
          </cell>
          <cell r="Z243" t="str">
            <v/>
          </cell>
          <cell r="AC243" t="str">
            <v xml:space="preserve"> of </v>
          </cell>
          <cell r="AD243" t="str">
            <v xml:space="preserve"> of </v>
          </cell>
          <cell r="AF243" t="str">
            <v/>
          </cell>
          <cell r="AI243" t="str">
            <v xml:space="preserve"> of </v>
          </cell>
          <cell r="AJ243" t="str">
            <v xml:space="preserve"> of </v>
          </cell>
          <cell r="AL243" t="str">
            <v/>
          </cell>
          <cell r="AM243">
            <v>0.70833333333333337</v>
          </cell>
          <cell r="AO243" t="str">
            <v/>
          </cell>
          <cell r="AW243" t="str">
            <v/>
          </cell>
          <cell r="AX243" t="str">
            <v/>
          </cell>
          <cell r="AZ243" t="str">
            <v/>
          </cell>
          <cell r="BA243" t="str">
            <v/>
          </cell>
          <cell r="BB243" t="str">
            <v/>
          </cell>
          <cell r="BC243" t="str">
            <v/>
          </cell>
        </row>
        <row r="244">
          <cell r="B244" t="str">
            <v>PR100008973</v>
          </cell>
          <cell r="C244" t="str">
            <v>Perapian AREA LAYDOWN MSW Phase I</v>
          </cell>
          <cell r="E244" t="str">
            <v/>
          </cell>
          <cell r="F244" t="str">
            <v/>
          </cell>
          <cell r="G244" t="str">
            <v/>
          </cell>
          <cell r="H244" t="str">
            <v>ARTHUR BRAMIYANA</v>
          </cell>
          <cell r="I244">
            <v>45379</v>
          </cell>
          <cell r="J244" t="str">
            <v>INV</v>
          </cell>
          <cell r="K244" t="str">
            <v>J</v>
          </cell>
          <cell r="L244" t="str">
            <v>BID</v>
          </cell>
          <cell r="N244" t="str">
            <v>RH</v>
          </cell>
          <cell r="O244" t="str">
            <v>robertiagus.haposan@alamtri.com</v>
          </cell>
          <cell r="P244">
            <v>16000</v>
          </cell>
          <cell r="Q244">
            <v>256000000</v>
          </cell>
          <cell r="R244" t="str">
            <v>CANCEL</v>
          </cell>
          <cell r="T244" t="str">
            <v>MSW</v>
          </cell>
          <cell r="W244" t="str">
            <v xml:space="preserve"> of </v>
          </cell>
          <cell r="X244" t="str">
            <v xml:space="preserve"> of </v>
          </cell>
          <cell r="Z244" t="str">
            <v/>
          </cell>
          <cell r="AC244" t="str">
            <v xml:space="preserve"> of </v>
          </cell>
          <cell r="AD244" t="str">
            <v xml:space="preserve"> of </v>
          </cell>
          <cell r="AF244" t="str">
            <v/>
          </cell>
          <cell r="AI244" t="str">
            <v xml:space="preserve"> of </v>
          </cell>
          <cell r="AJ244" t="str">
            <v xml:space="preserve"> of </v>
          </cell>
          <cell r="AL244" t="str">
            <v/>
          </cell>
          <cell r="AM244">
            <v>0.70833333333333337</v>
          </cell>
          <cell r="AO244" t="str">
            <v/>
          </cell>
          <cell r="AW244" t="str">
            <v/>
          </cell>
          <cell r="AX244" t="str">
            <v/>
          </cell>
          <cell r="AZ244" t="str">
            <v/>
          </cell>
          <cell r="BA244" t="str">
            <v/>
          </cell>
          <cell r="BB244" t="str">
            <v/>
          </cell>
          <cell r="BC244" t="str">
            <v>PR100008973</v>
          </cell>
        </row>
        <row r="245">
          <cell r="B245" t="str">
            <v>PR100008859 (Line 7)</v>
          </cell>
          <cell r="C245" t="str">
            <v>APD Safety Shoes Keperluan Karyawan</v>
          </cell>
          <cell r="E245" t="str">
            <v/>
          </cell>
          <cell r="F245" t="str">
            <v/>
          </cell>
          <cell r="G245" t="str">
            <v/>
          </cell>
          <cell r="H245" t="str">
            <v>ARTHUR BRAMIYANA</v>
          </cell>
          <cell r="I245">
            <v>45427</v>
          </cell>
          <cell r="J245" t="str">
            <v>INV</v>
          </cell>
          <cell r="K245" t="str">
            <v>B</v>
          </cell>
          <cell r="L245" t="str">
            <v>BID</v>
          </cell>
          <cell r="M245" t="str">
            <v>0146</v>
          </cell>
          <cell r="N245" t="str">
            <v>RH</v>
          </cell>
          <cell r="O245" t="str">
            <v>robertiagus.haposan@alamtri.com</v>
          </cell>
          <cell r="Q245" t="str">
            <v/>
          </cell>
          <cell r="R245" t="str">
            <v>CANCEL</v>
          </cell>
          <cell r="T245" t="str">
            <v>MSW</v>
          </cell>
          <cell r="U245" t="str">
            <v>Bhakti Ratutama Jaya, PT
Berkat Keselamatan Dunia, PT
Sentra Tanjung Jaya, CV
Dunia Saftindo, PT
Bintang Anugrah Sehati, PT
Total Prime Engineering, PT
Wahana Safety Indonesia, PT
Growrich Indonesia, PT
Gama Tritunggal Pratama, PT
Sarana Prima Lestari, CV
Berkat Tiga Putri, PT
Cahaya Mitra Saftindo, PT</v>
          </cell>
          <cell r="V245" t="str">
            <v>Bhakti Ratutama Jaya, PT
Berkat Keselamatan Dunia, PT
Sentra Tanjung Jaya, CV
Dunia Saftindo, PT
Bintang Anugrah Sehati, PT
Wahana Safety Indonesia, PT
Sarana Prima Lestari, CV</v>
          </cell>
          <cell r="W245" t="str">
            <v>12 of 12</v>
          </cell>
          <cell r="X245" t="str">
            <v>7 of 12</v>
          </cell>
          <cell r="Z245" t="str">
            <v/>
          </cell>
          <cell r="AA245" t="str">
            <v>Bhakti Ratutama Jaya, PT
Dunia Saftindo, PT
Sarana Prima Lestari, CV
Sentra Tanjung Jaya, CV
Bintang Anugrah Sehati, PT
Wahana Safety Indonesia, PT
Growrich Indonesia, PT
Berkat Keselamatan Dunia, PT
Cahaya Mitra Saftindo, PT</v>
          </cell>
          <cell r="AB245" t="str">
            <v>Dunia Saftindo, PT
Sarana Prima Lestari, CV
Bintang Anugrah Sehati, PT
Berkat Keselamatan Dunia, PT
Cahaya Mitra Saftindo, PT</v>
          </cell>
          <cell r="AC245" t="str">
            <v>9 of 9</v>
          </cell>
          <cell r="AD245" t="str">
            <v>5 of 9</v>
          </cell>
          <cell r="AF245" t="str">
            <v/>
          </cell>
          <cell r="AI245" t="str">
            <v xml:space="preserve"> of </v>
          </cell>
          <cell r="AJ245" t="str">
            <v xml:space="preserve"> of </v>
          </cell>
          <cell r="AL245" t="str">
            <v/>
          </cell>
          <cell r="AM245">
            <v>0.70833333333333337</v>
          </cell>
          <cell r="AO245" t="str">
            <v/>
          </cell>
          <cell r="AW245" t="str">
            <v/>
          </cell>
          <cell r="AX245" t="str">
            <v/>
          </cell>
          <cell r="AZ245" t="str">
            <v/>
          </cell>
          <cell r="BA245" t="str">
            <v/>
          </cell>
          <cell r="BB245" t="str">
            <v/>
          </cell>
          <cell r="BC245" t="str">
            <v>PR100008859</v>
          </cell>
        </row>
        <row r="246">
          <cell r="B246" t="str">
            <v>PR100008988</v>
          </cell>
          <cell r="C246" t="str">
            <v>Pembelian Part Intake Pump ALLWEILER</v>
          </cell>
          <cell r="E246" t="str">
            <v/>
          </cell>
          <cell r="F246" t="str">
            <v/>
          </cell>
          <cell r="G246" t="str">
            <v/>
          </cell>
          <cell r="H246" t="str">
            <v>TOPAN BAYU PRAPTOMO</v>
          </cell>
          <cell r="I246">
            <v>45432</v>
          </cell>
          <cell r="J246" t="str">
            <v>Tech Main</v>
          </cell>
          <cell r="K246" t="str">
            <v>B</v>
          </cell>
          <cell r="L246" t="str">
            <v>BID</v>
          </cell>
          <cell r="M246" t="str">
            <v>0333</v>
          </cell>
          <cell r="N246" t="str">
            <v>RH</v>
          </cell>
          <cell r="O246" t="str">
            <v>robertiagus.haposan@alamtri.com</v>
          </cell>
          <cell r="Q246" t="str">
            <v/>
          </cell>
          <cell r="R246" t="str">
            <v>CANCEL</v>
          </cell>
          <cell r="T246" t="str">
            <v>MSW</v>
          </cell>
          <cell r="U246" t="str">
            <v>Bumi Cahaya Unggul, PT
Petrocom Nusa Synergy, PT
Multikarya Asia Pasifik Raya, PT
Kin Kitra Kencana, PT
Yabestindo Mitra Utama, PT
Antares Jaya Gemilang Prima, PT
Vhipa Mulia Pratama, PT
Emira Energi, PT
Sanggadelima Nusantara, PT
Adijaya Mitra Perkasa, PT
Tentra Eka Pratama, PT
Putra Andalan Perkasa, PT</v>
          </cell>
          <cell r="W246" t="str">
            <v>12 of 12</v>
          </cell>
          <cell r="X246" t="str">
            <v xml:space="preserve"> of 12</v>
          </cell>
          <cell r="Z246" t="str">
            <v/>
          </cell>
          <cell r="AA246" t="str">
            <v>Tiara Sakti, PT
Bumi Cahaya Unggul, PT
Petrocom Nusa Synergy, PT
Vhipa Mulia Pratama, PT
Putera Instrumenindo, PT
BNTECH Energi Utama, PT
Golden Pratama Engineering, PT
Stanindo Artha Langgeng, PT
Andalan Tiga Berlian, PT
Dwijaya Sentral Sarana, PT</v>
          </cell>
          <cell r="AC246" t="str">
            <v>10 of 10</v>
          </cell>
          <cell r="AD246" t="str">
            <v xml:space="preserve"> of 10</v>
          </cell>
          <cell r="AF246" t="str">
            <v/>
          </cell>
          <cell r="AI246" t="str">
            <v xml:space="preserve"> of </v>
          </cell>
          <cell r="AJ246" t="str">
            <v xml:space="preserve"> of </v>
          </cell>
          <cell r="AL246" t="str">
            <v/>
          </cell>
          <cell r="AM246">
            <v>0.70833333333333337</v>
          </cell>
          <cell r="AO246" t="str">
            <v/>
          </cell>
          <cell r="AW246" t="str">
            <v/>
          </cell>
          <cell r="AX246" t="str">
            <v/>
          </cell>
          <cell r="AZ246" t="str">
            <v/>
          </cell>
          <cell r="BA246" t="str">
            <v/>
          </cell>
          <cell r="BB246" t="str">
            <v/>
          </cell>
          <cell r="BC246" t="str">
            <v>PR100008988</v>
          </cell>
        </row>
        <row r="247">
          <cell r="B247" t="str">
            <v>PR100009178</v>
          </cell>
          <cell r="C247" t="str">
            <v>Drive Gear, For Rotary Air Lock Feeder For Stock Inventory</v>
          </cell>
          <cell r="E247" t="str">
            <v/>
          </cell>
          <cell r="F247" t="str">
            <v/>
          </cell>
          <cell r="G247" t="str">
            <v/>
          </cell>
          <cell r="H247" t="str">
            <v>ARTHUR BRAMIYANA</v>
          </cell>
          <cell r="I247">
            <v>45432</v>
          </cell>
          <cell r="J247" t="str">
            <v>INV</v>
          </cell>
          <cell r="K247" t="str">
            <v>B</v>
          </cell>
          <cell r="L247" t="str">
            <v>BID</v>
          </cell>
          <cell r="M247" t="str">
            <v>0141</v>
          </cell>
          <cell r="N247" t="str">
            <v>RH</v>
          </cell>
          <cell r="O247" t="str">
            <v>robertiagus.haposan@alamtri.com</v>
          </cell>
          <cell r="Q247" t="str">
            <v/>
          </cell>
          <cell r="R247" t="str">
            <v>CANCEL</v>
          </cell>
          <cell r="T247" t="str">
            <v>MSW</v>
          </cell>
          <cell r="W247" t="str">
            <v xml:space="preserve"> of </v>
          </cell>
          <cell r="X247" t="str">
            <v xml:space="preserve"> of </v>
          </cell>
          <cell r="Z247" t="str">
            <v/>
          </cell>
          <cell r="AC247" t="str">
            <v xml:space="preserve"> of </v>
          </cell>
          <cell r="AD247" t="str">
            <v xml:space="preserve"> of </v>
          </cell>
          <cell r="AF247" t="str">
            <v/>
          </cell>
          <cell r="AI247" t="str">
            <v xml:space="preserve"> of </v>
          </cell>
          <cell r="AJ247" t="str">
            <v xml:space="preserve"> of </v>
          </cell>
          <cell r="AL247" t="str">
            <v/>
          </cell>
          <cell r="AM247">
            <v>0.70833333333333337</v>
          </cell>
          <cell r="AO247" t="str">
            <v/>
          </cell>
          <cell r="AW247" t="str">
            <v/>
          </cell>
          <cell r="AX247" t="str">
            <v/>
          </cell>
          <cell r="AZ247" t="str">
            <v/>
          </cell>
          <cell r="BA247" t="str">
            <v/>
          </cell>
          <cell r="BB247" t="str">
            <v/>
          </cell>
          <cell r="BC247" t="str">
            <v>PR100009178</v>
          </cell>
        </row>
        <row r="248">
          <cell r="B248" t="str">
            <v>PR100009184</v>
          </cell>
          <cell r="C248" t="str">
            <v>Pengadaan Unit Set Streaming Current Meter SCU – WTP, penganti PR100008809</v>
          </cell>
          <cell r="E248" t="str">
            <v/>
          </cell>
          <cell r="F248" t="str">
            <v/>
          </cell>
          <cell r="G248" t="str">
            <v/>
          </cell>
          <cell r="H248" t="str">
            <v>DEDE SUDARJI</v>
          </cell>
          <cell r="I248">
            <v>45432</v>
          </cell>
          <cell r="J248" t="str">
            <v>Tech Main</v>
          </cell>
          <cell r="K248" t="str">
            <v>J</v>
          </cell>
          <cell r="L248" t="str">
            <v>BID</v>
          </cell>
          <cell r="N248" t="str">
            <v>RH</v>
          </cell>
          <cell r="O248" t="str">
            <v>robertiagus.haposan@alamtri.com</v>
          </cell>
          <cell r="Q248" t="str">
            <v/>
          </cell>
          <cell r="R248" t="str">
            <v>CANCEL</v>
          </cell>
          <cell r="T248" t="str">
            <v>MSW</v>
          </cell>
          <cell r="W248" t="str">
            <v xml:space="preserve"> of </v>
          </cell>
          <cell r="X248" t="str">
            <v xml:space="preserve"> of </v>
          </cell>
          <cell r="Z248" t="str">
            <v/>
          </cell>
          <cell r="AC248" t="str">
            <v xml:space="preserve"> of </v>
          </cell>
          <cell r="AD248" t="str">
            <v xml:space="preserve"> of </v>
          </cell>
          <cell r="AF248" t="str">
            <v/>
          </cell>
          <cell r="AI248" t="str">
            <v xml:space="preserve"> of </v>
          </cell>
          <cell r="AJ248" t="str">
            <v xml:space="preserve"> of </v>
          </cell>
          <cell r="AL248" t="str">
            <v/>
          </cell>
          <cell r="AM248">
            <v>0.70833333333333337</v>
          </cell>
          <cell r="AO248" t="str">
            <v/>
          </cell>
          <cell r="AW248" t="str">
            <v/>
          </cell>
          <cell r="AX248" t="str">
            <v/>
          </cell>
          <cell r="AZ248" t="str">
            <v/>
          </cell>
          <cell r="BA248" t="str">
            <v/>
          </cell>
          <cell r="BB248" t="str">
            <v/>
          </cell>
          <cell r="BC248" t="str">
            <v/>
          </cell>
        </row>
        <row r="249">
          <cell r="B249" t="str">
            <v>PR100008968 (Line 6)</v>
          </cell>
          <cell r="C249" t="str">
            <v>Safety Shoes &amp; APD Consumable stock Inventory</v>
          </cell>
          <cell r="E249" t="str">
            <v/>
          </cell>
          <cell r="F249" t="str">
            <v/>
          </cell>
          <cell r="G249" t="str">
            <v/>
          </cell>
          <cell r="H249" t="str">
            <v>ARTHUR BRAMIYANA</v>
          </cell>
          <cell r="I249">
            <v>45432</v>
          </cell>
          <cell r="J249" t="str">
            <v>INV</v>
          </cell>
          <cell r="K249" t="str">
            <v>B</v>
          </cell>
          <cell r="L249" t="str">
            <v>BID</v>
          </cell>
          <cell r="M249" t="str">
            <v>0262</v>
          </cell>
          <cell r="N249" t="str">
            <v>RH</v>
          </cell>
          <cell r="O249" t="str">
            <v>robertiagus.haposan@alamtri.com</v>
          </cell>
          <cell r="Q249" t="str">
            <v/>
          </cell>
          <cell r="R249" t="str">
            <v>CANCEL</v>
          </cell>
          <cell r="T249" t="str">
            <v>MSW</v>
          </cell>
          <cell r="U249" t="str">
            <v>Bhakti Ratutama Jaya, PT
Dunia Saftindo, PT
Sarana Prima Lestari, CV
Sentra Tanjung Jaya, CV
Bintang Anugrah Sehati, PT
Wahana Safety Indonesia, PT
Growrich Indonesia, PT
Berkat Keselamatan Dunia, PT
Cahaya Mitra Saftindo, PT</v>
          </cell>
          <cell r="W249" t="str">
            <v>9 of 9</v>
          </cell>
          <cell r="X249" t="str">
            <v xml:space="preserve"> of 9</v>
          </cell>
          <cell r="Z249" t="str">
            <v/>
          </cell>
          <cell r="AA249" t="str">
            <v>Bhakti Ratutama Jaya, PT
Laksa Inti Abadi, PT
Bromindo Mekar Mitra, PT
Berkat Keselamatan Dunia, PT
Cahaya Mitra Saftindo, PT
Bintang Anugrah Sehati, PT
Dunia Saftindo, PT
Wahana Safety Indonesia, PT
Prima Safety, CV</v>
          </cell>
          <cell r="AC249" t="str">
            <v>9 of 9</v>
          </cell>
          <cell r="AD249" t="str">
            <v xml:space="preserve"> of 9</v>
          </cell>
          <cell r="AF249" t="str">
            <v/>
          </cell>
          <cell r="AI249" t="str">
            <v xml:space="preserve"> of </v>
          </cell>
          <cell r="AJ249" t="str">
            <v xml:space="preserve"> of </v>
          </cell>
          <cell r="AL249" t="str">
            <v/>
          </cell>
          <cell r="AM249">
            <v>0.70833333333333337</v>
          </cell>
          <cell r="AO249" t="str">
            <v/>
          </cell>
          <cell r="AW249" t="str">
            <v/>
          </cell>
          <cell r="AX249" t="str">
            <v/>
          </cell>
          <cell r="AZ249" t="str">
            <v/>
          </cell>
          <cell r="BA249" t="str">
            <v/>
          </cell>
          <cell r="BB249" t="str">
            <v/>
          </cell>
          <cell r="BC249" t="str">
            <v>PR100008968</v>
          </cell>
        </row>
        <row r="250">
          <cell r="B250" t="str">
            <v>PR100009229 (Line 3)</v>
          </cell>
          <cell r="C250" t="str">
            <v>V-Belt Optibelt &amp; Filter Ash Silo Brand Donaldson Stock Inventory</v>
          </cell>
          <cell r="E250" t="str">
            <v/>
          </cell>
          <cell r="F250" t="str">
            <v/>
          </cell>
          <cell r="G250" t="str">
            <v/>
          </cell>
          <cell r="H250" t="str">
            <v>ARTHUR BRAMIYANA</v>
          </cell>
          <cell r="I250">
            <v>45446</v>
          </cell>
          <cell r="J250" t="str">
            <v>INV</v>
          </cell>
          <cell r="K250" t="str">
            <v>B</v>
          </cell>
          <cell r="L250" t="str">
            <v>BID</v>
          </cell>
          <cell r="M250" t="str">
            <v>0238</v>
          </cell>
          <cell r="N250" t="str">
            <v>RH</v>
          </cell>
          <cell r="O250" t="str">
            <v>robertiagus.haposan@alamtri.com</v>
          </cell>
          <cell r="Q250" t="str">
            <v/>
          </cell>
          <cell r="R250" t="str">
            <v>CANCEL</v>
          </cell>
          <cell r="T250" t="str">
            <v>MSW</v>
          </cell>
          <cell r="U250" t="str">
            <v>SLS Bearindo, PT
Mytech Engineering, PT
Sola Anugerah Oilfield, PT
Donaldson Filtration Indonesia, PT
Putera Instrumenindo, PT
Stanindo Artha Langgeng, PT
Kin Kitra Kencana, PT
Gevana, PT
Petrocom Nusa Synergy, PT
Vhipa Mulia Pratama, PT
Taman Baru , PT
Alfa Teknik Mandiri Makmur, PT
Banjar Bearing Sentosa, PT</v>
          </cell>
          <cell r="W250" t="str">
            <v>13 of 13</v>
          </cell>
          <cell r="X250" t="str">
            <v xml:space="preserve"> of 13</v>
          </cell>
          <cell r="Z250" t="str">
            <v/>
          </cell>
          <cell r="AA250" t="str">
            <v>Stanindo Artha Langgeng, PT
Kin Kitra Kencana, PT
Panda Tehnik, PT
Lima Makmur Jaya, PT
Putera Instrumenindo, PT
Petrocom Nusa Synergy, PT
Sola Anugerah Oilfield, PT
Antares Jaya Gemilang Prima, PT</v>
          </cell>
          <cell r="AC250" t="str">
            <v>8 of 8</v>
          </cell>
          <cell r="AD250" t="str">
            <v xml:space="preserve"> of 8</v>
          </cell>
          <cell r="AF250" t="str">
            <v/>
          </cell>
          <cell r="AI250" t="str">
            <v xml:space="preserve"> of </v>
          </cell>
          <cell r="AJ250" t="str">
            <v xml:space="preserve"> of </v>
          </cell>
          <cell r="AL250" t="str">
            <v/>
          </cell>
          <cell r="AM250">
            <v>0.70833333333333337</v>
          </cell>
          <cell r="AO250" t="str">
            <v/>
          </cell>
          <cell r="AW250" t="str">
            <v/>
          </cell>
          <cell r="AX250" t="str">
            <v/>
          </cell>
          <cell r="AZ250" t="str">
            <v/>
          </cell>
          <cell r="BA250" t="str">
            <v/>
          </cell>
          <cell r="BB250" t="str">
            <v/>
          </cell>
          <cell r="BC250" t="str">
            <v>PR100009229</v>
          </cell>
        </row>
        <row r="251">
          <cell r="B251" t="str">
            <v>PR100009148 (Line 1)</v>
          </cell>
          <cell r="C251" t="str">
            <v>Stock Consumable Inventory</v>
          </cell>
          <cell r="D251" t="str">
            <v>Sehati, CV</v>
          </cell>
          <cell r="E251" t="str">
            <v/>
          </cell>
          <cell r="F251" t="str">
            <v/>
          </cell>
          <cell r="G251" t="str">
            <v/>
          </cell>
          <cell r="H251" t="str">
            <v>ARTHUR BRAMIYANA</v>
          </cell>
          <cell r="I251">
            <v>45455</v>
          </cell>
          <cell r="J251" t="str">
            <v>INV</v>
          </cell>
          <cell r="K251" t="str">
            <v>B</v>
          </cell>
          <cell r="L251" t="str">
            <v>BID</v>
          </cell>
          <cell r="M251" t="str">
            <v>0180</v>
          </cell>
          <cell r="N251" t="str">
            <v>RH</v>
          </cell>
          <cell r="O251" t="str">
            <v>robertiagus.haposan@alamtri.com</v>
          </cell>
          <cell r="Q251" t="str">
            <v/>
          </cell>
          <cell r="R251" t="str">
            <v>CANCEL</v>
          </cell>
          <cell r="T251" t="str">
            <v>MSW</v>
          </cell>
          <cell r="U251" t="str">
            <v>Perwira Sentra Officindo, PT
Berkat Pratama Teknik, CV
Indoparts, CV
Sehati, CV
Perwira Sentra Officindo, PT
Alfa Teknik Mandiri Makmur, PT
Afghan Jaya Abadi, PT
Cahaya Murni, CV</v>
          </cell>
          <cell r="W251" t="str">
            <v>8 of 8</v>
          </cell>
          <cell r="X251" t="str">
            <v xml:space="preserve"> of 8</v>
          </cell>
          <cell r="Z251" t="str">
            <v/>
          </cell>
          <cell r="AA251" t="str">
            <v>Berkat Pratama Teknik, CV
Sehati, CV
Sarana Prima Lestari, CV
Anugrah Mandiri Putra Tabalong, PT
Indo Tehnik Tanjung Tabalong, PT
Sola Anugerah Oilfield, PT</v>
          </cell>
          <cell r="AC251" t="str">
            <v>6 of 6</v>
          </cell>
          <cell r="AD251" t="str">
            <v xml:space="preserve"> of 6</v>
          </cell>
          <cell r="AF251" t="str">
            <v/>
          </cell>
          <cell r="AI251" t="str">
            <v xml:space="preserve"> of </v>
          </cell>
          <cell r="AJ251" t="str">
            <v xml:space="preserve"> of </v>
          </cell>
          <cell r="AL251" t="str">
            <v/>
          </cell>
          <cell r="AM251">
            <v>0.70833333333333337</v>
          </cell>
          <cell r="AO251" t="str">
            <v/>
          </cell>
          <cell r="AW251" t="str">
            <v/>
          </cell>
          <cell r="AX251" t="str">
            <v/>
          </cell>
          <cell r="AZ251" t="str">
            <v/>
          </cell>
          <cell r="BA251" t="str">
            <v/>
          </cell>
          <cell r="BB251" t="str">
            <v/>
          </cell>
          <cell r="BC251" t="str">
            <v>PR100009148</v>
          </cell>
        </row>
        <row r="252">
          <cell r="B252" t="str">
            <v>PR100008839 (Line 2-3)</v>
          </cell>
          <cell r="C252" t="str">
            <v>Part Consumable stock inventory</v>
          </cell>
          <cell r="E252" t="str">
            <v/>
          </cell>
          <cell r="F252" t="str">
            <v/>
          </cell>
          <cell r="G252" t="str">
            <v/>
          </cell>
          <cell r="H252" t="str">
            <v>ARTHUR BRAMIYANA</v>
          </cell>
          <cell r="I252">
            <v>45455</v>
          </cell>
          <cell r="J252" t="str">
            <v>INV</v>
          </cell>
          <cell r="K252" t="str">
            <v>B</v>
          </cell>
          <cell r="L252" t="str">
            <v>BID</v>
          </cell>
          <cell r="M252" t="str">
            <v>0180</v>
          </cell>
          <cell r="N252" t="str">
            <v>RH</v>
          </cell>
          <cell r="O252" t="str">
            <v>robertiagus.haposan@alamtri.com</v>
          </cell>
          <cell r="Q252" t="str">
            <v/>
          </cell>
          <cell r="R252" t="str">
            <v>CANCEL</v>
          </cell>
          <cell r="T252" t="str">
            <v>MSW</v>
          </cell>
          <cell r="U252" t="str">
            <v>Perwira Sentra Officindo, PT
Berkat Pratama Teknik, CV
Indoparts, CV
Sehati, CV
Perwira Sentra Officindo, PT
Alfa Teknik Mandiri Makmur, PT
Afghan Jaya Abadi, PT
Cahaya Murni, CV</v>
          </cell>
          <cell r="W252" t="str">
            <v>8 of 8</v>
          </cell>
          <cell r="X252" t="str">
            <v xml:space="preserve"> of 8</v>
          </cell>
          <cell r="Z252" t="str">
            <v/>
          </cell>
          <cell r="AA252" t="str">
            <v>Berkat Pratama Teknik, CV
Sehati, CV
Sarana Prima Lestari, CV
Anugrah Mandiri Putra Tabalong, PT
Indo Tehnik Tanjung Tabalong, PT
Sola Anugerah Oilfield, PT</v>
          </cell>
          <cell r="AC252" t="str">
            <v>6 of 6</v>
          </cell>
          <cell r="AD252" t="str">
            <v xml:space="preserve"> of 6</v>
          </cell>
          <cell r="AF252" t="str">
            <v/>
          </cell>
          <cell r="AI252" t="str">
            <v xml:space="preserve"> of </v>
          </cell>
          <cell r="AJ252" t="str">
            <v xml:space="preserve"> of </v>
          </cell>
          <cell r="AL252" t="str">
            <v/>
          </cell>
          <cell r="AM252">
            <v>0.70833333333333337</v>
          </cell>
          <cell r="AO252" t="str">
            <v/>
          </cell>
          <cell r="AW252" t="str">
            <v/>
          </cell>
          <cell r="AX252" t="str">
            <v/>
          </cell>
          <cell r="AZ252" t="str">
            <v/>
          </cell>
          <cell r="BA252" t="str">
            <v/>
          </cell>
          <cell r="BB252" t="str">
            <v/>
          </cell>
          <cell r="BC252" t="str">
            <v>PR100008839</v>
          </cell>
        </row>
        <row r="253">
          <cell r="B253" t="str">
            <v>PR100009284</v>
          </cell>
          <cell r="C253" t="str">
            <v>Glove Valve, 1-0,5 Glv Pr 1500 C,Stock Inventory</v>
          </cell>
          <cell r="E253" t="str">
            <v/>
          </cell>
          <cell r="F253" t="str">
            <v/>
          </cell>
          <cell r="G253" t="str">
            <v/>
          </cell>
          <cell r="H253" t="str">
            <v>ARTHUR BRAMIYANA</v>
          </cell>
          <cell r="I253">
            <v>45456</v>
          </cell>
          <cell r="J253" t="str">
            <v>INV</v>
          </cell>
          <cell r="K253" t="str">
            <v>B</v>
          </cell>
          <cell r="L253" t="str">
            <v>BID</v>
          </cell>
          <cell r="M253" t="str">
            <v>0188</v>
          </cell>
          <cell r="N253" t="str">
            <v>RH</v>
          </cell>
          <cell r="O253" t="str">
            <v>robertiagus.haposan@alamtri.com</v>
          </cell>
          <cell r="Q253" t="str">
            <v/>
          </cell>
          <cell r="R253" t="str">
            <v>CANCEL</v>
          </cell>
          <cell r="T253" t="str">
            <v>MSW</v>
          </cell>
          <cell r="U253" t="str">
            <v>Andalan Tiga Berlian, PT
Adijaya Mitra Perkasa, PT
Putera Instrumenindo, PT
Outsourcindo, PT
Antares Jaya Gemilang Prima, PT
Afghan Jaya Abadi, PT
Dwijaya Sentral Sarana, PT
Maju Langgeng Mandiri, PT
Hikmah Jaya Sentosa, PT
Varley Indonesia, PT
Geographe Energy Indonesia, PT
Revameco Indonesia, PT
Lamindo Prima Mandiri, PT
Kin Kitra Kencana, PT</v>
          </cell>
          <cell r="W253" t="str">
            <v>14 of 14</v>
          </cell>
          <cell r="X253" t="str">
            <v xml:space="preserve"> of 14</v>
          </cell>
          <cell r="Z253" t="str">
            <v/>
          </cell>
          <cell r="AC253" t="str">
            <v xml:space="preserve"> of </v>
          </cell>
          <cell r="AD253" t="str">
            <v xml:space="preserve"> of </v>
          </cell>
          <cell r="AF253" t="str">
            <v/>
          </cell>
          <cell r="AI253" t="str">
            <v xml:space="preserve"> of </v>
          </cell>
          <cell r="AJ253" t="str">
            <v xml:space="preserve"> of </v>
          </cell>
          <cell r="AL253" t="str">
            <v/>
          </cell>
          <cell r="AM253">
            <v>0.70833333333333337</v>
          </cell>
          <cell r="AO253" t="str">
            <v/>
          </cell>
          <cell r="AW253" t="str">
            <v/>
          </cell>
          <cell r="AX253" t="str">
            <v/>
          </cell>
          <cell r="AZ253" t="str">
            <v/>
          </cell>
          <cell r="BA253" t="str">
            <v/>
          </cell>
          <cell r="BB253" t="str">
            <v/>
          </cell>
          <cell r="BC253" t="str">
            <v>PR100009284</v>
          </cell>
        </row>
        <row r="254">
          <cell r="B254" t="str">
            <v>PR100009287</v>
          </cell>
          <cell r="C254" t="str">
            <v>Rubber Pin Bush For PA -FAN &amp; ID - FAN ,Stock Inventory</v>
          </cell>
          <cell r="E254" t="str">
            <v/>
          </cell>
          <cell r="F254" t="str">
            <v/>
          </cell>
          <cell r="G254" t="str">
            <v/>
          </cell>
          <cell r="H254" t="str">
            <v>ARTHUR BRAMIYANA</v>
          </cell>
          <cell r="I254">
            <v>45457</v>
          </cell>
          <cell r="J254" t="str">
            <v>INV</v>
          </cell>
          <cell r="K254" t="str">
            <v>B</v>
          </cell>
          <cell r="L254" t="str">
            <v>BID</v>
          </cell>
          <cell r="N254" t="str">
            <v>RH</v>
          </cell>
          <cell r="O254" t="str">
            <v>robertiagus.haposan@alamtri.com</v>
          </cell>
          <cell r="Q254" t="str">
            <v/>
          </cell>
          <cell r="R254" t="str">
            <v>CANCEL</v>
          </cell>
          <cell r="T254" t="str">
            <v>MSW</v>
          </cell>
          <cell r="W254" t="str">
            <v xml:space="preserve"> of </v>
          </cell>
          <cell r="X254" t="str">
            <v xml:space="preserve"> of </v>
          </cell>
          <cell r="Z254" t="str">
            <v/>
          </cell>
          <cell r="AC254" t="str">
            <v xml:space="preserve"> of </v>
          </cell>
          <cell r="AD254" t="str">
            <v xml:space="preserve"> of </v>
          </cell>
          <cell r="AF254" t="str">
            <v/>
          </cell>
          <cell r="AI254" t="str">
            <v xml:space="preserve"> of </v>
          </cell>
          <cell r="AJ254" t="str">
            <v xml:space="preserve"> of </v>
          </cell>
          <cell r="AL254" t="str">
            <v/>
          </cell>
          <cell r="AM254">
            <v>0.70833333333333337</v>
          </cell>
          <cell r="AO254" t="str">
            <v/>
          </cell>
          <cell r="AW254" t="str">
            <v/>
          </cell>
          <cell r="AX254" t="str">
            <v/>
          </cell>
          <cell r="AZ254" t="str">
            <v/>
          </cell>
          <cell r="BA254" t="str">
            <v/>
          </cell>
          <cell r="BB254" t="str">
            <v/>
          </cell>
          <cell r="BC254" t="str">
            <v>PR100009287</v>
          </cell>
        </row>
        <row r="255">
          <cell r="B255" t="str">
            <v>PR100009296</v>
          </cell>
          <cell r="C255" t="str">
            <v>Steel Plate Matrl A576 Gr 1010 thickness 6 mm For Plate Fin Boiler Water Wall tube</v>
          </cell>
          <cell r="E255" t="str">
            <v/>
          </cell>
          <cell r="F255" t="str">
            <v/>
          </cell>
          <cell r="G255" t="str">
            <v/>
          </cell>
          <cell r="H255" t="str">
            <v>ARTHUR BRAMIYANA</v>
          </cell>
          <cell r="I255">
            <v>45467</v>
          </cell>
          <cell r="J255" t="str">
            <v>INV</v>
          </cell>
          <cell r="K255" t="str">
            <v>B</v>
          </cell>
          <cell r="L255" t="str">
            <v>BID</v>
          </cell>
          <cell r="M255" t="str">
            <v>0200</v>
          </cell>
          <cell r="N255" t="str">
            <v>RH</v>
          </cell>
          <cell r="O255" t="str">
            <v>robertiagus.haposan@alamtri.com</v>
          </cell>
          <cell r="Q255" t="str">
            <v/>
          </cell>
          <cell r="R255" t="str">
            <v>CANCEL</v>
          </cell>
          <cell r="T255" t="str">
            <v>MSW</v>
          </cell>
          <cell r="U255" t="str">
            <v>Putera Instrumenindo, PT
Putra Andalan Perkasa, PT
Cakra Instrumindo Utama, PT
Adijaya Mitra Perkasa, PT
Borneo Maju Jaya, PT
Sarana Prima Lestari, CV
Lima Makmur Jaya, PT
Antares Jaya Gemilang Prima, PT
Visco Perkasa Mandiri, PT
Multikarya Asia Pasifik Raya, PT</v>
          </cell>
          <cell r="W255" t="str">
            <v>10 of 10</v>
          </cell>
          <cell r="X255" t="str">
            <v xml:space="preserve"> of 10</v>
          </cell>
          <cell r="Z255" t="str">
            <v/>
          </cell>
          <cell r="AA255" t="str">
            <v>Sarana Prima Lestari, CV
Lima Makmur Jaya, PT
Gravindo Berkati Sukses, CV
Outsourcindo, PT
Alfa Teknik Mandiri Makmur, PT
Berkat Pratama Teknik, CV
Perwira Sentra Officindo, PT</v>
          </cell>
          <cell r="AC255" t="str">
            <v>7 of 7</v>
          </cell>
          <cell r="AD255" t="str">
            <v xml:space="preserve"> of 7</v>
          </cell>
          <cell r="AF255" t="str">
            <v/>
          </cell>
          <cell r="AI255" t="str">
            <v xml:space="preserve"> of </v>
          </cell>
          <cell r="AJ255" t="str">
            <v xml:space="preserve"> of </v>
          </cell>
          <cell r="AL255" t="str">
            <v/>
          </cell>
          <cell r="AM255">
            <v>0.70833333333333337</v>
          </cell>
          <cell r="AO255" t="str">
            <v/>
          </cell>
          <cell r="AW255" t="str">
            <v/>
          </cell>
          <cell r="AX255" t="str">
            <v/>
          </cell>
          <cell r="AZ255" t="str">
            <v/>
          </cell>
          <cell r="BA255" t="str">
            <v/>
          </cell>
          <cell r="BB255" t="str">
            <v/>
          </cell>
          <cell r="BC255" t="str">
            <v>PR100009296</v>
          </cell>
        </row>
        <row r="256">
          <cell r="B256" t="str">
            <v>PR100009308 (Line 2)</v>
          </cell>
          <cell r="C256" t="str">
            <v>OIL Turbolube ISO VG 32 Oli PERTAMINA &amp; GREASE, Shell Gadus Stock Inventory</v>
          </cell>
          <cell r="E256" t="str">
            <v/>
          </cell>
          <cell r="F256" t="str">
            <v/>
          </cell>
          <cell r="G256" t="str">
            <v/>
          </cell>
          <cell r="H256" t="str">
            <v>ARTHUR BRAMIYANA</v>
          </cell>
          <cell r="I256">
            <v>45469</v>
          </cell>
          <cell r="J256" t="str">
            <v>INV</v>
          </cell>
          <cell r="K256" t="str">
            <v>B</v>
          </cell>
          <cell r="L256" t="str">
            <v>BID</v>
          </cell>
          <cell r="N256" t="str">
            <v>RH</v>
          </cell>
          <cell r="O256" t="str">
            <v>robertiagus.haposan@alamtri.com</v>
          </cell>
          <cell r="Q256" t="str">
            <v/>
          </cell>
          <cell r="R256" t="str">
            <v>CANCEL</v>
          </cell>
          <cell r="T256" t="str">
            <v>MSW</v>
          </cell>
          <cell r="W256" t="str">
            <v xml:space="preserve"> of </v>
          </cell>
          <cell r="X256" t="str">
            <v xml:space="preserve"> of </v>
          </cell>
          <cell r="Z256" t="str">
            <v/>
          </cell>
          <cell r="AC256" t="str">
            <v xml:space="preserve"> of </v>
          </cell>
          <cell r="AD256" t="str">
            <v xml:space="preserve"> of </v>
          </cell>
          <cell r="AF256" t="str">
            <v/>
          </cell>
          <cell r="AI256" t="str">
            <v xml:space="preserve"> of </v>
          </cell>
          <cell r="AJ256" t="str">
            <v xml:space="preserve"> of </v>
          </cell>
          <cell r="AL256" t="str">
            <v/>
          </cell>
          <cell r="AM256">
            <v>0.70833333333333337</v>
          </cell>
          <cell r="AO256" t="str">
            <v/>
          </cell>
          <cell r="AW256" t="str">
            <v/>
          </cell>
          <cell r="AX256" t="str">
            <v/>
          </cell>
          <cell r="AZ256" t="str">
            <v/>
          </cell>
          <cell r="BA256" t="str">
            <v/>
          </cell>
          <cell r="BB256" t="str">
            <v/>
          </cell>
          <cell r="BC256" t="str">
            <v>PR100009308</v>
          </cell>
        </row>
        <row r="257">
          <cell r="B257" t="str">
            <v>PR100009384</v>
          </cell>
          <cell r="C257" t="str">
            <v>Hose Reel for Fire Fighting System &amp; PPE Respiratory</v>
          </cell>
          <cell r="D257" t="str">
            <v>Berkat Keselamatan Dunia, PT
Vhipa Mulia Pratama, PT
Prima Safety, CV</v>
          </cell>
          <cell r="E257" t="str">
            <v/>
          </cell>
          <cell r="F257" t="str">
            <v/>
          </cell>
          <cell r="G257" t="str">
            <v/>
          </cell>
          <cell r="H257" t="str">
            <v>BASAR PARDOMUANS</v>
          </cell>
          <cell r="I257">
            <v>45491</v>
          </cell>
          <cell r="J257" t="str">
            <v>HSE</v>
          </cell>
          <cell r="K257" t="str">
            <v>B</v>
          </cell>
          <cell r="L257" t="str">
            <v>BID</v>
          </cell>
          <cell r="M257" t="str">
            <v>0262</v>
          </cell>
          <cell r="N257" t="str">
            <v>RH</v>
          </cell>
          <cell r="O257" t="str">
            <v>robertiagus.haposan@alamtri.com</v>
          </cell>
          <cell r="Q257" t="str">
            <v/>
          </cell>
          <cell r="R257" t="str">
            <v>CANCEL</v>
          </cell>
          <cell r="T257" t="str">
            <v>MSW</v>
          </cell>
          <cell r="U257" t="str">
            <v>Bhakti Ratutama Jaya, PT
Laksa Inti Abadi, PT
Bromindo Mekar Mitra, PT
Berkat Keselamatan Dunia, PT
Cahaya Mitra Saftindo, PT
Bintang Anugrah Sehati, PT
Dunia Saftindo, PT
Wahana Safety Indonesia, PT
Prima Safety, CV</v>
          </cell>
          <cell r="W257" t="str">
            <v>9 of 9</v>
          </cell>
          <cell r="X257" t="str">
            <v xml:space="preserve"> of 9</v>
          </cell>
          <cell r="Z257" t="str">
            <v/>
          </cell>
          <cell r="AC257" t="str">
            <v xml:space="preserve"> of </v>
          </cell>
          <cell r="AD257" t="str">
            <v xml:space="preserve"> of </v>
          </cell>
          <cell r="AF257" t="str">
            <v/>
          </cell>
          <cell r="AI257" t="str">
            <v xml:space="preserve"> of </v>
          </cell>
          <cell r="AJ257" t="str">
            <v xml:space="preserve"> of </v>
          </cell>
          <cell r="AL257" t="str">
            <v/>
          </cell>
          <cell r="AM257">
            <v>0.70833333333333337</v>
          </cell>
          <cell r="AO257" t="str">
            <v/>
          </cell>
          <cell r="AW257" t="str">
            <v/>
          </cell>
          <cell r="AX257" t="str">
            <v/>
          </cell>
          <cell r="AZ257" t="str">
            <v/>
          </cell>
          <cell r="BA257" t="str">
            <v/>
          </cell>
          <cell r="BB257" t="str">
            <v/>
          </cell>
          <cell r="BC257" t="str">
            <v>PR100009384</v>
          </cell>
        </row>
        <row r="258">
          <cell r="B258" t="str">
            <v>PR100009472</v>
          </cell>
          <cell r="C258" t="str">
            <v>Spare cell and probe set For STREAMING CURRENT ANALYZER MicroTSCM II Stock Inventory</v>
          </cell>
          <cell r="E258" t="str">
            <v/>
          </cell>
          <cell r="F258" t="str">
            <v/>
          </cell>
          <cell r="G258" t="str">
            <v/>
          </cell>
          <cell r="H258" t="str">
            <v>ARTHUR BRAMIYANA</v>
          </cell>
          <cell r="I258">
            <v>45496</v>
          </cell>
          <cell r="J258" t="str">
            <v>INV</v>
          </cell>
          <cell r="K258" t="str">
            <v>B</v>
          </cell>
          <cell r="L258" t="str">
            <v>BID</v>
          </cell>
          <cell r="M258" t="str">
            <v>0265</v>
          </cell>
          <cell r="N258" t="str">
            <v>RH</v>
          </cell>
          <cell r="O258" t="str">
            <v>robertiagus.haposan@alamtri.com</v>
          </cell>
          <cell r="Q258" t="str">
            <v/>
          </cell>
          <cell r="R258" t="str">
            <v>CANCEL</v>
          </cell>
          <cell r="T258" t="str">
            <v>MSW</v>
          </cell>
          <cell r="U258" t="str">
            <v>Putera Instrumenindo, PT
Antares Jaya Gemilang Prima, PT
Bestindo Putra Mandiri, PT
Petrocom Nusa Synergy, PT
Outsourcindo, PT
Vhipa Mulia Pratama, PT
Kin Kitra Kencana, PT
Gema Industrial, PT
Anugrah Andalan Bestindo, PT</v>
          </cell>
          <cell r="W258" t="str">
            <v>9 of 9</v>
          </cell>
          <cell r="X258" t="str">
            <v xml:space="preserve"> of 9</v>
          </cell>
          <cell r="Z258" t="str">
            <v/>
          </cell>
          <cell r="AC258" t="str">
            <v xml:space="preserve"> of </v>
          </cell>
          <cell r="AD258" t="str">
            <v xml:space="preserve"> of </v>
          </cell>
          <cell r="AF258" t="str">
            <v/>
          </cell>
          <cell r="AI258" t="str">
            <v xml:space="preserve"> of </v>
          </cell>
          <cell r="AJ258" t="str">
            <v xml:space="preserve"> of </v>
          </cell>
          <cell r="AL258" t="str">
            <v/>
          </cell>
          <cell r="AM258">
            <v>0.70833333333333337</v>
          </cell>
          <cell r="AO258" t="str">
            <v/>
          </cell>
          <cell r="AW258" t="str">
            <v/>
          </cell>
          <cell r="AX258" t="str">
            <v/>
          </cell>
          <cell r="AZ258" t="str">
            <v/>
          </cell>
          <cell r="BA258" t="str">
            <v/>
          </cell>
          <cell r="BB258" t="str">
            <v/>
          </cell>
          <cell r="BC258" t="str">
            <v>PR100009472</v>
          </cell>
        </row>
        <row r="259">
          <cell r="B259" t="str">
            <v>PR100009608</v>
          </cell>
          <cell r="C259" t="str">
            <v>General Over Haul (GOH) Tahap 1 DG 4G1 Merk Komatsu Type EGS300 Kap. 300 Kva</v>
          </cell>
          <cell r="E259" t="str">
            <v/>
          </cell>
          <cell r="F259" t="str">
            <v/>
          </cell>
          <cell r="G259" t="str">
            <v/>
          </cell>
          <cell r="H259" t="str">
            <v>SLAMET</v>
          </cell>
          <cell r="I259">
            <v>45545</v>
          </cell>
          <cell r="J259" t="str">
            <v>Tech Main</v>
          </cell>
          <cell r="K259" t="str">
            <v>J</v>
          </cell>
          <cell r="L259" t="str">
            <v>BID</v>
          </cell>
          <cell r="M259" t="str">
            <v>0335</v>
          </cell>
          <cell r="N259" t="str">
            <v>RH</v>
          </cell>
          <cell r="O259" t="str">
            <v>robertiagus.haposan@alamtri.com</v>
          </cell>
          <cell r="P259">
            <v>2666</v>
          </cell>
          <cell r="Q259">
            <v>42656000</v>
          </cell>
          <cell r="R259" t="str">
            <v>CANCEL</v>
          </cell>
          <cell r="T259" t="str">
            <v>MSW</v>
          </cell>
          <cell r="U259" t="str">
            <v>Bina Pertiwi, PT
Jaya Induksi Elektrik, PT
Triguna Karya Nusantara, PT
Tri Arga Kencana, CV
Xservice, CV
Panca Global Solusindo, PT
Hartekprima Listrindo, PT
Karya Prima Sukses, PT
Ricon Masintan Pratama, PT
Gala Jaya (Banjarmasin), PT
Catek Jaya, CV
Fadnov Airtech Indonesia, PT</v>
          </cell>
          <cell r="V259" t="str">
            <v>Xservice, CV</v>
          </cell>
          <cell r="W259" t="str">
            <v>12 of 12</v>
          </cell>
          <cell r="X259" t="str">
            <v>1 of 12</v>
          </cell>
          <cell r="Y259">
            <v>45546</v>
          </cell>
          <cell r="Z259">
            <v>45553</v>
          </cell>
          <cell r="AA259" t="str">
            <v>Bina Pertiwi, PT
Catek Jaya, CV
Triguna Karya Nusantara, PT
Tri Arga Kencana, CV
Xservice, CV
Ricon Masintan Pratama, PT
Mustika Jaya Tracktor, PT
Adifaro Indo Perkasa, PT
Mitra Safa Senusantara, CV
Jaya Induksi Elektrik, PT</v>
          </cell>
          <cell r="AB259" t="str">
            <v>Catek Jaya, CV
Xservice, CV</v>
          </cell>
          <cell r="AC259" t="str">
            <v>10 of 10</v>
          </cell>
          <cell r="AD259" t="str">
            <v>2 of 10</v>
          </cell>
          <cell r="AE259">
            <v>45559</v>
          </cell>
          <cell r="AF259">
            <v>45566</v>
          </cell>
          <cell r="AG259" t="str">
            <v>Xservice, CV
Catek Jaya, CV
Jaya Induksi Elektrik, PT
Mitra Safa Senusantara, CV</v>
          </cell>
          <cell r="AH259" t="str">
            <v>Xservice, CV
Catek Jaya, CV
Jaya Induksi Elektrik, PT
Mitra Safa Senusantara, CV</v>
          </cell>
          <cell r="AI259" t="str">
            <v>4 of 4</v>
          </cell>
          <cell r="AJ259" t="str">
            <v>4 of 4</v>
          </cell>
          <cell r="AK259">
            <v>45567</v>
          </cell>
          <cell r="AL259">
            <v>45569</v>
          </cell>
          <cell r="AM259">
            <v>0.70833333333333337</v>
          </cell>
          <cell r="AO259" t="str">
            <v/>
          </cell>
          <cell r="AW259" t="str">
            <v/>
          </cell>
          <cell r="AX259" t="str">
            <v/>
          </cell>
          <cell r="AZ259" t="str">
            <v/>
          </cell>
          <cell r="BA259" t="str">
            <v/>
          </cell>
          <cell r="BB259" t="str">
            <v/>
          </cell>
          <cell r="BC259" t="str">
            <v>PR100009608</v>
          </cell>
        </row>
        <row r="260">
          <cell r="B260" t="str">
            <v>PR100009217</v>
          </cell>
          <cell r="C260" t="str">
            <v>Safety Helmet &amp; Glove  Laboratory, 100% natural latex Stock Inventory</v>
          </cell>
          <cell r="E260" t="str">
            <v/>
          </cell>
          <cell r="F260" t="str">
            <v/>
          </cell>
          <cell r="G260" t="str">
            <v/>
          </cell>
          <cell r="H260" t="str">
            <v>ARTHUR BRAMIYANA</v>
          </cell>
          <cell r="I260">
            <v>45446</v>
          </cell>
          <cell r="J260" t="str">
            <v>INV</v>
          </cell>
          <cell r="K260" t="str">
            <v>B</v>
          </cell>
          <cell r="L260" t="str">
            <v>BID</v>
          </cell>
          <cell r="N260" t="str">
            <v>RH</v>
          </cell>
          <cell r="O260" t="str">
            <v>robertiagus.haposan@alamtri.com</v>
          </cell>
          <cell r="Q260" t="str">
            <v/>
          </cell>
          <cell r="R260" t="str">
            <v>CANCEL</v>
          </cell>
          <cell r="T260" t="str">
            <v>MSW</v>
          </cell>
          <cell r="W260" t="str">
            <v xml:space="preserve"> of </v>
          </cell>
          <cell r="X260" t="str">
            <v xml:space="preserve"> of </v>
          </cell>
          <cell r="Z260" t="str">
            <v/>
          </cell>
          <cell r="AC260" t="str">
            <v xml:space="preserve"> of </v>
          </cell>
          <cell r="AD260" t="str">
            <v xml:space="preserve"> of </v>
          </cell>
          <cell r="AF260" t="str">
            <v/>
          </cell>
          <cell r="AI260" t="str">
            <v xml:space="preserve"> of </v>
          </cell>
          <cell r="AJ260" t="str">
            <v xml:space="preserve"> of </v>
          </cell>
          <cell r="AL260" t="str">
            <v/>
          </cell>
          <cell r="AM260">
            <v>0.70833333333333337</v>
          </cell>
          <cell r="AO260" t="str">
            <v/>
          </cell>
          <cell r="AW260" t="str">
            <v/>
          </cell>
          <cell r="AX260" t="str">
            <v/>
          </cell>
          <cell r="AZ260" t="str">
            <v/>
          </cell>
          <cell r="BA260" t="str">
            <v/>
          </cell>
          <cell r="BB260" t="str">
            <v/>
          </cell>
          <cell r="BC260" t="str">
            <v/>
          </cell>
        </row>
        <row r="261">
          <cell r="B261" t="str">
            <v>PR100009377</v>
          </cell>
          <cell r="C261" t="str">
            <v>PLATE Mtrl Carbon Steel 3mm &amp; Steel Angle (Besi Siku), Mtrl. Carbon Steel, Size. 75 x 75 x 6 mm x 6</v>
          </cell>
          <cell r="E261" t="str">
            <v/>
          </cell>
          <cell r="F261" t="str">
            <v/>
          </cell>
          <cell r="G261" t="str">
            <v/>
          </cell>
          <cell r="H261" t="str">
            <v>ARTHUR BRAMIYANA</v>
          </cell>
          <cell r="I261">
            <v>45478</v>
          </cell>
          <cell r="J261" t="str">
            <v>INV</v>
          </cell>
          <cell r="K261" t="str">
            <v>B</v>
          </cell>
          <cell r="L261" t="str">
            <v>BID</v>
          </cell>
          <cell r="N261" t="str">
            <v>RH</v>
          </cell>
          <cell r="O261" t="str">
            <v>robertiagus.haposan@alamtri.com</v>
          </cell>
          <cell r="Q261" t="str">
            <v/>
          </cell>
          <cell r="R261" t="str">
            <v>CANCEL</v>
          </cell>
          <cell r="T261" t="str">
            <v>MSW</v>
          </cell>
          <cell r="W261" t="str">
            <v xml:space="preserve"> of </v>
          </cell>
          <cell r="X261" t="str">
            <v xml:space="preserve"> of </v>
          </cell>
          <cell r="Z261" t="str">
            <v/>
          </cell>
          <cell r="AC261" t="str">
            <v xml:space="preserve"> of </v>
          </cell>
          <cell r="AD261" t="str">
            <v xml:space="preserve"> of </v>
          </cell>
          <cell r="AF261" t="str">
            <v/>
          </cell>
          <cell r="AI261" t="str">
            <v xml:space="preserve"> of </v>
          </cell>
          <cell r="AJ261" t="str">
            <v xml:space="preserve"> of </v>
          </cell>
          <cell r="AL261" t="str">
            <v/>
          </cell>
          <cell r="AM261">
            <v>0.70833333333333337</v>
          </cell>
          <cell r="AO261" t="str">
            <v/>
          </cell>
          <cell r="AW261" t="str">
            <v/>
          </cell>
          <cell r="AX261" t="str">
            <v/>
          </cell>
          <cell r="AZ261" t="str">
            <v/>
          </cell>
          <cell r="BA261" t="str">
            <v/>
          </cell>
          <cell r="BB261" t="str">
            <v/>
          </cell>
          <cell r="BC261" t="str">
            <v/>
          </cell>
        </row>
        <row r="262">
          <cell r="B262" t="str">
            <v>PR100009773</v>
          </cell>
          <cell r="C262" t="str">
            <v>Uji Emisi Unit Genset IBT Semester II 2024 - 4G3</v>
          </cell>
          <cell r="E262" t="str">
            <v/>
          </cell>
          <cell r="F262" t="str">
            <v/>
          </cell>
          <cell r="G262" t="str">
            <v/>
          </cell>
          <cell r="H262" t="str">
            <v>ADITIYA KUSUMA WARDANA</v>
          </cell>
          <cell r="I262">
            <v>45601</v>
          </cell>
          <cell r="J262" t="str">
            <v>HSE</v>
          </cell>
          <cell r="K262" t="str">
            <v>J</v>
          </cell>
          <cell r="L262" t="str">
            <v>BID</v>
          </cell>
          <cell r="N262" t="str">
            <v>RH</v>
          </cell>
          <cell r="O262" t="str">
            <v>robertiagus.haposan@alamtri.com</v>
          </cell>
          <cell r="Q262" t="str">
            <v/>
          </cell>
          <cell r="R262" t="str">
            <v>CANCEL</v>
          </cell>
          <cell r="T262" t="str">
            <v>MSW</v>
          </cell>
          <cell r="W262" t="str">
            <v xml:space="preserve"> of </v>
          </cell>
          <cell r="X262" t="str">
            <v xml:space="preserve"> of </v>
          </cell>
          <cell r="Z262" t="str">
            <v/>
          </cell>
          <cell r="AC262" t="str">
            <v xml:space="preserve"> of </v>
          </cell>
          <cell r="AD262" t="str">
            <v xml:space="preserve"> of </v>
          </cell>
          <cell r="AF262" t="str">
            <v/>
          </cell>
          <cell r="AI262" t="str">
            <v xml:space="preserve"> of </v>
          </cell>
          <cell r="AJ262" t="str">
            <v xml:space="preserve"> of </v>
          </cell>
          <cell r="AL262" t="str">
            <v/>
          </cell>
          <cell r="AM262">
            <v>0.70833333333333337</v>
          </cell>
          <cell r="AO262" t="str">
            <v/>
          </cell>
          <cell r="AW262" t="str">
            <v/>
          </cell>
          <cell r="AX262" t="str">
            <v/>
          </cell>
          <cell r="AZ262" t="str">
            <v/>
          </cell>
          <cell r="BA262" t="str">
            <v/>
          </cell>
          <cell r="BB262" t="str">
            <v/>
          </cell>
          <cell r="BC262" t="str">
            <v>PR100009773</v>
          </cell>
        </row>
        <row r="263">
          <cell r="B263" t="str">
            <v>PR100008800</v>
          </cell>
          <cell r="C263" t="str">
            <v>Material Coal analyzer Januari 2024 (see long desc)</v>
          </cell>
          <cell r="D263" t="str">
            <v>Magna Sardo, PT</v>
          </cell>
          <cell r="E263" t="str">
            <v>Magna Sardo, PT
Petrocom Nusa Synergy, PT
Outsourcindo, PT</v>
          </cell>
          <cell r="F263" t="str">
            <v>Magna Sardo, PT
Petrocom Nusa Synergy, PT
Outsourcindo, PT</v>
          </cell>
          <cell r="G263" t="str">
            <v>R2
3 of 3
13 Feb 24</v>
          </cell>
          <cell r="H263" t="str">
            <v>DENI SUHENDRA</v>
          </cell>
          <cell r="I263">
            <v>45300</v>
          </cell>
          <cell r="J263" t="str">
            <v>Tech Op</v>
          </cell>
          <cell r="K263" t="str">
            <v>B</v>
          </cell>
          <cell r="L263" t="str">
            <v>BID</v>
          </cell>
          <cell r="M263" t="str">
            <v>0014</v>
          </cell>
          <cell r="N263" t="str">
            <v>RH</v>
          </cell>
          <cell r="O263" t="str">
            <v>robertiagus.haposan@alamtri.com</v>
          </cell>
          <cell r="P263">
            <v>985</v>
          </cell>
          <cell r="Q263">
            <v>15760000</v>
          </cell>
          <cell r="R263" t="str">
            <v>Completed Sign PO</v>
          </cell>
          <cell r="T263" t="str">
            <v>MSW</v>
          </cell>
          <cell r="U263" t="str">
            <v>Magna Sardo, PT
Gading Mas Utama, PT
Alfa Teknik Mandiri Makmur, PT
Intraparr Nusantara, PT
Alfa Pegasus, PT
Permata Dwitunggal Abadi, PT
Berkat Pratama Teknik, CV
Catur Inti Chemical, PT
Petrocom Nusa Synergy, PT</v>
          </cell>
          <cell r="V263" t="str">
            <v>Magna Sardo, PT
Petrocom Nusa Synergy, PT</v>
          </cell>
          <cell r="W263" t="str">
            <v>9 of 9</v>
          </cell>
          <cell r="X263" t="str">
            <v>2 of 9</v>
          </cell>
          <cell r="Y263">
            <v>45314</v>
          </cell>
          <cell r="Z263">
            <v>45321</v>
          </cell>
          <cell r="AA263" t="str">
            <v>Magna Sardo, PT
Petrocom Nusa Synergy, PT
Anugrah Mandiri Putra Tabalong, PT
Perwira Sentra Officindo, PT
Indoparts, CV
Berkat Pratama Teknik, CV
Outsourcindo, PT</v>
          </cell>
          <cell r="AB263" t="str">
            <v>Magna Sardo, PT
Petrocom Nusa Synergy, PT</v>
          </cell>
          <cell r="AC263" t="str">
            <v>7 of 7</v>
          </cell>
          <cell r="AD263" t="str">
            <v>2 of 7</v>
          </cell>
          <cell r="AE263">
            <v>45322</v>
          </cell>
          <cell r="AF263">
            <v>45329</v>
          </cell>
          <cell r="AG263" t="str">
            <v>Magna Sardo, PT
Petrocom Nusa Synergy, PT
Outsourcindo, PT</v>
          </cell>
          <cell r="AH263" t="str">
            <v>Magna Sardo, PT
Petrocom Nusa Synergy, PT
Outsourcindo, PT</v>
          </cell>
          <cell r="AI263" t="str">
            <v>3 of 3</v>
          </cell>
          <cell r="AJ263" t="str">
            <v>3 of 3</v>
          </cell>
          <cell r="AK263">
            <v>45334</v>
          </cell>
          <cell r="AL263">
            <v>45335</v>
          </cell>
          <cell r="AM263">
            <v>0.70833333333333337</v>
          </cell>
          <cell r="AN263" t="str">
            <v>Magna Sardo, PT</v>
          </cell>
          <cell r="AO263" t="str">
            <v>dedi.rahman@sardo.co.id</v>
          </cell>
          <cell r="AP263" t="str">
            <v>PO24000050</v>
          </cell>
          <cell r="AQ263">
            <v>14700000</v>
          </cell>
          <cell r="AR263">
            <v>45337</v>
          </cell>
          <cell r="AS263">
            <v>45344</v>
          </cell>
          <cell r="AT263">
            <v>45349</v>
          </cell>
          <cell r="AU263">
            <v>45479</v>
          </cell>
          <cell r="AV263">
            <v>45351</v>
          </cell>
          <cell r="AW263">
            <v>45481</v>
          </cell>
          <cell r="AX263">
            <v>18.571428571428573</v>
          </cell>
          <cell r="AY263">
            <v>45442</v>
          </cell>
          <cell r="AZ263" t="str">
            <v/>
          </cell>
          <cell r="BA263" t="str">
            <v/>
          </cell>
          <cell r="BB263" t="str">
            <v>Late Completed</v>
          </cell>
          <cell r="BC263" t="str">
            <v>PR100008800</v>
          </cell>
        </row>
        <row r="264">
          <cell r="B264" t="str">
            <v>PR100008779</v>
          </cell>
          <cell r="C264" t="str">
            <v>HT Pengganti  Untuk Operational 2024</v>
          </cell>
          <cell r="D264" t="str">
            <v>Mitra Usaha, CV</v>
          </cell>
          <cell r="E264" t="str">
            <v>Anugrah Mandiri Putra Tabalong, PT
Mitra Usaha, CV
Century, CV
Sehati, CV
Berkat Pratama Teknik, CV
ALKS Computer, CV
Gridtech Indonesia, PT
Cahaya Murni, CV</v>
          </cell>
          <cell r="F264" t="str">
            <v>Anugrah Mandiri Putra Tabalong, PT
Mitra Usaha, CV
Century, CV</v>
          </cell>
          <cell r="G264" t="str">
            <v>R1
3 of 8
09 Feb 24</v>
          </cell>
          <cell r="H264" t="str">
            <v>ARIES KURNIAWAN</v>
          </cell>
          <cell r="I264">
            <v>45315</v>
          </cell>
          <cell r="J264" t="str">
            <v>Tech Op</v>
          </cell>
          <cell r="K264" t="str">
            <v>B</v>
          </cell>
          <cell r="L264" t="str">
            <v>BID</v>
          </cell>
          <cell r="M264" t="str">
            <v>0014</v>
          </cell>
          <cell r="N264" t="str">
            <v>RH</v>
          </cell>
          <cell r="O264" t="str">
            <v>robertiagus.haposan@alamtri.com</v>
          </cell>
          <cell r="P264">
            <v>3698.2820000000002</v>
          </cell>
          <cell r="Q264">
            <v>59172512</v>
          </cell>
          <cell r="R264" t="str">
            <v>Completed Sign PO</v>
          </cell>
          <cell r="T264" t="str">
            <v>MSW</v>
          </cell>
          <cell r="U264" t="str">
            <v>Century, CV
Mitra Usaha, CV
Alfa Teknik Mandiri Makmur, PT
Gama Tritunggal Pratama, PT
Anugrah Mandiri Putra Tabalong, PT
Perwira Sentra Officindo, PT
Gevana, PT</v>
          </cell>
          <cell r="V264" t="str">
            <v>Mitra Usaha, CV
Anugrah Mandiri Putra Tabalong, PT</v>
          </cell>
          <cell r="W264" t="str">
            <v>7 of 7</v>
          </cell>
          <cell r="X264" t="str">
            <v>2 of 7</v>
          </cell>
          <cell r="Y264">
            <v>45315</v>
          </cell>
          <cell r="Z264">
            <v>45322</v>
          </cell>
          <cell r="AA264" t="str">
            <v>Anugrah Mandiri Putra Tabalong, PT
Mitra Usaha, CV
Century, CV
Sehati, CV
Berkat Pratama Teknik, CV
ALKS Computer, CV
Gridtech Indonesia, PT
Cahaya Murni, CV</v>
          </cell>
          <cell r="AB264" t="str">
            <v>Anugrah Mandiri Putra Tabalong, PT
Mitra Usaha, CV
Century, CV</v>
          </cell>
          <cell r="AC264" t="str">
            <v>8 of 8</v>
          </cell>
          <cell r="AD264" t="str">
            <v>3 of 8</v>
          </cell>
          <cell r="AE264">
            <v>45323</v>
          </cell>
          <cell r="AF264">
            <v>45331</v>
          </cell>
          <cell r="AI264" t="str">
            <v xml:space="preserve"> of </v>
          </cell>
          <cell r="AJ264" t="str">
            <v xml:space="preserve"> of </v>
          </cell>
          <cell r="AL264" t="str">
            <v/>
          </cell>
          <cell r="AM264">
            <v>0.70833333333333337</v>
          </cell>
          <cell r="AN264" t="str">
            <v>Mitra Usaha, CV</v>
          </cell>
          <cell r="AO264" t="str">
            <v>mitrausaha@mubpn.com</v>
          </cell>
          <cell r="AP264" t="str">
            <v>PO24000075</v>
          </cell>
          <cell r="AQ264">
            <v>60200000</v>
          </cell>
          <cell r="AR264">
            <v>45334</v>
          </cell>
          <cell r="AS264">
            <v>45358</v>
          </cell>
          <cell r="AT264">
            <v>45359</v>
          </cell>
          <cell r="AU264">
            <v>45387</v>
          </cell>
          <cell r="AV264">
            <v>45366</v>
          </cell>
          <cell r="AW264">
            <v>45394</v>
          </cell>
          <cell r="AX264">
            <v>4</v>
          </cell>
          <cell r="AY264">
            <v>45373</v>
          </cell>
          <cell r="AZ264" t="str">
            <v/>
          </cell>
          <cell r="BA264" t="str">
            <v/>
          </cell>
          <cell r="BB264" t="str">
            <v>Late Completed</v>
          </cell>
          <cell r="BC264" t="str">
            <v>PR100008779</v>
          </cell>
        </row>
        <row r="265">
          <cell r="B265" t="str">
            <v>PR100008763</v>
          </cell>
          <cell r="C265" t="str">
            <v>Termination kit &amp; Cable jointing Stock INVentory</v>
          </cell>
          <cell r="D265" t="str">
            <v>Outsourcindo, PT</v>
          </cell>
          <cell r="E265" t="str">
            <v>Perwira Sentra Officindo, PT
Borneo Maju Jaya, PT
Outsourcindo, PT
Total Solusi Instrument, PT
Berkat Pratama Teknik, CV
Vertech Perdana, PT
Greentek Elektrikal Indonesia, PT
Ganesha Wirya Pratama, PT
Petrocom Nusa Synergy, PT
Ataya Teknik Mulia, PT
Panca Global Solusindo, PT
Spektrum Krisindo Elektrika, PT</v>
          </cell>
          <cell r="F265" t="str">
            <v>Perwira Sentra Officindo, PT
Borneo Maju Jaya, PT
Outsourcindo, PT</v>
          </cell>
          <cell r="G265" t="str">
            <v>R2
3 of 12
23 Feb 24</v>
          </cell>
          <cell r="H265" t="str">
            <v>ARTHUR BRAMIYANA</v>
          </cell>
          <cell r="I265">
            <v>45316</v>
          </cell>
          <cell r="J265" t="str">
            <v>INV</v>
          </cell>
          <cell r="K265" t="str">
            <v>B</v>
          </cell>
          <cell r="L265" t="str">
            <v>BID</v>
          </cell>
          <cell r="M265" t="str">
            <v>0015</v>
          </cell>
          <cell r="N265" t="str">
            <v>RH</v>
          </cell>
          <cell r="O265" t="str">
            <v>robertiagus.haposan@alamtri.com</v>
          </cell>
          <cell r="P265">
            <v>1683.3335999999999</v>
          </cell>
          <cell r="Q265">
            <v>26933337.599999998</v>
          </cell>
          <cell r="R265" t="str">
            <v>Completed Sign PO</v>
          </cell>
          <cell r="T265" t="str">
            <v>MSW</v>
          </cell>
          <cell r="U265" t="str">
            <v>Perwira Sentra Officindo, PT
Raja Listrik Indonesia, PT
Antares Jaya Gemilang Prima, PT
Gema Industrial, PT
Kin Kitra Kencana, PT
Borneo Maju Jaya, PT
Indo Tehnik Tanjung Tabalong, PT
Alfa Teknik Mandiri Makmur, PT
Panca Global Solusindo, PT
Sarana Prima Lestari, CV</v>
          </cell>
          <cell r="V265" t="str">
            <v>Perwira Sentra Officindo, PT
Borneo Maju Jaya, PT</v>
          </cell>
          <cell r="W265" t="str">
            <v>10 of 10</v>
          </cell>
          <cell r="X265" t="str">
            <v>2 of 10</v>
          </cell>
          <cell r="Y265">
            <v>45316</v>
          </cell>
          <cell r="Z265">
            <v>45323</v>
          </cell>
          <cell r="AA265" t="str">
            <v>Perwira Sentra Officindo, PT
Borneo Maju Jaya, PT
Berkat Pratama Teknik, CV
Vhipa Mulia Pratama, PT
Outsourcindo, PT
Sola Anugerah Oilfield, PT</v>
          </cell>
          <cell r="AB265" t="str">
            <v>Perwira Sentra Officindo, PT
Borneo Maju Jaya, PT</v>
          </cell>
          <cell r="AC265" t="str">
            <v>6 of 6</v>
          </cell>
          <cell r="AD265" t="str">
            <v>2 of 6</v>
          </cell>
          <cell r="AE265">
            <v>45324</v>
          </cell>
          <cell r="AF265">
            <v>45331</v>
          </cell>
          <cell r="AG265" t="str">
            <v>Perwira Sentra Officindo, PT
Borneo Maju Jaya, PT
Outsourcindo, PT
Total Solusi Instrument, PT
Berkat Pratama Teknik, CV
Vertech Perdana, PT
Greentek Elektrikal Indonesia, PT
Ganesha Wirya Pratama, PT
Petrocom Nusa Synergy, PT
Ataya Teknik Mulia, PT
Panca Global Solusindo, PT
Spektrum Krisindo Elektrika, PT</v>
          </cell>
          <cell r="AH265" t="str">
            <v>Perwira Sentra Officindo, PT
Borneo Maju Jaya, PT
Outsourcindo, PT</v>
          </cell>
          <cell r="AI265" t="str">
            <v>12 of 12</v>
          </cell>
          <cell r="AJ265" t="str">
            <v>3 of 12</v>
          </cell>
          <cell r="AK265">
            <v>45704</v>
          </cell>
          <cell r="AL265">
            <v>45345</v>
          </cell>
          <cell r="AM265">
            <v>0.70833333333333337</v>
          </cell>
          <cell r="AN265" t="str">
            <v>Outsourcindo, PT</v>
          </cell>
          <cell r="AO265" t="str">
            <v>outsourcindo@gmail.com; sales@outsourcindo.com</v>
          </cell>
          <cell r="AP265" t="str">
            <v>PO24000090</v>
          </cell>
          <cell r="AQ265">
            <v>37027100</v>
          </cell>
          <cell r="AR265">
            <v>45348</v>
          </cell>
          <cell r="AS265">
            <v>45365</v>
          </cell>
          <cell r="AT265">
            <v>45365</v>
          </cell>
          <cell r="AU265">
            <v>45429</v>
          </cell>
          <cell r="AV265">
            <v>45366</v>
          </cell>
          <cell r="AW265">
            <v>45430</v>
          </cell>
          <cell r="AX265">
            <v>9.1428571428571423</v>
          </cell>
          <cell r="AY265">
            <v>45429</v>
          </cell>
          <cell r="AZ265" t="str">
            <v/>
          </cell>
          <cell r="BA265" t="str">
            <v/>
          </cell>
          <cell r="BB265" t="str">
            <v>Late Completed</v>
          </cell>
          <cell r="BC265" t="str">
            <v>PR100008763</v>
          </cell>
        </row>
        <row r="266">
          <cell r="B266" t="str">
            <v>PR100008764</v>
          </cell>
          <cell r="C266" t="str">
            <v>Transducers  (Current to Pneumatic) ABB Stock INVentory</v>
          </cell>
          <cell r="D266" t="str">
            <v>Putera Instrumenindo, PT</v>
          </cell>
          <cell r="E266" t="str">
            <v>Gema Industrial, PT
Gading Mas Utama, PT
Kin Kitra Kencana, PT
Elang Mas Indoasia, PT
ABB Sakti Industri, PT
Amptron Instrumindo, PT
Tirta Jaya Primakarsa, PT
Alfa Teknik Mandiri Makmur, PT
Boveri Indonesia, PT</v>
          </cell>
          <cell r="F266" t="str">
            <v>Gema Industrial, PT
Gading Mas Utama, PT
Kin Kitra Kencana, PT
Elang Mas Indoasia, PT</v>
          </cell>
          <cell r="G266" t="str">
            <v>R0
4 of 9
01 Feb 24</v>
          </cell>
          <cell r="H266" t="str">
            <v>ARTHUR BRAMIYANA</v>
          </cell>
          <cell r="I266">
            <v>45316</v>
          </cell>
          <cell r="J266" t="str">
            <v>INV</v>
          </cell>
          <cell r="K266" t="str">
            <v>B</v>
          </cell>
          <cell r="L266" t="str">
            <v>BID</v>
          </cell>
          <cell r="M266" t="str">
            <v>0016</v>
          </cell>
          <cell r="N266" t="str">
            <v>RH</v>
          </cell>
          <cell r="O266" t="str">
            <v>robertiagus.haposan@alamtri.com</v>
          </cell>
          <cell r="P266">
            <v>905.84</v>
          </cell>
          <cell r="Q266">
            <v>14493440</v>
          </cell>
          <cell r="R266" t="str">
            <v>Completed Sign PO</v>
          </cell>
          <cell r="T266" t="str">
            <v>MSW</v>
          </cell>
          <cell r="U266" t="str">
            <v>Gema Industrial, PT
Gading Mas Utama, PT
Kin Kitra Kencana, PT
Elang Mas Indoasia, PT
ABB Sakti Industri, PT
Amptron Instrumindo, PT
Tirta Jaya Primakarsa, PT
Alfa Teknik Mandiri Makmur, PT
Boveri Indonesia, PT</v>
          </cell>
          <cell r="V266" t="str">
            <v>Gema Industrial, PT
Gading Mas Utama, PT
Kin Kitra Kencana, PT
Elang Mas Indoasia, PT</v>
          </cell>
          <cell r="W266" t="str">
            <v>9 of 9</v>
          </cell>
          <cell r="X266" t="str">
            <v>4 of 9</v>
          </cell>
          <cell r="Y266">
            <v>45316</v>
          </cell>
          <cell r="Z266">
            <v>45323</v>
          </cell>
          <cell r="AC266" t="str">
            <v xml:space="preserve"> of </v>
          </cell>
          <cell r="AD266" t="str">
            <v xml:space="preserve"> of </v>
          </cell>
          <cell r="AF266" t="str">
            <v/>
          </cell>
          <cell r="AI266" t="str">
            <v xml:space="preserve"> of </v>
          </cell>
          <cell r="AJ266" t="str">
            <v xml:space="preserve"> of </v>
          </cell>
          <cell r="AL266" t="str">
            <v/>
          </cell>
          <cell r="AM266">
            <v>0.70833333333333337</v>
          </cell>
          <cell r="AN266" t="str">
            <v>Kin Kitra Kencana, PT</v>
          </cell>
          <cell r="AO266" t="str">
            <v>ptkinkitrakencana@gmail.com; teguhkin999@gmail.com</v>
          </cell>
          <cell r="AP266" t="str">
            <v>PO24000007</v>
          </cell>
          <cell r="AQ266">
            <v>15950000</v>
          </cell>
          <cell r="AR266">
            <v>45324</v>
          </cell>
          <cell r="AS266">
            <v>45328</v>
          </cell>
          <cell r="AT266">
            <v>45334</v>
          </cell>
          <cell r="AU266">
            <v>45436</v>
          </cell>
          <cell r="AV266">
            <v>45338</v>
          </cell>
          <cell r="AW266">
            <v>45440</v>
          </cell>
          <cell r="AX266">
            <v>14.571428571428571</v>
          </cell>
          <cell r="AY266">
            <v>45529</v>
          </cell>
          <cell r="AZ266">
            <v>89</v>
          </cell>
          <cell r="BA266">
            <v>797500</v>
          </cell>
          <cell r="BB266" t="str">
            <v>Completed</v>
          </cell>
          <cell r="BC266" t="str">
            <v>PR100008764</v>
          </cell>
        </row>
        <row r="267">
          <cell r="B267" t="str">
            <v>PR100008772</v>
          </cell>
          <cell r="C267" t="str">
            <v>Spare Part For Stock INVentory Electrical</v>
          </cell>
          <cell r="D267" t="str">
            <v>Perwira Sentra Officindo, PT (Line 1-4 &amp; 6-7)
Gema Industrial, PT (Line 5 &amp; 8)</v>
          </cell>
          <cell r="E267" t="str">
            <v>Gema Industrial, PT
Berkat Pratama Teknik, CV
Perwira Sentra Officindo, PT
Vhipa Mulia Pratama, PT
Outsourcindo, PT</v>
          </cell>
          <cell r="F267" t="str">
            <v>Gema Industrial, PT
Berkat Pratama Teknik, CV
Perwira Sentra Officindo, PT
Vhipa Mulia Pratama, PT</v>
          </cell>
          <cell r="G267" t="str">
            <v>R1
4 of 5
21 Feb 24</v>
          </cell>
          <cell r="H267" t="str">
            <v>ARTHUR BRAMIYANA</v>
          </cell>
          <cell r="I267">
            <v>45316</v>
          </cell>
          <cell r="J267" t="str">
            <v>INV</v>
          </cell>
          <cell r="K267" t="str">
            <v>B</v>
          </cell>
          <cell r="L267" t="str">
            <v>BID</v>
          </cell>
          <cell r="M267" t="str">
            <v>0017</v>
          </cell>
          <cell r="N267" t="str">
            <v>RH</v>
          </cell>
          <cell r="O267" t="str">
            <v>robertiagus.haposan@alamtri.com</v>
          </cell>
          <cell r="P267">
            <v>1271.153</v>
          </cell>
          <cell r="Q267">
            <v>20338448</v>
          </cell>
          <cell r="R267" t="str">
            <v>Completed Sign PO</v>
          </cell>
          <cell r="T267" t="str">
            <v>MSW</v>
          </cell>
          <cell r="U267" t="str">
            <v>Alfa Teknik Mandiri Makmur, PT
Vertech Perdana, PT
Borneo Maju Jaya, PT
Gema Industrial, PT
Kin Kitra Kencana, PT
Perwira Sentra Officindo, PT
Elang Mas Indoasia, PT
Berkat Pratama Teknik, CV
Petrocom Nusa Synergy, PT</v>
          </cell>
          <cell r="V267" t="str">
            <v>Gema Industrial, PT
Berkat Pratama Teknik, CV</v>
          </cell>
          <cell r="W267" t="str">
            <v>9 of 9</v>
          </cell>
          <cell r="X267" t="str">
            <v>2 of 9</v>
          </cell>
          <cell r="Y267">
            <v>45316</v>
          </cell>
          <cell r="Z267">
            <v>45323</v>
          </cell>
          <cell r="AA267" t="str">
            <v>Gema Industrial, PT
Berkat Pratama Teknik, CV
Perwira Sentra Officindo, PT
Vhipa Mulia Pratama, PT
Outsourcindo, PT</v>
          </cell>
          <cell r="AB267" t="str">
            <v>Gema Industrial, PT
Berkat Pratama Teknik, CV
Perwira Sentra Officindo, PT
Vhipa Mulia Pratama, PT</v>
          </cell>
          <cell r="AC267" t="str">
            <v>5 of 5</v>
          </cell>
          <cell r="AD267" t="str">
            <v>4 of 5</v>
          </cell>
          <cell r="AE267">
            <v>45337</v>
          </cell>
          <cell r="AF267">
            <v>45343</v>
          </cell>
          <cell r="AI267" t="str">
            <v xml:space="preserve"> of </v>
          </cell>
          <cell r="AJ267" t="str">
            <v xml:space="preserve"> of </v>
          </cell>
          <cell r="AL267" t="str">
            <v/>
          </cell>
          <cell r="AM267">
            <v>0.70833333333333337</v>
          </cell>
          <cell r="AN267" t="str">
            <v>Perwira Sentra Officindo, PT</v>
          </cell>
          <cell r="AO267" t="str">
            <v>d_santos63@yahoo.com</v>
          </cell>
          <cell r="AP267" t="str">
            <v>PO24000103</v>
          </cell>
          <cell r="AQ267">
            <v>6650300</v>
          </cell>
          <cell r="AR267">
            <v>45344</v>
          </cell>
          <cell r="AS267">
            <v>45364</v>
          </cell>
          <cell r="AT267">
            <v>45366</v>
          </cell>
          <cell r="AU267">
            <v>45415</v>
          </cell>
          <cell r="AV267">
            <v>45370</v>
          </cell>
          <cell r="AW267">
            <v>45419</v>
          </cell>
          <cell r="AX267">
            <v>7</v>
          </cell>
          <cell r="AY267">
            <v>45427</v>
          </cell>
          <cell r="AZ267">
            <v>8</v>
          </cell>
          <cell r="BA267">
            <v>199509</v>
          </cell>
          <cell r="BB267" t="str">
            <v>Late Completed</v>
          </cell>
          <cell r="BC267" t="str">
            <v>PR100008772</v>
          </cell>
        </row>
        <row r="268">
          <cell r="B268" t="str">
            <v>PR100008710</v>
          </cell>
          <cell r="C268" t="str">
            <v>Oli Medistran Pertamina, SAE 40</v>
          </cell>
          <cell r="D268" t="str">
            <v>Andalan Gaya Bhakti Pratama, PT</v>
          </cell>
          <cell r="E268" t="str">
            <v>Andalan Gaya Bhakti Pratama, PT
Tentra Eka Pratama, PT
Kapuas Kencana Jaya, PT
Arthapusaka Mitra Sakti, PT
Gunung Moria Mega Prima, PT
Petrocom Nusa Synergy, PT
Indo Jaya Perkasa Lubricant, PT
Alpha Gaya Bhakti Pertiwi, PT</v>
          </cell>
          <cell r="F268" t="str">
            <v>Andalan Gaya Bhakti Pratama, PT
Tentra Eka Pratama, PT
Arthapusaka Mitra Sakti, PT
Gunung Moria Mega Prima, PT
Indo Jaya Perkasa Lubricant, PT</v>
          </cell>
          <cell r="G268" t="str">
            <v>R0
5 of 8
05 Feb 24</v>
          </cell>
          <cell r="H268" t="str">
            <v>ARTHUR BRAMIYANA</v>
          </cell>
          <cell r="I268">
            <v>45320</v>
          </cell>
          <cell r="J268" t="str">
            <v>INV</v>
          </cell>
          <cell r="K268" t="str">
            <v>B</v>
          </cell>
          <cell r="L268" t="str">
            <v>BID</v>
          </cell>
          <cell r="M268" t="str">
            <v>0018</v>
          </cell>
          <cell r="N268" t="str">
            <v>RH</v>
          </cell>
          <cell r="O268" t="str">
            <v>robertiagus.haposan@alamtri.com</v>
          </cell>
          <cell r="P268">
            <v>740</v>
          </cell>
          <cell r="Q268">
            <v>11840000</v>
          </cell>
          <cell r="R268" t="str">
            <v>Completed Sign PO</v>
          </cell>
          <cell r="T268" t="str">
            <v>MSW</v>
          </cell>
          <cell r="U268" t="str">
            <v>Andalan Gaya Bhakti Pratama, PT
Tentra Eka Pratama, PT
Kapuas Kencana Jaya, PT
Arthapusaka Mitra Sakti, PT
Gunung Moria Mega Prima, PT
Petrocom Nusa Synergy, PT
Indo Jaya Perkasa Lubricant, PT
Alpha Gaya Bhakti Pertiwi, PT</v>
          </cell>
          <cell r="V268" t="str">
            <v>Andalan Gaya Bhakti Pratama, PT
Tentra Eka Pratama, PT
Arthapusaka Mitra Sakti, PT
Gunung Moria Mega Prima, PT
Indo Jaya Perkasa Lubricant, PT</v>
          </cell>
          <cell r="W268" t="str">
            <v>8 of 8</v>
          </cell>
          <cell r="X268" t="str">
            <v>5 of 8</v>
          </cell>
          <cell r="Y268">
            <v>45320</v>
          </cell>
          <cell r="Z268">
            <v>45327</v>
          </cell>
          <cell r="AC268" t="str">
            <v xml:space="preserve"> of </v>
          </cell>
          <cell r="AD268" t="str">
            <v xml:space="preserve"> of </v>
          </cell>
          <cell r="AF268" t="str">
            <v/>
          </cell>
          <cell r="AI268" t="str">
            <v xml:space="preserve"> of </v>
          </cell>
          <cell r="AJ268" t="str">
            <v xml:space="preserve"> of </v>
          </cell>
          <cell r="AL268" t="str">
            <v/>
          </cell>
          <cell r="AM268">
            <v>0.70833333333333337</v>
          </cell>
          <cell r="AN268" t="str">
            <v>Andalan Gaya Bhakti Pratama, PT</v>
          </cell>
          <cell r="AO268" t="str">
            <v>salesinfo@alphagayabhakti.com; salesinfo@andalangroup.id</v>
          </cell>
          <cell r="AP268" t="str">
            <v>PO24000010</v>
          </cell>
          <cell r="AQ268">
            <v>12020000</v>
          </cell>
          <cell r="AR268">
            <v>45331</v>
          </cell>
          <cell r="AS268">
            <v>45335</v>
          </cell>
          <cell r="AT268">
            <v>45335</v>
          </cell>
          <cell r="AU268">
            <v>45345</v>
          </cell>
          <cell r="AV268">
            <v>45338</v>
          </cell>
          <cell r="AW268">
            <v>45348</v>
          </cell>
          <cell r="AX268">
            <v>1.4285714285714286</v>
          </cell>
          <cell r="AY268">
            <v>45340</v>
          </cell>
          <cell r="AZ268" t="str">
            <v/>
          </cell>
          <cell r="BA268" t="str">
            <v/>
          </cell>
          <cell r="BB268" t="str">
            <v>Completed</v>
          </cell>
          <cell r="BC268" t="str">
            <v>PR100008710</v>
          </cell>
        </row>
        <row r="269">
          <cell r="B269" t="str">
            <v>PR100008828 (Line 1-3)</v>
          </cell>
          <cell r="C269" t="str">
            <v>For Spare Parts Splacing Belt Conveyor CHP</v>
          </cell>
          <cell r="E269" t="str">
            <v>Sentra Tanjung Jaya, CV
Suprabakti Mandiri, PT
Sehati, CV
Cominco Mitra Perkasa, PT
Indo Tehnik Tanjung Tabalong, PT
Vhipa Mulia Pratama, PT
Indoparts, CV
Petrocom Nusa Synergy, PT
Outsourcindo, PT
Perwira Sentra Officindo, PT
Intan Global Sinergi, PT
Venturer Shinta Success, PT</v>
          </cell>
          <cell r="F269" t="str">
            <v>Suprabakti Mandiri, PT
Cominco Mitra Perkasa, PT
Vhipa Mulia Pratama, PT
Petrocom Nusa Synergy, PT</v>
          </cell>
          <cell r="G269" t="str">
            <v>R0
4 of 12
06 Feb 24</v>
          </cell>
          <cell r="H269" t="str">
            <v>BAYU FITRAH DARMAWAN</v>
          </cell>
          <cell r="I269">
            <v>45321</v>
          </cell>
          <cell r="J269" t="str">
            <v>INV</v>
          </cell>
          <cell r="K269" t="str">
            <v>B</v>
          </cell>
          <cell r="L269" t="str">
            <v>BID</v>
          </cell>
          <cell r="M269" t="str">
            <v>0022</v>
          </cell>
          <cell r="N269" t="str">
            <v>RH</v>
          </cell>
          <cell r="O269" t="str">
            <v>robertiagus.haposan@alamtri.com</v>
          </cell>
          <cell r="P269">
            <v>799.48530000000005</v>
          </cell>
          <cell r="Q269">
            <v>12791764.800000001</v>
          </cell>
          <cell r="R269" t="str">
            <v>Completed Sign PO</v>
          </cell>
          <cell r="T269" t="str">
            <v>MSW</v>
          </cell>
          <cell r="U269" t="str">
            <v>Sentra Tanjung Jaya, CV
Suprabakti Mandiri, PT
Sehati, CV
Cominco Mitra Perkasa, PT
Indo Tehnik Tanjung Tabalong, PT
Vhipa Mulia Pratama, PT
Indoparts, CV
Petrocom Nusa Synergy, PT
Outsourcindo, PT
Perwira Sentra Officindo, PT
Intan Global Sinergi, PT
Venturer Shinta Success, PT</v>
          </cell>
          <cell r="V269" t="str">
            <v>Suprabakti Mandiri, PT
Cominco Mitra Perkasa, PT
Vhipa Mulia Pratama, PT
Petrocom Nusa Synergy, PT</v>
          </cell>
          <cell r="W269" t="str">
            <v>12 of 12</v>
          </cell>
          <cell r="X269" t="str">
            <v>4 of 12</v>
          </cell>
          <cell r="Y269">
            <v>45321</v>
          </cell>
          <cell r="Z269">
            <v>45328</v>
          </cell>
          <cell r="AC269" t="str">
            <v xml:space="preserve"> of </v>
          </cell>
          <cell r="AD269" t="str">
            <v xml:space="preserve"> of </v>
          </cell>
          <cell r="AF269" t="str">
            <v/>
          </cell>
          <cell r="AI269" t="str">
            <v xml:space="preserve"> of </v>
          </cell>
          <cell r="AJ269" t="str">
            <v xml:space="preserve"> of </v>
          </cell>
          <cell r="AL269" t="str">
            <v/>
          </cell>
          <cell r="AM269">
            <v>0.70833333333333337</v>
          </cell>
          <cell r="AN269" t="str">
            <v>Suprabakti Mandiri, PT</v>
          </cell>
          <cell r="AO269" t="str">
            <v>han@beltcare.com; sucinto@beltcare.com</v>
          </cell>
          <cell r="AP269" t="str">
            <v>PO24000092</v>
          </cell>
          <cell r="AQ269">
            <v>2830000</v>
          </cell>
          <cell r="AR269">
            <v>45337</v>
          </cell>
          <cell r="AS269">
            <v>45364</v>
          </cell>
          <cell r="AT269">
            <v>45366</v>
          </cell>
          <cell r="AU269">
            <v>45408</v>
          </cell>
          <cell r="AV269">
            <v>45372</v>
          </cell>
          <cell r="AW269">
            <v>45414</v>
          </cell>
          <cell r="AX269">
            <v>6</v>
          </cell>
          <cell r="AY269">
            <v>45386</v>
          </cell>
          <cell r="AZ269" t="str">
            <v/>
          </cell>
          <cell r="BA269" t="str">
            <v/>
          </cell>
          <cell r="BB269" t="str">
            <v>Late Completed</v>
          </cell>
          <cell r="BC269" t="str">
            <v>PR100008828</v>
          </cell>
        </row>
        <row r="270">
          <cell r="B270" t="str">
            <v>PR100008828 (Line 4)</v>
          </cell>
          <cell r="C270" t="str">
            <v>For Spare Parts Splacing Belt Conveyor CHP</v>
          </cell>
          <cell r="E270" t="str">
            <v>Sentra Tanjung Jaya, CV
Suprabakti Mandiri, PT
Sehati, CV
Cominco Mitra Perkasa, PT
Indo Tehnik Tanjung Tabalong, PT
Vhipa Mulia Pratama, PT
Indoparts, CV
Petrocom Nusa Synergy, PT
Outsourcindo, PT
Perwira Sentra Officindo, PT
Intan Global Sinergi, PT
Venturer Shinta Success, PT</v>
          </cell>
          <cell r="F270" t="str">
            <v>Suprabakti Mandiri, PT
Cominco Mitra Perkasa, PT
Vhipa Mulia Pratama, PT
Petrocom Nusa Synergy, PT</v>
          </cell>
          <cell r="G270" t="str">
            <v>R0
4 of 12
06 Feb 24</v>
          </cell>
          <cell r="H270" t="str">
            <v>BAYU FITRAH DARMAWAN</v>
          </cell>
          <cell r="I270">
            <v>45321</v>
          </cell>
          <cell r="J270" t="str">
            <v>INV</v>
          </cell>
          <cell r="K270" t="str">
            <v>B</v>
          </cell>
          <cell r="L270" t="str">
            <v>BID</v>
          </cell>
          <cell r="M270" t="str">
            <v>0022</v>
          </cell>
          <cell r="N270" t="str">
            <v>RH</v>
          </cell>
          <cell r="O270" t="str">
            <v>robertiagus.haposan@alamtri.com</v>
          </cell>
          <cell r="P270">
            <v>799.48530000000005</v>
          </cell>
          <cell r="Q270">
            <v>12791764.800000001</v>
          </cell>
          <cell r="R270" t="str">
            <v>Completed Sign PO</v>
          </cell>
          <cell r="T270" t="str">
            <v>MSW</v>
          </cell>
          <cell r="U270" t="str">
            <v>Sentra Tanjung Jaya, CV
Suprabakti Mandiri, PT
Sehati, CV
Cominco Mitra Perkasa, PT
Indo Tehnik Tanjung Tabalong, PT
Vhipa Mulia Pratama, PT
Indoparts, CV
Petrocom Nusa Synergy, PT
Outsourcindo, PT
Perwira Sentra Officindo, PT
Intan Global Sinergi, PT
Venturer Shinta Success, PT</v>
          </cell>
          <cell r="V270" t="str">
            <v>Suprabakti Mandiri, PT
Cominco Mitra Perkasa, PT
Vhipa Mulia Pratama, PT
Petrocom Nusa Synergy, PT</v>
          </cell>
          <cell r="W270" t="str">
            <v>12 of 12</v>
          </cell>
          <cell r="X270" t="str">
            <v>4 of 12</v>
          </cell>
          <cell r="Y270">
            <v>45321</v>
          </cell>
          <cell r="Z270">
            <v>45328</v>
          </cell>
          <cell r="AC270" t="str">
            <v xml:space="preserve"> of </v>
          </cell>
          <cell r="AD270" t="str">
            <v xml:space="preserve"> of </v>
          </cell>
          <cell r="AF270" t="str">
            <v/>
          </cell>
          <cell r="AI270" t="str">
            <v xml:space="preserve"> of </v>
          </cell>
          <cell r="AJ270" t="str">
            <v xml:space="preserve"> of </v>
          </cell>
          <cell r="AL270" t="str">
            <v/>
          </cell>
          <cell r="AM270">
            <v>0.70833333333333337</v>
          </cell>
          <cell r="AN270" t="str">
            <v>Cominco Mitra Perkasa, PT</v>
          </cell>
          <cell r="AO270" t="str">
            <v>admin@cominco.co.id; ikhwan.ridho@cominco.co.id</v>
          </cell>
          <cell r="AP270" t="str">
            <v>PO24000107</v>
          </cell>
          <cell r="AQ270">
            <v>19410000</v>
          </cell>
          <cell r="AR270">
            <v>45337</v>
          </cell>
          <cell r="AS270">
            <v>45364</v>
          </cell>
          <cell r="AT270">
            <v>45369</v>
          </cell>
          <cell r="AU270">
            <v>45415</v>
          </cell>
          <cell r="AV270">
            <v>45372</v>
          </cell>
          <cell r="AW270">
            <v>45418</v>
          </cell>
          <cell r="AX270">
            <v>6.5714285714285712</v>
          </cell>
          <cell r="AY270">
            <v>45425</v>
          </cell>
          <cell r="AZ270">
            <v>7</v>
          </cell>
          <cell r="BA270">
            <v>135870</v>
          </cell>
          <cell r="BB270" t="str">
            <v>Late Completed</v>
          </cell>
          <cell r="BC270" t="str">
            <v>PR100008828</v>
          </cell>
        </row>
        <row r="271">
          <cell r="B271" t="str">
            <v>PR100008807</v>
          </cell>
          <cell r="C271" t="str">
            <v>Pressure &amp; Temperature Transmitter,Stock Inventory</v>
          </cell>
          <cell r="D271" t="str">
            <v>Kin Kitra Kencana, PT</v>
          </cell>
          <cell r="E271" t="str">
            <v>Kin Kitra Kencana, PT
Gema Industrial, PT
Gading Mas Utama, PT
ANP Engineering, PT
Elang Mas Indoasia, PT
Stanindo Artha Langgeng, PT
Powerbrain Automasi Energi, PT
Hikmah Jaya Sentosa, PT
Boveri Indonesia, PT</v>
          </cell>
          <cell r="F271" t="str">
            <v>Kin Kitra Kencana, PT
Gema Industrial, PT
Gading Mas Utama, PT
Elang Mas Indoasia, PT
Stanindo Artha Langgeng, PT</v>
          </cell>
          <cell r="G271" t="str">
            <v>R0
5 of 9
06 Feb 24</v>
          </cell>
          <cell r="H271" t="str">
            <v>ARTHUR BRAMIYANA</v>
          </cell>
          <cell r="I271">
            <v>45321</v>
          </cell>
          <cell r="J271" t="str">
            <v>INV</v>
          </cell>
          <cell r="K271" t="str">
            <v>B</v>
          </cell>
          <cell r="L271" t="str">
            <v>BID</v>
          </cell>
          <cell r="M271" t="str">
            <v>0020</v>
          </cell>
          <cell r="N271" t="str">
            <v>RH</v>
          </cell>
          <cell r="O271" t="str">
            <v>robertiagus.haposan@alamtri.com</v>
          </cell>
          <cell r="P271">
            <v>3671.26</v>
          </cell>
          <cell r="Q271">
            <v>58740160</v>
          </cell>
          <cell r="R271" t="str">
            <v>Completed Sign PO</v>
          </cell>
          <cell r="T271" t="str">
            <v>MSW</v>
          </cell>
          <cell r="U271" t="str">
            <v>Kin Kitra Kencana, PT
Gema Industrial, PT
Gading Mas Utama, PT
ANP Engineering, PT
Elang Mas Indoasia, PT
Stanindo Artha Langgeng, PT
Powerbrain Automasi Energi, PT
Hikmah Jaya Sentosa, PT
Boveri Indonesia, PT</v>
          </cell>
          <cell r="V271" t="str">
            <v>Kin Kitra Kencana, PT
Gema Industrial, PT
Gading Mas Utama, PT
Elang Mas Indoasia, PT
Stanindo Artha Langgeng, PT</v>
          </cell>
          <cell r="W271" t="str">
            <v>9 of 9</v>
          </cell>
          <cell r="X271" t="str">
            <v>5 of 9</v>
          </cell>
          <cell r="Y271">
            <v>45321</v>
          </cell>
          <cell r="Z271">
            <v>45328</v>
          </cell>
          <cell r="AC271" t="str">
            <v xml:space="preserve"> of </v>
          </cell>
          <cell r="AD271" t="str">
            <v xml:space="preserve"> of </v>
          </cell>
          <cell r="AF271" t="str">
            <v/>
          </cell>
          <cell r="AI271" t="str">
            <v xml:space="preserve"> of </v>
          </cell>
          <cell r="AJ271" t="str">
            <v xml:space="preserve"> of </v>
          </cell>
          <cell r="AL271" t="str">
            <v/>
          </cell>
          <cell r="AM271">
            <v>0.70833333333333337</v>
          </cell>
          <cell r="AN271" t="str">
            <v>Kin Kitra Kencana, PT</v>
          </cell>
          <cell r="AO271" t="str">
            <v>ptkinkitrakencana@gmail.com; teguhkin999@gmail.com</v>
          </cell>
          <cell r="AP271" t="str">
            <v>PO24000020</v>
          </cell>
          <cell r="AQ271">
            <v>55290000</v>
          </cell>
          <cell r="AR271">
            <v>45329</v>
          </cell>
          <cell r="AS271">
            <v>45338</v>
          </cell>
          <cell r="AT271">
            <v>45338</v>
          </cell>
          <cell r="AU271">
            <v>45457</v>
          </cell>
          <cell r="AV271">
            <v>45343</v>
          </cell>
          <cell r="AW271">
            <v>45462</v>
          </cell>
          <cell r="AX271">
            <v>17</v>
          </cell>
          <cell r="AY271">
            <v>45529</v>
          </cell>
          <cell r="AZ271">
            <v>67</v>
          </cell>
          <cell r="BA271">
            <v>2764500</v>
          </cell>
          <cell r="BB271" t="str">
            <v>Completed</v>
          </cell>
          <cell r="BC271" t="str">
            <v>PR100008807</v>
          </cell>
        </row>
        <row r="272">
          <cell r="B272" t="str">
            <v>PR100008868</v>
          </cell>
          <cell r="C272" t="str">
            <v>Probe pH dan Probe Conductivity  Bulan Januari 2024</v>
          </cell>
          <cell r="D272" t="str">
            <v>Ecolab International Indonesia, PT</v>
          </cell>
          <cell r="E272" t="str">
            <v>Ecolab International Indonesia, PT
Alfa Teknik Mandiri Makmur, PT
Intraparr Nusantara, PT
Alfa Pegasus, PT
Permata Dwitunggal Abadi, PT
Berkat Pratama Teknik, CV
Petrocom Nusa Synergy, PT
Outsourcindo, PT</v>
          </cell>
          <cell r="F272" t="str">
            <v>Ecolab International Indonesia, PT
Intraparr Nusantara, PT
Berkat Pratama Teknik, CV
Petrocom Nusa Synergy, PT</v>
          </cell>
          <cell r="G272" t="str">
            <v>R0
4 of 8
06 Feb 24</v>
          </cell>
          <cell r="H272" t="str">
            <v>DENI SUHENDRA</v>
          </cell>
          <cell r="I272">
            <v>45321</v>
          </cell>
          <cell r="J272" t="str">
            <v>Tech Op</v>
          </cell>
          <cell r="K272" t="str">
            <v>B</v>
          </cell>
          <cell r="L272" t="str">
            <v>BID</v>
          </cell>
          <cell r="M272" t="str">
            <v>0023</v>
          </cell>
          <cell r="N272" t="str">
            <v>RH</v>
          </cell>
          <cell r="O272" t="str">
            <v>robertiagus.haposan@alamtri.com</v>
          </cell>
          <cell r="P272">
            <v>876</v>
          </cell>
          <cell r="Q272">
            <v>14016000</v>
          </cell>
          <cell r="R272" t="str">
            <v>Completed Sign PO</v>
          </cell>
          <cell r="T272" t="str">
            <v>MSW</v>
          </cell>
          <cell r="U272" t="str">
            <v>Ecolab International Indonesia, PT
Alfa Teknik Mandiri Makmur, PT
Intraparr Nusantara, PT
Alfa Pegasus, PT
Permata Dwitunggal Abadi, PT
Berkat Pratama Teknik, CV
Petrocom Nusa Synergy, PT
Outsourcindo, PT</v>
          </cell>
          <cell r="V272" t="str">
            <v>Ecolab International Indonesia, PT
Intraparr Nusantara, PT
Berkat Pratama Teknik, CV
Petrocom Nusa Synergy, PT</v>
          </cell>
          <cell r="W272" t="str">
            <v>8 of 8</v>
          </cell>
          <cell r="X272" t="str">
            <v>4 of 8</v>
          </cell>
          <cell r="Y272">
            <v>45321</v>
          </cell>
          <cell r="Z272">
            <v>45328</v>
          </cell>
          <cell r="AC272" t="str">
            <v xml:space="preserve"> of </v>
          </cell>
          <cell r="AD272" t="str">
            <v xml:space="preserve"> of </v>
          </cell>
          <cell r="AF272" t="str">
            <v/>
          </cell>
          <cell r="AI272" t="str">
            <v xml:space="preserve"> of </v>
          </cell>
          <cell r="AJ272" t="str">
            <v xml:space="preserve"> of </v>
          </cell>
          <cell r="AL272" t="str">
            <v/>
          </cell>
          <cell r="AM272">
            <v>0.70833333333333337</v>
          </cell>
          <cell r="AN272" t="str">
            <v>Intraparr Nusantara, PT</v>
          </cell>
          <cell r="AO272" t="str">
            <v>intraparr@cbn.net.id; intraparr.nusantara@gmail.com</v>
          </cell>
          <cell r="AP272" t="str">
            <v>PO24000011</v>
          </cell>
          <cell r="AQ272">
            <v>13598000</v>
          </cell>
          <cell r="AR272">
            <v>45331</v>
          </cell>
          <cell r="AS272">
            <v>45335</v>
          </cell>
          <cell r="AT272">
            <v>45335</v>
          </cell>
          <cell r="AU272">
            <v>45429</v>
          </cell>
          <cell r="AV272">
            <v>45341</v>
          </cell>
          <cell r="AW272">
            <v>45435</v>
          </cell>
          <cell r="AX272">
            <v>13.428571428571429</v>
          </cell>
          <cell r="AY272">
            <v>45369</v>
          </cell>
          <cell r="AZ272" t="str">
            <v/>
          </cell>
          <cell r="BA272" t="str">
            <v/>
          </cell>
          <cell r="BB272" t="str">
            <v>Completed</v>
          </cell>
          <cell r="BC272" t="str">
            <v>PR100008868</v>
          </cell>
        </row>
        <row r="273">
          <cell r="B273" t="str">
            <v>PR100008826</v>
          </cell>
          <cell r="C273" t="str">
            <v>For Shoot Blower Packing Set Mechanical</v>
          </cell>
          <cell r="D273" t="str">
            <v>Aqpa Indonesia, PT</v>
          </cell>
          <cell r="E273" t="str">
            <v>Aqpa Indonesia, PT
Eagleburgmann Indonesia, PT
Kin Kitra Kencana, PT
Loka Manggala, PT
Cahaya Murni, CV
Outsourcindo, PT
Dwijaya Sentral Sarana, PT</v>
          </cell>
          <cell r="F273" t="str">
            <v>Aqpa Indonesia, PT</v>
          </cell>
          <cell r="G273" t="str">
            <v>R2
1 of 7
23 Feb 24</v>
          </cell>
          <cell r="H273" t="str">
            <v>BAYU FITRAH DARMAWAN</v>
          </cell>
          <cell r="I273">
            <v>45321</v>
          </cell>
          <cell r="J273" t="str">
            <v>INV</v>
          </cell>
          <cell r="K273" t="str">
            <v>B</v>
          </cell>
          <cell r="L273" t="str">
            <v>BID</v>
          </cell>
          <cell r="M273" t="str">
            <v>0021</v>
          </cell>
          <cell r="N273" t="str">
            <v>RH</v>
          </cell>
          <cell r="O273" t="str">
            <v>robertiagus.haposan@alamtri.com</v>
          </cell>
          <cell r="P273">
            <v>929.45</v>
          </cell>
          <cell r="Q273">
            <v>14871200</v>
          </cell>
          <cell r="R273" t="str">
            <v>Completed Sign PO</v>
          </cell>
          <cell r="T273" t="str">
            <v>MSW</v>
          </cell>
          <cell r="U273" t="str">
            <v>Aqpa Indonesia, PT
Eagleburgmann Indonesia, PT
Kin Kitra Kencana, PT
Outsourcindo, PT
Cahaya Murni, CV
Indo Tehnik Tanjung Tabalong, PT
Pohon Mas Sejahtera, PT
Petrocom Nusa Synergy, PT</v>
          </cell>
          <cell r="V273" t="str">
            <v>Aqpa Indonesia, PT
Eagleburgmann Indonesia, PT</v>
          </cell>
          <cell r="W273" t="str">
            <v>8 of 8</v>
          </cell>
          <cell r="X273" t="str">
            <v>2 of 8</v>
          </cell>
          <cell r="Y273">
            <v>45321</v>
          </cell>
          <cell r="Z273">
            <v>45328</v>
          </cell>
          <cell r="AA273" t="str">
            <v>Aqpa Indonesia, PT
Eagleburgmann Indonesia, PT
Multitech Industrial Indonesia, PT
Andalan Tiga Berlian, PT
Total Prime Engineering, PT
Yabestindo Mitra Utama, PT
Sinar Gemilang, CV</v>
          </cell>
          <cell r="AB273" t="str">
            <v>Aqpa Indonesia, PT
Eagleburgmann Indonesia, PT</v>
          </cell>
          <cell r="AC273" t="str">
            <v>7 of 7</v>
          </cell>
          <cell r="AD273" t="str">
            <v>2 of 7</v>
          </cell>
          <cell r="AE273">
            <v>45695</v>
          </cell>
          <cell r="AF273">
            <v>45704</v>
          </cell>
          <cell r="AG273" t="str">
            <v>Aqpa Indonesia, PT
Eagleburgmann Indonesia, PT
Kin Kitra Kencana, PT
Loka Manggala, PT
Cahaya Murni, CV
Outsourcindo, PT
Dwijaya Sentral Sarana, PT</v>
          </cell>
          <cell r="AH273" t="str">
            <v>Aqpa Indonesia, PT</v>
          </cell>
          <cell r="AI273" t="str">
            <v>7 of 7</v>
          </cell>
          <cell r="AJ273" t="str">
            <v>1 of 7</v>
          </cell>
          <cell r="AK273">
            <v>45342</v>
          </cell>
          <cell r="AL273">
            <v>45345</v>
          </cell>
          <cell r="AM273">
            <v>0.70833333333333337</v>
          </cell>
          <cell r="AN273" t="str">
            <v>Aqpa Indonesia, PT</v>
          </cell>
          <cell r="AO273" t="str">
            <v>azhar@aqpa-indonesia.com</v>
          </cell>
          <cell r="AP273" t="str">
            <v>PO24000129</v>
          </cell>
          <cell r="AQ273">
            <v>14500000</v>
          </cell>
          <cell r="AR273">
            <v>45348</v>
          </cell>
          <cell r="AS273">
            <v>45376</v>
          </cell>
          <cell r="AT273">
            <v>45376</v>
          </cell>
          <cell r="AU273">
            <v>45422</v>
          </cell>
          <cell r="AV273">
            <v>45377</v>
          </cell>
          <cell r="AW273">
            <v>45423</v>
          </cell>
          <cell r="AX273">
            <v>6.5714285714285712</v>
          </cell>
          <cell r="AY273">
            <v>45385</v>
          </cell>
          <cell r="AZ273" t="str">
            <v/>
          </cell>
          <cell r="BA273" t="str">
            <v/>
          </cell>
          <cell r="BB273" t="str">
            <v>Late Completed</v>
          </cell>
          <cell r="BC273" t="str">
            <v>PR100008826</v>
          </cell>
        </row>
        <row r="274">
          <cell r="B274" t="str">
            <v>PR100008894</v>
          </cell>
          <cell r="C274" t="str">
            <v>Man Power Scaffolder dan Helper Outage Uni-2 Tahun 2024</v>
          </cell>
          <cell r="D274" t="str">
            <v>Sekar Adi Karya, PT</v>
          </cell>
          <cell r="E274" t="str">
            <v>Sekar Adi Karya, PT
Enerta Prima Solusindo, PT
Sagempal Pasir Emas, PT
Berkat Mandiri Utama Tanjung, PT</v>
          </cell>
          <cell r="F274" t="str">
            <v>Sekar Adi Karya, PT
Sagempal Pasir Emas, PT
Berkat Mandiri Utama Tanjung, PT</v>
          </cell>
          <cell r="G274" t="str">
            <v>R1
3 of 4
06 Mar 24</v>
          </cell>
          <cell r="H274" t="str">
            <v>RIDHANI TAUFIQ</v>
          </cell>
          <cell r="I274">
            <v>45334</v>
          </cell>
          <cell r="J274" t="str">
            <v>Tech Main</v>
          </cell>
          <cell r="K274" t="str">
            <v>J</v>
          </cell>
          <cell r="L274" t="str">
            <v>BID</v>
          </cell>
          <cell r="M274" t="str">
            <v>0053</v>
          </cell>
          <cell r="N274" t="str">
            <v>RH</v>
          </cell>
          <cell r="O274" t="str">
            <v>robertiagus.haposan@alamtri.com</v>
          </cell>
          <cell r="P274">
            <v>16667</v>
          </cell>
          <cell r="Q274">
            <v>266672000</v>
          </cell>
          <cell r="R274" t="str">
            <v>Completed Sign PO</v>
          </cell>
          <cell r="T274" t="str">
            <v>MSW</v>
          </cell>
          <cell r="U274" t="str">
            <v>Sekar Adi Karya, PT
Berkat Mandiri Utama Tanjung, PT
Kalindo Prima Tara, PT
Batu Timur Permai, PT
Enerta Prima Solusindo, PT</v>
          </cell>
          <cell r="V274" t="str">
            <v>Sekar Adi Karya, PT
Enerta Prima Solusindo, PT</v>
          </cell>
          <cell r="W274" t="str">
            <v>5 of 5</v>
          </cell>
          <cell r="X274" t="str">
            <v>2 of 5</v>
          </cell>
          <cell r="Y274">
            <v>45343</v>
          </cell>
          <cell r="Z274">
            <v>45350</v>
          </cell>
          <cell r="AA274" t="str">
            <v>Sekar Adi Karya, PT
Enerta Prima Solusindo, PT
Sagempal Pasir Emas, PT
Berkat Mandiri Utama Tanjung, PT</v>
          </cell>
          <cell r="AB274" t="str">
            <v>Sekar Adi Karya, PT
Sagempal Pasir Emas, PT
Berkat Mandiri Utama Tanjung, PT</v>
          </cell>
          <cell r="AC274" t="str">
            <v>4 of 4</v>
          </cell>
          <cell r="AD274" t="str">
            <v>3 of 4</v>
          </cell>
          <cell r="AE274">
            <v>45352</v>
          </cell>
          <cell r="AF274">
            <v>45357</v>
          </cell>
          <cell r="AI274" t="str">
            <v xml:space="preserve"> of </v>
          </cell>
          <cell r="AJ274" t="str">
            <v xml:space="preserve"> of </v>
          </cell>
          <cell r="AL274" t="str">
            <v/>
          </cell>
          <cell r="AM274">
            <v>0.70833333333333337</v>
          </cell>
          <cell r="AN274" t="str">
            <v>Sekar Adi Karya, PT</v>
          </cell>
          <cell r="AO274" t="str">
            <v>cv.sak16@yahoo.co.id; admhr1.sak@gmail.com</v>
          </cell>
          <cell r="AP274" t="str">
            <v>PO24000101</v>
          </cell>
          <cell r="AQ274">
            <v>145860000</v>
          </cell>
          <cell r="AR274">
            <v>45364</v>
          </cell>
          <cell r="AS274">
            <v>45366</v>
          </cell>
          <cell r="AT274">
            <v>45366</v>
          </cell>
          <cell r="AU274">
            <v>45443</v>
          </cell>
          <cell r="AV274">
            <v>45366</v>
          </cell>
          <cell r="AW274">
            <v>45443</v>
          </cell>
          <cell r="AX274">
            <v>11</v>
          </cell>
          <cell r="AY274">
            <v>45478</v>
          </cell>
          <cell r="AZ274">
            <v>35</v>
          </cell>
          <cell r="BA274">
            <v>7293000</v>
          </cell>
          <cell r="BB274" t="str">
            <v>Late Completed</v>
          </cell>
          <cell r="BC274" t="str">
            <v>PR100008894</v>
          </cell>
        </row>
        <row r="275">
          <cell r="B275" t="str">
            <v>PR100008891</v>
          </cell>
          <cell r="C275" t="str">
            <v>Filter PERKINS  Stock INVentory</v>
          </cell>
          <cell r="D275" t="str">
            <v>Trakindo Utama, PT (Tanjung)
Bima Kaltim Utama, PT</v>
          </cell>
          <cell r="E275" t="str">
            <v>Trakindo Utama, PT (Tanjung)
Bima Kaltim Utama, PT
Berkat Pratama Teknik, CV
Vhipa Mulia Pratama, PT
Blessindo Prima Sarana, PT
Global Energitama, PT
Perwira Sentra Officindo, PT
Anugrah Mandiri Putra Tabalong, PT
Alfa Teknik Mandiri Makmur, PT
Petrocom Nusa Synergy, PT
Panja Utama, PT</v>
          </cell>
          <cell r="F275" t="str">
            <v>Trakindo Utama, PT (Tanjung)
Bima Kaltim Utama, PT
Berkat Pratama Teknik, CV
Vhipa Mulia Pratama, PT
Blessindo Prima Sarana, PT
Perwira Sentra Officindo, PT
Anugrah Mandiri Putra Tabalong, PT
Alfa Teknik Mandiri Makmur, PT
Petrocom Nusa Synergy, PT
Panja Utama, PT</v>
          </cell>
          <cell r="G275" t="str">
            <v>R0
10 of 11
22 Feb 24</v>
          </cell>
          <cell r="H275" t="str">
            <v>ARTHUR BRAMIYANA</v>
          </cell>
          <cell r="I275">
            <v>45335</v>
          </cell>
          <cell r="J275" t="str">
            <v>INV</v>
          </cell>
          <cell r="K275" t="str">
            <v>B</v>
          </cell>
          <cell r="L275" t="str">
            <v>BID</v>
          </cell>
          <cell r="M275" t="str">
            <v>0047</v>
          </cell>
          <cell r="N275" t="str">
            <v>RH</v>
          </cell>
          <cell r="O275" t="str">
            <v>robertiagus.haposan@alamtri.com</v>
          </cell>
          <cell r="P275">
            <v>761.55060000000003</v>
          </cell>
          <cell r="Q275">
            <v>12184809.6</v>
          </cell>
          <cell r="R275" t="str">
            <v>Completed Sign PO</v>
          </cell>
          <cell r="T275" t="str">
            <v>MSW</v>
          </cell>
          <cell r="U275" t="str">
            <v>Trakindo Utama, PT (Tanjung)
Bima Kaltim Utama, PT
Berkat Pratama Teknik, CV
Vhipa Mulia Pratama, PT
Blessindo Prima Sarana, PT
Global Energitama, PT
Perwira Sentra Officindo, PT
Anugrah Mandiri Putra Tabalong, PT
Alfa Teknik Mandiri Makmur, PT
Petrocom Nusa Synergy, PT
Panja Utama, PT</v>
          </cell>
          <cell r="V275" t="str">
            <v>Trakindo Utama, PT (Tanjung)
Bima Kaltim Utama, PT
Berkat Pratama Teknik, CV
Vhipa Mulia Pratama, PT
Blessindo Prima Sarana, PT
Perwira Sentra Officindo, PT
Anugrah Mandiri Putra Tabalong, PT
Alfa Teknik Mandiri Makmur, PT
Petrocom Nusa Synergy, PT
Panja Utama, PT</v>
          </cell>
          <cell r="W275" t="str">
            <v>11 of 11</v>
          </cell>
          <cell r="X275" t="str">
            <v>10 of 11</v>
          </cell>
          <cell r="Y275">
            <v>45338</v>
          </cell>
          <cell r="Z275">
            <v>45344</v>
          </cell>
          <cell r="AC275" t="str">
            <v xml:space="preserve"> of </v>
          </cell>
          <cell r="AD275" t="str">
            <v xml:space="preserve"> of </v>
          </cell>
          <cell r="AF275" t="str">
            <v/>
          </cell>
          <cell r="AI275" t="str">
            <v xml:space="preserve"> of </v>
          </cell>
          <cell r="AJ275" t="str">
            <v xml:space="preserve"> of </v>
          </cell>
          <cell r="AL275" t="str">
            <v/>
          </cell>
          <cell r="AM275">
            <v>0.70833333333333337</v>
          </cell>
          <cell r="AN275" t="str">
            <v>Bima Kaltim Utama, PT</v>
          </cell>
          <cell r="AO275" t="str">
            <v>rera.bimakaltim@yahoo.com; albert.bimautama@yahoo.com; rya_bimakaltim@yahoo.com</v>
          </cell>
          <cell r="AP275" t="str">
            <v>PO24000106</v>
          </cell>
          <cell r="AQ275">
            <v>9660000</v>
          </cell>
          <cell r="AR275">
            <v>45345</v>
          </cell>
          <cell r="AS275">
            <v>45369</v>
          </cell>
          <cell r="AT275">
            <v>45369</v>
          </cell>
          <cell r="AU275">
            <v>45387</v>
          </cell>
          <cell r="AV275">
            <v>45372</v>
          </cell>
          <cell r="AW275">
            <v>45390</v>
          </cell>
          <cell r="AX275">
            <v>2.5714285714285716</v>
          </cell>
          <cell r="AY275">
            <v>45377</v>
          </cell>
          <cell r="AZ275" t="str">
            <v/>
          </cell>
          <cell r="BA275" t="str">
            <v/>
          </cell>
          <cell r="BB275" t="str">
            <v>Late Completed</v>
          </cell>
          <cell r="BC275" t="str">
            <v>PR100008891</v>
          </cell>
        </row>
        <row r="276">
          <cell r="B276" t="str">
            <v>PR100007518</v>
          </cell>
          <cell r="C276" t="str">
            <v>Spare Part Lift Elevator for WO10592855</v>
          </cell>
          <cell r="E276" t="str">
            <v>Sakura Elevator Indonesia Corp, PT
Thyssenkrupp Technologies Indonesia, PT
Louserindo Megah Permai, PT
Pelita Mutiara Indah, PT</v>
          </cell>
          <cell r="F276" t="str">
            <v>Sakura Elevator Indonesia Corp, PT
Thyssenkrupp Technologies Indonesia, PT</v>
          </cell>
          <cell r="G276" t="str">
            <v>R2
2 of 4
22 Mar 24</v>
          </cell>
          <cell r="H276" t="str">
            <v>DEDE SUDARJI</v>
          </cell>
          <cell r="I276">
            <v>45335</v>
          </cell>
          <cell r="J276" t="str">
            <v>Tech Main</v>
          </cell>
          <cell r="K276" t="str">
            <v>B</v>
          </cell>
          <cell r="L276" t="str">
            <v>BID</v>
          </cell>
          <cell r="M276" t="str">
            <v>0044</v>
          </cell>
          <cell r="N276" t="str">
            <v>RH</v>
          </cell>
          <cell r="O276" t="str">
            <v>robertiagus.haposan@alamtri.com</v>
          </cell>
          <cell r="P276">
            <v>1467</v>
          </cell>
          <cell r="Q276">
            <v>23472000</v>
          </cell>
          <cell r="R276" t="str">
            <v>Completed Sign PO</v>
          </cell>
          <cell r="T276" t="str">
            <v>MSW</v>
          </cell>
          <cell r="U276" t="str">
            <v>Dwiandra Cipta Anugerah, PT
Sakura Elevator Indonesia Corp, PT
Wutama Mitra Niaga, CV
Louserindo Megah Permai, PT
Jaya Kencana, PT
Pelita Mutiara Indah, PT</v>
          </cell>
          <cell r="V276" t="str">
            <v>None</v>
          </cell>
          <cell r="W276" t="str">
            <v>6 of 6</v>
          </cell>
          <cell r="X276" t="str">
            <v>1 of 6</v>
          </cell>
          <cell r="Y276">
            <v>45338</v>
          </cell>
          <cell r="Z276">
            <v>45343</v>
          </cell>
          <cell r="AA276" t="str">
            <v>Sakura Elevator Indonesia Corp, PT
Dwiandra Cipta Anugerah, PT
Kone, PT
Nikisae Torindo Perdana, PT
Arasindo Inti Global, PT</v>
          </cell>
          <cell r="AB276" t="str">
            <v>None</v>
          </cell>
          <cell r="AC276" t="str">
            <v>5 of 5</v>
          </cell>
          <cell r="AD276" t="str">
            <v>1 of 5</v>
          </cell>
          <cell r="AE276">
            <v>45350</v>
          </cell>
          <cell r="AF276">
            <v>45357</v>
          </cell>
          <cell r="AG276" t="str">
            <v>Sakura Elevator Indonesia Corp, PT
Thyssenkrupp Technologies Indonesia, PT
Louserindo Megah Permai, PT
Pelita Mutiara Indah, PT</v>
          </cell>
          <cell r="AH276" t="str">
            <v>Sakura Elevator Indonesia Corp, PT
Thyssenkrupp Technologies Indonesia, PT</v>
          </cell>
          <cell r="AI276" t="str">
            <v>4 of 4</v>
          </cell>
          <cell r="AJ276" t="str">
            <v>2 of 4</v>
          </cell>
          <cell r="AK276">
            <v>45370</v>
          </cell>
          <cell r="AL276">
            <v>45373</v>
          </cell>
          <cell r="AM276">
            <v>0.70833333333333337</v>
          </cell>
          <cell r="AN276" t="str">
            <v>Sakura Elevator Indonesia Corp, PT</v>
          </cell>
          <cell r="AO276" t="str">
            <v>indra.d.w.idw@gmail.com; sales1@sakuraelevator.co.id</v>
          </cell>
          <cell r="AP276" t="str">
            <v>PO24000176</v>
          </cell>
          <cell r="AQ276">
            <v>52580000</v>
          </cell>
          <cell r="AR276">
            <v>45384</v>
          </cell>
          <cell r="AS276">
            <v>45403</v>
          </cell>
          <cell r="AT276">
            <v>45405</v>
          </cell>
          <cell r="AU276">
            <v>45450</v>
          </cell>
          <cell r="AV276">
            <v>45406</v>
          </cell>
          <cell r="AW276">
            <v>45451</v>
          </cell>
          <cell r="AX276">
            <v>6.4285714285714288</v>
          </cell>
          <cell r="AY276">
            <v>45561</v>
          </cell>
          <cell r="AZ276">
            <v>110</v>
          </cell>
          <cell r="BA276">
            <v>2629000</v>
          </cell>
          <cell r="BB276" t="str">
            <v>Late Completed</v>
          </cell>
          <cell r="BC276" t="str">
            <v>PR100007518</v>
          </cell>
        </row>
        <row r="277">
          <cell r="B277" t="str">
            <v>PR100008924</v>
          </cell>
          <cell r="C277" t="str">
            <v>ebm-papst fan blower  For Fan Panel WTP Stock INVentory</v>
          </cell>
          <cell r="D277" t="str">
            <v>Gridtech Indonesia, PT</v>
          </cell>
          <cell r="E277" t="str">
            <v>Gridtech Indonesia, PT
Gema Industrial, PT
Alfa Teknik Mandiri Makmur, PT
Borneo Maju Jaya, PT
Putra Andalan Perkasa, PT
Greentek Elektrikal Indonesia, PT
Citra Wahana Sekar Buana, PT
Petrocom Nusa Synergy, PT
Prima Saftindo Elektrika, PT
Outsourcindo, PT</v>
          </cell>
          <cell r="F277" t="str">
            <v>Gema Industrial, PT
Alfa Teknik Mandiri Makmur, PT
Greentek Elektrikal Indonesia, PT
Prima Saftindo Elektrika, PT</v>
          </cell>
          <cell r="G277" t="str">
            <v>R0
4 of 10
22 Feb 24</v>
          </cell>
          <cell r="H277" t="str">
            <v>ARTHUR BRAMIYANA</v>
          </cell>
          <cell r="I277">
            <v>45335</v>
          </cell>
          <cell r="J277" t="str">
            <v>INV</v>
          </cell>
          <cell r="K277" t="str">
            <v>B</v>
          </cell>
          <cell r="L277" t="str">
            <v>BID</v>
          </cell>
          <cell r="M277" t="str">
            <v>0049</v>
          </cell>
          <cell r="N277" t="str">
            <v>RH</v>
          </cell>
          <cell r="O277" t="str">
            <v>robertiagus.haposan@alamtri.com</v>
          </cell>
          <cell r="P277">
            <v>731.53800000000001</v>
          </cell>
          <cell r="Q277">
            <v>11704608</v>
          </cell>
          <cell r="R277" t="str">
            <v>Completed Sign PO</v>
          </cell>
          <cell r="T277" t="str">
            <v>MSW</v>
          </cell>
          <cell r="U277" t="str">
            <v>Gridtech Indonesia, PT
Gema Industrial, PT
Alfa Teknik Mandiri Makmur, PT
Borneo Maju Jaya, PT
Putra Andalan Perkasa, PT
Greentek Elektrikal Indonesia, PT
Citra Wahana Sekar Buana, PT
Petrocom Nusa Synergy, PT
Prima Saftindo Elektrika, PT
Outsourcindo, PT</v>
          </cell>
          <cell r="V277" t="str">
            <v>Gema Industrial, PT
Alfa Teknik Mandiri Makmur, PT
Greentek Elektrikal Indonesia, PT
Prima Saftindo Elektrika, PT</v>
          </cell>
          <cell r="W277" t="str">
            <v>10 of 10</v>
          </cell>
          <cell r="X277" t="str">
            <v>4 of 10</v>
          </cell>
          <cell r="Y277">
            <v>45338</v>
          </cell>
          <cell r="Z277">
            <v>45344</v>
          </cell>
          <cell r="AC277" t="str">
            <v xml:space="preserve"> of </v>
          </cell>
          <cell r="AD277" t="str">
            <v xml:space="preserve"> of </v>
          </cell>
          <cell r="AF277" t="str">
            <v/>
          </cell>
          <cell r="AI277" t="str">
            <v xml:space="preserve"> of </v>
          </cell>
          <cell r="AJ277" t="str">
            <v xml:space="preserve"> of </v>
          </cell>
          <cell r="AL277" t="str">
            <v/>
          </cell>
          <cell r="AM277">
            <v>0.70833333333333337</v>
          </cell>
          <cell r="AN277" t="str">
            <v>Gema Industrial, PT</v>
          </cell>
          <cell r="AO277" t="str">
            <v>marketing@gema-industrial.com</v>
          </cell>
          <cell r="AP277" t="str">
            <v>PO24000091</v>
          </cell>
          <cell r="AQ277">
            <v>6850500</v>
          </cell>
          <cell r="AR277">
            <v>45345</v>
          </cell>
          <cell r="AS277">
            <v>45364</v>
          </cell>
          <cell r="AT277">
            <v>45365</v>
          </cell>
          <cell r="AU277">
            <v>45429</v>
          </cell>
          <cell r="AV277">
            <v>45366</v>
          </cell>
          <cell r="AW277">
            <v>45430</v>
          </cell>
          <cell r="AX277">
            <v>9.1428571428571423</v>
          </cell>
          <cell r="AY277">
            <v>45390</v>
          </cell>
          <cell r="AZ277" t="str">
            <v/>
          </cell>
          <cell r="BA277" t="str">
            <v/>
          </cell>
          <cell r="BB277" t="str">
            <v>Completed</v>
          </cell>
          <cell r="BC277" t="str">
            <v>PR100008924</v>
          </cell>
        </row>
        <row r="278">
          <cell r="B278" t="str">
            <v>PR100008867</v>
          </cell>
          <cell r="C278" t="str">
            <v>PRESSURE TRANSMITTER 4.0 - 400 bar SIEMENS Stock INVentory</v>
          </cell>
          <cell r="E278" t="str">
            <v>Gading Mas Utama, PT
Rande Buana Teknik, PT
Antares Jaya Gemilang Prima, PT
Buana Cahayatama, PT
Berkat Amira, CV
Kin Kitra Kencana, PT
Gema Industrial, PT
ANP Engineering, PT
Vertech Perdana, PT
Gevana, PT
Viktori Profindo Automation, PT
Simenteknindo, PT
Panca Global Solusindo, PT</v>
          </cell>
          <cell r="F278" t="str">
            <v>Gading Mas Utama, PT
Rande Buana Teknik, PT
Buana Cahayatama, PT
Gema Industrial, PT
Vertech Perdana, PT
Panca Global Solusindo, PT</v>
          </cell>
          <cell r="G278" t="str">
            <v>R0
6 of 13
23 Feb 24</v>
          </cell>
          <cell r="H278" t="str">
            <v>ARTHUR BRAMIYANA</v>
          </cell>
          <cell r="I278">
            <v>45341</v>
          </cell>
          <cell r="J278" t="str">
            <v>INV</v>
          </cell>
          <cell r="K278" t="str">
            <v>B</v>
          </cell>
          <cell r="L278" t="str">
            <v>BID</v>
          </cell>
          <cell r="M278" t="str">
            <v>0046</v>
          </cell>
          <cell r="N278" t="str">
            <v>RH</v>
          </cell>
          <cell r="O278" t="str">
            <v>robertiagus.haposan@alamtri.com</v>
          </cell>
          <cell r="P278">
            <v>861.3</v>
          </cell>
          <cell r="Q278">
            <v>13780800</v>
          </cell>
          <cell r="R278" t="str">
            <v>Completed Sign PO</v>
          </cell>
          <cell r="T278" t="str">
            <v>MSW</v>
          </cell>
          <cell r="U278" t="str">
            <v>Gading Mas Utama, PT
Rande Buana Teknik, PT
Antares Jaya Gemilang Prima, PT
Buana Cahayatama, PT
Berkat Amira, CV
Kin Kitra Kencana, PT
Gema Industrial, PT
ANP Engineering, PT
Vertech Perdana, PT
Gevana, PT
Viktori Profindo Automation, PT
Simenteknindo, PT
Panca Global Solusindo, PT</v>
          </cell>
          <cell r="V278" t="str">
            <v>Gading Mas Utama, PT
Rande Buana Teknik, PT
Buana Cahayatama, PT
Gema Industrial, PT
Vertech Perdana, PT
Panca Global Solusindo, PT</v>
          </cell>
          <cell r="W278" t="str">
            <v>13 of 13</v>
          </cell>
          <cell r="X278" t="str">
            <v>6 of 13</v>
          </cell>
          <cell r="Y278">
            <v>45338</v>
          </cell>
          <cell r="Z278">
            <v>45345</v>
          </cell>
          <cell r="AC278" t="str">
            <v xml:space="preserve"> of </v>
          </cell>
          <cell r="AD278" t="str">
            <v xml:space="preserve"> of </v>
          </cell>
          <cell r="AF278" t="str">
            <v/>
          </cell>
          <cell r="AI278" t="str">
            <v xml:space="preserve"> of </v>
          </cell>
          <cell r="AJ278" t="str">
            <v xml:space="preserve"> of </v>
          </cell>
          <cell r="AL278" t="str">
            <v/>
          </cell>
          <cell r="AM278">
            <v>0.70833333333333337</v>
          </cell>
          <cell r="AN278" t="str">
            <v>Gading Mas Utama, PT</v>
          </cell>
          <cell r="AO278" t="str">
            <v>sales@gmu.co.id; marta.l@cbn.net.id</v>
          </cell>
          <cell r="AP278" t="str">
            <v>PO24000128</v>
          </cell>
          <cell r="AQ278">
            <v>21981000</v>
          </cell>
          <cell r="AR278">
            <v>45348</v>
          </cell>
          <cell r="AS278">
            <v>45376</v>
          </cell>
          <cell r="AT278">
            <v>45376</v>
          </cell>
          <cell r="AU278">
            <v>45583</v>
          </cell>
          <cell r="AV278">
            <v>45377</v>
          </cell>
          <cell r="AW278">
            <v>45584</v>
          </cell>
          <cell r="AX278">
            <v>29.571428571428573</v>
          </cell>
          <cell r="AY278">
            <v>45458</v>
          </cell>
          <cell r="AZ278" t="str">
            <v/>
          </cell>
          <cell r="BA278" t="str">
            <v/>
          </cell>
          <cell r="BB278" t="str">
            <v>Late Completed</v>
          </cell>
          <cell r="BC278" t="str">
            <v>PR100008867</v>
          </cell>
        </row>
        <row r="279">
          <cell r="B279" t="str">
            <v>PR100008922</v>
          </cell>
          <cell r="C279" t="str">
            <v>Pneumatic Cylinders Valve Actuator Stock INVentory</v>
          </cell>
          <cell r="D279" t="str">
            <v>Casa Terra Mandiri Indonesia, PT</v>
          </cell>
          <cell r="E279" t="str">
            <v>Casa Terra Mandiri Indonesia, PT
Greentek Elektrikal Indonesia, PT
Vhipa Mulia Pratama, PT
Gema Industrial, PT
Perwira Sentra Officindo, PT
Raja Listrik Indonesia, PT
Alfa Teknik Mandiri Makmur, PT</v>
          </cell>
          <cell r="F279" t="str">
            <v>Casa Terra Mandiri Indonesia, PT
Greentek Elektrikal Indonesia, PT
Gema Industrial, PT
Perwira Sentra Officindo, PT
Alfa Teknik Mandiri Makmur, PT</v>
          </cell>
          <cell r="G279" t="str">
            <v>R0
5 of 7
23 Feb 24</v>
          </cell>
          <cell r="H279" t="str">
            <v>ARTHUR BRAMIYANA</v>
          </cell>
          <cell r="I279">
            <v>45335</v>
          </cell>
          <cell r="J279" t="str">
            <v>INV</v>
          </cell>
          <cell r="K279" t="str">
            <v>B</v>
          </cell>
          <cell r="L279" t="str">
            <v>BID</v>
          </cell>
          <cell r="M279" t="str">
            <v>0048</v>
          </cell>
          <cell r="N279" t="str">
            <v>RH</v>
          </cell>
          <cell r="O279" t="str">
            <v>robertiagus.haposan@alamtri.com</v>
          </cell>
          <cell r="P279">
            <v>609.99959999999999</v>
          </cell>
          <cell r="Q279">
            <v>9759993.5999999996</v>
          </cell>
          <cell r="R279" t="str">
            <v>Completed Sign PO</v>
          </cell>
          <cell r="T279" t="str">
            <v>MSW</v>
          </cell>
          <cell r="U279" t="str">
            <v>Casa Terra Mandiri Indonesia, PT
Greentek Elektrikal Indonesia, PT
Vhipa Mulia Pratama, PT
Gema Industrial, PT
Perwira Sentra Officindo, PT
Raja Listrik Indonesia, PT
Alfa Teknik Mandiri Makmur, PT</v>
          </cell>
          <cell r="V279" t="str">
            <v>Casa Terra Mandiri Indonesia, PT
Greentek Elektrikal Indonesia, PT
Gema Industrial, PT
Perwira Sentra Officindo, PT
Alfa Teknik Mandiri Makmur, PT</v>
          </cell>
          <cell r="W279" t="str">
            <v>7 of 7</v>
          </cell>
          <cell r="X279" t="str">
            <v>5 of 7</v>
          </cell>
          <cell r="Y279">
            <v>45338</v>
          </cell>
          <cell r="Z279">
            <v>45345</v>
          </cell>
          <cell r="AC279" t="str">
            <v xml:space="preserve"> of </v>
          </cell>
          <cell r="AD279" t="str">
            <v xml:space="preserve"> of </v>
          </cell>
          <cell r="AF279" t="str">
            <v/>
          </cell>
          <cell r="AI279" t="str">
            <v xml:space="preserve"> of </v>
          </cell>
          <cell r="AJ279" t="str">
            <v xml:space="preserve"> of </v>
          </cell>
          <cell r="AL279" t="str">
            <v/>
          </cell>
          <cell r="AM279">
            <v>0.70833333333333337</v>
          </cell>
          <cell r="AN279" t="str">
            <v>Casa Terra Mandiri Indonesia, PT</v>
          </cell>
          <cell r="AO279" t="str">
            <v>contactus.casa@gmail.com</v>
          </cell>
          <cell r="AP279" t="str">
            <v>PO24000074</v>
          </cell>
          <cell r="AQ279">
            <v>9220000</v>
          </cell>
          <cell r="AR279">
            <v>45352</v>
          </cell>
          <cell r="AS279">
            <v>45358</v>
          </cell>
          <cell r="AT279">
            <v>45358</v>
          </cell>
          <cell r="AU279">
            <v>45415</v>
          </cell>
          <cell r="AV279">
            <v>45359</v>
          </cell>
          <cell r="AW279">
            <v>45416</v>
          </cell>
          <cell r="AX279">
            <v>8.1428571428571423</v>
          </cell>
          <cell r="AY279">
            <v>45432</v>
          </cell>
          <cell r="AZ279">
            <v>16</v>
          </cell>
          <cell r="BA279">
            <v>276600</v>
          </cell>
          <cell r="BB279" t="str">
            <v>Completed</v>
          </cell>
          <cell r="BC279" t="str">
            <v>PR100008922</v>
          </cell>
        </row>
        <row r="280">
          <cell r="B280" t="str">
            <v>PR100008875</v>
          </cell>
          <cell r="C280" t="str">
            <v>Sparepart for ACB Trip Earthfault CSS &amp; grounding rod for electrifikasi</v>
          </cell>
          <cell r="D280" t="str">
            <v>Sola Anugerah Oilfield, PT</v>
          </cell>
          <cell r="E280" t="str">
            <v>Sola Anugerah Oilfield, PT
Borneo Maju Jaya, PT
Alfa Teknik Mandiri Makmur, PT
Perwira Sentra Officindo, PT
Greentek Elektrikal Indonesia, PT
Antares Jaya Gemilang Prima, PT
Ganesha Wirya Pratama, PT
Gema Industrial, PT
Indoteknik Dotcom Gemilang,  PT
Spektrum Krisindo Elektrika, PT</v>
          </cell>
          <cell r="F280" t="str">
            <v>Sola Anugerah Oilfield, PT
Alfa Teknik Mandiri Makmur, PT
Perwira Sentra Officindo, PT
Greentek Elektrikal Indonesia, PT</v>
          </cell>
          <cell r="G280" t="str">
            <v>R0
4 of 10
04 Mar 24</v>
          </cell>
          <cell r="H280" t="str">
            <v>GUNARA FERY FAHNANI</v>
          </cell>
          <cell r="I280">
            <v>45342</v>
          </cell>
          <cell r="J280" t="str">
            <v>Tech Main</v>
          </cell>
          <cell r="K280" t="str">
            <v>B</v>
          </cell>
          <cell r="L280" t="str">
            <v>BID</v>
          </cell>
          <cell r="M280" t="str">
            <v>0054</v>
          </cell>
          <cell r="N280" t="str">
            <v>RH</v>
          </cell>
          <cell r="O280" t="str">
            <v>robertiagus.haposan@alamtri.com</v>
          </cell>
          <cell r="P280">
            <v>1975</v>
          </cell>
          <cell r="Q280">
            <v>31600000</v>
          </cell>
          <cell r="R280" t="str">
            <v>Completed Sign PO</v>
          </cell>
          <cell r="T280" t="str">
            <v>MSW</v>
          </cell>
          <cell r="U280" t="str">
            <v>Sola Anugerah Oilfield, PT
Borneo Maju Jaya, PT
Alfa Teknik Mandiri Makmur, PT
Perwira Sentra Officindo, PT
Greentek Elektrikal Indonesia, PT
Antares Jaya Gemilang Prima, PT
Ganesha Wirya Pratama, PT
Gema Industrial, PT
Indoteknik Dotcom Gemilang,  PT
Spektrum Krisindo Elektrika, PT</v>
          </cell>
          <cell r="V280" t="str">
            <v>Sola Anugerah Oilfield, PT
Alfa Teknik Mandiri Makmur, PT
Perwira Sentra Officindo, PT
Greentek Elektrikal Indonesia, PT</v>
          </cell>
          <cell r="W280" t="str">
            <v>10 of 10</v>
          </cell>
          <cell r="X280" t="str">
            <v>4 of 10</v>
          </cell>
          <cell r="Y280">
            <v>45349</v>
          </cell>
          <cell r="Z280">
            <v>45355</v>
          </cell>
          <cell r="AC280" t="str">
            <v xml:space="preserve"> of </v>
          </cell>
          <cell r="AD280" t="str">
            <v xml:space="preserve"> of </v>
          </cell>
          <cell r="AF280" t="str">
            <v/>
          </cell>
          <cell r="AI280" t="str">
            <v xml:space="preserve"> of </v>
          </cell>
          <cell r="AJ280" t="str">
            <v xml:space="preserve"> of </v>
          </cell>
          <cell r="AL280" t="str">
            <v/>
          </cell>
          <cell r="AM280">
            <v>0.70833333333333337</v>
          </cell>
          <cell r="AN280" t="str">
            <v>Sola Anugerah Oilfield, PT</v>
          </cell>
          <cell r="AO280" t="str">
            <v>mgr3@sola-oilfield.com;
sales3@sola-oilfield.com; admsolaanugerah@gmail.com; sales6@sola-oilfield.com</v>
          </cell>
          <cell r="AP280" t="str">
            <v>PO24000121</v>
          </cell>
          <cell r="AQ280">
            <v>30960000</v>
          </cell>
          <cell r="AR280">
            <v>45363</v>
          </cell>
          <cell r="AS280">
            <v>45372</v>
          </cell>
          <cell r="AT280">
            <v>45372</v>
          </cell>
          <cell r="AU280">
            <v>45450</v>
          </cell>
          <cell r="AV280">
            <v>45376</v>
          </cell>
          <cell r="AW280">
            <v>45454</v>
          </cell>
          <cell r="AX280">
            <v>11.142857142857142</v>
          </cell>
          <cell r="AY280">
            <v>45390</v>
          </cell>
          <cell r="AZ280" t="str">
            <v/>
          </cell>
          <cell r="BA280" t="str">
            <v/>
          </cell>
          <cell r="BB280" t="str">
            <v>Completed</v>
          </cell>
          <cell r="BC280" t="str">
            <v>PR100008875</v>
          </cell>
        </row>
        <row r="281">
          <cell r="B281" t="str">
            <v>PR100008928</v>
          </cell>
          <cell r="C281" t="str">
            <v>Lamp LEDbulb PHILIPS Ultra Efficient 7.5W Stock Inventory</v>
          </cell>
          <cell r="D281" t="str">
            <v>Greentek Elektrikal Indonesia, PT</v>
          </cell>
          <cell r="E281" t="str">
            <v>Gema Industrial, PT
Alfa Teknik Mandiri Makmur, PT
Perwira Sentra Officindo, PT
Anugrah Mandiri Putra Tabalong, PT
Outsourcindo, PT
Greentek Elektrikal Indonesia, PT
Vhipa Mulia Pratama, PT
Sehati, CV
Berkat Pratama Teknik, CV
Niaga Global Internusa, PT
Oskar Tunastama, PT</v>
          </cell>
          <cell r="F281" t="str">
            <v>Gema Industrial, PT
Alfa Teknik Mandiri Makmur, PT
Perwira Sentra Officindo, PT
Greentek Elektrikal Indonesia, PT
Vhipa Mulia Pratama, PT
Berkat Pratama Teknik, CV</v>
          </cell>
          <cell r="G281" t="str">
            <v>R0
6 of 11
27 Feb 24</v>
          </cell>
          <cell r="H281" t="str">
            <v>ARTHUR BRAMIYANA</v>
          </cell>
          <cell r="I281">
            <v>45342</v>
          </cell>
          <cell r="J281" t="str">
            <v>INV</v>
          </cell>
          <cell r="K281" t="str">
            <v>B</v>
          </cell>
          <cell r="L281" t="str">
            <v>BID</v>
          </cell>
          <cell r="M281" t="str">
            <v>0051</v>
          </cell>
          <cell r="N281" t="str">
            <v>RH</v>
          </cell>
          <cell r="O281" t="str">
            <v>robertiagus.haposan@alamtri.com</v>
          </cell>
          <cell r="P281">
            <v>228.24</v>
          </cell>
          <cell r="Q281">
            <v>3651840</v>
          </cell>
          <cell r="R281" t="str">
            <v>Completed Sign PO</v>
          </cell>
          <cell r="T281" t="str">
            <v>MSW</v>
          </cell>
          <cell r="U281" t="str">
            <v>Gema Industrial, PT
Alfa Teknik Mandiri Makmur, PT
Perwira Sentra Officindo, PT
Anugrah Mandiri Putra Tabalong, PT
Outsourcindo, PT
Greentek Elektrikal Indonesia, PT
Vhipa Mulia Pratama, PT
Sehati, CV
Berkat Pratama Teknik, CV
Niaga Global Internusa, PT
Oskar Tunastama, PT</v>
          </cell>
          <cell r="V281" t="str">
            <v>Gema Industrial, PT
Alfa Teknik Mandiri Makmur, PT
Perwira Sentra Officindo, PT
Greentek Elektrikal Indonesia, PT
Vhipa Mulia Pratama, PT
Berkat Pratama Teknik, CV</v>
          </cell>
          <cell r="W281" t="str">
            <v>11 of 11</v>
          </cell>
          <cell r="X281" t="str">
            <v>6 of 11</v>
          </cell>
          <cell r="Y281">
            <v>45342</v>
          </cell>
          <cell r="Z281">
            <v>45349</v>
          </cell>
          <cell r="AC281" t="str">
            <v xml:space="preserve"> of </v>
          </cell>
          <cell r="AD281" t="str">
            <v xml:space="preserve"> of </v>
          </cell>
          <cell r="AF281" t="str">
            <v/>
          </cell>
          <cell r="AI281" t="str">
            <v xml:space="preserve"> of </v>
          </cell>
          <cell r="AJ281" t="str">
            <v xml:space="preserve"> of </v>
          </cell>
          <cell r="AL281" t="str">
            <v/>
          </cell>
          <cell r="AM281">
            <v>0.70833333333333337</v>
          </cell>
          <cell r="AN281" t="str">
            <v>Greentek Elektrikal Indonesia, PT</v>
          </cell>
          <cell r="AO281" t="str">
            <v>rendym@greentechinternational.com</v>
          </cell>
          <cell r="AP281" t="str">
            <v>PO24000070</v>
          </cell>
          <cell r="AQ281">
            <v>7104000</v>
          </cell>
          <cell r="AR281">
            <v>45352</v>
          </cell>
          <cell r="AS281">
            <v>45357</v>
          </cell>
          <cell r="AT281">
            <v>45357</v>
          </cell>
          <cell r="AU281">
            <v>45394</v>
          </cell>
          <cell r="AV281">
            <v>45364</v>
          </cell>
          <cell r="AW281">
            <v>45401</v>
          </cell>
          <cell r="AX281">
            <v>5.2857142857142856</v>
          </cell>
          <cell r="AY281">
            <v>45414</v>
          </cell>
          <cell r="AZ281">
            <v>13</v>
          </cell>
          <cell r="BA281">
            <v>213120</v>
          </cell>
          <cell r="BB281" t="str">
            <v>Completed</v>
          </cell>
          <cell r="BC281" t="str">
            <v>PR100008928</v>
          </cell>
        </row>
        <row r="282">
          <cell r="B282" t="str">
            <v>PR100008877 (Line 1)</v>
          </cell>
          <cell r="C282" t="str">
            <v>Tools Vacuum Cleaner &amp; tongkat pembersih solar PV for PLTS Kelanis</v>
          </cell>
          <cell r="D282" t="str">
            <v>Berlian Sejahtera Teknik, PT
Axel Jaya Cakraniaga, PT</v>
          </cell>
          <cell r="E282" t="str">
            <v>Berlian Sejahtera Teknik, PT
Indo Tehnik Tanjung Tabalong, PT
Axel Jaya Cakraniaga, PT
Greentek Elektrikal Indonesia, PT
Petrocom Nusa Synergy, PT
Sehati, CV
Berkat Pratama Teknik, CV
Cahaya Murni, CV
Vhipa Mulia Pratama, PT</v>
          </cell>
          <cell r="F282" t="str">
            <v>Berlian Sejahtera Teknik, PT
Axel Jaya Cakraniaga, PT
Petrocom Nusa Synergy, PT
Sehati, CV
Berkat Pratama Teknik, CV
Vhipa Mulia Pratama, PT</v>
          </cell>
          <cell r="G282" t="str">
            <v>R0
6 of 9
05 Mar 24</v>
          </cell>
          <cell r="H282" t="str">
            <v>GUNARA FERY FAHNANI</v>
          </cell>
          <cell r="I282">
            <v>45351</v>
          </cell>
          <cell r="J282" t="str">
            <v>Tech Main</v>
          </cell>
          <cell r="K282" t="str">
            <v>B</v>
          </cell>
          <cell r="L282" t="str">
            <v>BID</v>
          </cell>
          <cell r="M282" t="str">
            <v>0055</v>
          </cell>
          <cell r="N282" t="str">
            <v>RH</v>
          </cell>
          <cell r="O282" t="str">
            <v>robertiagus.haposan@alamtri.com</v>
          </cell>
          <cell r="P282">
            <v>200</v>
          </cell>
          <cell r="Q282">
            <v>3200000</v>
          </cell>
          <cell r="R282" t="str">
            <v>Completed Sign PO</v>
          </cell>
          <cell r="T282" t="str">
            <v>MSW</v>
          </cell>
          <cell r="U282" t="str">
            <v>Berlian Sejahtera Teknik, PT
Indo Tehnik Tanjung Tabalong, PT
Axel Jaya Cakraniaga, PT
Greentek Elektrikal Indonesia, PT
Petrocom Nusa Synergy, PT
Sehati, CV
Berkat Pratama Teknik, CV
Cahaya Murni, CV
Vhipa Mulia Pratama, PT</v>
          </cell>
          <cell r="V282" t="str">
            <v>Berlian Sejahtera Teknik, PT
Axel Jaya Cakraniaga, PT
Petrocom Nusa Synergy, PT
Sehati, CV
Berkat Pratama Teknik, CV
Vhipa Mulia Pratama, PT</v>
          </cell>
          <cell r="W282" t="str">
            <v>9 of 9</v>
          </cell>
          <cell r="X282" t="str">
            <v>6 of 9</v>
          </cell>
          <cell r="Y282">
            <v>45348</v>
          </cell>
          <cell r="Z282">
            <v>45356</v>
          </cell>
          <cell r="AC282" t="str">
            <v xml:space="preserve"> of </v>
          </cell>
          <cell r="AD282" t="str">
            <v xml:space="preserve"> of </v>
          </cell>
          <cell r="AF282" t="str">
            <v/>
          </cell>
          <cell r="AI282" t="str">
            <v xml:space="preserve"> of </v>
          </cell>
          <cell r="AJ282" t="str">
            <v xml:space="preserve"> of </v>
          </cell>
          <cell r="AL282" t="str">
            <v/>
          </cell>
          <cell r="AM282">
            <v>0.70833333333333337</v>
          </cell>
          <cell r="AN282" t="str">
            <v>Berlian Sejahtera Teknik, PT</v>
          </cell>
          <cell r="AO282" t="str">
            <v>karcher@berliansejahtera.co.id</v>
          </cell>
          <cell r="AP282" t="str">
            <v>PO24000152</v>
          </cell>
          <cell r="AQ282">
            <v>2600000</v>
          </cell>
          <cell r="AR282">
            <v>45358</v>
          </cell>
          <cell r="AS282">
            <v>45387</v>
          </cell>
          <cell r="AT282">
            <v>45398</v>
          </cell>
          <cell r="AU282">
            <v>45422</v>
          </cell>
          <cell r="AV282">
            <v>45400</v>
          </cell>
          <cell r="AW282">
            <v>45424</v>
          </cell>
          <cell r="AX282">
            <v>3.4285714285714284</v>
          </cell>
          <cell r="AY282">
            <v>45410</v>
          </cell>
          <cell r="AZ282" t="str">
            <v/>
          </cell>
          <cell r="BA282" t="str">
            <v/>
          </cell>
          <cell r="BB282" t="str">
            <v>Late Completed</v>
          </cell>
          <cell r="BC282" t="str">
            <v>PR100008877</v>
          </cell>
        </row>
        <row r="283">
          <cell r="B283" t="str">
            <v>PR100008877 (Line 2-8)</v>
          </cell>
          <cell r="C283" t="str">
            <v>Tools Vacuum Cleaner &amp; tongkat pembersih solar PV for PLTS Kelanis</v>
          </cell>
          <cell r="D283" t="str">
            <v>Berlian Sejahtera Teknik, PT
Axel Jaya Cakraniaga, PT</v>
          </cell>
          <cell r="E283" t="str">
            <v>Berlian Sejahtera Teknik, PT
Indo Tehnik Tanjung Tabalong, PT
Axel Jaya Cakraniaga, PT
Greentek Elektrikal Indonesia, PT
Petrocom Nusa Synergy, PT
Sehati, CV
Berkat Pratama Teknik, CV
Cahaya Murni, CV
Vhipa Mulia Pratama, PT</v>
          </cell>
          <cell r="F283" t="str">
            <v>Berlian Sejahtera Teknik, PT
Axel Jaya Cakraniaga, PT
Petrocom Nusa Synergy, PT
Sehati, CV
Berkat Pratama Teknik, CV
Vhipa Mulia Pratama, PT</v>
          </cell>
          <cell r="G283" t="str">
            <v>R0
6 of 9
05 Mar 24</v>
          </cell>
          <cell r="H283" t="str">
            <v>GUNARA FERY FAHNANI</v>
          </cell>
          <cell r="I283">
            <v>45351</v>
          </cell>
          <cell r="J283" t="str">
            <v>Tech Main</v>
          </cell>
          <cell r="K283" t="str">
            <v>B</v>
          </cell>
          <cell r="L283" t="str">
            <v>BID</v>
          </cell>
          <cell r="M283" t="str">
            <v>0055</v>
          </cell>
          <cell r="N283" t="str">
            <v>RH</v>
          </cell>
          <cell r="O283" t="str">
            <v>robertiagus.haposan@alamtri.com</v>
          </cell>
          <cell r="P283">
            <v>991.26</v>
          </cell>
          <cell r="Q283">
            <v>15860160</v>
          </cell>
          <cell r="R283" t="str">
            <v>Completed Sign PO</v>
          </cell>
          <cell r="T283" t="str">
            <v>MSW</v>
          </cell>
          <cell r="U283" t="str">
            <v>Berlian Sejahtera Teknik, PT
Indo Tehnik Tanjung Tabalong, PT
Axel Jaya Cakraniaga, PT
Greentek Elektrikal Indonesia, PT
Petrocom Nusa Synergy, PT
Sehati, CV
Berkat Pratama Teknik, CV
Cahaya Murni, CV
Vhipa Mulia Pratama, PT</v>
          </cell>
          <cell r="V283" t="str">
            <v>Berlian Sejahtera Teknik, PT
Axel Jaya Cakraniaga, PT
Petrocom Nusa Synergy, PT
Sehati, CV
Berkat Pratama Teknik, CV
Vhipa Mulia Pratama, PT</v>
          </cell>
          <cell r="W283" t="str">
            <v>9 of 9</v>
          </cell>
          <cell r="X283" t="str">
            <v>6 of 9</v>
          </cell>
          <cell r="Y283">
            <v>45348</v>
          </cell>
          <cell r="Z283">
            <v>45356</v>
          </cell>
          <cell r="AC283" t="str">
            <v xml:space="preserve"> of </v>
          </cell>
          <cell r="AD283" t="str">
            <v xml:space="preserve"> of </v>
          </cell>
          <cell r="AF283" t="str">
            <v/>
          </cell>
          <cell r="AI283" t="str">
            <v xml:space="preserve"> of </v>
          </cell>
          <cell r="AJ283" t="str">
            <v xml:space="preserve"> of </v>
          </cell>
          <cell r="AL283" t="str">
            <v/>
          </cell>
          <cell r="AM283">
            <v>0.70833333333333337</v>
          </cell>
          <cell r="AN283" t="str">
            <v>Berkat Pratama Teknik, CV</v>
          </cell>
          <cell r="AO283" t="str">
            <v>berkatpratamateknik@gmail.com</v>
          </cell>
          <cell r="AP283" t="str">
            <v>PO24000153</v>
          </cell>
          <cell r="AQ283">
            <v>11800200</v>
          </cell>
          <cell r="AR283">
            <v>45358</v>
          </cell>
          <cell r="AS283">
            <v>45387</v>
          </cell>
          <cell r="AT283">
            <v>45398</v>
          </cell>
          <cell r="AU283">
            <v>45450</v>
          </cell>
          <cell r="AV283">
            <v>45400</v>
          </cell>
          <cell r="AW283">
            <v>45452</v>
          </cell>
          <cell r="AX283">
            <v>7.4285714285714288</v>
          </cell>
          <cell r="AY283">
            <v>45420</v>
          </cell>
          <cell r="AZ283" t="str">
            <v/>
          </cell>
          <cell r="BA283" t="str">
            <v/>
          </cell>
          <cell r="BB283" t="str">
            <v>Late Completed</v>
          </cell>
          <cell r="BC283" t="str">
            <v>PR100008877</v>
          </cell>
        </row>
        <row r="284">
          <cell r="B284" t="str">
            <v>PR100008949</v>
          </cell>
          <cell r="C284" t="str">
            <v>FILTER ELEMENT ELGI Compressor For Stock INVentory</v>
          </cell>
          <cell r="E284" t="str">
            <v>Maju Langgeng Mandiri, PT
Gama Tritunggal Pratama, PT
Reftech Jaya Optima, PT
Sahabat Energi Persada, PT
Anugrah Mandiri Putra Tabalong, PT
Triguna Karya Nusantara, PT
Outsourcindo, PT
Berkat Pratama Teknik, CV
Bima Kaltim Utama, PT
Kojisha Innotiv Indonesia, PT</v>
          </cell>
          <cell r="F284" t="str">
            <v>Maju Langgeng Mandiri, PT
Gama Tritunggal Pratama, PT
Reftech Jaya Optima, PT
Sahabat Energi Persada, PT
Anugrah Mandiri Putra Tabalong, PT
Outsourcindo, PT</v>
          </cell>
          <cell r="G284" t="str">
            <v>R1
6 of 10
19 Mar 24</v>
          </cell>
          <cell r="H284" t="str">
            <v>ARTHUR BRAMIYANA</v>
          </cell>
          <cell r="I284">
            <v>45349</v>
          </cell>
          <cell r="J284" t="str">
            <v>INV</v>
          </cell>
          <cell r="K284" t="str">
            <v>B</v>
          </cell>
          <cell r="L284" t="str">
            <v>BID</v>
          </cell>
          <cell r="M284" t="str">
            <v>0057</v>
          </cell>
          <cell r="N284" t="str">
            <v>RH</v>
          </cell>
          <cell r="O284" t="str">
            <v>robertiagus.haposan@alamtri.com</v>
          </cell>
          <cell r="P284">
            <v>344.69130000000001</v>
          </cell>
          <cell r="Q284">
            <v>5515060.7999999998</v>
          </cell>
          <cell r="R284" t="str">
            <v>Completed Sign PO</v>
          </cell>
          <cell r="T284" t="str">
            <v>MSW</v>
          </cell>
          <cell r="U284" t="str">
            <v>Elgi Equipment Indonesia, PT
Maju Langgeng Mandiri, PT
Perwira Sentra Officindo, PT
Petrocom Nusa Synergy, PT
Gama Tritunggal Pratama, PT
Alfa Teknik Mandiri Makmur, PT
Vhipa Mulia Pratama, PT</v>
          </cell>
          <cell r="V284" t="str">
            <v>Maju Langgeng Mandiri, PT
Gama Tritunggal Pratama, PT</v>
          </cell>
          <cell r="W284" t="str">
            <v>7 of 7</v>
          </cell>
          <cell r="X284" t="str">
            <v>2 of 7</v>
          </cell>
          <cell r="Y284">
            <v>45350</v>
          </cell>
          <cell r="Z284">
            <v>45357</v>
          </cell>
          <cell r="AA284" t="str">
            <v>Maju Langgeng Mandiri, PT
Gama Tritunggal Pratama, PT
Reftech Jaya Optima, PT
Sahabat Energi Persada, PT
Anugrah Mandiri Putra Tabalong, PT
Triguna Karya Nusantara, PT
Outsourcindo, PT
Berkat Pratama Teknik, CV
Bima Kaltim Utama, PT
Kojisha Innotiv Indonesia, PT</v>
          </cell>
          <cell r="AB284" t="str">
            <v>Maju Langgeng Mandiri, PT
Gama Tritunggal Pratama, PT
Reftech Jaya Optima, PT
Sahabat Energi Persada, PT
Anugrah Mandiri Putra Tabalong, PT
Outsourcindo, PT</v>
          </cell>
          <cell r="AC284" t="str">
            <v>10 of 10</v>
          </cell>
          <cell r="AD284" t="str">
            <v>6 of 10</v>
          </cell>
          <cell r="AE284">
            <v>45363</v>
          </cell>
          <cell r="AF284">
            <v>45370</v>
          </cell>
          <cell r="AI284" t="str">
            <v xml:space="preserve"> of </v>
          </cell>
          <cell r="AJ284" t="str">
            <v xml:space="preserve"> of </v>
          </cell>
          <cell r="AL284" t="str">
            <v/>
          </cell>
          <cell r="AM284">
            <v>0.70833333333333337</v>
          </cell>
          <cell r="AN284" t="str">
            <v>Anugrah Mandiri Putra Tabalong, PT</v>
          </cell>
          <cell r="AO284" t="str">
            <v>anugrah_mandiritjg@yahoo.com</v>
          </cell>
          <cell r="AP284" t="str">
            <v>PO24000130</v>
          </cell>
          <cell r="AQ284">
            <v>4500000</v>
          </cell>
          <cell r="AR284">
            <v>45371</v>
          </cell>
          <cell r="AS284">
            <v>45376</v>
          </cell>
          <cell r="AT284">
            <v>45376</v>
          </cell>
          <cell r="AU284">
            <v>45422</v>
          </cell>
          <cell r="AV284">
            <v>45377</v>
          </cell>
          <cell r="AW284">
            <v>45423</v>
          </cell>
          <cell r="AX284">
            <v>6.5714285714285712</v>
          </cell>
          <cell r="AY284">
            <v>45387</v>
          </cell>
          <cell r="AZ284" t="str">
            <v/>
          </cell>
          <cell r="BA284" t="str">
            <v/>
          </cell>
          <cell r="BB284" t="str">
            <v>Completed</v>
          </cell>
          <cell r="BC284" t="str">
            <v>PR100008949</v>
          </cell>
        </row>
        <row r="285">
          <cell r="B285" t="str">
            <v>PR100008911</v>
          </cell>
          <cell r="C285" t="str">
            <v>U1 &amp; U2 - Emergency drain combustor - request pemasangan slide gate (WO10626263)</v>
          </cell>
          <cell r="E285" t="str">
            <v>Adijaya Mitra Perkasa, PT
Arita Prima Indonesia Tbk, PT
Joelco Dunamos Solusindo, PT
Sahabat Energi Persada, PT
Dwijaya Sentral Sarana, PT
Afghan Jaya Abadi, PT
Sinar Mas Sakti, PT
Sulindo Jaya Abadi, PT
Inako Pratama Indonesia, PT
Alfa Jaya Energy, PT
Telaga Indah Engineering, PT
Revameco Indonesia, PT
Vhipa Mulia Pratama, PT
Geographe Energy Indonesia
Primatech Engineering, PT</v>
          </cell>
          <cell r="F285" t="str">
            <v>Adijaya Mitra Perkasa, PT
Arita Prima Indonesia Tbk, PT
Joelco Dunamos Solusindo, PT
Dwijaya Sentral Sarana, PT
Alfa Jaya Energy, PT</v>
          </cell>
          <cell r="G285" t="str">
            <v>R2
5 of 15
05 Apr 24</v>
          </cell>
          <cell r="H285" t="str">
            <v>TOPAN BAYU PRAPTOMO</v>
          </cell>
          <cell r="I285">
            <v>45350</v>
          </cell>
          <cell r="J285" t="str">
            <v>Tech Main</v>
          </cell>
          <cell r="K285" t="str">
            <v>B</v>
          </cell>
          <cell r="L285" t="str">
            <v>BID</v>
          </cell>
          <cell r="M285" t="str">
            <v>0068</v>
          </cell>
          <cell r="N285" t="str">
            <v>RH</v>
          </cell>
          <cell r="O285" t="str">
            <v>robertiagus.haposan@alamtri.com</v>
          </cell>
          <cell r="P285">
            <v>800</v>
          </cell>
          <cell r="Q285">
            <v>12800000</v>
          </cell>
          <cell r="R285" t="str">
            <v>Completed Sign PO</v>
          </cell>
          <cell r="T285" t="str">
            <v>MSW</v>
          </cell>
          <cell r="U285" t="str">
            <v>Berkat Pratama Teknik, CV
Adijaya Mitra Perkasa, PT
Amri Niaga Utama, PT
Arita Prima Indonesia Tbk, PT
General Supply &amp; Services Indonesia, PT
Indo Tehnik Tanjung Tabalong, PT
Petrocom Nusa Synergy, PT
Outsourcindo, PT</v>
          </cell>
          <cell r="V285" t="str">
            <v>None</v>
          </cell>
          <cell r="W285" t="str">
            <v>8 of 8</v>
          </cell>
          <cell r="X285" t="str">
            <v>1 of 8</v>
          </cell>
          <cell r="Y285">
            <v>45355</v>
          </cell>
          <cell r="Z285">
            <v>45362</v>
          </cell>
          <cell r="AA285" t="str">
            <v>Berkat Pratama Teknik, CV
Adijaya Mitra Perkasa, PT
Amri Niaga Utama, PT
Arita Prima Indonesia Tbk, PT
General Supply &amp; Services Indonesia, PT
Indo Tehnik Tanjung Tabalong, PT
Petrocom Nusa Synergy, PT
Outsourcindo, PT
Alfa Teknik Mandiri Makmur, PT
Joelco Dunamos Solusindo, PT</v>
          </cell>
          <cell r="AB285" t="str">
            <v>Adijaya Mitra Perkasa, PT
Arita Prima Indonesia Tbk, PT</v>
          </cell>
          <cell r="AC285" t="str">
            <v>10 of 10</v>
          </cell>
          <cell r="AD285" t="str">
            <v>2 of 10</v>
          </cell>
          <cell r="AE285">
            <v>45366</v>
          </cell>
          <cell r="AF285">
            <v>45373</v>
          </cell>
          <cell r="AG285" t="str">
            <v>Adijaya Mitra Perkasa, PT
Arita Prima Indonesia Tbk, PT
Joelco Dunamos Solusindo, PT
Sahabat Energi Persada, PT
Dwijaya Sentral Sarana, PT
Afghan Jaya Abadi, PT
Sinar Mas Sakti, PT
Sulindo Jaya Abadi, PT
Inako Pratama Indonesia, PT
Alfa Jaya Energy, PT
Telaga Indah Engineering, PT
Revameco Indonesia, PT
Vhipa Mulia Pratama, PT
Geographe Energy Indonesia
Primatech Engineering, PT</v>
          </cell>
          <cell r="AH285" t="str">
            <v>Adijaya Mitra Perkasa, PT
Arita Prima Indonesia Tbk, PT
Joelco Dunamos Solusindo, PT
Dwijaya Sentral Sarana, PT
Alfa Jaya Energy, PT</v>
          </cell>
          <cell r="AI285" t="str">
            <v>15 of 15</v>
          </cell>
          <cell r="AJ285" t="str">
            <v>5 of 15</v>
          </cell>
          <cell r="AK285">
            <v>45378</v>
          </cell>
          <cell r="AL285">
            <v>45387</v>
          </cell>
          <cell r="AM285">
            <v>0.70833333333333337</v>
          </cell>
          <cell r="AN285" t="str">
            <v>Adijaya Mitra Perkasa, PT</v>
          </cell>
          <cell r="AO285" t="str">
            <v>info@adijayamitra.com; adijayamitra@gmail.com</v>
          </cell>
          <cell r="AP285" t="str">
            <v>PO24000188</v>
          </cell>
          <cell r="AQ285">
            <v>20000000</v>
          </cell>
          <cell r="AR285">
            <v>45400</v>
          </cell>
          <cell r="AS285">
            <v>45408</v>
          </cell>
          <cell r="AT285">
            <v>45408</v>
          </cell>
          <cell r="AU285">
            <v>45450</v>
          </cell>
          <cell r="AV285">
            <v>45411</v>
          </cell>
          <cell r="AW285">
            <v>45453</v>
          </cell>
          <cell r="AX285">
            <v>6</v>
          </cell>
          <cell r="AY285">
            <v>45477</v>
          </cell>
          <cell r="AZ285">
            <v>24</v>
          </cell>
          <cell r="BA285">
            <v>480000</v>
          </cell>
          <cell r="BB285" t="str">
            <v>Late Completed</v>
          </cell>
          <cell r="BC285" t="str">
            <v>PR100008911</v>
          </cell>
        </row>
        <row r="286">
          <cell r="B286" t="str">
            <v>PR100008957</v>
          </cell>
          <cell r="C286" t="str">
            <v>Re-Sertifikasi berkala</v>
          </cell>
          <cell r="E286" t="str">
            <v>Sucofindo, PT
Surveyor Indonesia, PT
Dalaz Teknik Utama, PT
Indotech Citra Sinergi, PT
Dankha Dian Kurnia, PT</v>
          </cell>
          <cell r="F286" t="str">
            <v>Surveyor Indonesia, PT
Indotech Citra Sinergi, PT
Dankha Dian Kurnia, PT</v>
          </cell>
          <cell r="G286" t="str">
            <v>R0
3 of 5
08 Mar 24</v>
          </cell>
          <cell r="H286" t="str">
            <v>ADITIYA KUSUMA WARDANA</v>
          </cell>
          <cell r="I286">
            <v>45352</v>
          </cell>
          <cell r="J286" t="str">
            <v>HSE</v>
          </cell>
          <cell r="K286" t="str">
            <v>J</v>
          </cell>
          <cell r="L286" t="str">
            <v>BID</v>
          </cell>
          <cell r="M286" t="str">
            <v>0067</v>
          </cell>
          <cell r="N286" t="str">
            <v>RH</v>
          </cell>
          <cell r="O286" t="str">
            <v>robertiagus.haposan@alamtri.com</v>
          </cell>
          <cell r="P286">
            <v>2400</v>
          </cell>
          <cell r="Q286">
            <v>38400000</v>
          </cell>
          <cell r="R286" t="str">
            <v>Completed Sign PO</v>
          </cell>
          <cell r="T286" t="str">
            <v>MSW</v>
          </cell>
          <cell r="U286" t="str">
            <v>Sucofindo, PT
Surveyor Indonesia, PT
Dalaz Teknik Utama, PT
Indotech Citra Sinergi, PT
Dankha Dian Kurnia, PT</v>
          </cell>
          <cell r="V286" t="str">
            <v>Surveyor Indonesia, PT
Indotech Citra Sinergi, PT
Dankha Dian Kurnia, PT</v>
          </cell>
          <cell r="W286" t="str">
            <v>5 of 5</v>
          </cell>
          <cell r="X286" t="str">
            <v>3 of 5</v>
          </cell>
          <cell r="Y286">
            <v>45352</v>
          </cell>
          <cell r="Z286">
            <v>45359</v>
          </cell>
          <cell r="AC286" t="str">
            <v xml:space="preserve"> of </v>
          </cell>
          <cell r="AD286" t="str">
            <v xml:space="preserve"> of </v>
          </cell>
          <cell r="AF286" t="str">
            <v/>
          </cell>
          <cell r="AI286" t="str">
            <v xml:space="preserve"> of </v>
          </cell>
          <cell r="AJ286" t="str">
            <v xml:space="preserve"> of </v>
          </cell>
          <cell r="AL286" t="str">
            <v/>
          </cell>
          <cell r="AM286">
            <v>0.70833333333333337</v>
          </cell>
          <cell r="AN286" t="str">
            <v>Dankha Dian Kurnia, PT</v>
          </cell>
          <cell r="AO286" t="str">
            <v>alzanzea.ysf@gmail.com; dankha.diankurnia@gmail.com; fekawardani999@gmail.com; melindasepti50@gmail.com</v>
          </cell>
          <cell r="AP286" t="str">
            <v>PO24000205</v>
          </cell>
          <cell r="AQ286">
            <v>51500000</v>
          </cell>
          <cell r="AR286">
            <v>45366</v>
          </cell>
          <cell r="AS286">
            <v>45401</v>
          </cell>
          <cell r="AT286">
            <v>45412</v>
          </cell>
          <cell r="AU286">
            <v>45485</v>
          </cell>
          <cell r="AV286">
            <v>45414</v>
          </cell>
          <cell r="AW286">
            <v>45487</v>
          </cell>
          <cell r="AX286">
            <v>10.428571428571429</v>
          </cell>
          <cell r="AY286">
            <v>45511</v>
          </cell>
          <cell r="AZ286">
            <v>24</v>
          </cell>
          <cell r="BA286">
            <v>1236000</v>
          </cell>
          <cell r="BB286" t="str">
            <v>Late Completed</v>
          </cell>
          <cell r="BC286" t="str">
            <v>PR100008957</v>
          </cell>
        </row>
        <row r="287">
          <cell r="B287" t="str">
            <v>PR100008967</v>
          </cell>
          <cell r="C287" t="str">
            <v>For Line AMT Demint Parts</v>
          </cell>
          <cell r="E287" t="str">
            <v>Joelco Dunamos Solusindo, PT
Sola Anugerah Oilfield, PT
Arita Prima Indonesia Tbk, PT
Sahabat Energi Persada, PT
Dwijaya Sentral Sarana, PT
Afghan Jaya Abadi, PT
Outsourcindo, PT
Indonesia Magma Chain, PT
Alfa Teknik Mandiri Makmur, PT
Kin Kitra Kencana, PT
Andaxcon Jaya Teknik, PT
Varley Indonesia, PT</v>
          </cell>
          <cell r="F287" t="str">
            <v>Kin Kitra Kencana, PT</v>
          </cell>
          <cell r="G287" t="str">
            <v>R2
1 of 12
29 Apr 24</v>
          </cell>
          <cell r="H287" t="str">
            <v>ARTHUR BRAMIYANA</v>
          </cell>
          <cell r="I287">
            <v>45391</v>
          </cell>
          <cell r="J287" t="str">
            <v>INV</v>
          </cell>
          <cell r="K287" t="str">
            <v>B</v>
          </cell>
          <cell r="L287" t="str">
            <v>BID</v>
          </cell>
          <cell r="M287" t="str">
            <v>0068</v>
          </cell>
          <cell r="N287" t="str">
            <v>RH</v>
          </cell>
          <cell r="O287" t="str">
            <v>robertiagus.haposan@alamtri.com</v>
          </cell>
          <cell r="P287">
            <v>1150</v>
          </cell>
          <cell r="Q287">
            <v>18400000</v>
          </cell>
          <cell r="R287" t="str">
            <v>Completed Sign PO</v>
          </cell>
          <cell r="T287" t="str">
            <v>MSW</v>
          </cell>
          <cell r="U287" t="str">
            <v>Berkat Pratama Teknik, CV
Adijaya Mitra Perkasa, PT
Amri Niaga Utama, PT
Arita Prima Indonesia Tbk, PT
General Supply &amp; Services Indonesia, PT
Indo Tehnik Tanjung Tabalong, PT
Petrocom Nusa Synergy, PT
Outsourcindo, PT</v>
          </cell>
          <cell r="V287" t="str">
            <v>Petrocom Nusa Synergy, PT</v>
          </cell>
          <cell r="W287" t="str">
            <v>8 of 8</v>
          </cell>
          <cell r="X287" t="str">
            <v>1 of 8</v>
          </cell>
          <cell r="Y287">
            <v>45355</v>
          </cell>
          <cell r="Z287">
            <v>45362</v>
          </cell>
          <cell r="AA287" t="str">
            <v>Berkat Pratama Teknik, CV
Adijaya Mitra Perkasa, PT
Amri Niaga Utama, PT
Arita Prima Indonesia Tbk, PT
General Supply &amp; Services Indonesia, PT
Indo Tehnik Tanjung Tabalong, PT
Petrocom Nusa Synergy, PT
Outsourcindo, PT
Alfa Teknik Mandiri Makmur, PT</v>
          </cell>
          <cell r="AB287" t="str">
            <v>None</v>
          </cell>
          <cell r="AC287" t="str">
            <v>9 of 9</v>
          </cell>
          <cell r="AD287" t="str">
            <v>1 of 9</v>
          </cell>
          <cell r="AE287">
            <v>45366</v>
          </cell>
          <cell r="AF287">
            <v>45373</v>
          </cell>
          <cell r="AG287" t="str">
            <v>Joelco Dunamos Solusindo, PT
Sola Anugerah Oilfield, PT
Arita Prima Indonesia Tbk, PT
Sahabat Energi Persada, PT
Dwijaya Sentral Sarana, PT
Afghan Jaya Abadi, PT
Outsourcindo, PT
Indonesia Magma Chain, PT
Alfa Teknik Mandiri Makmur, PT
Kin Kitra Kencana, PT
Andaxcon Jaya Teknik, PT
Varley Indonesia, PT</v>
          </cell>
          <cell r="AH287" t="str">
            <v>Kin Kitra Kencana, PT</v>
          </cell>
          <cell r="AI287" t="str">
            <v>12 of 12</v>
          </cell>
          <cell r="AJ287" t="str">
            <v>1 of 12</v>
          </cell>
          <cell r="AK287">
            <v>45400</v>
          </cell>
          <cell r="AL287">
            <v>45411</v>
          </cell>
          <cell r="AM287">
            <v>0.70833333333333337</v>
          </cell>
          <cell r="AN287" t="str">
            <v>Kin Kitra Kencana, PT</v>
          </cell>
          <cell r="AO287" t="str">
            <v>ptkinkitrakencana@gmail.com; teguhkin999@gmail.com</v>
          </cell>
          <cell r="AP287" t="str">
            <v>PO24000252</v>
          </cell>
          <cell r="AQ287">
            <v>48000000</v>
          </cell>
          <cell r="AR287">
            <v>45412</v>
          </cell>
          <cell r="AS287">
            <v>45429</v>
          </cell>
          <cell r="AT287">
            <v>45429</v>
          </cell>
          <cell r="AU287">
            <v>45604</v>
          </cell>
          <cell r="AV287">
            <v>45441</v>
          </cell>
          <cell r="AW287">
            <v>45616</v>
          </cell>
          <cell r="AX287">
            <v>25</v>
          </cell>
          <cell r="AY287">
            <v>45546</v>
          </cell>
          <cell r="AZ287" t="str">
            <v/>
          </cell>
          <cell r="BA287" t="str">
            <v/>
          </cell>
          <cell r="BB287" t="str">
            <v>Late Completed</v>
          </cell>
          <cell r="BC287" t="str">
            <v>PR100008967</v>
          </cell>
        </row>
        <row r="288">
          <cell r="B288" t="str">
            <v>PR100008775</v>
          </cell>
          <cell r="C288" t="str">
            <v>Sertifikasi Peralatan (Penangkal Petir, Conveyor Belt, dan Bejana Tekan- Kompresor)</v>
          </cell>
          <cell r="E288" t="str">
            <v>Sucofindo, PT
Surveyor Indonesia, PT
Dalaz Teknik Utama, PT
Indotech Citra Sinergi, PT
Dankha Dian Kurnia, PT</v>
          </cell>
          <cell r="F288" t="str">
            <v>Surveyor Indonesia, PT
Indotech Citra Sinergi, PT
Dankha Dian Kurnia, PT</v>
          </cell>
          <cell r="G288" t="str">
            <v>R0
3 of 5
08 Mar 24</v>
          </cell>
          <cell r="H288" t="str">
            <v>ADITIYA KUSUMA WARDANA</v>
          </cell>
          <cell r="I288">
            <v>45355</v>
          </cell>
          <cell r="J288" t="str">
            <v>HSE</v>
          </cell>
          <cell r="K288" t="str">
            <v>J</v>
          </cell>
          <cell r="L288" t="str">
            <v>BID</v>
          </cell>
          <cell r="M288" t="str">
            <v>0067</v>
          </cell>
          <cell r="N288" t="str">
            <v>RH</v>
          </cell>
          <cell r="O288" t="str">
            <v>robertiagus.haposan@alamtri.com</v>
          </cell>
          <cell r="P288">
            <v>1390</v>
          </cell>
          <cell r="Q288">
            <v>22240000</v>
          </cell>
          <cell r="R288" t="str">
            <v>Completed Sign PO</v>
          </cell>
          <cell r="T288" t="str">
            <v>MSW</v>
          </cell>
          <cell r="U288" t="str">
            <v>Sucofindo, PT
Surveyor Indonesia, PT
Dalaz Teknik Utama, PT
Indotech Citra Sinergi, PT
Dankha Dian Kurnia, PT</v>
          </cell>
          <cell r="V288" t="str">
            <v>Surveyor Indonesia, PT
Indotech Citra Sinergi, PT
Dankha Dian Kurnia, PT</v>
          </cell>
          <cell r="W288" t="str">
            <v>5 of 5</v>
          </cell>
          <cell r="X288" t="str">
            <v>3 of 5</v>
          </cell>
          <cell r="Y288">
            <v>45352</v>
          </cell>
          <cell r="Z288">
            <v>45359</v>
          </cell>
          <cell r="AC288" t="str">
            <v xml:space="preserve"> of </v>
          </cell>
          <cell r="AD288" t="str">
            <v xml:space="preserve"> of </v>
          </cell>
          <cell r="AF288" t="str">
            <v/>
          </cell>
          <cell r="AI288" t="str">
            <v xml:space="preserve"> of </v>
          </cell>
          <cell r="AJ288" t="str">
            <v xml:space="preserve"> of </v>
          </cell>
          <cell r="AL288" t="str">
            <v/>
          </cell>
          <cell r="AM288">
            <v>0.70833333333333337</v>
          </cell>
          <cell r="AN288" t="str">
            <v>Dankha Dian Kurnia, PT</v>
          </cell>
          <cell r="AO288" t="str">
            <v>alzanzea.ysf@gmail.com; dankha.diankurnia@gmail.com; fekawardani999@gmail.com; melindasepti50@gmail.com</v>
          </cell>
          <cell r="AP288" t="str">
            <v>PO24000204</v>
          </cell>
          <cell r="AQ288">
            <v>102500000</v>
          </cell>
          <cell r="AR288">
            <v>45366</v>
          </cell>
          <cell r="AS288">
            <v>45401</v>
          </cell>
          <cell r="AT288">
            <v>45412</v>
          </cell>
          <cell r="AU288">
            <v>45485</v>
          </cell>
          <cell r="AV288">
            <v>45414</v>
          </cell>
          <cell r="AW288">
            <v>45487</v>
          </cell>
          <cell r="AX288">
            <v>10.428571428571429</v>
          </cell>
          <cell r="AY288">
            <v>45511</v>
          </cell>
          <cell r="AZ288">
            <v>24</v>
          </cell>
          <cell r="BA288">
            <v>2460000</v>
          </cell>
          <cell r="BB288" t="str">
            <v>Late Completed</v>
          </cell>
          <cell r="BC288" t="str">
            <v>PR100008775</v>
          </cell>
        </row>
        <row r="289">
          <cell r="B289" t="str">
            <v>PR100008909</v>
          </cell>
          <cell r="C289" t="str">
            <v>Boiler Unit#1#2 Chute Rotary Air Lock Feeder</v>
          </cell>
          <cell r="E289" t="str">
            <v>Sutindo Project Indonesia, PT
Mandiri Mitra Energi, PT
Outsourcindo, PT
Antares Jaya Gemilang Prima, PT
Sarana Prima Lestari, CV
Alfa Teknik Mandiri Makmur, PT
Berkat Pratama Teknik, CV
Andalan Tiga Berlian, PT
Petrocom Nusa Synergy, PT</v>
          </cell>
          <cell r="F289" t="str">
            <v>Outsourcindo, PT
Sarana Prima Lestari, CV
Alfa Teknik Mandiri Makmur, PT
Berkat Pratama Teknik, CV</v>
          </cell>
          <cell r="G289" t="str">
            <v>R0
4 of 9
19 Mar 24</v>
          </cell>
          <cell r="H289" t="str">
            <v>TOPAN BAYU PRAPTOMO</v>
          </cell>
          <cell r="I289">
            <v>45356</v>
          </cell>
          <cell r="J289" t="str">
            <v>Tech Main</v>
          </cell>
          <cell r="K289" t="str">
            <v>B</v>
          </cell>
          <cell r="L289" t="str">
            <v>BID</v>
          </cell>
          <cell r="M289" t="str">
            <v>0073</v>
          </cell>
          <cell r="N289" t="str">
            <v>RH</v>
          </cell>
          <cell r="O289" t="str">
            <v>robertiagus.haposan@alamtri.com</v>
          </cell>
          <cell r="P289">
            <v>2395.8719999999998</v>
          </cell>
          <cell r="Q289">
            <v>38333952</v>
          </cell>
          <cell r="R289" t="str">
            <v>Completed Sign PO</v>
          </cell>
          <cell r="T289" t="str">
            <v>MSW</v>
          </cell>
          <cell r="U289" t="str">
            <v>Sutindo Project Indonesia, PT
Mandiri Mitra Energi, PT
Outsourcindo, PT
Antares Jaya Gemilang Prima, PT
Sarana Prima Lestari, CV
Alfa Teknik Mandiri Makmur, PT
Berkat Pratama Teknik, CV
Andalan Tiga Berlian, PT
Petrocom Nusa Synergy, PT</v>
          </cell>
          <cell r="V289" t="str">
            <v>Outsourcindo, PT
Sarana Prima Lestari, CV
Alfa Teknik Mandiri Makmur, PT
Berkat Pratama Teknik, CV</v>
          </cell>
          <cell r="W289" t="str">
            <v>9 of 9</v>
          </cell>
          <cell r="X289" t="str">
            <v>4 of 9</v>
          </cell>
          <cell r="Y289">
            <v>45363</v>
          </cell>
          <cell r="Z289">
            <v>45370</v>
          </cell>
          <cell r="AC289" t="str">
            <v xml:space="preserve"> of </v>
          </cell>
          <cell r="AD289" t="str">
            <v xml:space="preserve"> of </v>
          </cell>
          <cell r="AF289" t="str">
            <v/>
          </cell>
          <cell r="AI289" t="str">
            <v xml:space="preserve"> of </v>
          </cell>
          <cell r="AJ289" t="str">
            <v xml:space="preserve"> of </v>
          </cell>
          <cell r="AL289" t="str">
            <v/>
          </cell>
          <cell r="AM289">
            <v>0.70833333333333337</v>
          </cell>
          <cell r="AN289" t="str">
            <v>Sarana Prima Lestari, CV</v>
          </cell>
          <cell r="AO289" t="str">
            <v>krisma@saranaprimalestari.com; spl@indo.net.id</v>
          </cell>
          <cell r="AP289" t="str">
            <v>PO24000116</v>
          </cell>
          <cell r="AQ289">
            <v>29400000</v>
          </cell>
          <cell r="AR289">
            <v>45371</v>
          </cell>
          <cell r="AS289">
            <v>45372</v>
          </cell>
          <cell r="AT289">
            <v>45372</v>
          </cell>
          <cell r="AU289">
            <v>45415</v>
          </cell>
          <cell r="AV289">
            <v>45376</v>
          </cell>
          <cell r="AW289">
            <v>45419</v>
          </cell>
          <cell r="AX289">
            <v>6.1428571428571432</v>
          </cell>
          <cell r="AY289">
            <v>45407</v>
          </cell>
          <cell r="AZ289" t="str">
            <v/>
          </cell>
          <cell r="BA289" t="str">
            <v/>
          </cell>
          <cell r="BB289" t="str">
            <v>Completed</v>
          </cell>
          <cell r="BC289" t="str">
            <v>PR100008909</v>
          </cell>
        </row>
        <row r="290">
          <cell r="B290" t="str">
            <v>PR100008915</v>
          </cell>
          <cell r="C290" t="str">
            <v>Reagent Laboratorium Bulan Februari 2024 (Expired Date Minimal 12 Bulan saat barang diterima)</v>
          </cell>
          <cell r="E290" t="str">
            <v>Ecolab International Indonesia, PT
Intraparr Nusantara, PT
Alfa Teknik Mandiri Makmur, PT
Alfa Pegasus, PT
Hanna Instrument Indotama
Sumber Aneka Karya Abadi, PT
Andalan Bangun Sejahtera, PT</v>
          </cell>
          <cell r="F290" t="str">
            <v>Intraparr Nusantara, PT
Alfa Teknik Mandiri Makmur, PT
Alfa Pegasus, PT</v>
          </cell>
          <cell r="G290" t="str">
            <v>R0
3 of 7
15 Mar 24</v>
          </cell>
          <cell r="H290" t="str">
            <v>DENI SUHENDRA</v>
          </cell>
          <cell r="I290">
            <v>45356</v>
          </cell>
          <cell r="J290" t="str">
            <v>Tech Op</v>
          </cell>
          <cell r="K290" t="str">
            <v>B</v>
          </cell>
          <cell r="L290" t="str">
            <v>BID</v>
          </cell>
          <cell r="M290" t="str">
            <v>0072</v>
          </cell>
          <cell r="N290" t="str">
            <v>RH</v>
          </cell>
          <cell r="O290" t="str">
            <v>robertiagus.haposan@alamtri.com</v>
          </cell>
          <cell r="P290">
            <v>1725.36</v>
          </cell>
          <cell r="Q290">
            <v>27605760</v>
          </cell>
          <cell r="R290" t="str">
            <v>Completed Sign PO</v>
          </cell>
          <cell r="T290" t="str">
            <v>MSW</v>
          </cell>
          <cell r="U290" t="str">
            <v>Ecolab International Indonesia, PT
Intraparr Nusantara, PT
Alfa Teknik Mandiri Makmur, PT
Alfa Pegasus, PT
Hanna Instrument Indotama
Sumber Aneka Karya Abadi, PT
Andalan Bangun Sejahtera, PT</v>
          </cell>
          <cell r="V290" t="str">
            <v>Intraparr Nusantara, PT
Alfa Teknik Mandiri Makmur, PT
Alfa Pegasus, PT</v>
          </cell>
          <cell r="W290" t="str">
            <v>7 of 7</v>
          </cell>
          <cell r="X290" t="str">
            <v>3 of 7</v>
          </cell>
          <cell r="Y290">
            <v>45359</v>
          </cell>
          <cell r="Z290">
            <v>45366</v>
          </cell>
          <cell r="AC290" t="str">
            <v xml:space="preserve"> of </v>
          </cell>
          <cell r="AD290" t="str">
            <v xml:space="preserve"> of </v>
          </cell>
          <cell r="AF290" t="str">
            <v/>
          </cell>
          <cell r="AI290" t="str">
            <v xml:space="preserve"> of </v>
          </cell>
          <cell r="AJ290" t="str">
            <v xml:space="preserve"> of </v>
          </cell>
          <cell r="AL290" t="str">
            <v/>
          </cell>
          <cell r="AM290">
            <v>0.70833333333333337</v>
          </cell>
          <cell r="AN290" t="str">
            <v>Intraparr Nusantara, PT</v>
          </cell>
          <cell r="AO290" t="str">
            <v>intraparr@cbn.net.id; intraparr.nusantara@gmail.com</v>
          </cell>
          <cell r="AP290" t="str">
            <v>PO24000137</v>
          </cell>
          <cell r="AQ290">
            <v>15620000</v>
          </cell>
          <cell r="AR290">
            <v>45370</v>
          </cell>
          <cell r="AS290">
            <v>45383</v>
          </cell>
          <cell r="AT290">
            <v>45383</v>
          </cell>
          <cell r="AU290">
            <v>45639</v>
          </cell>
          <cell r="AV290">
            <v>45384</v>
          </cell>
          <cell r="AW290">
            <v>45640</v>
          </cell>
          <cell r="AX290">
            <v>36.571428571428569</v>
          </cell>
          <cell r="AY290">
            <v>45775</v>
          </cell>
          <cell r="AZ290">
            <v>135</v>
          </cell>
          <cell r="BA290">
            <v>781000</v>
          </cell>
          <cell r="BB290" t="str">
            <v>Completed</v>
          </cell>
          <cell r="BC290" t="str">
            <v>PR100008915</v>
          </cell>
        </row>
        <row r="291">
          <cell r="B291" t="str">
            <v>PR100008880</v>
          </cell>
          <cell r="C291" t="str">
            <v>Spare Part Loader temuan baru ada rembesan</v>
          </cell>
          <cell r="E291" t="str">
            <v>Sentrapart Niaga Utama, PT
Central Turbo, PT
Alfa Teknik Mandiri Makmur, PT
Aneka Mitra Cipta, PT
Berkat Pratama Teknik, CV
Outsourcindo, PT
Blessindo Prima Sarana, PT
Cahaya Murni, CV
Anugrah Mandiri Putra Tabalong, PT
United Tractors, PT</v>
          </cell>
          <cell r="F291" t="str">
            <v>Alfa Teknik Mandiri Makmur, PT
Aneka Mitra Cipta, PT
Berkat Pratama Teknik, CV
United Tractors, PT</v>
          </cell>
          <cell r="G291" t="str">
            <v>R0
4 of 10
28 Mar 24</v>
          </cell>
          <cell r="H291" t="str">
            <v>RIDHANI TAUFIQ</v>
          </cell>
          <cell r="I291">
            <v>45372</v>
          </cell>
          <cell r="J291" t="str">
            <v>Tech Main</v>
          </cell>
          <cell r="K291" t="str">
            <v>B</v>
          </cell>
          <cell r="L291" t="str">
            <v>BID</v>
          </cell>
          <cell r="M291" t="str">
            <v>0077</v>
          </cell>
          <cell r="N291" t="str">
            <v>RH</v>
          </cell>
          <cell r="O291" t="str">
            <v>robertiagus.haposan@alamtri.com</v>
          </cell>
          <cell r="P291">
            <v>5.6364000000000001</v>
          </cell>
          <cell r="Q291">
            <v>90182.399999999994</v>
          </cell>
          <cell r="R291" t="str">
            <v>Completed Sign PO</v>
          </cell>
          <cell r="T291" t="str">
            <v>MSW</v>
          </cell>
          <cell r="U291" t="str">
            <v>Sentrapart Niaga Utama, PT
Central Turbo, PT
Alfa Teknik Mandiri Makmur, PT
Aneka Mitra Cipta, PT
Berkat Pratama Teknik, CV
Outsourcindo, PT
Blessindo Prima Sarana, PT
Cahaya Murni, CV
Anugrah Mandiri Putra Tabalong, PT
United Tractors, PT</v>
          </cell>
          <cell r="V291" t="str">
            <v>Alfa Teknik Mandiri Makmur, PT
Aneka Mitra Cipta, PT
Berkat Pratama Teknik, CV
United Tractors, PT</v>
          </cell>
          <cell r="W291" t="str">
            <v>10 of 10</v>
          </cell>
          <cell r="X291" t="str">
            <v>4 of 10</v>
          </cell>
          <cell r="Y291">
            <v>45372</v>
          </cell>
          <cell r="Z291">
            <v>45379</v>
          </cell>
          <cell r="AC291" t="str">
            <v xml:space="preserve"> of </v>
          </cell>
          <cell r="AD291" t="str">
            <v xml:space="preserve"> of </v>
          </cell>
          <cell r="AF291" t="str">
            <v/>
          </cell>
          <cell r="AI291" t="str">
            <v xml:space="preserve"> of </v>
          </cell>
          <cell r="AJ291" t="str">
            <v xml:space="preserve"> of </v>
          </cell>
          <cell r="AL291" t="str">
            <v/>
          </cell>
          <cell r="AM291">
            <v>0.70833333333333337</v>
          </cell>
          <cell r="AN291" t="str">
            <v>Berkat Pratama Teknik, CV</v>
          </cell>
          <cell r="AO291" t="str">
            <v>berkatpratamateknik@gmail.com</v>
          </cell>
          <cell r="AP291" t="str">
            <v>PO24000225</v>
          </cell>
          <cell r="AQ291">
            <v>714000</v>
          </cell>
          <cell r="AR291">
            <v>45384</v>
          </cell>
          <cell r="AS291">
            <v>45422</v>
          </cell>
          <cell r="AT291">
            <v>45422</v>
          </cell>
          <cell r="AU291">
            <v>45450</v>
          </cell>
          <cell r="AV291">
            <v>45426</v>
          </cell>
          <cell r="AW291">
            <v>45454</v>
          </cell>
          <cell r="AX291">
            <v>4</v>
          </cell>
          <cell r="AY291">
            <v>45422</v>
          </cell>
          <cell r="AZ291" t="str">
            <v/>
          </cell>
          <cell r="BA291" t="str">
            <v/>
          </cell>
          <cell r="BB291" t="str">
            <v>Late Completed</v>
          </cell>
          <cell r="BC291" t="str">
            <v>PR100008880</v>
          </cell>
        </row>
        <row r="292">
          <cell r="B292" t="str">
            <v>PR100008872 (Line 1-2)</v>
          </cell>
          <cell r="C292" t="str">
            <v>Material PM Loader (Gardan Loader)</v>
          </cell>
          <cell r="E292" t="str">
            <v>Sentrapart Niaga Utama, PT
Central Turbo, PT
Alfa Teknik Mandiri Makmur, PT
Aneka Mitra Cipta, PT
Berkat Pratama Teknik, CV
Outsourcindo, PT
Blessindo Prima Sarana, PT
Cahaya Murni, CV
Anugrah Mandiri Putra Tabalong, PT
United Tractors, PT</v>
          </cell>
          <cell r="F292" t="str">
            <v>Alfa Teknik Mandiri Makmur, PT
Aneka Mitra Cipta, PT
Berkat Pratama Teknik, CV
United Tractors, PT</v>
          </cell>
          <cell r="G292" t="str">
            <v>R0
4 of 10
28 Mar 24</v>
          </cell>
          <cell r="H292" t="str">
            <v>RIDHANI TAUFIQ</v>
          </cell>
          <cell r="I292">
            <v>45372</v>
          </cell>
          <cell r="J292" t="str">
            <v>Tech Main</v>
          </cell>
          <cell r="K292" t="str">
            <v>B</v>
          </cell>
          <cell r="L292" t="str">
            <v>BID</v>
          </cell>
          <cell r="M292" t="str">
            <v>0077</v>
          </cell>
          <cell r="N292" t="str">
            <v>RH</v>
          </cell>
          <cell r="O292" t="str">
            <v>robertiagus.haposan@alamtri.com</v>
          </cell>
          <cell r="P292">
            <v>120</v>
          </cell>
          <cell r="Q292">
            <v>1920000</v>
          </cell>
          <cell r="R292" t="str">
            <v>Completed Sign PO</v>
          </cell>
          <cell r="T292" t="str">
            <v>MSW</v>
          </cell>
          <cell r="U292" t="str">
            <v>Sentrapart Niaga Utama, PT
Central Turbo, PT
Alfa Teknik Mandiri Makmur, PT
Aneka Mitra Cipta, PT
Berkat Pratama Teknik, CV
Outsourcindo, PT
Blessindo Prima Sarana, PT
Cahaya Murni, CV
Anugrah Mandiri Putra Tabalong, PT
United Tractors, PT</v>
          </cell>
          <cell r="V292" t="str">
            <v>Alfa Teknik Mandiri Makmur, PT
Aneka Mitra Cipta, PT
Berkat Pratama Teknik, CV
United Tractors, PT</v>
          </cell>
          <cell r="W292" t="str">
            <v>10 of 10</v>
          </cell>
          <cell r="X292" t="str">
            <v>4 of 10</v>
          </cell>
          <cell r="Y292">
            <v>45372</v>
          </cell>
          <cell r="Z292">
            <v>45379</v>
          </cell>
          <cell r="AC292" t="str">
            <v xml:space="preserve"> of </v>
          </cell>
          <cell r="AD292" t="str">
            <v xml:space="preserve"> of </v>
          </cell>
          <cell r="AF292" t="str">
            <v/>
          </cell>
          <cell r="AI292" t="str">
            <v xml:space="preserve"> of </v>
          </cell>
          <cell r="AJ292" t="str">
            <v xml:space="preserve"> of </v>
          </cell>
          <cell r="AL292" t="str">
            <v/>
          </cell>
          <cell r="AM292">
            <v>0.70833333333333337</v>
          </cell>
          <cell r="AN292" t="str">
            <v>Berkat Pratama Teknik, CV</v>
          </cell>
          <cell r="AO292" t="str">
            <v>berkatpratamateknik@gmail.com</v>
          </cell>
          <cell r="AP292" t="str">
            <v>PO24000226</v>
          </cell>
          <cell r="AQ292">
            <v>4350000</v>
          </cell>
          <cell r="AR292">
            <v>45384</v>
          </cell>
          <cell r="AS292">
            <v>45422</v>
          </cell>
          <cell r="AT292">
            <v>45422</v>
          </cell>
          <cell r="AU292">
            <v>45450</v>
          </cell>
          <cell r="AV292">
            <v>45426</v>
          </cell>
          <cell r="AW292">
            <v>45454</v>
          </cell>
          <cell r="AX292">
            <v>4</v>
          </cell>
          <cell r="AY292">
            <v>45437</v>
          </cell>
          <cell r="AZ292" t="str">
            <v/>
          </cell>
          <cell r="BA292" t="str">
            <v/>
          </cell>
          <cell r="BB292" t="str">
            <v>Late Completed</v>
          </cell>
          <cell r="BC292" t="str">
            <v>PR100008872</v>
          </cell>
        </row>
        <row r="293">
          <cell r="B293" t="str">
            <v>PR100008932</v>
          </cell>
          <cell r="C293" t="str">
            <v>Spare Part Stock Inventory</v>
          </cell>
          <cell r="D293" t="str">
            <v>Gema Industrial, PT
Perwira Sentra Officindo, PT</v>
          </cell>
          <cell r="E293" t="str">
            <v>Gema Industrial, PT
Perwira Sentra Officindo, PT
Vhipa Mulia Pratama, PT
Berkat Pratama Teknik, CV
Alfa Teknik Mandiri Makmur, PT
Comtech Global Indonesia, PT
Sarana Prima Lestari, CV</v>
          </cell>
          <cell r="F293" t="str">
            <v>Gema Industrial, PT
Perwira Sentra Officindo, PT
Vhipa Mulia Pratama, PT
Berkat Pratama Teknik, CV
Alfa Teknik Mandiri Makmur, PT
Comtech Global Indonesia, PT
Sarana Prima Lestari, CV</v>
          </cell>
          <cell r="G293" t="str">
            <v>R1
7 of 7
21 Mar 24</v>
          </cell>
          <cell r="H293" t="str">
            <v>ARTHUR BRAMIYANA</v>
          </cell>
          <cell r="I293">
            <v>45372</v>
          </cell>
          <cell r="J293" t="str">
            <v>INV</v>
          </cell>
          <cell r="K293" t="str">
            <v>B</v>
          </cell>
          <cell r="L293" t="str">
            <v>BID</v>
          </cell>
          <cell r="M293" t="str">
            <v>0052</v>
          </cell>
          <cell r="N293" t="str">
            <v>RH</v>
          </cell>
          <cell r="O293" t="str">
            <v>robertiagus.haposan@alamtri.com</v>
          </cell>
          <cell r="P293">
            <v>372.54289999999997</v>
          </cell>
          <cell r="Q293">
            <v>5960686.3999999994</v>
          </cell>
          <cell r="R293" t="str">
            <v>Completed Sign PO</v>
          </cell>
          <cell r="T293" t="str">
            <v>MSW</v>
          </cell>
          <cell r="U293" t="str">
            <v>Gema Industrial, PT
Alfa Teknik Mandiri Makmur, PT
Perwira Sentra Officindo, PT
Anugrah Mandiri Putra Tabalong, PT
Outsourcindo, PT
Greentek Elektrikal Indonesia, PT
Vhipa Mulia Pratama, PT
Sehati, CV
Berkat Pratama Teknik, CV</v>
          </cell>
          <cell r="V293" t="str">
            <v>Gema Industrial, PT
Alfa Teknik Mandiri Makmur, PT
Perwira Sentra Officindo, PT
Vhipa Mulia Pratama, PT
Berkat Pratama Teknik, CV</v>
          </cell>
          <cell r="W293" t="str">
            <v>9 of 9</v>
          </cell>
          <cell r="X293" t="str">
            <v>5 of 9</v>
          </cell>
          <cell r="Y293">
            <v>45342</v>
          </cell>
          <cell r="Z293">
            <v>45349</v>
          </cell>
          <cell r="AA293" t="str">
            <v>Gema Industrial, PT
Perwira Sentra Officindo, PT
Vhipa Mulia Pratama, PT
Berkat Pratama Teknik, CV
Alfa Teknik Mandiri Makmur, PT
Comtech Global Indonesia, PT
Sarana Prima Lestari, CV</v>
          </cell>
          <cell r="AB293" t="str">
            <v>Gema Industrial, PT
Perwira Sentra Officindo, PT
Vhipa Mulia Pratama, PT
Berkat Pratama Teknik, CV
Alfa Teknik Mandiri Makmur, PT
Comtech Global Indonesia, PT
Sarana Prima Lestari, CV</v>
          </cell>
          <cell r="AC293" t="str">
            <v>7 of 7</v>
          </cell>
          <cell r="AD293" t="str">
            <v>7 of 7</v>
          </cell>
          <cell r="AE293">
            <v>45365</v>
          </cell>
          <cell r="AF293">
            <v>45372</v>
          </cell>
          <cell r="AI293" t="str">
            <v xml:space="preserve"> of </v>
          </cell>
          <cell r="AJ293" t="str">
            <v xml:space="preserve"> of </v>
          </cell>
          <cell r="AL293" t="str">
            <v/>
          </cell>
          <cell r="AM293">
            <v>0.70833333333333337</v>
          </cell>
          <cell r="AN293" t="str">
            <v>Berkat Pratama Teknik, CV</v>
          </cell>
          <cell r="AO293" t="str">
            <v>berkatpratamateknik@gmail.com</v>
          </cell>
          <cell r="AP293" t="str">
            <v>PO24000155</v>
          </cell>
          <cell r="AQ293">
            <v>3219100</v>
          </cell>
          <cell r="AR293">
            <v>45376</v>
          </cell>
          <cell r="AS293">
            <v>45387</v>
          </cell>
          <cell r="AT293">
            <v>45398</v>
          </cell>
          <cell r="AU293">
            <v>45450</v>
          </cell>
          <cell r="AV293">
            <v>45401</v>
          </cell>
          <cell r="AW293">
            <v>45453</v>
          </cell>
          <cell r="AX293">
            <v>7.4285714285714288</v>
          </cell>
          <cell r="AY293">
            <v>45437</v>
          </cell>
          <cell r="AZ293" t="str">
            <v/>
          </cell>
          <cell r="BA293" t="str">
            <v/>
          </cell>
          <cell r="BB293" t="str">
            <v>Completed</v>
          </cell>
          <cell r="BC293" t="str">
            <v>PR100008932</v>
          </cell>
        </row>
        <row r="294">
          <cell r="B294" t="str">
            <v>PR100008284</v>
          </cell>
          <cell r="C294" t="str">
            <v>Sparepart Rectifier ACDB AEG System for WO10551871</v>
          </cell>
          <cell r="E294" t="str">
            <v>Prima Saftindo Elektrika, PT
AEG Power Solutions Pte Ltd
Kin Kitra Kencana, PT
Antares Jaya Gemilang Prima, PT
Gridtech Indonesia, PT
Elang Mas Indoasia, PT
Outsourcindo, PT
Indoteknik Dotcom Gemilang,  PT</v>
          </cell>
          <cell r="F294" t="str">
            <v>Prima Saftindo Elektrika, PT
AEG Power Solutions Pte Ltd
Elang Mas Indoasia, PT</v>
          </cell>
          <cell r="G294" t="str">
            <v>R1
3 of 8
19 Apr 24</v>
          </cell>
          <cell r="H294" t="str">
            <v>DEDE SUDARJI</v>
          </cell>
          <cell r="I294">
            <v>45372</v>
          </cell>
          <cell r="J294" t="str">
            <v>Tech Main</v>
          </cell>
          <cell r="K294" t="str">
            <v>B</v>
          </cell>
          <cell r="L294" t="str">
            <v>BID</v>
          </cell>
          <cell r="M294" t="str">
            <v>0078</v>
          </cell>
          <cell r="N294" t="str">
            <v>RH</v>
          </cell>
          <cell r="O294" t="str">
            <v>robertiagus.haposan@alamtri.com</v>
          </cell>
          <cell r="P294">
            <v>1255</v>
          </cell>
          <cell r="Q294">
            <v>20080000</v>
          </cell>
          <cell r="R294" t="str">
            <v>Completed Sign PO</v>
          </cell>
          <cell r="T294" t="str">
            <v>MSW</v>
          </cell>
          <cell r="U294" t="str">
            <v>Prima Saftindo Elektrika, PT
Sanggadelima Nusantara, PT
Sahabat Energi Persada, PT
AEG Power Solutions Pte Ltd
Antares Jaya Gemilang Prima, PT
Elang Mas Indoasia, PT
Outsourcindo, PT</v>
          </cell>
          <cell r="V294" t="str">
            <v>None</v>
          </cell>
          <cell r="W294" t="str">
            <v>7 of 7</v>
          </cell>
          <cell r="X294" t="str">
            <v>1 of 7</v>
          </cell>
          <cell r="Y294">
            <v>45373</v>
          </cell>
          <cell r="Z294">
            <v>45383</v>
          </cell>
          <cell r="AA294" t="str">
            <v>Prima Saftindo Elektrika, PT
AEG Power Solutions Pte Ltd
Kin Kitra Kencana, PT
Antares Jaya Gemilang Prima, PT
Gridtech Indonesia, PT
Elang Mas Indoasia, PT
Outsourcindo, PT
Indoteknik Dotcom Gemilang,  PT</v>
          </cell>
          <cell r="AB294" t="str">
            <v>Prima Saftindo Elektrika, PT
AEG Power Solutions Pte Ltd
Elang Mas Indoasia, PT</v>
          </cell>
          <cell r="AC294" t="str">
            <v>8 of 8</v>
          </cell>
          <cell r="AD294" t="str">
            <v>3 of 8</v>
          </cell>
          <cell r="AE294">
            <v>45384</v>
          </cell>
          <cell r="AF294">
            <v>45401</v>
          </cell>
          <cell r="AI294" t="str">
            <v xml:space="preserve"> of </v>
          </cell>
          <cell r="AJ294" t="str">
            <v xml:space="preserve"> of </v>
          </cell>
          <cell r="AL294" t="str">
            <v/>
          </cell>
          <cell r="AM294">
            <v>0.70833333333333337</v>
          </cell>
          <cell r="AN294" t="str">
            <v>Prima Saftindo Elektrika, PT</v>
          </cell>
          <cell r="AO294" t="str">
            <v>sales.support@saftindo.com; muzafar@saftindo.com; admin@saftindo.com</v>
          </cell>
          <cell r="AP294" t="str">
            <v>PO24000289</v>
          </cell>
          <cell r="AQ294">
            <v>291230000</v>
          </cell>
          <cell r="AR294">
            <v>45405</v>
          </cell>
          <cell r="AS294">
            <v>45447</v>
          </cell>
          <cell r="AT294">
            <v>45448</v>
          </cell>
          <cell r="AU294">
            <v>45576</v>
          </cell>
          <cell r="AV294">
            <v>45450</v>
          </cell>
          <cell r="AW294">
            <v>45578</v>
          </cell>
          <cell r="AX294">
            <v>18.285714285714285</v>
          </cell>
          <cell r="AY294">
            <v>45461</v>
          </cell>
          <cell r="AZ294" t="str">
            <v/>
          </cell>
          <cell r="BA294" t="str">
            <v/>
          </cell>
          <cell r="BB294" t="str">
            <v>Late Completed</v>
          </cell>
          <cell r="BC294" t="str">
            <v>PR100008284</v>
          </cell>
        </row>
        <row r="295">
          <cell r="B295" t="str">
            <v>PR100008286</v>
          </cell>
          <cell r="C295" t="str">
            <v>Sparepart Inverter ACDB AEG System for WO10551871</v>
          </cell>
          <cell r="E295" t="str">
            <v>Prima Saftindo Elektrika, PT
AEG Power Solutions Pte Ltd
Kin Kitra Kencana, PT
Antares Jaya Gemilang Prima, PT
Gridtech Indonesia, PT
Elang Mas Indoasia, PT
Outsourcindo, PT
Indoteknik Dotcom Gemilang,  PT</v>
          </cell>
          <cell r="F295" t="str">
            <v>Prima Saftindo Elektrika, PT
AEG Power Solutions Pte Ltd
Elang Mas Indoasia, PT</v>
          </cell>
          <cell r="G295" t="str">
            <v>R1
3 of 8
19 Apr 24</v>
          </cell>
          <cell r="H295" t="str">
            <v>DEDE SUDARJI</v>
          </cell>
          <cell r="I295">
            <v>45372</v>
          </cell>
          <cell r="J295" t="str">
            <v>Tech Main</v>
          </cell>
          <cell r="K295" t="str">
            <v>B</v>
          </cell>
          <cell r="L295" t="str">
            <v>BID</v>
          </cell>
          <cell r="M295" t="str">
            <v>0078</v>
          </cell>
          <cell r="N295" t="str">
            <v>RH</v>
          </cell>
          <cell r="O295" t="str">
            <v>robertiagus.haposan@alamtri.com</v>
          </cell>
          <cell r="P295">
            <v>1541</v>
          </cell>
          <cell r="Q295">
            <v>24656000</v>
          </cell>
          <cell r="R295" t="str">
            <v>Completed Sign PO</v>
          </cell>
          <cell r="T295" t="str">
            <v>MSW</v>
          </cell>
          <cell r="U295" t="str">
            <v>Prima Saftindo Elektrika, PT
Sanggadelima Nusantara, PT
Sahabat Energi Persada, PT
AEG Power Solutions Pte Ltd
Antares Jaya Gemilang Prima, PT
Elang Mas Indoasia, PT
Outsourcindo, PT</v>
          </cell>
          <cell r="V295" t="str">
            <v>None</v>
          </cell>
          <cell r="W295" t="str">
            <v>7 of 7</v>
          </cell>
          <cell r="X295" t="str">
            <v>1 of 7</v>
          </cell>
          <cell r="Y295">
            <v>45373</v>
          </cell>
          <cell r="Z295">
            <v>45383</v>
          </cell>
          <cell r="AA295" t="str">
            <v>Prima Saftindo Elektrika, PT
AEG Power Solutions Pte Ltd
Kin Kitra Kencana, PT
Antares Jaya Gemilang Prima, PT
Gridtech Indonesia, PT
Elang Mas Indoasia, PT
Outsourcindo, PT
Indoteknik Dotcom Gemilang,  PT</v>
          </cell>
          <cell r="AB295" t="str">
            <v>Prima Saftindo Elektrika, PT
AEG Power Solutions Pte Ltd
Elang Mas Indoasia, PT</v>
          </cell>
          <cell r="AC295" t="str">
            <v>8 of 8</v>
          </cell>
          <cell r="AD295" t="str">
            <v>3 of 8</v>
          </cell>
          <cell r="AE295">
            <v>45384</v>
          </cell>
          <cell r="AF295">
            <v>45401</v>
          </cell>
          <cell r="AI295" t="str">
            <v xml:space="preserve"> of </v>
          </cell>
          <cell r="AJ295" t="str">
            <v xml:space="preserve"> of </v>
          </cell>
          <cell r="AL295" t="str">
            <v/>
          </cell>
          <cell r="AM295">
            <v>0.70833333333333337</v>
          </cell>
          <cell r="AN295" t="str">
            <v>Prima Saftindo Elektrika, PT</v>
          </cell>
          <cell r="AO295" t="str">
            <v>sales.support@saftindo.com; muzafar@saftindo.com; admin@saftindo.com</v>
          </cell>
          <cell r="AP295" t="str">
            <v>PO24000289</v>
          </cell>
          <cell r="AQ295">
            <v>291230000</v>
          </cell>
          <cell r="AR295">
            <v>45405</v>
          </cell>
          <cell r="AS295">
            <v>45447</v>
          </cell>
          <cell r="AT295">
            <v>45448</v>
          </cell>
          <cell r="AU295">
            <v>45576</v>
          </cell>
          <cell r="AV295">
            <v>45450</v>
          </cell>
          <cell r="AW295">
            <v>45578</v>
          </cell>
          <cell r="AX295">
            <v>18.285714285714285</v>
          </cell>
          <cell r="AY295">
            <v>45461</v>
          </cell>
          <cell r="AZ295" t="str">
            <v/>
          </cell>
          <cell r="BA295" t="str">
            <v/>
          </cell>
          <cell r="BB295" t="str">
            <v>Late Completed</v>
          </cell>
          <cell r="BC295" t="str">
            <v>PR100008286</v>
          </cell>
        </row>
        <row r="296">
          <cell r="B296" t="str">
            <v>PR100008972</v>
          </cell>
          <cell r="C296" t="str">
            <v>Pengadaan part untuk pengujian PM Battery EIC WO10551871</v>
          </cell>
          <cell r="E296" t="str">
            <v>Greentek Elektrikal Indonesia, PT
Sahabat Energi Persada, PT
Petrocom Nusa Synergy, PT
Outsourcindo, PT
Anugrah Mandiri Putra Tabalong, PT
Indo Tehnik Tanjung Tabalong, PT
Perwira Sentra Officindo, PT
Antares Jaya Gemilang Prima, PT
Gema Industrial, PT
Kin Kitra Kencana, PT</v>
          </cell>
          <cell r="F296" t="str">
            <v>Greentek Elektrikal Indonesia, PT
Sahabat Energi Persada, PT
Petrocom Nusa Synergy, PT
Antares Jaya Gemilang Prima, PT</v>
          </cell>
          <cell r="G296" t="str">
            <v>R0
4 of 10
01 Apr 24</v>
          </cell>
          <cell r="H296" t="str">
            <v>DEDE SUDARJI</v>
          </cell>
          <cell r="I296">
            <v>45372</v>
          </cell>
          <cell r="J296" t="str">
            <v>Tech Main</v>
          </cell>
          <cell r="K296" t="str">
            <v>B</v>
          </cell>
          <cell r="L296" t="str">
            <v>BID</v>
          </cell>
          <cell r="M296" t="str">
            <v>0079</v>
          </cell>
          <cell r="N296" t="str">
            <v>RH</v>
          </cell>
          <cell r="O296" t="str">
            <v>robertiagus.haposan@alamtri.com</v>
          </cell>
          <cell r="P296">
            <v>700</v>
          </cell>
          <cell r="Q296">
            <v>11200000</v>
          </cell>
          <cell r="R296" t="str">
            <v>Completed Sign PO</v>
          </cell>
          <cell r="T296" t="str">
            <v>MSW</v>
          </cell>
          <cell r="U296" t="str">
            <v>Greentek Elektrikal Indonesia, PT
Sahabat Energi Persada, PT
Petrocom Nusa Synergy, PT
Outsourcindo, PT
Anugrah Mandiri Putra Tabalong, PT
Indo Tehnik Tanjung Tabalong, PT
Perwira Sentra Officindo, PT
Antares Jaya Gemilang Prima, PT
Gema Industrial, PT
Kin Kitra Kencana, PT</v>
          </cell>
          <cell r="V296" t="str">
            <v>Greentek Elektrikal Indonesia, PT
Sahabat Energi Persada, PT
Petrocom Nusa Synergy, PT
Antares Jaya Gemilang Prima, PT</v>
          </cell>
          <cell r="W296" t="str">
            <v>10 of 10</v>
          </cell>
          <cell r="X296" t="str">
            <v>4 of 10</v>
          </cell>
          <cell r="Y296">
            <v>45373</v>
          </cell>
          <cell r="Z296">
            <v>45383</v>
          </cell>
          <cell r="AC296" t="str">
            <v xml:space="preserve"> of </v>
          </cell>
          <cell r="AD296" t="str">
            <v xml:space="preserve"> of </v>
          </cell>
          <cell r="AF296" t="str">
            <v/>
          </cell>
          <cell r="AI296" t="str">
            <v xml:space="preserve"> of </v>
          </cell>
          <cell r="AJ296" t="str">
            <v xml:space="preserve"> of </v>
          </cell>
          <cell r="AL296" t="str">
            <v/>
          </cell>
          <cell r="AM296">
            <v>0.70833333333333337</v>
          </cell>
          <cell r="AN296" t="str">
            <v>Petrocom Nusa Synergy, PT</v>
          </cell>
          <cell r="AO296" t="str">
            <v>petrocomnusasynergy@gmail.com</v>
          </cell>
          <cell r="AP296" t="str">
            <v>PO24000179</v>
          </cell>
          <cell r="AQ296">
            <v>54000000</v>
          </cell>
          <cell r="AR296">
            <v>45384</v>
          </cell>
          <cell r="AS296">
            <v>45403</v>
          </cell>
          <cell r="AT296">
            <v>45407</v>
          </cell>
          <cell r="AU296">
            <v>45457</v>
          </cell>
          <cell r="AV296">
            <v>45408</v>
          </cell>
          <cell r="AW296">
            <v>45458</v>
          </cell>
          <cell r="AX296">
            <v>7.1428571428571432</v>
          </cell>
          <cell r="AY296">
            <v>45486</v>
          </cell>
          <cell r="AZ296">
            <v>28</v>
          </cell>
          <cell r="BA296">
            <v>1512000</v>
          </cell>
          <cell r="BB296" t="str">
            <v>Late Completed</v>
          </cell>
          <cell r="BC296" t="str">
            <v>PR100008972</v>
          </cell>
        </row>
        <row r="297">
          <cell r="B297" t="str">
            <v>PR100009020</v>
          </cell>
          <cell r="C297" t="str">
            <v>Reagent Laboratorium Bulan Maret 2024 (see long desc)</v>
          </cell>
          <cell r="D297" t="str">
            <v>Alfa Teknik Mandiri Makmur, PT
Intraparr Nusantara, PT</v>
          </cell>
          <cell r="E297" t="str">
            <v>Alfa Teknik Mandiri Makmur, PT
Global Satria Aji, PT
Alfa Pegasus, PT
Intraparr Nusantara, PT
Ecolab International Indonesia, PT
Manna Jaya, PT
Catur Inti Chemical, PT
Labodia Prima, PT
Indofa Utama Multi Core, PT
Arsy Media Karya Indonesia, PT
Cahayatiara Mustika Scientific Indonesia, PT</v>
          </cell>
          <cell r="F297" t="str">
            <v>Alfa Teknik Mandiri Makmur, PT
Alfa Pegasus, PT
Intraparr Nusantara, PT
Ecolab International Indonesia, PT</v>
          </cell>
          <cell r="G297" t="str">
            <v>R0
4 of 11
05 Apr 24</v>
          </cell>
          <cell r="H297" t="str">
            <v>DENI SUHENDRA</v>
          </cell>
          <cell r="I297">
            <v>45372</v>
          </cell>
          <cell r="J297" t="str">
            <v>Tech Op</v>
          </cell>
          <cell r="K297" t="str">
            <v>B</v>
          </cell>
          <cell r="L297" t="str">
            <v>BID</v>
          </cell>
          <cell r="M297" t="str">
            <v>0081</v>
          </cell>
          <cell r="N297" t="str">
            <v>RH</v>
          </cell>
          <cell r="O297" t="str">
            <v>robertiagus.haposan@alamtri.com</v>
          </cell>
          <cell r="P297">
            <v>480.79</v>
          </cell>
          <cell r="Q297">
            <v>7692640</v>
          </cell>
          <cell r="R297" t="str">
            <v>Completed Sign PO</v>
          </cell>
          <cell r="T297" t="str">
            <v>MSW</v>
          </cell>
          <cell r="U297" t="str">
            <v>Alfa Teknik Mandiri Makmur, PT
Global Satria Aji, PT
Alfa Pegasus, PT
Intraparr Nusantara, PT
Ecolab International Indonesia, PT
Manna Jaya, PT
Catur Inti Chemical, PT
Labodia Prima, PT
Indofa Utama Multi Core, PT
Arsy Media Karya Indonesia, PT
Cahayatiara Mustika Scientific Indonesia, PT</v>
          </cell>
          <cell r="V297" t="str">
            <v>Alfa Teknik Mandiri Makmur, PT
Alfa Pegasus, PT
Intraparr Nusantara, PT
Ecolab International Indonesia, PT</v>
          </cell>
          <cell r="W297" t="str">
            <v>11 of 11</v>
          </cell>
          <cell r="X297" t="str">
            <v>4 of 11</v>
          </cell>
          <cell r="Y297">
            <v>45376</v>
          </cell>
          <cell r="Z297">
            <v>45387</v>
          </cell>
          <cell r="AC297" t="str">
            <v xml:space="preserve"> of </v>
          </cell>
          <cell r="AD297" t="str">
            <v xml:space="preserve"> of </v>
          </cell>
          <cell r="AF297" t="str">
            <v/>
          </cell>
          <cell r="AI297" t="str">
            <v xml:space="preserve"> of </v>
          </cell>
          <cell r="AJ297" t="str">
            <v xml:space="preserve"> of </v>
          </cell>
          <cell r="AL297" t="str">
            <v/>
          </cell>
          <cell r="AM297">
            <v>0.70833333333333337</v>
          </cell>
          <cell r="AN297" t="str">
            <v>Intraparr Nusantara, PT</v>
          </cell>
          <cell r="AO297" t="str">
            <v>intraparr@cbn.net.id; intraparr.nusantara@gmail.com</v>
          </cell>
          <cell r="AP297" t="str">
            <v>PO24000203</v>
          </cell>
          <cell r="AQ297">
            <v>10037000</v>
          </cell>
          <cell r="AR297">
            <v>45399</v>
          </cell>
          <cell r="AS297">
            <v>45412</v>
          </cell>
          <cell r="AT297">
            <v>45412</v>
          </cell>
          <cell r="AU297">
            <v>45457</v>
          </cell>
          <cell r="AV297">
            <v>45415</v>
          </cell>
          <cell r="AW297">
            <v>45460</v>
          </cell>
          <cell r="AX297">
            <v>6.4285714285714288</v>
          </cell>
          <cell r="AY297">
            <v>45552</v>
          </cell>
          <cell r="AZ297">
            <v>92</v>
          </cell>
          <cell r="BA297">
            <v>501850</v>
          </cell>
          <cell r="BB297" t="str">
            <v>Late Completed</v>
          </cell>
          <cell r="BC297" t="str">
            <v>PR100009020</v>
          </cell>
        </row>
        <row r="298">
          <cell r="B298" t="str">
            <v>PR100008872 (Line 3)</v>
          </cell>
          <cell r="C298" t="str">
            <v>Material PM Loader (Gardan Loader)</v>
          </cell>
          <cell r="E298" t="str">
            <v>Sentrapart Niaga Utama, PT
Aneka Mitra Cipta, PT
Bima Kaltim Utama, PT
Petrocom Nusa Synergy, PT
Universal Sukses Abadi, PT
Mulia Abadi Sukses Partindo, PT
Pasific Tractor Indonesia, PT
Arisco Mandiri, PT</v>
          </cell>
          <cell r="F298" t="str">
            <v>Bima Kaltim Utama, PT
Petrocom Nusa Synergy, PT
Pasific Tractor Indonesia, PT</v>
          </cell>
          <cell r="G298" t="str">
            <v>R2
3 of 8
14 Jun 24</v>
          </cell>
          <cell r="H298" t="str">
            <v>RIDHANI TAUFIQ</v>
          </cell>
          <cell r="I298">
            <v>45372</v>
          </cell>
          <cell r="J298" t="str">
            <v>Tech Main</v>
          </cell>
          <cell r="K298" t="str">
            <v>B</v>
          </cell>
          <cell r="L298" t="str">
            <v>BID</v>
          </cell>
          <cell r="M298" t="str">
            <v>0077</v>
          </cell>
          <cell r="N298" t="str">
            <v>RH</v>
          </cell>
          <cell r="O298" t="str">
            <v>robertiagus.haposan@alamtri.com</v>
          </cell>
          <cell r="P298">
            <v>60</v>
          </cell>
          <cell r="Q298">
            <v>960000</v>
          </cell>
          <cell r="R298" t="str">
            <v>Completed Sign PO</v>
          </cell>
          <cell r="T298" t="str">
            <v>MSW</v>
          </cell>
          <cell r="U298" t="str">
            <v>Sentrapart Niaga Utama, PT
Central Turbo, PT
Alfa Teknik Mandiri Makmur, PT
Aneka Mitra Cipta, PT
Berkat Pratama Teknik, CV
Outsourcindo, PT
Blessindo Prima Sarana, PT
Cahaya Murni, CV
Anugrah Mandiri Putra Tabalong, PT
United Tractors, PT</v>
          </cell>
          <cell r="V298" t="str">
            <v>Alfa Teknik Mandiri Makmur, PT
Aneka Mitra Cipta, PT
Berkat Pratama Teknik, CV
United Tractors, PT</v>
          </cell>
          <cell r="W298" t="str">
            <v>10 of 10</v>
          </cell>
          <cell r="X298" t="str">
            <v>4 of 10</v>
          </cell>
          <cell r="Y298">
            <v>45372</v>
          </cell>
          <cell r="Z298">
            <v>45379</v>
          </cell>
          <cell r="AA298" t="str">
            <v>Sentrapart Niaga Utama, PT
Blessindo Prima Sarana, PT
Arisco Mandiri, PT
Duta Khansa Mandiri, CV
Cahaya Multi Parts, PD
Berkat Pratama Teknik, CV
Aneka Mitra Cipta, PT
Alfa Teknik Mandiri Makmur, PT</v>
          </cell>
          <cell r="AB298" t="str">
            <v>Sentrapart Niaga Utama, PT
Aneka Mitra Cipta, PT</v>
          </cell>
          <cell r="AC298" t="str">
            <v>8 of 8</v>
          </cell>
          <cell r="AD298" t="str">
            <v>2 of 8</v>
          </cell>
          <cell r="AE298">
            <v>45422</v>
          </cell>
          <cell r="AF298">
            <v>45432</v>
          </cell>
          <cell r="AG298" t="str">
            <v>Sentrapart Niaga Utama, PT
Aneka Mitra Cipta, PT
Bima Kaltim Utama, PT
Petrocom Nusa Synergy, PT
Universal Sukses Abadi, PT
Mulia Abadi Sukses Partindo, PT
Pasific Tractor Indonesia, PT
Arisco Mandiri, PT</v>
          </cell>
          <cell r="AH298" t="str">
            <v>Bima Kaltim Utama, PT
Petrocom Nusa Synergy, PT
Pasific Tractor Indonesia, PT</v>
          </cell>
          <cell r="AI298" t="str">
            <v>8 of 8</v>
          </cell>
          <cell r="AJ298" t="str">
            <v>3 of 8</v>
          </cell>
          <cell r="AK298">
            <v>45450</v>
          </cell>
          <cell r="AL298">
            <v>45457</v>
          </cell>
          <cell r="AM298">
            <v>0.70833333333333337</v>
          </cell>
          <cell r="AN298" t="str">
            <v>Pacific Tractor Indonesia, PT</v>
          </cell>
          <cell r="AO298" t="str">
            <v>tati@pacifictractors.com</v>
          </cell>
          <cell r="AP298" t="str">
            <v>PO24000365</v>
          </cell>
          <cell r="AQ298">
            <v>5200000</v>
          </cell>
          <cell r="AR298">
            <v>45462</v>
          </cell>
          <cell r="AS298">
            <v>45474</v>
          </cell>
          <cell r="AT298">
            <v>45475</v>
          </cell>
          <cell r="AU298">
            <v>45506</v>
          </cell>
          <cell r="AV298">
            <v>45477</v>
          </cell>
          <cell r="AW298">
            <v>45508</v>
          </cell>
          <cell r="AX298">
            <v>4.4285714285714288</v>
          </cell>
          <cell r="AY298">
            <v>45529</v>
          </cell>
          <cell r="AZ298">
            <v>21</v>
          </cell>
          <cell r="BA298">
            <v>156000</v>
          </cell>
          <cell r="BB298" t="str">
            <v>Late Completed</v>
          </cell>
          <cell r="BC298" t="str">
            <v>PR100008872</v>
          </cell>
        </row>
        <row r="299">
          <cell r="B299" t="str">
            <v>PR100008997</v>
          </cell>
          <cell r="C299" t="str">
            <v>Pembelian  Core &amp; Gasket  radiator untuk Genset 3G1</v>
          </cell>
          <cell r="E299" t="str">
            <v>Trakindo Utama, PT (Tanjung)
Central Turbo, PT
Generindo, PT
Vhipa Mulia Pratama, PT
Alfa Teknik Mandiri Makmur, PT
Andalan Tiga Berlian, PT
Petrocom Nusa Synergy, PT
Outsourcindo, PT
Antares Jaya Gemilang Prima, PT
Berkat Pratama Teknik, CV
Aneka Mitra Cipta, PT
Sentrapart Niaga Utama, PT</v>
          </cell>
          <cell r="F299" t="str">
            <v>Trakindo Utama, PT (Tanjung)
Vhipa Mulia Pratama, PT
Petrocom Nusa Synergy, PT
Outsourcindo, PT
Aneka Mitra Cipta, PT</v>
          </cell>
          <cell r="G299" t="str">
            <v>R0
5 of 12
18 Apr 24</v>
          </cell>
          <cell r="H299" t="str">
            <v>SLAMET</v>
          </cell>
          <cell r="I299">
            <v>45378</v>
          </cell>
          <cell r="J299" t="str">
            <v>Tech Main</v>
          </cell>
          <cell r="K299" t="str">
            <v>B</v>
          </cell>
          <cell r="L299" t="str">
            <v>BID</v>
          </cell>
          <cell r="M299" t="str">
            <v>0097</v>
          </cell>
          <cell r="N299" t="str">
            <v>RH</v>
          </cell>
          <cell r="O299" t="str">
            <v>robertiagus.haposan@alamtri.com</v>
          </cell>
          <cell r="P299">
            <v>14426</v>
          </cell>
          <cell r="Q299">
            <v>230816000</v>
          </cell>
          <cell r="R299" t="str">
            <v>Completed Sign PO</v>
          </cell>
          <cell r="T299" t="str">
            <v>MSW</v>
          </cell>
          <cell r="U299" t="str">
            <v>Trakindo Utama, PT (Tanjung)
Central Turbo, PT
Generindo, PT
Vhipa Mulia Pratama, PT
Alfa Teknik Mandiri Makmur, PT
Andalan Tiga Berlian, PT
Petrocom Nusa Synergy, PT
Outsourcindo, PT
Antares Jaya Gemilang Prima, PT
Berkat Pratama Teknik, CV
Aneka Mitra Cipta, PT
Sentrapart Niaga Utama, PT</v>
          </cell>
          <cell r="V299" t="str">
            <v>Trakindo Utama, PT (Tanjung)
Vhipa Mulia Pratama, PT
Petrocom Nusa Synergy, PT
Outsourcindo, PT
Aneka Mitra Cipta, PT</v>
          </cell>
          <cell r="W299" t="str">
            <v>12 of 12</v>
          </cell>
          <cell r="X299" t="str">
            <v>5 of 12</v>
          </cell>
          <cell r="Y299">
            <v>45384</v>
          </cell>
          <cell r="Z299">
            <v>45400</v>
          </cell>
          <cell r="AC299" t="str">
            <v xml:space="preserve"> of </v>
          </cell>
          <cell r="AD299" t="str">
            <v xml:space="preserve"> of </v>
          </cell>
          <cell r="AF299" t="str">
            <v/>
          </cell>
          <cell r="AI299" t="str">
            <v xml:space="preserve"> of </v>
          </cell>
          <cell r="AJ299" t="str">
            <v xml:space="preserve"> of </v>
          </cell>
          <cell r="AL299" t="str">
            <v/>
          </cell>
          <cell r="AM299">
            <v>0.70833333333333337</v>
          </cell>
          <cell r="AN299" t="str">
            <v>Trakindo Utama, PT</v>
          </cell>
          <cell r="AO299" t="str">
            <v>hjuniater.sidauruk@trakindo.co.id</v>
          </cell>
          <cell r="AP299" t="str">
            <v>PO24000210</v>
          </cell>
          <cell r="AQ299">
            <v>207292926</v>
          </cell>
          <cell r="AR299">
            <v>45404</v>
          </cell>
          <cell r="AS299">
            <v>45411</v>
          </cell>
          <cell r="AT299">
            <v>45414</v>
          </cell>
          <cell r="AU299">
            <v>45457</v>
          </cell>
          <cell r="AV299">
            <v>45415</v>
          </cell>
          <cell r="AW299">
            <v>45458</v>
          </cell>
          <cell r="AX299">
            <v>6.1428571428571432</v>
          </cell>
          <cell r="AY299">
            <v>45433</v>
          </cell>
          <cell r="AZ299" t="str">
            <v/>
          </cell>
          <cell r="BA299" t="str">
            <v/>
          </cell>
          <cell r="BB299" t="str">
            <v>Late Completed</v>
          </cell>
          <cell r="BC299" t="str">
            <v>PR100008997</v>
          </cell>
        </row>
        <row r="300">
          <cell r="B300" t="str">
            <v>PR100008806</v>
          </cell>
          <cell r="C300" t="str">
            <v>Pengadaan Spare Part Perbaikan ACWP - BOP (WO10613950)</v>
          </cell>
          <cell r="E300" t="str">
            <v>Outsourcindo, PT
Bhakti Ratutama Jaya, PT
Anugrah Mandiri Putra Tabalong, PT
Teco Multiguna Elektro, PT
Siemens Indonesia, PT
Gevana, PT
Sola Anugerah Oilfield, PT
Ganesha Wirya Pratama, PT
Gama Tritunggal Pratama, PT
Elang Mas Indoasia, PT
ABB Sakti Industri, PT
Borneo Maju Jaya, PT
Vhipa Mulia Pratama, PT
Antares Jaya Gemilang Prima, PT
Multikarya Asia Pasifik Raya, PT
KSB Sales Indonesia, PT</v>
          </cell>
          <cell r="F300" t="str">
            <v>Outsourcindo, PT
Teco Multiguna Elektro, PT
Gevana, PT
Sola Anugerah Oilfield, PT
Antares Jaya Gemilang Prima, PT
Multikarya Asia Pasifik Raya, PT</v>
          </cell>
          <cell r="G300" t="str">
            <v>R1
6 of 16
26 Apr 24</v>
          </cell>
          <cell r="H300" t="str">
            <v>DEDE SUDARJI</v>
          </cell>
          <cell r="I300">
            <v>45398</v>
          </cell>
          <cell r="J300" t="str">
            <v>Tech Main</v>
          </cell>
          <cell r="K300" t="str">
            <v>B</v>
          </cell>
          <cell r="L300" t="str">
            <v>BID</v>
          </cell>
          <cell r="M300" t="str">
            <v>0045</v>
          </cell>
          <cell r="N300" t="str">
            <v>RH</v>
          </cell>
          <cell r="O300" t="str">
            <v>robertiagus.haposan@alamtri.com</v>
          </cell>
          <cell r="P300">
            <v>3200</v>
          </cell>
          <cell r="Q300">
            <v>51200000</v>
          </cell>
          <cell r="R300" t="str">
            <v>Completed Sign PO</v>
          </cell>
          <cell r="T300" t="str">
            <v>MSW</v>
          </cell>
          <cell r="U300" t="str">
            <v>Gema Industrial, PT
Kin Kitra Kencana, PT
Bhakti Ratutama Jaya, PT
Anugrah Mandiri Putra Tabalong, PT
Greentek Elektrikal Indonesia, PT
Berkat Pratama Teknik, CV
Petrocom Nusa Synergy, PT
Outsourcindo, PT</v>
          </cell>
          <cell r="V300" t="str">
            <v>Bhakti Ratutama Jaya, PT
Anugrah Mandiri Putra Tabalong, PT
Outsourcindo, PT</v>
          </cell>
          <cell r="W300" t="str">
            <v>8 of 8</v>
          </cell>
          <cell r="X300" t="str">
            <v>3 of 8</v>
          </cell>
          <cell r="Y300">
            <v>45338</v>
          </cell>
          <cell r="Z300">
            <v>45344</v>
          </cell>
          <cell r="AA300" t="str">
            <v>Outsourcindo, PT
Bhakti Ratutama Jaya, PT
Anugrah Mandiri Putra Tabalong, PT
Teco Multiguna Elektro, PT
Siemens Indonesia, PT
Gevana, PT
Sola Anugerah Oilfield, PT
Ganesha Wirya Pratama, PT
Gama Tritunggal Pratama, PT
Elang Mas Indoasia, PT
ABB Sakti Industri, PT
Borneo Maju Jaya, PT
Vhipa Mulia Pratama, PT
Antares Jaya Gemilang Prima, PT
Multikarya Asia Pasifik Raya, PT
KSB Sales Indonesia, PT</v>
          </cell>
          <cell r="AB300" t="str">
            <v>Outsourcindo, PT
Teco Multiguna Elektro, PT
Gevana, PT
Sola Anugerah Oilfield, PT
Antares Jaya Gemilang Prima, PT
Multikarya Asia Pasifik Raya, PT</v>
          </cell>
          <cell r="AC300" t="str">
            <v>16 of 16</v>
          </cell>
          <cell r="AD300" t="str">
            <v>6 of 16</v>
          </cell>
          <cell r="AE300">
            <v>45399</v>
          </cell>
          <cell r="AF300">
            <v>45408</v>
          </cell>
          <cell r="AI300" t="str">
            <v xml:space="preserve"> of </v>
          </cell>
          <cell r="AJ300" t="str">
            <v xml:space="preserve"> of </v>
          </cell>
          <cell r="AL300" t="str">
            <v/>
          </cell>
          <cell r="AM300">
            <v>0.70833333333333337</v>
          </cell>
          <cell r="AN300" t="str">
            <v>Teco Multiguna Elektro, PT</v>
          </cell>
          <cell r="AO300" t="str">
            <v>helmi@teco.id</v>
          </cell>
          <cell r="AP300" t="str">
            <v>PO24000381</v>
          </cell>
          <cell r="AQ300">
            <v>155800000</v>
          </cell>
          <cell r="AR300">
            <v>45411</v>
          </cell>
          <cell r="AS300">
            <v>45462</v>
          </cell>
          <cell r="AT300">
            <v>45488</v>
          </cell>
          <cell r="AU300">
            <v>45681</v>
          </cell>
          <cell r="AV300">
            <v>45490</v>
          </cell>
          <cell r="AW300">
            <v>45683</v>
          </cell>
          <cell r="AX300">
            <v>27.571428571428573</v>
          </cell>
          <cell r="AY300">
            <v>45712</v>
          </cell>
          <cell r="AZ300">
            <v>29</v>
          </cell>
          <cell r="BA300">
            <v>4518200</v>
          </cell>
          <cell r="BB300" t="str">
            <v>Late Completed</v>
          </cell>
          <cell r="BC300" t="str">
            <v>PR100008806</v>
          </cell>
        </row>
        <row r="301">
          <cell r="B301" t="str">
            <v>PR100009072</v>
          </cell>
          <cell r="C301" t="str">
            <v>Cooling Fan part of AEG DCDB / DC Charger Stock INVentory</v>
          </cell>
          <cell r="E301" t="str">
            <v>Prima Saftindo Elektrika, PT
AEG Power Solutions Pte Ltd
Alfa Teknik Mandiri Makmur, PT
Borneo Maju Jaya, PT
Powerbrain Automasi Energi, PT
Ganesha Wirya Pratama, PT
Antares Jaya Gemilang Prima, PT</v>
          </cell>
          <cell r="F301" t="str">
            <v>Prima Saftindo Elektrika, PT
AEG Power Solutions Pte Ltd
Antares Jaya Gemilang Prima, PT</v>
          </cell>
          <cell r="G301" t="str">
            <v>R2
3 of 7
17 May 24</v>
          </cell>
          <cell r="H301" t="str">
            <v>ARTHUR BRAMIYANA</v>
          </cell>
          <cell r="I301">
            <v>45400</v>
          </cell>
          <cell r="J301" t="str">
            <v>INV</v>
          </cell>
          <cell r="K301" t="str">
            <v>B</v>
          </cell>
          <cell r="L301" t="str">
            <v>BID</v>
          </cell>
          <cell r="M301" t="str">
            <v>0101</v>
          </cell>
          <cell r="N301" t="str">
            <v>RH</v>
          </cell>
          <cell r="O301" t="str">
            <v>robertiagus.haposan@alamtri.com</v>
          </cell>
          <cell r="P301">
            <v>1028.4749999999999</v>
          </cell>
          <cell r="Q301">
            <v>16455599.999999998</v>
          </cell>
          <cell r="R301" t="str">
            <v>Completed Sign PO</v>
          </cell>
          <cell r="T301" t="str">
            <v>MSW</v>
          </cell>
          <cell r="U301" t="str">
            <v>Prima Saftindo Elektrika, PT
Antares Jaya Gemilang Prima, PT
Outsourcindo, PT
Elang Mas Indoasia, PT
AEG Power Solutions Pte Ltd
Indoteknik Dotcom Gemilang,  PT
Sahabat Energi Persada, PT</v>
          </cell>
          <cell r="V301" t="str">
            <v>Prima Saftindo Elektrika, PT</v>
          </cell>
          <cell r="W301" t="str">
            <v>7 of 7</v>
          </cell>
          <cell r="X301" t="str">
            <v>1 of 7</v>
          </cell>
          <cell r="Y301">
            <v>45404</v>
          </cell>
          <cell r="Z301">
            <v>45414</v>
          </cell>
          <cell r="AA301" t="str">
            <v>Prima Saftindo Elektrika, PT
Westindo Eka Perkasa, PT
Gridtech Indonesia, PT
Borneo Maju Jaya, PT
AEG Power Solutions Pte Ltd
Gema Industrial, PT
Kin Kitra Kencana, PT
Antares Jaya Gemilang Prima, PT
Elang Mas Indoasia, PT</v>
          </cell>
          <cell r="AB301" t="str">
            <v>Prima Saftindo Elektrika, PT</v>
          </cell>
          <cell r="AC301" t="str">
            <v>9 of 9</v>
          </cell>
          <cell r="AD301" t="str">
            <v>1 of 9</v>
          </cell>
          <cell r="AE301">
            <v>45415</v>
          </cell>
          <cell r="AF301">
            <v>45425</v>
          </cell>
          <cell r="AG301" t="str">
            <v>Prima Saftindo Elektrika, PT
AEG Power Solutions Pte Ltd
Alfa Teknik Mandiri Makmur, PT
Borneo Maju Jaya, PT
Powerbrain Automasi Energi, PT
Ganesha Wirya Pratama, PT
Antares Jaya Gemilang Prima, PT</v>
          </cell>
          <cell r="AH301" t="str">
            <v>Prima Saftindo Elektrika, PT
AEG Power Solutions Pte Ltd
Antares Jaya Gemilang Prima, PT</v>
          </cell>
          <cell r="AI301" t="str">
            <v>7 of 7</v>
          </cell>
          <cell r="AJ301" t="str">
            <v>3 of 7</v>
          </cell>
          <cell r="AK301">
            <v>45426</v>
          </cell>
          <cell r="AL301">
            <v>45429</v>
          </cell>
          <cell r="AM301">
            <v>0.70833333333333337</v>
          </cell>
          <cell r="AN301" t="str">
            <v>Antares Jaya Gemilang Prima, PT</v>
          </cell>
          <cell r="AO301" t="str">
            <v>info@pt-antares.com; antares.jgp@gmail.com</v>
          </cell>
          <cell r="AP301" t="str">
            <v>PO24000316</v>
          </cell>
          <cell r="AQ301">
            <v>15750000</v>
          </cell>
          <cell r="AR301">
            <v>45439</v>
          </cell>
          <cell r="AS301">
            <v>45456</v>
          </cell>
          <cell r="AT301">
            <v>45457</v>
          </cell>
          <cell r="AU301">
            <v>45520</v>
          </cell>
          <cell r="AV301">
            <v>45425</v>
          </cell>
          <cell r="AW301">
            <v>45488</v>
          </cell>
          <cell r="AX301">
            <v>9</v>
          </cell>
          <cell r="AY301">
            <v>45516</v>
          </cell>
          <cell r="AZ301">
            <v>28</v>
          </cell>
          <cell r="BA301">
            <v>441000</v>
          </cell>
          <cell r="BB301" t="str">
            <v>Late Completed</v>
          </cell>
          <cell r="BC301" t="str">
            <v>PR100009072</v>
          </cell>
        </row>
        <row r="302">
          <cell r="B302" t="str">
            <v>PR100009032</v>
          </cell>
          <cell r="C302" t="str">
            <v>Pembelian AVR untuk Unit Genset 3G1  &amp; 3G2 IBT. P/N .365-2076</v>
          </cell>
          <cell r="E302" t="str">
            <v>Greentek Elektrikal Indonesia, PT
Trakindo Utama, PT (Tanjung)
Sumberdaya Sewatama, PT
Aneka Mitra Cipta, PT
Sentrapart Niaga Utama, PT
Petrocom Nusa Synergy, PT
Lotus Inti Pratama, PT
Vhipa Mulia Pratama, PT
Alfa Teknik Mandiri Makmur, PT
Outsourcindo, PT
Panja Utama, PT
Gema Industrial, PT
Kin Kitra Kencana, PT</v>
          </cell>
          <cell r="F302" t="str">
            <v>Greentek Elektrikal Indonesia, PT
Trakindo Utama, PT (Tanjung)
Aneka Mitra Cipta, PT
Sentrapart Niaga Utama, PT
Lotus Inti Pratama, PT
Vhipa Mulia Pratama, PT
Alfa Teknik Mandiri Makmur, PT</v>
          </cell>
          <cell r="G302" t="str">
            <v>R0
7 of 13
02 May 24</v>
          </cell>
          <cell r="H302" t="str">
            <v>SLAMET</v>
          </cell>
          <cell r="I302">
            <v>45404</v>
          </cell>
          <cell r="J302" t="str">
            <v>Tech Main</v>
          </cell>
          <cell r="K302" t="str">
            <v>B</v>
          </cell>
          <cell r="L302" t="str">
            <v>BID</v>
          </cell>
          <cell r="M302" t="str">
            <v>0102</v>
          </cell>
          <cell r="N302" t="str">
            <v>RH</v>
          </cell>
          <cell r="O302" t="str">
            <v>robertiagus.haposan@alamtri.com</v>
          </cell>
          <cell r="P302">
            <v>3172</v>
          </cell>
          <cell r="Q302">
            <v>50752000</v>
          </cell>
          <cell r="R302" t="str">
            <v>Completed Sign PO</v>
          </cell>
          <cell r="T302" t="str">
            <v>MSW</v>
          </cell>
          <cell r="U302" t="str">
            <v>Greentek Elektrikal Indonesia, PT
Trakindo Utama, PT (Tanjung)
Sumberdaya Sewatama, PT
Aneka Mitra Cipta, PT
Sentrapart Niaga Utama, PT
Petrocom Nusa Synergy, PT
Lotus Inti Pratama, PT
Vhipa Mulia Pratama, PT
Alfa Teknik Mandiri Makmur, PT
Outsourcindo, PT
Panja Utama, PT
Gema Industrial, PT
Kin Kitra Kencana, PT</v>
          </cell>
          <cell r="V302" t="str">
            <v>Greentek Elektrikal Indonesia, PT
Trakindo Utama, PT (Tanjung)
Aneka Mitra Cipta, PT
Sentrapart Niaga Utama, PT
Lotus Inti Pratama, PT
Vhipa Mulia Pratama, PT
Alfa Teknik Mandiri Makmur, PT</v>
          </cell>
          <cell r="W302" t="str">
            <v>13 of 13</v>
          </cell>
          <cell r="X302" t="str">
            <v>7 of 13</v>
          </cell>
          <cell r="Y302">
            <v>45404</v>
          </cell>
          <cell r="Z302">
            <v>45414</v>
          </cell>
          <cell r="AC302" t="str">
            <v xml:space="preserve"> of </v>
          </cell>
          <cell r="AD302" t="str">
            <v xml:space="preserve"> of </v>
          </cell>
          <cell r="AF302" t="str">
            <v/>
          </cell>
          <cell r="AI302" t="str">
            <v xml:space="preserve"> of </v>
          </cell>
          <cell r="AJ302" t="str">
            <v xml:space="preserve"> of </v>
          </cell>
          <cell r="AL302" t="str">
            <v/>
          </cell>
          <cell r="AM302">
            <v>0.70833333333333337</v>
          </cell>
          <cell r="AN302" t="str">
            <v>Trakindo Utama, PT</v>
          </cell>
          <cell r="AO302" t="str">
            <v>hjuniater.sidauruk@trakindo.co.id</v>
          </cell>
          <cell r="AP302" t="str">
            <v>PO24000271</v>
          </cell>
          <cell r="AQ302">
            <v>47555198</v>
          </cell>
          <cell r="AR302">
            <v>45415</v>
          </cell>
          <cell r="AS302">
            <v>45442</v>
          </cell>
          <cell r="AT302">
            <v>45442</v>
          </cell>
          <cell r="AU302">
            <v>45457</v>
          </cell>
          <cell r="AV302">
            <v>45425</v>
          </cell>
          <cell r="AW302">
            <v>45440</v>
          </cell>
          <cell r="AX302">
            <v>2.1428571428571428</v>
          </cell>
          <cell r="AY302">
            <v>45470</v>
          </cell>
          <cell r="AZ302">
            <v>30</v>
          </cell>
          <cell r="BA302">
            <v>1426655.9400000002</v>
          </cell>
          <cell r="BB302" t="str">
            <v>Late Completed</v>
          </cell>
          <cell r="BC302" t="str">
            <v>PR100009032</v>
          </cell>
        </row>
        <row r="303">
          <cell r="B303" t="str">
            <v>PR100008935</v>
          </cell>
          <cell r="C303" t="str">
            <v>AC &amp; DC Capacitor Replace UPS AEG &amp; Spare</v>
          </cell>
          <cell r="E303" t="str">
            <v>Prima Saftindo Elektrika, PT
AEG Power Solutions Pte Ltd
Alfa Teknik Mandiri Makmur, PT
Borneo Maju Jaya, PT
Powerbrain Automasi Energi, PT
Ganesha Wirya Pratama, PT
Antares Jaya Gemilang Prima, PT</v>
          </cell>
          <cell r="F303" t="str">
            <v>Prima Saftindo Elektrika, PT
AEG Power Solutions Pte Ltd
Antares Jaya Gemilang Prima, PT</v>
          </cell>
          <cell r="G303" t="str">
            <v>R2
3 of 7
17 May 24</v>
          </cell>
          <cell r="H303" t="str">
            <v>ARTHUR BRAMIYANA</v>
          </cell>
          <cell r="I303">
            <v>45400</v>
          </cell>
          <cell r="J303" t="str">
            <v>INV</v>
          </cell>
          <cell r="K303" t="str">
            <v>B</v>
          </cell>
          <cell r="L303" t="str">
            <v>BID</v>
          </cell>
          <cell r="M303" t="str">
            <v>0101</v>
          </cell>
          <cell r="N303" t="str">
            <v>RH</v>
          </cell>
          <cell r="O303" t="str">
            <v>robertiagus.haposan@alamtri.com</v>
          </cell>
          <cell r="P303">
            <v>6498.5</v>
          </cell>
          <cell r="Q303">
            <v>103976000</v>
          </cell>
          <cell r="R303" t="str">
            <v>Completed Sign PO</v>
          </cell>
          <cell r="T303" t="str">
            <v>MSW</v>
          </cell>
          <cell r="U303" t="str">
            <v>Prima Saftindo Elektrika, PT
Antares Jaya Gemilang Prima, PT
Outsourcindo, PT
Elang Mas Indoasia, PT
AEG Power Solutions Pte Ltd
Indoteknik Dotcom Gemilang,  PT
Sahabat Energi Persada, PT</v>
          </cell>
          <cell r="V303" t="str">
            <v>Prima Saftindo Elektrika, PT</v>
          </cell>
          <cell r="W303" t="str">
            <v>7 of 7</v>
          </cell>
          <cell r="X303" t="str">
            <v>1 of 7</v>
          </cell>
          <cell r="Y303">
            <v>45404</v>
          </cell>
          <cell r="Z303">
            <v>45414</v>
          </cell>
          <cell r="AA303" t="str">
            <v>Prima Saftindo Elektrika, PT
Westindo Eka Perkasa, PT
Gridtech Indonesia, PT
Borneo Maju Jaya, PT
AEG Power Solutions Pte Ltd
Gema Industrial, PT
Kin Kitra Kencana, PT
Antares Jaya Gemilang Prima, PT
Elang Mas Indoasia, PT</v>
          </cell>
          <cell r="AB303" t="str">
            <v>Prima Saftindo Elektrika, PT</v>
          </cell>
          <cell r="AC303" t="str">
            <v>9 of 9</v>
          </cell>
          <cell r="AD303" t="str">
            <v>1 of 9</v>
          </cell>
          <cell r="AE303">
            <v>45415</v>
          </cell>
          <cell r="AF303">
            <v>45425</v>
          </cell>
          <cell r="AG303" t="str">
            <v>Prima Saftindo Elektrika, PT
AEG Power Solutions Pte Ltd
Alfa Teknik Mandiri Makmur, PT
Borneo Maju Jaya, PT
Powerbrain Automasi Energi, PT
Ganesha Wirya Pratama, PT
Antares Jaya Gemilang Prima, PT</v>
          </cell>
          <cell r="AH303" t="str">
            <v>Prima Saftindo Elektrika, PT
AEG Power Solutions Pte Ltd
Antares Jaya Gemilang Prima, PT</v>
          </cell>
          <cell r="AI303" t="str">
            <v>7 of 7</v>
          </cell>
          <cell r="AJ303" t="str">
            <v>3 of 7</v>
          </cell>
          <cell r="AK303">
            <v>45426</v>
          </cell>
          <cell r="AL303">
            <v>45429</v>
          </cell>
          <cell r="AM303">
            <v>0.70833333333333337</v>
          </cell>
          <cell r="AN303" t="str">
            <v>Prima Saftindo Elektrika, PT</v>
          </cell>
          <cell r="AO303" t="str">
            <v>sales.support@saftindo.com; muzafar@saftindo.com; admin@saftindo.com</v>
          </cell>
          <cell r="AP303" t="str">
            <v>PO24000317</v>
          </cell>
          <cell r="AQ303">
            <v>107840000</v>
          </cell>
          <cell r="AR303">
            <v>45439</v>
          </cell>
          <cell r="AS303">
            <v>45456</v>
          </cell>
          <cell r="AT303">
            <v>45457</v>
          </cell>
          <cell r="AU303">
            <v>45520</v>
          </cell>
          <cell r="AV303">
            <v>45425</v>
          </cell>
          <cell r="AW303">
            <v>45488</v>
          </cell>
          <cell r="AX303">
            <v>9</v>
          </cell>
          <cell r="AY303">
            <v>45477</v>
          </cell>
          <cell r="AZ303" t="str">
            <v/>
          </cell>
          <cell r="BA303" t="str">
            <v/>
          </cell>
          <cell r="BB303" t="str">
            <v>Late Completed</v>
          </cell>
          <cell r="BC303" t="str">
            <v>PR100008935</v>
          </cell>
        </row>
        <row r="304">
          <cell r="B304" t="str">
            <v>PR100009044</v>
          </cell>
          <cell r="C304" t="str">
            <v>Remanufacture (reman) Injector CAT untuk DG IBT</v>
          </cell>
          <cell r="E304" t="str">
            <v>Bima Kaltim Utama, PT
Trakindo Utama, PT
Sumberdaya Sewatama, PT
Aneka Mitra Cipta, PT
Sentrapart Niaga Utama, PT
Petrocom Nusa Synergy, PT
Lotus Inti Pratama, PT
Vhipa Mulia Pratama, PT
Alfa Teknik Mandiri Makmur, PT
Outsourcindo, PT
Panja Utama, PT</v>
          </cell>
          <cell r="F304" t="str">
            <v>Bima Kaltim Utama, PT
Trakindo Utama, PT-x
Aneka Mitra Cipta, PT
Sentrapart Niaga Utama, PT-x
Lotus Inti Pratama, PT
Vhipa Mulia Pratama, PT
Alfa Teknik Mandiri Makmur, PT
Outsourcindo, PT</v>
          </cell>
          <cell r="G304" t="str">
            <v>R0
8 of 11
29 Apr 25</v>
          </cell>
          <cell r="H304" t="str">
            <v>SLAMET</v>
          </cell>
          <cell r="I304">
            <v>45400</v>
          </cell>
          <cell r="J304" t="str">
            <v>Tech Main</v>
          </cell>
          <cell r="K304" t="str">
            <v>B</v>
          </cell>
          <cell r="L304" t="str">
            <v>BID</v>
          </cell>
          <cell r="M304" t="str">
            <v>0098</v>
          </cell>
          <cell r="N304" t="str">
            <v>RH</v>
          </cell>
          <cell r="O304" t="str">
            <v>robertiagus.haposan@alamtri.com</v>
          </cell>
          <cell r="P304">
            <v>1376</v>
          </cell>
          <cell r="Q304">
            <v>22016000</v>
          </cell>
          <cell r="R304" t="str">
            <v>Completed Sign PO</v>
          </cell>
          <cell r="T304" t="str">
            <v>MSW</v>
          </cell>
          <cell r="U304" t="str">
            <v>Bima Kaltim Utama, PT
Trakindo Utama, PT
Sumberdaya Sewatama, PT
Aneka Mitra Cipta, PT
Sentrapart Niaga Utama, PT
Petrocom Nusa Synergy, PT
Lotus Inti Pratama, PT
Vhipa Mulia Pratama, PT
Alfa Teknik Mandiri Makmur, PT
Outsourcindo, PT
Panja Utama, PT</v>
          </cell>
          <cell r="V304" t="str">
            <v>Bima Kaltim Utama, PT
Trakindo Utama, PT-x
Aneka Mitra Cipta, PT
Sentrapart Niaga Utama, PT-x
Lotus Inti Pratama, PT
Vhipa Mulia Pratama, PT
Alfa Teknik Mandiri Makmur, PT
Outsourcindo, PT</v>
          </cell>
          <cell r="W304" t="str">
            <v>11 of 11</v>
          </cell>
          <cell r="X304" t="str">
            <v>8 of 11</v>
          </cell>
          <cell r="Y304">
            <v>45401</v>
          </cell>
          <cell r="Z304">
            <v>45776</v>
          </cell>
          <cell r="AC304" t="str">
            <v xml:space="preserve"> of </v>
          </cell>
          <cell r="AD304" t="str">
            <v xml:space="preserve"> of </v>
          </cell>
          <cell r="AF304" t="str">
            <v/>
          </cell>
          <cell r="AI304" t="str">
            <v xml:space="preserve"> of </v>
          </cell>
          <cell r="AJ304" t="str">
            <v xml:space="preserve"> of </v>
          </cell>
          <cell r="AL304" t="str">
            <v/>
          </cell>
          <cell r="AM304">
            <v>0.70833333333333337</v>
          </cell>
          <cell r="AN304" t="str">
            <v>Bima Kaltim Utama, PT</v>
          </cell>
          <cell r="AO304" t="str">
            <v>rera.bimakaltim@yahoo.com; albert.bimautama@yahoo.com; rya_bimakaltim@yahoo.com</v>
          </cell>
          <cell r="AP304" t="str">
            <v>PO24000229</v>
          </cell>
          <cell r="AQ304">
            <v>144000000</v>
          </cell>
          <cell r="AR304">
            <v>45412</v>
          </cell>
          <cell r="AS304">
            <v>45423</v>
          </cell>
          <cell r="AT304">
            <v>45425</v>
          </cell>
          <cell r="AU304">
            <v>45457</v>
          </cell>
          <cell r="AV304">
            <v>45425</v>
          </cell>
          <cell r="AW304">
            <v>45457</v>
          </cell>
          <cell r="AX304">
            <v>4.5714285714285712</v>
          </cell>
          <cell r="AY304">
            <v>45432</v>
          </cell>
          <cell r="AZ304" t="str">
            <v/>
          </cell>
          <cell r="BA304" t="str">
            <v/>
          </cell>
          <cell r="BB304" t="str">
            <v>Completed</v>
          </cell>
          <cell r="BC304" t="str">
            <v>PR100009044</v>
          </cell>
        </row>
        <row r="305">
          <cell r="B305" t="str">
            <v>PR100009082</v>
          </cell>
          <cell r="C305" t="str">
            <v>Kebutuhan Part PM untuk All DG IBT CAT 3516 Unit 3G1,3G2,3G3 &amp;3G4  Part langsung ke IBT mekar putih</v>
          </cell>
          <cell r="E305" t="str">
            <v>Bima Kaltim Utama, PT
Trakindo Utama, PT
Sumberdaya Sewatama, PT
Aneka Mitra Cipta, PT
Sentrapart Niaga Utama, PT
Petrocom Nusa Synergy, PT
Lotus Inti Pratama, PT
Vhipa Mulia Pratama, PT
Alfa Teknik Mandiri Makmur, PT
Outsourcindo, PT
Panja Utama, PT</v>
          </cell>
          <cell r="F305" t="str">
            <v>Bima Kaltim Utama, PT
Trakindo Utama, PT-x
Aneka Mitra Cipta, PT
Sentrapart Niaga Utama, PT-x
Lotus Inti Pratama, PT
Vhipa Mulia Pratama, PT
Alfa Teknik Mandiri Makmur, PT
Outsourcindo, PT</v>
          </cell>
          <cell r="G305" t="str">
            <v>R0
8 of 11
29 Apr 25</v>
          </cell>
          <cell r="H305" t="str">
            <v>SLAMET</v>
          </cell>
          <cell r="I305">
            <v>45400</v>
          </cell>
          <cell r="J305" t="str">
            <v>Tech Main</v>
          </cell>
          <cell r="K305" t="str">
            <v>B</v>
          </cell>
          <cell r="L305" t="str">
            <v>BID</v>
          </cell>
          <cell r="M305" t="str">
            <v>0098</v>
          </cell>
          <cell r="N305" t="str">
            <v>RH</v>
          </cell>
          <cell r="O305" t="str">
            <v>robertiagus.haposan@alamtri.com</v>
          </cell>
          <cell r="P305">
            <v>5196.2143999999998</v>
          </cell>
          <cell r="Q305">
            <v>83139430.399999991</v>
          </cell>
          <cell r="R305" t="str">
            <v>Completed Sign PO</v>
          </cell>
          <cell r="T305" t="str">
            <v>MSW</v>
          </cell>
          <cell r="U305" t="str">
            <v>Bima Kaltim Utama, PT
Trakindo Utama, PT
Sumberdaya Sewatama, PT
Aneka Mitra Cipta, PT
Sentrapart Niaga Utama, PT
Petrocom Nusa Synergy, PT
Lotus Inti Pratama, PT
Vhipa Mulia Pratama, PT
Alfa Teknik Mandiri Makmur, PT
Outsourcindo, PT
Panja Utama, PT</v>
          </cell>
          <cell r="V305" t="str">
            <v>Bima Kaltim Utama, PT
Trakindo Utama, PT-x
Aneka Mitra Cipta, PT
Sentrapart Niaga Utama, PT-x
Lotus Inti Pratama, PT
Vhipa Mulia Pratama, PT
Alfa Teknik Mandiri Makmur, PT
Outsourcindo, PT</v>
          </cell>
          <cell r="W305" t="str">
            <v>11 of 11</v>
          </cell>
          <cell r="X305" t="str">
            <v>8 of 11</v>
          </cell>
          <cell r="Y305">
            <v>45401</v>
          </cell>
          <cell r="Z305">
            <v>45776</v>
          </cell>
          <cell r="AC305" t="str">
            <v xml:space="preserve"> of </v>
          </cell>
          <cell r="AD305" t="str">
            <v xml:space="preserve"> of </v>
          </cell>
          <cell r="AF305" t="str">
            <v/>
          </cell>
          <cell r="AI305" t="str">
            <v xml:space="preserve"> of </v>
          </cell>
          <cell r="AJ305" t="str">
            <v xml:space="preserve"> of </v>
          </cell>
          <cell r="AL305" t="str">
            <v/>
          </cell>
          <cell r="AM305">
            <v>0.70833333333333337</v>
          </cell>
          <cell r="AN305" t="str">
            <v>Bima Kaltim Utama, PT</v>
          </cell>
          <cell r="AO305" t="str">
            <v>rera.bimakaltim@yahoo.com; albert.bimautama@yahoo.com; rya_bimakaltim@yahoo.com</v>
          </cell>
          <cell r="AP305" t="str">
            <v>PO24000231</v>
          </cell>
          <cell r="AQ305">
            <v>106886000</v>
          </cell>
          <cell r="AR305">
            <v>45412</v>
          </cell>
          <cell r="AS305">
            <v>45423</v>
          </cell>
          <cell r="AT305">
            <v>45425</v>
          </cell>
          <cell r="AU305">
            <v>45457</v>
          </cell>
          <cell r="AV305">
            <v>45425</v>
          </cell>
          <cell r="AW305">
            <v>45457</v>
          </cell>
          <cell r="AX305">
            <v>4.5714285714285712</v>
          </cell>
          <cell r="AY305">
            <v>45439</v>
          </cell>
          <cell r="AZ305" t="str">
            <v/>
          </cell>
          <cell r="BA305" t="str">
            <v/>
          </cell>
          <cell r="BB305" t="str">
            <v>Completed</v>
          </cell>
          <cell r="BC305" t="str">
            <v>PR100009082</v>
          </cell>
        </row>
        <row r="306">
          <cell r="B306" t="str">
            <v>PR100009107</v>
          </cell>
          <cell r="C306" t="str">
            <v>air coolant untuk unit Loader</v>
          </cell>
          <cell r="E306" t="str">
            <v>Trakindo Utama, PT (Tanjung)
Bima Kaltim Utama, PT
Berkat Pratama Teknik, CV
Sentrapart Niaga Utama, PT
Aneka Mitra Cipta, PT
Petrocom Nusa Synergy, PT
Cahaya Murni, CV
Alfa Teknik Mandiri Makmur, PT
Sumberdaya Sewatama, PT
Lotus Inti Pratama, PT
Panja Utama, PT</v>
          </cell>
          <cell r="F306" t="str">
            <v>Trakindo Utama, PT (Tanjung)
Bima Kaltim Utama, PT
Berkat Pratama Teknik, CV
Sentrapart Niaga Utama, PT
Aneka Mitra Cipta, PT
Petrocom Nusa Synergy, PT
Alfa Teknik Mandiri Makmur, PT
Lotus Inti Pratama, PT</v>
          </cell>
          <cell r="G306" t="str">
            <v>R0
8 of 11
06 May 24</v>
          </cell>
          <cell r="H306" t="str">
            <v>RIDHANI TAUFIQ</v>
          </cell>
          <cell r="I306">
            <v>45407</v>
          </cell>
          <cell r="J306" t="str">
            <v>Tech Main</v>
          </cell>
          <cell r="K306" t="str">
            <v>B</v>
          </cell>
          <cell r="L306" t="str">
            <v>BID</v>
          </cell>
          <cell r="M306" t="str">
            <v>0105</v>
          </cell>
          <cell r="N306" t="str">
            <v>RH</v>
          </cell>
          <cell r="O306" t="str">
            <v>robertiagus.haposan@alamtri.com</v>
          </cell>
          <cell r="P306">
            <v>533.13149999999996</v>
          </cell>
          <cell r="Q306">
            <v>8530104</v>
          </cell>
          <cell r="R306" t="str">
            <v>Completed Sign PO</v>
          </cell>
          <cell r="T306" t="str">
            <v>MSW</v>
          </cell>
          <cell r="U306" t="str">
            <v>Trakindo Utama, PT (Tanjung)
Bima Kaltim Utama, PT
Berkat Pratama Teknik, CV
Sentrapart Niaga Utama, PT
Aneka Mitra Cipta, PT
Petrocom Nusa Synergy, PT
Cahaya Murni, CV
Alfa Teknik Mandiri Makmur, PT
Sumberdaya Sewatama, PT
Lotus Inti Pratama, PT
Panja Utama, PT</v>
          </cell>
          <cell r="V306" t="str">
            <v>Trakindo Utama, PT (Tanjung)
Bima Kaltim Utama, PT
Berkat Pratama Teknik, CV
Sentrapart Niaga Utama, PT
Aneka Mitra Cipta, PT
Petrocom Nusa Synergy, PT
Alfa Teknik Mandiri Makmur, PT
Lotus Inti Pratama, PT</v>
          </cell>
          <cell r="W306" t="str">
            <v>11 of 11</v>
          </cell>
          <cell r="X306" t="str">
            <v>8 of 11</v>
          </cell>
          <cell r="Y306">
            <v>45408</v>
          </cell>
          <cell r="Z306">
            <v>45418</v>
          </cell>
          <cell r="AC306" t="str">
            <v xml:space="preserve"> of </v>
          </cell>
          <cell r="AD306" t="str">
            <v xml:space="preserve"> of </v>
          </cell>
          <cell r="AF306" t="str">
            <v/>
          </cell>
          <cell r="AI306" t="str">
            <v xml:space="preserve"> of </v>
          </cell>
          <cell r="AJ306" t="str">
            <v xml:space="preserve"> of </v>
          </cell>
          <cell r="AL306" t="str">
            <v/>
          </cell>
          <cell r="AM306">
            <v>0.70833333333333337</v>
          </cell>
          <cell r="AN306" t="str">
            <v>Trakindo Utama, PT</v>
          </cell>
          <cell r="AO306" t="str">
            <v>hjuniater.sidauruk@trakindo.co.id</v>
          </cell>
          <cell r="AP306" t="str">
            <v>PO24000253</v>
          </cell>
          <cell r="AQ306">
            <v>8980220</v>
          </cell>
          <cell r="AR306">
            <v>45420</v>
          </cell>
          <cell r="AS306">
            <v>45426</v>
          </cell>
          <cell r="AT306">
            <v>45429</v>
          </cell>
          <cell r="AU306">
            <v>45450</v>
          </cell>
          <cell r="AV306">
            <v>45425</v>
          </cell>
          <cell r="AW306">
            <v>45446</v>
          </cell>
          <cell r="AX306">
            <v>3</v>
          </cell>
          <cell r="AY306">
            <v>45446</v>
          </cell>
          <cell r="AZ306" t="str">
            <v/>
          </cell>
          <cell r="BA306" t="str">
            <v/>
          </cell>
          <cell r="BB306" t="str">
            <v>Completed</v>
          </cell>
          <cell r="BC306" t="str">
            <v>PR100009107</v>
          </cell>
        </row>
        <row r="307">
          <cell r="B307" t="str">
            <v>PR100009112</v>
          </cell>
          <cell r="C307" t="str">
            <v>Fuel filter &amp; Oli Filter Blackstarting,Stock INVentory</v>
          </cell>
          <cell r="E307" t="str">
            <v>Trakindo Utama, PT (Tanjung)
Bima Kaltim Utama, PT
Berkat Pratama Teknik, CV
Sentrapart Niaga Utama, PT
Aneka Mitra Cipta, PT
Petrocom Nusa Synergy, PT
Cahaya Murni, CV
Alfa Teknik Mandiri Makmur, PT
Sumberdaya Sewatama, PT
Lotus Inti Pratama, PT
Panja Utama, PT</v>
          </cell>
          <cell r="F307" t="str">
            <v>Trakindo Utama, PT (Tanjung)
Bima Kaltim Utama, PT
Berkat Pratama Teknik, CV
Sentrapart Niaga Utama, PT
Aneka Mitra Cipta, PT
Petrocom Nusa Synergy, PT
Alfa Teknik Mandiri Makmur, PT
Lotus Inti Pratama, PT</v>
          </cell>
          <cell r="G307" t="str">
            <v>R0
8 of 11
06 May 24</v>
          </cell>
          <cell r="H307" t="str">
            <v>ARTHUR BRAMIYANA</v>
          </cell>
          <cell r="I307">
            <v>45407</v>
          </cell>
          <cell r="J307" t="str">
            <v>INV</v>
          </cell>
          <cell r="K307" t="str">
            <v>B</v>
          </cell>
          <cell r="L307" t="str">
            <v>BID</v>
          </cell>
          <cell r="M307" t="str">
            <v>0105</v>
          </cell>
          <cell r="N307" t="str">
            <v>RH</v>
          </cell>
          <cell r="O307" t="str">
            <v>robertiagus.haposan@alamtri.com</v>
          </cell>
          <cell r="P307">
            <v>683.09500000000003</v>
          </cell>
          <cell r="Q307">
            <v>10929520</v>
          </cell>
          <cell r="R307" t="str">
            <v>Completed Sign PO</v>
          </cell>
          <cell r="T307" t="str">
            <v>MSW</v>
          </cell>
          <cell r="U307" t="str">
            <v>Trakindo Utama, PT (Tanjung)
Bima Kaltim Utama, PT
Berkat Pratama Teknik, CV
Sentrapart Niaga Utama, PT
Aneka Mitra Cipta, PT
Petrocom Nusa Synergy, PT
Cahaya Murni, CV
Alfa Teknik Mandiri Makmur, PT
Sumberdaya Sewatama, PT
Lotus Inti Pratama, PT
Panja Utama, PT</v>
          </cell>
          <cell r="V307" t="str">
            <v>Trakindo Utama, PT (Tanjung)
Bima Kaltim Utama, PT
Berkat Pratama Teknik, CV
Sentrapart Niaga Utama, PT
Aneka Mitra Cipta, PT
Petrocom Nusa Synergy, PT
Alfa Teknik Mandiri Makmur, PT
Lotus Inti Pratama, PT</v>
          </cell>
          <cell r="W307" t="str">
            <v>11 of 11</v>
          </cell>
          <cell r="X307" t="str">
            <v>8 of 11</v>
          </cell>
          <cell r="Y307">
            <v>45408</v>
          </cell>
          <cell r="Z307">
            <v>45418</v>
          </cell>
          <cell r="AC307" t="str">
            <v xml:space="preserve"> of </v>
          </cell>
          <cell r="AD307" t="str">
            <v xml:space="preserve"> of </v>
          </cell>
          <cell r="AF307" t="str">
            <v/>
          </cell>
          <cell r="AI307" t="str">
            <v xml:space="preserve"> of </v>
          </cell>
          <cell r="AJ307" t="str">
            <v xml:space="preserve"> of </v>
          </cell>
          <cell r="AL307" t="str">
            <v/>
          </cell>
          <cell r="AM307">
            <v>0.70833333333333337</v>
          </cell>
          <cell r="AN307" t="str">
            <v>Trakindo Utama, PT</v>
          </cell>
          <cell r="AO307" t="str">
            <v>hjuniater.sidauruk@trakindo.co.id</v>
          </cell>
          <cell r="AP307" t="str">
            <v>PO24000253</v>
          </cell>
          <cell r="AQ307">
            <v>10456958</v>
          </cell>
          <cell r="AR307">
            <v>45420</v>
          </cell>
          <cell r="AS307">
            <v>45426</v>
          </cell>
          <cell r="AT307">
            <v>45429</v>
          </cell>
          <cell r="AU307">
            <v>45450</v>
          </cell>
          <cell r="AV307">
            <v>45425</v>
          </cell>
          <cell r="AW307">
            <v>45446</v>
          </cell>
          <cell r="AX307">
            <v>3</v>
          </cell>
          <cell r="AY307">
            <v>45446</v>
          </cell>
          <cell r="AZ307" t="str">
            <v/>
          </cell>
          <cell r="BA307" t="str">
            <v/>
          </cell>
          <cell r="BB307" t="str">
            <v>Completed</v>
          </cell>
          <cell r="BC307" t="str">
            <v>PR100009112</v>
          </cell>
        </row>
        <row r="308">
          <cell r="B308" t="str">
            <v>PR100009070</v>
          </cell>
          <cell r="C308" t="str">
            <v>Konsultan Life Cycle Assessment</v>
          </cell>
          <cell r="E308" t="str">
            <v>Dakara Consulting LCA Indonesia
Sucofindo, PT
Bio Elektrikal, CV
Properindo Enviro Tech, PT
Life Cycle Indonesia, PT
SGS Indonesia, PT</v>
          </cell>
          <cell r="F308" t="str">
            <v>Bio Elektrikal, CV
Properindo Enviro Tech, PT
Life Cycle Indonesia, PT
SGS Indonesia, PT</v>
          </cell>
          <cell r="G308" t="str">
            <v>R0
4 of 6
14 Jun 24</v>
          </cell>
          <cell r="H308" t="str">
            <v>ADITIYA KUSUMA WARDANA</v>
          </cell>
          <cell r="I308">
            <v>45407</v>
          </cell>
          <cell r="J308" t="str">
            <v>HSE</v>
          </cell>
          <cell r="K308" t="str">
            <v>J</v>
          </cell>
          <cell r="L308" t="str">
            <v>BID</v>
          </cell>
          <cell r="M308" t="str">
            <v>0154</v>
          </cell>
          <cell r="N308" t="str">
            <v>RH</v>
          </cell>
          <cell r="O308" t="str">
            <v>robertiagus.haposan@alamtri.com</v>
          </cell>
          <cell r="P308">
            <v>19483</v>
          </cell>
          <cell r="Q308">
            <v>311728000</v>
          </cell>
          <cell r="R308" t="str">
            <v>Completed Sign PO</v>
          </cell>
          <cell r="T308" t="str">
            <v>MSW</v>
          </cell>
          <cell r="U308" t="str">
            <v>Dakara Consulting LCA Indonesia
Sucofindo, PT
Bio Elektrikal, CV
Properindo Enviro Tech, PT
Life Cycle Indonesia, PT
SGS Indonesia, PT</v>
          </cell>
          <cell r="V308" t="str">
            <v>Bio Elektrikal, CV
Properindo Enviro Tech, PT
Life Cycle Indonesia, PT
SGS Indonesia, PT</v>
          </cell>
          <cell r="W308" t="str">
            <v>6 of 6</v>
          </cell>
          <cell r="X308" t="str">
            <v>4 of 6</v>
          </cell>
          <cell r="Y308">
            <v>45446</v>
          </cell>
          <cell r="Z308">
            <v>45457</v>
          </cell>
          <cell r="AC308" t="str">
            <v xml:space="preserve"> of </v>
          </cell>
          <cell r="AD308" t="str">
            <v xml:space="preserve"> of </v>
          </cell>
          <cell r="AF308" t="str">
            <v/>
          </cell>
          <cell r="AI308" t="str">
            <v xml:space="preserve"> of </v>
          </cell>
          <cell r="AJ308" t="str">
            <v xml:space="preserve"> of </v>
          </cell>
          <cell r="AL308" t="str">
            <v/>
          </cell>
          <cell r="AM308">
            <v>0.70833333333333337</v>
          </cell>
          <cell r="AN308" t="str">
            <v>Properindo Enviro Tech, PT</v>
          </cell>
          <cell r="AO308" t="str">
            <v>properindo.projectadm@gmail.com</v>
          </cell>
          <cell r="AP308" t="str">
            <v>PO24000398</v>
          </cell>
          <cell r="AQ308">
            <v>221175000</v>
          </cell>
          <cell r="AR308">
            <v>45462</v>
          </cell>
          <cell r="AS308">
            <v>45483</v>
          </cell>
          <cell r="AT308">
            <v>45489</v>
          </cell>
          <cell r="AU308">
            <v>45632</v>
          </cell>
          <cell r="AV308">
            <v>45425</v>
          </cell>
          <cell r="AW308">
            <v>45568</v>
          </cell>
          <cell r="AX308">
            <v>20.428571428571427</v>
          </cell>
          <cell r="AY308">
            <v>45704</v>
          </cell>
          <cell r="AZ308">
            <v>136</v>
          </cell>
          <cell r="BA308">
            <v>11058750</v>
          </cell>
          <cell r="BB308" t="str">
            <v>Late Completed</v>
          </cell>
          <cell r="BC308" t="str">
            <v>PR100009070</v>
          </cell>
        </row>
        <row r="309">
          <cell r="B309" t="str">
            <v>PR100008835</v>
          </cell>
          <cell r="C309" t="str">
            <v>Jasa install dan penggantian material control engine Fire fighting  Power plant</v>
          </cell>
          <cell r="E309" t="str">
            <v>Firetech Perkasa, PT
Kalmer Siloam Mahakam, PT
Panca Global Solusindo, PT
Kin Kitra Kencana, PT
Dwijaya Sentral Sarana, PT
Gama Tritunggal Pratama, PT
Mytech Engineering, PT
ODG Indonesia, PT
Putera Instrumenindo, PT
Cahaya Mitra Saftindo, PT</v>
          </cell>
          <cell r="F309" t="str">
            <v>Kalmer Siloam Mahakam, PT
Panca Global Solusindo, PT</v>
          </cell>
          <cell r="G309" t="str">
            <v>R2
2 of 10
26 Jun 24</v>
          </cell>
          <cell r="H309" t="str">
            <v>SLAMET</v>
          </cell>
          <cell r="I309">
            <v>45407</v>
          </cell>
          <cell r="J309" t="str">
            <v>Tech Main</v>
          </cell>
          <cell r="K309" t="str">
            <v>B &amp; J</v>
          </cell>
          <cell r="L309" t="str">
            <v>BID</v>
          </cell>
          <cell r="M309" t="str">
            <v>0116</v>
          </cell>
          <cell r="N309" t="str">
            <v>RH</v>
          </cell>
          <cell r="O309" t="str">
            <v>robertiagus.haposan@alamtri.com</v>
          </cell>
          <cell r="P309">
            <v>6600</v>
          </cell>
          <cell r="Q309">
            <v>105600000</v>
          </cell>
          <cell r="R309" t="str">
            <v>Completed Sign PO</v>
          </cell>
          <cell r="T309" t="str">
            <v>MSW</v>
          </cell>
          <cell r="U309" t="str">
            <v>Sahabat Energi Persada, PT
Anugerah Kristama Perkasa, PT
Wahyu Rizatama Prima, PT
Rajawali Parama Konstruksi, PT
Roda Nurmala, PT
Viktori Profindo Automation, PT
Norgantara Andalan Mandiri Indonesia, PT
Firetech Perkasa, PT
Widjaja Teknik Utama, PT
Foxsub Automation, PT
Wiratama Mitra Abadi, PT
Anugrah Petrindo Moratama, PT
Kalmer Siloam Mahakam, PT</v>
          </cell>
          <cell r="V309" t="str">
            <v>Firetech Perkasa, PT
Widjaja Teknik Utama, PT
Kalmer Siloam Mahakam, PT</v>
          </cell>
          <cell r="W309" t="str">
            <v>13 of 13</v>
          </cell>
          <cell r="X309" t="str">
            <v>3 of 13</v>
          </cell>
          <cell r="Z309" t="str">
            <v/>
          </cell>
          <cell r="AA309" t="str">
            <v>Firetech Perkasa, PT
Widjaja Teknik Utama, PT
Kalmer Siloam Mahakam, PT
Bromindo Mekar Mitra, PT
Panca Global Solusindo, PT
Mulia Adji Sinergi, PT</v>
          </cell>
          <cell r="AB309" t="str">
            <v>Firetech Perkasa, PT
Kalmer Siloam Mahakam, PT
Panca Global Solusindo, PT</v>
          </cell>
          <cell r="AC309" t="str">
            <v>6 of 6</v>
          </cell>
          <cell r="AD309" t="str">
            <v>3 of 6</v>
          </cell>
          <cell r="AE309">
            <v>45442</v>
          </cell>
          <cell r="AF309">
            <v>45453</v>
          </cell>
          <cell r="AG309" t="str">
            <v>Firetech Perkasa, PT
Kalmer Siloam Mahakam, PT
Panca Global Solusindo, PT
Kin Kitra Kencana, PT
Dwijaya Sentral Sarana, PT
Gama Tritunggal Pratama, PT
Mytech Engineering, PT
ODG Indonesia, PT
Putera Instrumenindo, PT
Cahaya Mitra Saftindo, PT</v>
          </cell>
          <cell r="AH309" t="str">
            <v>Kalmer Siloam Mahakam, PT
Panca Global Solusindo, PT</v>
          </cell>
          <cell r="AI309" t="str">
            <v>10 of 10</v>
          </cell>
          <cell r="AJ309" t="str">
            <v>2 of 10</v>
          </cell>
          <cell r="AK309">
            <v>45462</v>
          </cell>
          <cell r="AL309">
            <v>45469</v>
          </cell>
          <cell r="AM309">
            <v>0.70833333333333337</v>
          </cell>
          <cell r="AN309" t="str">
            <v>Panca Global Solusindo, PT</v>
          </cell>
          <cell r="AO309" t="str">
            <v>sales@pancaglobal.com</v>
          </cell>
          <cell r="AP309" t="str">
            <v>PO24000455</v>
          </cell>
          <cell r="AQ309">
            <v>120000000</v>
          </cell>
          <cell r="AR309">
            <v>45474</v>
          </cell>
          <cell r="AS309">
            <v>45492</v>
          </cell>
          <cell r="AT309">
            <v>45502</v>
          </cell>
          <cell r="AU309">
            <v>45614</v>
          </cell>
          <cell r="AV309">
            <v>45425</v>
          </cell>
          <cell r="AW309">
            <v>45537</v>
          </cell>
          <cell r="AX309">
            <v>16</v>
          </cell>
          <cell r="AY309">
            <v>45552</v>
          </cell>
          <cell r="AZ309">
            <v>15</v>
          </cell>
          <cell r="BA309">
            <v>1800000</v>
          </cell>
          <cell r="BB309" t="str">
            <v>Late Completed</v>
          </cell>
          <cell r="BC309" t="str">
            <v>PR100008835</v>
          </cell>
        </row>
        <row r="310">
          <cell r="B310" t="str">
            <v>PR100009132</v>
          </cell>
          <cell r="C310" t="str">
            <v>Uji Emisi Unit Genset IBT Mei 2024</v>
          </cell>
          <cell r="E310" t="str">
            <v>Bio Elektrikal, CV
Sucofindo, PT
Synergi Inti Utama, PT
Indotech Citra Sinergi, PT
Inti Surya Laboratorium, PT
Adhikarilab Indonesia, PT
Unilab Perdana, PT</v>
          </cell>
          <cell r="F310" t="str">
            <v>Bio Elektrikal, CV
Synergi Inti Utama, PT
Inti Surya Laboratorium, PT</v>
          </cell>
          <cell r="G310" t="str">
            <v>R0
3 of 7
17 May 26</v>
          </cell>
          <cell r="H310" t="str">
            <v>ADITIYA KUSUMA WARDANA</v>
          </cell>
          <cell r="I310">
            <v>45418</v>
          </cell>
          <cell r="J310" t="str">
            <v>HSE</v>
          </cell>
          <cell r="K310" t="str">
            <v>J</v>
          </cell>
          <cell r="L310" t="str">
            <v>BID</v>
          </cell>
          <cell r="M310" t="str">
            <v>0123</v>
          </cell>
          <cell r="N310" t="str">
            <v>RH</v>
          </cell>
          <cell r="O310" t="str">
            <v>robertiagus.haposan@alamtri.com</v>
          </cell>
          <cell r="P310">
            <v>1428</v>
          </cell>
          <cell r="Q310">
            <v>22848000</v>
          </cell>
          <cell r="R310" t="str">
            <v>Completed Sign PO</v>
          </cell>
          <cell r="T310" t="str">
            <v>MSW</v>
          </cell>
          <cell r="U310" t="str">
            <v>Bio Elektrikal, CV
Sucofindo, PT
Synergi Inti Utama, PT
Indotech Citra Sinergi, PT
Inti Surya Laboratorium, PT
Adhikarilab Indonesia, PT
Unilab Perdana, PT</v>
          </cell>
          <cell r="V310" t="str">
            <v>Bio Elektrikal, CV
Synergi Inti Utama, PT
Inti Surya Laboratorium, PT</v>
          </cell>
          <cell r="W310" t="str">
            <v>7 of 7</v>
          </cell>
          <cell r="X310" t="str">
            <v>3 of 7</v>
          </cell>
          <cell r="Y310">
            <v>45420</v>
          </cell>
          <cell r="Z310">
            <v>46159</v>
          </cell>
          <cell r="AC310" t="str">
            <v xml:space="preserve"> of </v>
          </cell>
          <cell r="AD310" t="str">
            <v xml:space="preserve"> of </v>
          </cell>
          <cell r="AF310" t="str">
            <v/>
          </cell>
          <cell r="AI310" t="str">
            <v xml:space="preserve"> of </v>
          </cell>
          <cell r="AJ310" t="str">
            <v xml:space="preserve"> of </v>
          </cell>
          <cell r="AL310" t="str">
            <v/>
          </cell>
          <cell r="AM310">
            <v>0.70833333333333337</v>
          </cell>
          <cell r="AN310" t="str">
            <v>Bio Elektrikal, CV</v>
          </cell>
          <cell r="AO310" t="str">
            <v>hisyam_alhakim@yahoo.com; hisyam.alhakim@ulm.ac.id</v>
          </cell>
          <cell r="AP310" t="str">
            <v>PO24000284</v>
          </cell>
          <cell r="AQ310">
            <v>26000000</v>
          </cell>
          <cell r="AR310">
            <v>45439</v>
          </cell>
          <cell r="AS310">
            <v>45446</v>
          </cell>
          <cell r="AT310">
            <v>45447</v>
          </cell>
          <cell r="AU310">
            <v>45457</v>
          </cell>
          <cell r="AV310">
            <v>45425</v>
          </cell>
          <cell r="AW310">
            <v>45435</v>
          </cell>
          <cell r="AX310">
            <v>1.4285714285714286</v>
          </cell>
          <cell r="AY310">
            <v>45476</v>
          </cell>
          <cell r="AZ310">
            <v>41</v>
          </cell>
          <cell r="BA310">
            <v>1300000</v>
          </cell>
          <cell r="BB310" t="str">
            <v>Completed</v>
          </cell>
          <cell r="BC310" t="str">
            <v>PR100009132</v>
          </cell>
        </row>
        <row r="311">
          <cell r="B311" t="str">
            <v>PR100009145</v>
          </cell>
          <cell r="C311" t="str">
            <v>Reagent Laboratorium Bulan Mei 2024 (see long desc)</v>
          </cell>
          <cell r="E311" t="str">
            <v>Intraparr Nusantara, PT
Global Satria Aji, PT
Hartech Indonesia, PT
New Praktika Alkesindo, PT
Catur Inti Chemical, PT</v>
          </cell>
          <cell r="F311" t="str">
            <v>Intraparr Nusantara, PT
Global Satria Aji, PT
Hartech Indonesia, PT
New Praktika Alkesindo, PT</v>
          </cell>
          <cell r="G311" t="str">
            <v>R2
4 of 5
07 Jun 24</v>
          </cell>
          <cell r="H311" t="str">
            <v>DENI SUHENDRA</v>
          </cell>
          <cell r="I311">
            <v>45419</v>
          </cell>
          <cell r="J311" t="str">
            <v>Tech Op</v>
          </cell>
          <cell r="K311" t="str">
            <v>B</v>
          </cell>
          <cell r="L311" t="str">
            <v>BID</v>
          </cell>
          <cell r="M311" t="str">
            <v>0121</v>
          </cell>
          <cell r="N311" t="str">
            <v>RH</v>
          </cell>
          <cell r="O311" t="str">
            <v>robertiagus.haposan@alamtri.com</v>
          </cell>
          <cell r="P311">
            <v>124</v>
          </cell>
          <cell r="Q311">
            <v>1984000</v>
          </cell>
          <cell r="R311" t="str">
            <v>Completed Sign PO</v>
          </cell>
          <cell r="T311" t="str">
            <v>MSW</v>
          </cell>
          <cell r="U311" t="str">
            <v>Intraparr Nusantara, PT
Alfa Pegasus, PT
Alfa Teknik Mandiri Makmur, PT
Global Satria Aji, PT
Hartech Indonesia, PT
New Praktika Alkesindo, PT
Catur Inti Chemical, PT</v>
          </cell>
          <cell r="V311" t="str">
            <v>Intraparr Nusantara, PT
Global Satria Aji, PT-x
Hartech Indonesia, PT-x
New Praktika Alkesindo, PT-x
Catur Inti Chemical, PT</v>
          </cell>
          <cell r="W311" t="str">
            <v>7 of 7</v>
          </cell>
          <cell r="X311" t="str">
            <v>5 of 7</v>
          </cell>
          <cell r="Y311">
            <v>45420</v>
          </cell>
          <cell r="Z311">
            <v>45429</v>
          </cell>
          <cell r="AA311" t="str">
            <v>Intraparr Nusantara, PT
Global Satria Aji, PT
Hartech Indonesia, PT
New Praktika Alkesindo, PT
Catur Inti Chemical, PT</v>
          </cell>
          <cell r="AB311" t="str">
            <v>Intraparr Nusantara, PT
Global Satria Aji, PT
Hartech Indonesia, PT
New Praktika Alkesindo, PT
Catur Inti Chemical, PT</v>
          </cell>
          <cell r="AC311" t="str">
            <v>5 of 5</v>
          </cell>
          <cell r="AD311" t="str">
            <v>5 of 5</v>
          </cell>
          <cell r="AE311">
            <v>45439</v>
          </cell>
          <cell r="AF311">
            <v>45443</v>
          </cell>
          <cell r="AG311" t="str">
            <v>Intraparr Nusantara, PT
Global Satria Aji, PT
Hartech Indonesia, PT
New Praktika Alkesindo, PT
Catur Inti Chemical, PT</v>
          </cell>
          <cell r="AH311" t="str">
            <v>Intraparr Nusantara, PT
Global Satria Aji, PT
Hartech Indonesia, PT
New Praktika Alkesindo, PT</v>
          </cell>
          <cell r="AI311" t="str">
            <v>5 of 5</v>
          </cell>
          <cell r="AJ311" t="str">
            <v>4 of 5</v>
          </cell>
          <cell r="AK311">
            <v>45446</v>
          </cell>
          <cell r="AL311">
            <v>45450</v>
          </cell>
          <cell r="AM311">
            <v>0.70833333333333337</v>
          </cell>
          <cell r="AN311" t="str">
            <v>Intraparr Nusantara, PT</v>
          </cell>
          <cell r="AO311" t="str">
            <v>intraparr@cbn.net.id; intraparr.nusantara@gmail.com</v>
          </cell>
          <cell r="AP311" t="str">
            <v>PO24000325</v>
          </cell>
          <cell r="AQ311">
            <v>2940000</v>
          </cell>
          <cell r="AR311">
            <v>45456</v>
          </cell>
          <cell r="AS311">
            <v>45463</v>
          </cell>
          <cell r="AT311">
            <v>45464</v>
          </cell>
          <cell r="AU311">
            <v>45485</v>
          </cell>
          <cell r="AV311">
            <v>45425</v>
          </cell>
          <cell r="AW311">
            <v>45446</v>
          </cell>
          <cell r="AX311">
            <v>3</v>
          </cell>
          <cell r="AY311">
            <v>45477</v>
          </cell>
          <cell r="AZ311">
            <v>31</v>
          </cell>
          <cell r="BA311">
            <v>88200</v>
          </cell>
          <cell r="BB311" t="str">
            <v>Late Completed</v>
          </cell>
          <cell r="BC311" t="str">
            <v>PR100009145</v>
          </cell>
        </row>
        <row r="312">
          <cell r="B312" t="str">
            <v>PR100009123</v>
          </cell>
          <cell r="C312" t="str">
            <v>Restock Jointing &amp; termination 20kv cable 185mm</v>
          </cell>
          <cell r="E312" t="str">
            <v>Axel Jaya Cakraniaga, PT
Ganesha Wirya Pratama, PT
Greentek Elektrikal Indonesia, PT
Sola Anugerah Oilfield, PT
Outsourcindo, PT
Antares Jaya Gemilang Prima, PT
Surya Citra, CV
Perwira Sentra Officindo, PT
Raja Listrik Indonesia, PT
Trilistrindo Pratama, PT
Elang Mas Indoasia, PT
Ekasapta Hidupmaju, PT
Borneo Maju Jaya, PT
Alfa Teknik Mandiri Makmur, PT
Gading Mas Utama, PT</v>
          </cell>
          <cell r="F312" t="str">
            <v>Axel Jaya Cakraniaga, PT
Ganesha Wirya Pratama, PT
Outsourcindo, PT
Surya Citra, CV
Perwira Sentra Officindo, PT
Borneo Maju Jaya, PT
Alfa Teknik Mandiri Makmur, PT</v>
          </cell>
          <cell r="G312" t="str">
            <v>R0
7 of 15
17 May 24</v>
          </cell>
          <cell r="H312" t="str">
            <v>GUNARA FERY FAHNANI</v>
          </cell>
          <cell r="I312">
            <v>45419</v>
          </cell>
          <cell r="J312" t="str">
            <v>Tech Main</v>
          </cell>
          <cell r="K312" t="str">
            <v>B</v>
          </cell>
          <cell r="L312" t="str">
            <v>BID</v>
          </cell>
          <cell r="M312" t="str">
            <v>0122</v>
          </cell>
          <cell r="N312" t="str">
            <v>RH</v>
          </cell>
          <cell r="O312" t="str">
            <v>robertiagus.haposan@alamtri.com</v>
          </cell>
          <cell r="P312">
            <v>4607.1607999999997</v>
          </cell>
          <cell r="Q312">
            <v>73714572.799999997</v>
          </cell>
          <cell r="R312" t="str">
            <v>Completed Sign PO</v>
          </cell>
          <cell r="T312" t="str">
            <v>MSW</v>
          </cell>
          <cell r="U312" t="str">
            <v>Axel Jaya Cakraniaga, PT
Ganesha Wirya Pratama, PT
Greentek Elektrikal Indonesia, PT
Sola Anugerah Oilfield, PT
Outsourcindo, PT
Antares Jaya Gemilang Prima, PT
Surya Citra, CV
Perwira Sentra Officindo, PT
Raja Listrik Indonesia, PT
Trilistrindo Pratama, PT
Elang Mas Indoasia, PT
Ekasapta Hidupmaju, PT
Borneo Maju Jaya, PT
Alfa Teknik Mandiri Makmur, PT
Gading Mas Utama, PT</v>
          </cell>
          <cell r="V312" t="str">
            <v>Axel Jaya Cakraniaga, PT
Ganesha Wirya Pratama, PT
Outsourcindo, PT
Surya Citra, CV
Perwira Sentra Officindo, PT
Borneo Maju Jaya, PT
Alfa Teknik Mandiri Makmur, PT</v>
          </cell>
          <cell r="W312" t="str">
            <v>15 of 15</v>
          </cell>
          <cell r="X312" t="str">
            <v>7 of 15</v>
          </cell>
          <cell r="Y312">
            <v>45420</v>
          </cell>
          <cell r="Z312">
            <v>45429</v>
          </cell>
          <cell r="AC312" t="str">
            <v xml:space="preserve"> of </v>
          </cell>
          <cell r="AD312" t="str">
            <v xml:space="preserve"> of </v>
          </cell>
          <cell r="AF312" t="str">
            <v/>
          </cell>
          <cell r="AI312" t="str">
            <v xml:space="preserve"> of </v>
          </cell>
          <cell r="AJ312" t="str">
            <v xml:space="preserve"> of </v>
          </cell>
          <cell r="AL312" t="str">
            <v/>
          </cell>
          <cell r="AM312">
            <v>0.70833333333333337</v>
          </cell>
          <cell r="AN312" t="str">
            <v>Perwira Sentra Officindo, PT</v>
          </cell>
          <cell r="AO312" t="str">
            <v>d_santos63@yahoo.com</v>
          </cell>
          <cell r="AP312" t="str">
            <v>PO24000309</v>
          </cell>
          <cell r="AQ312">
            <v>48658300</v>
          </cell>
          <cell r="AR312">
            <v>45439</v>
          </cell>
          <cell r="AS312">
            <v>45447</v>
          </cell>
          <cell r="AT312">
            <v>45456</v>
          </cell>
          <cell r="AU312">
            <v>45492</v>
          </cell>
          <cell r="AV312">
            <v>45425</v>
          </cell>
          <cell r="AW312">
            <v>45461</v>
          </cell>
          <cell r="AX312">
            <v>5.1428571428571432</v>
          </cell>
          <cell r="AY312">
            <v>45482</v>
          </cell>
          <cell r="AZ312">
            <v>21</v>
          </cell>
          <cell r="BA312">
            <v>1021824.3</v>
          </cell>
          <cell r="BB312" t="str">
            <v>Late Completed</v>
          </cell>
          <cell r="BC312" t="str">
            <v>PR100009123</v>
          </cell>
        </row>
        <row r="313">
          <cell r="B313" t="str">
            <v>PR100009130</v>
          </cell>
          <cell r="C313" t="str">
            <v>Stock Consumable INVentory Mechanical  &amp; Workshop</v>
          </cell>
          <cell r="E313" t="str">
            <v>Sarana Prima Lestari, CV
Alfa Teknik Mandiri Makmur, PT
Perwira Sentra Officindo, PT
Indoparts, CV
Berkat Pratama Teknik, CV
Radian Fokus Mandiri, CV
Afghan Jaya Abadi, PT
Geographe Energy Indonesia, PT
Dwijaya Sentral Sarana, PT
Inako Pratama Indonesia, PT</v>
          </cell>
          <cell r="F313" t="str">
            <v>Sarana Prima Lestari, CV
Perwira Sentra Officindo, PT
Berkat Pratama Teknik, CV</v>
          </cell>
          <cell r="G313" t="str">
            <v>R0
3 of 10
22 May 24</v>
          </cell>
          <cell r="H313" t="str">
            <v>ARTHUR BRAMIYANA</v>
          </cell>
          <cell r="I313">
            <v>45422</v>
          </cell>
          <cell r="J313" t="str">
            <v>INV</v>
          </cell>
          <cell r="K313" t="str">
            <v>B</v>
          </cell>
          <cell r="L313" t="str">
            <v>BID</v>
          </cell>
          <cell r="M313" t="str">
            <v>0124</v>
          </cell>
          <cell r="N313" t="str">
            <v>RH</v>
          </cell>
          <cell r="O313" t="str">
            <v>robertiagus.haposan@alamtri.com</v>
          </cell>
          <cell r="P313">
            <v>256.74200000000002</v>
          </cell>
          <cell r="Q313">
            <v>4107872.0000000005</v>
          </cell>
          <cell r="R313" t="str">
            <v>Completed Sign PO</v>
          </cell>
          <cell r="T313" t="str">
            <v>MSW</v>
          </cell>
          <cell r="U313" t="str">
            <v>Sarana Prima Lestari, CV
Alfa Teknik Mandiri Makmur, PT
Perwira Sentra Officindo, PT
Indoparts, CV
Berkat Pratama Teknik, CV
Radian Fokus Mandiri, CV
Afghan Jaya Abadi, PT
Geographe Energy Indonesia, PT
Dwijaya Sentral Sarana, PT
Inako Pratama Indonesia, PT</v>
          </cell>
          <cell r="V313" t="str">
            <v>Sarana Prima Lestari, CV
Perwira Sentra Officindo, PT
Berkat Pratama Teknik, CV</v>
          </cell>
          <cell r="W313" t="str">
            <v>10 of 10</v>
          </cell>
          <cell r="X313" t="str">
            <v>3 of 10</v>
          </cell>
          <cell r="Y313">
            <v>45425</v>
          </cell>
          <cell r="Z313">
            <v>45434</v>
          </cell>
          <cell r="AC313" t="str">
            <v xml:space="preserve"> of </v>
          </cell>
          <cell r="AD313" t="str">
            <v xml:space="preserve"> of </v>
          </cell>
          <cell r="AF313" t="str">
            <v/>
          </cell>
          <cell r="AI313" t="str">
            <v xml:space="preserve"> of </v>
          </cell>
          <cell r="AJ313" t="str">
            <v xml:space="preserve"> of </v>
          </cell>
          <cell r="AL313" t="str">
            <v/>
          </cell>
          <cell r="AM313">
            <v>0.70833333333333337</v>
          </cell>
          <cell r="AN313" t="str">
            <v>Sarana Prima Lestari, CV</v>
          </cell>
          <cell r="AO313" t="str">
            <v>krisma@saranaprimalestari.com; spl@indo.net.id</v>
          </cell>
          <cell r="AP313" t="str">
            <v>PO24000308</v>
          </cell>
          <cell r="AQ313">
            <v>3433500</v>
          </cell>
          <cell r="AR313">
            <v>45439</v>
          </cell>
          <cell r="AS313">
            <v>45450</v>
          </cell>
          <cell r="AT313">
            <v>45456</v>
          </cell>
          <cell r="AU313">
            <v>45506</v>
          </cell>
          <cell r="AV313">
            <v>45425</v>
          </cell>
          <cell r="AW313">
            <v>45475</v>
          </cell>
          <cell r="AX313">
            <v>7.1428571428571432</v>
          </cell>
          <cell r="AY313">
            <v>45542</v>
          </cell>
          <cell r="AZ313">
            <v>67</v>
          </cell>
          <cell r="BA313">
            <v>103005</v>
          </cell>
          <cell r="BB313" t="str">
            <v>Late Completed</v>
          </cell>
          <cell r="BC313" t="str">
            <v>PR100009130</v>
          </cell>
        </row>
        <row r="314">
          <cell r="B314" t="str">
            <v>PR100009131</v>
          </cell>
          <cell r="C314" t="str">
            <v>Chute Block Level Switch VEGACAP 98 Stock INVentory</v>
          </cell>
          <cell r="E314" t="str">
            <v>Sola Anugerah Oilfield, PT
Indo Makmur Mandiri, PT
Menara Alfasemesta, PT
VEGA Instruments Indonesia, PT
Kin Kitra Kencana, PT
Foxsub Automation, PT
Antares Jaya Gemilang Prima, PT
Yabestindo Mitra Utama, PT
Gema Industrial, PT
ANP Engineering, PT
Sarana Prima Lestari, CV
Asia Megamas Internasional, PT</v>
          </cell>
          <cell r="F314" t="str">
            <v>Sola Anugerah Oilfield, PT
Indo Makmur Mandiri, PT
Menara Alfasemesta, PT
Antares Jaya Gemilang Prima, PT</v>
          </cell>
          <cell r="G314" t="str">
            <v>R0
4 of 12
24 May 24</v>
          </cell>
          <cell r="H314" t="str">
            <v>ARTHUR BRAMIYANA</v>
          </cell>
          <cell r="I314">
            <v>45422</v>
          </cell>
          <cell r="J314" t="str">
            <v>INV</v>
          </cell>
          <cell r="K314" t="str">
            <v>B</v>
          </cell>
          <cell r="L314" t="str">
            <v>BID</v>
          </cell>
          <cell r="M314" t="str">
            <v>0125</v>
          </cell>
          <cell r="N314" t="str">
            <v>RH</v>
          </cell>
          <cell r="O314" t="str">
            <v>robertiagus.haposan@alamtri.com</v>
          </cell>
          <cell r="P314">
            <v>816</v>
          </cell>
          <cell r="Q314">
            <v>13056000</v>
          </cell>
          <cell r="R314" t="str">
            <v>Completed Sign PO</v>
          </cell>
          <cell r="T314" t="str">
            <v>MSW</v>
          </cell>
          <cell r="U314" t="str">
            <v>Sola Anugerah Oilfield, PT
Indo Makmur Mandiri, PT
Menara Alfasemesta, PT
VEGA Instruments Indonesia, PT
Kin Kitra Kencana, PT
Foxsub Automation, PT
Antares Jaya Gemilang Prima, PT
Yabestindo Mitra Utama, PT
Gema Industrial, PT
ANP Engineering, PT
Sarana Prima Lestari, CV
Asia Megamas Internasional, PT</v>
          </cell>
          <cell r="V314" t="str">
            <v>Sola Anugerah Oilfield, PT
Indo Makmur Mandiri, PT
Menara Alfasemesta, PT
Antares Jaya Gemilang Prima, PT</v>
          </cell>
          <cell r="W314" t="str">
            <v>12 of 12</v>
          </cell>
          <cell r="X314" t="str">
            <v>4 of 12</v>
          </cell>
          <cell r="Y314">
            <v>45426</v>
          </cell>
          <cell r="Z314">
            <v>45436</v>
          </cell>
          <cell r="AC314" t="str">
            <v xml:space="preserve"> of </v>
          </cell>
          <cell r="AD314" t="str">
            <v xml:space="preserve"> of </v>
          </cell>
          <cell r="AF314" t="str">
            <v/>
          </cell>
          <cell r="AI314" t="str">
            <v xml:space="preserve"> of </v>
          </cell>
          <cell r="AJ314" t="str">
            <v xml:space="preserve"> of </v>
          </cell>
          <cell r="AL314" t="str">
            <v/>
          </cell>
          <cell r="AM314">
            <v>0.70833333333333337</v>
          </cell>
          <cell r="AN314" t="str">
            <v>Indo Makmur Mandiri, PT</v>
          </cell>
          <cell r="AO314" t="str">
            <v>indomakmur@dnet.net.id; jochika79@gmail.com</v>
          </cell>
          <cell r="AP314" t="str">
            <v>PO24000285</v>
          </cell>
          <cell r="AQ314">
            <v>18690000</v>
          </cell>
          <cell r="AR314">
            <v>45439</v>
          </cell>
          <cell r="AS314">
            <v>45446</v>
          </cell>
          <cell r="AT314">
            <v>45447</v>
          </cell>
          <cell r="AU314">
            <v>45513</v>
          </cell>
          <cell r="AV314">
            <v>45425</v>
          </cell>
          <cell r="AW314">
            <v>45491</v>
          </cell>
          <cell r="AX314">
            <v>9.4285714285714288</v>
          </cell>
          <cell r="AY314">
            <v>45495</v>
          </cell>
          <cell r="AZ314">
            <v>4</v>
          </cell>
          <cell r="BA314">
            <v>74760</v>
          </cell>
          <cell r="BB314" t="str">
            <v>Completed</v>
          </cell>
          <cell r="BC314" t="str">
            <v>PR100009131</v>
          </cell>
        </row>
        <row r="315">
          <cell r="B315" t="str">
            <v>PR100009106</v>
          </cell>
          <cell r="C315" t="str">
            <v>Filter For 80 Kva Perkins Stock Inventory</v>
          </cell>
          <cell r="E315" t="str">
            <v>Bima Kaltim Utama, PT
Aneka Mitra Cipta, PT
Sentrapart Niaga Utama, PT
Lotus Inti Pratama, PT
Vhipa Mulia Pratama, PT
Alfa Teknik Mandiri Makmur, PT
Outsourcindo, PT
Berkat Pratama Teknik, CV
Blessindo Prima Sarana, PT
Perwira Sentra Officindo, PT
Petrocom Nusa Synergy, PT
Karya Prima Sukses, PT
Indo Tehnik Tanjung Tabalong, PT</v>
          </cell>
          <cell r="F315" t="str">
            <v>Bima Kaltim Utama, PT
Aneka Mitra Cipta, PT
Sentrapart Niaga Utama, PT
Lotus Inti Pratama, PT
Outsourcindo, PT
Berkat Pratama Teknik, CV
Perwira Sentra Officindo, PT
Petrocom Nusa Synergy, PT</v>
          </cell>
          <cell r="G315" t="str">
            <v>R0
8 of 13
27 May 24</v>
          </cell>
          <cell r="H315" t="str">
            <v>ARTHUR BRAMIYANA</v>
          </cell>
          <cell r="I315">
            <v>45425</v>
          </cell>
          <cell r="J315" t="str">
            <v>DGOM</v>
          </cell>
          <cell r="K315" t="str">
            <v>B</v>
          </cell>
          <cell r="L315" t="str">
            <v>BID</v>
          </cell>
          <cell r="M315" t="str">
            <v>0126</v>
          </cell>
          <cell r="N315" t="str">
            <v>RH</v>
          </cell>
          <cell r="O315" t="str">
            <v>robertiagus.haposan@alamtri.com</v>
          </cell>
          <cell r="P315">
            <v>662.62</v>
          </cell>
          <cell r="Q315">
            <v>10601920</v>
          </cell>
          <cell r="R315" t="str">
            <v>Completed Sign PO</v>
          </cell>
          <cell r="T315" t="str">
            <v>MSW</v>
          </cell>
          <cell r="U315" t="str">
            <v>Bima Kaltim Utama, PT
Aneka Mitra Cipta, PT
Sentrapart Niaga Utama, PT
Lotus Inti Pratama, PT
Vhipa Mulia Pratama, PT
Alfa Teknik Mandiri Makmur, PT
Outsourcindo, PT
Berkat Pratama Teknik, CV
Blessindo Prima Sarana, PT
Perwira Sentra Officindo, PT
Petrocom Nusa Synergy, PT
Karya Prima Sukses, PT
Indo Tehnik Tanjung Tabalong, PT</v>
          </cell>
          <cell r="V315" t="str">
            <v>Bima Kaltim Utama, PT
Aneka Mitra Cipta, PT
Sentrapart Niaga Utama, PT
Lotus Inti Pratama, PT
Outsourcindo, PT
Berkat Pratama Teknik, CV
Perwira Sentra Officindo, PT
Petrocom Nusa Synergy, PT</v>
          </cell>
          <cell r="W315" t="str">
            <v>13 of 13</v>
          </cell>
          <cell r="X315" t="str">
            <v>8 of 13</v>
          </cell>
          <cell r="Y315">
            <v>45426</v>
          </cell>
          <cell r="Z315">
            <v>45439</v>
          </cell>
          <cell r="AC315" t="str">
            <v xml:space="preserve"> of </v>
          </cell>
          <cell r="AD315" t="str">
            <v xml:space="preserve"> of </v>
          </cell>
          <cell r="AF315" t="str">
            <v/>
          </cell>
          <cell r="AI315" t="str">
            <v xml:space="preserve"> of </v>
          </cell>
          <cell r="AJ315" t="str">
            <v xml:space="preserve"> of </v>
          </cell>
          <cell r="AL315" t="str">
            <v/>
          </cell>
          <cell r="AM315">
            <v>0.70833333333333337</v>
          </cell>
          <cell r="AN315" t="str">
            <v>Bima Kaltim Utama, PT</v>
          </cell>
          <cell r="AO315" t="str">
            <v>rera.bimakaltim@yahoo.com; albert.bimautama@yahoo.com; rya_bimakaltim@yahoo.com</v>
          </cell>
          <cell r="AP315" t="str">
            <v>PO24000290</v>
          </cell>
          <cell r="AQ315">
            <v>9150000</v>
          </cell>
          <cell r="AR315">
            <v>45443</v>
          </cell>
          <cell r="AS315">
            <v>45448</v>
          </cell>
          <cell r="AT315">
            <v>45448</v>
          </cell>
          <cell r="AU315">
            <v>45457</v>
          </cell>
          <cell r="AV315">
            <v>45425</v>
          </cell>
          <cell r="AW315">
            <v>45434</v>
          </cell>
          <cell r="AX315">
            <v>1.2857142857142858</v>
          </cell>
          <cell r="AY315">
            <v>45454</v>
          </cell>
          <cell r="AZ315">
            <v>20</v>
          </cell>
          <cell r="BA315">
            <v>274500</v>
          </cell>
          <cell r="BB315" t="str">
            <v>Completed</v>
          </cell>
          <cell r="BC315" t="str">
            <v>PR100009106</v>
          </cell>
        </row>
        <row r="316">
          <cell r="B316" t="str">
            <v>PR100008859 (Line 1-6)</v>
          </cell>
          <cell r="C316" t="str">
            <v>APD Safety Shoes Keperluan Karyawan</v>
          </cell>
          <cell r="E316" t="str">
            <v>Bhakti Ratutama Jaya, PT
Berkat Keselamatan Dunia, PT
Sentra Tanjung Jaya, CV
Dunia Saftindo, PT
Bintang Anugrah Sehati, PT
Total Prime Engineering, PT
Wahana Safety Indonesia, PT
Growrich Indonesia, PT
Gama Tritunggal Pratama, PT
Sarana Prima Lestari, CV
Berkat Tiga Putri, PT
Cahaya Mitra Saftindo, PT</v>
          </cell>
          <cell r="F316" t="str">
            <v>Bhakti Ratutama Jaya, PT
Berkat Keselamatan Dunia, PT
Sentra Tanjung Jaya, CV
Dunia Saftindo, PT
Bintang Anugrah Sehati, PT</v>
          </cell>
          <cell r="G316" t="str">
            <v>R0
5 of 12
27 May 24</v>
          </cell>
          <cell r="H316" t="str">
            <v>ARTHUR BRAMIYANA</v>
          </cell>
          <cell r="I316">
            <v>45427</v>
          </cell>
          <cell r="J316" t="str">
            <v>INV</v>
          </cell>
          <cell r="K316" t="str">
            <v>B</v>
          </cell>
          <cell r="L316" t="str">
            <v>BID</v>
          </cell>
          <cell r="M316" t="str">
            <v>0127</v>
          </cell>
          <cell r="N316" t="str">
            <v>RH</v>
          </cell>
          <cell r="O316" t="str">
            <v>robertiagus.haposan@alamtri.com</v>
          </cell>
          <cell r="P316">
            <v>333.64799999999997</v>
          </cell>
          <cell r="Q316">
            <v>5338367.9999999991</v>
          </cell>
          <cell r="R316" t="str">
            <v>Completed Sign PO</v>
          </cell>
          <cell r="T316" t="str">
            <v>MSW</v>
          </cell>
          <cell r="U316" t="str">
            <v>Bhakti Ratutama Jaya, PT
Berkat Keselamatan Dunia, PT
Sentra Tanjung Jaya, CV
Dunia Saftindo, PT
Bintang Anugrah Sehati, PT
Total Prime Engineering, PT
Wahana Safety Indonesia, PT
Growrich Indonesia, PT
Gama Tritunggal Pratama, PT
Sarana Prima Lestari, CV
Berkat Tiga Putri, PT
Cahaya Mitra Saftindo, PT</v>
          </cell>
          <cell r="V316" t="str">
            <v>Bhakti Ratutama Jaya, PT
Berkat Keselamatan Dunia, PT
Sentra Tanjung Jaya, CV
Dunia Saftindo, PT
Bintang Anugrah Sehati, PT</v>
          </cell>
          <cell r="W316" t="str">
            <v>12 of 12</v>
          </cell>
          <cell r="X316" t="str">
            <v>5 of 12</v>
          </cell>
          <cell r="Y316">
            <v>45427</v>
          </cell>
          <cell r="Z316">
            <v>45439</v>
          </cell>
          <cell r="AC316" t="str">
            <v xml:space="preserve"> of </v>
          </cell>
          <cell r="AD316" t="str">
            <v xml:space="preserve"> of </v>
          </cell>
          <cell r="AF316" t="str">
            <v/>
          </cell>
          <cell r="AI316" t="str">
            <v xml:space="preserve"> of </v>
          </cell>
          <cell r="AJ316" t="str">
            <v xml:space="preserve"> of </v>
          </cell>
          <cell r="AL316" t="str">
            <v/>
          </cell>
          <cell r="AM316">
            <v>0.70833333333333337</v>
          </cell>
          <cell r="AN316" t="str">
            <v>Bhakti Ratutama Jaya, PT</v>
          </cell>
          <cell r="AO316" t="str">
            <v>bhaktiratutama2005@gmail.com</v>
          </cell>
          <cell r="AP316" t="str">
            <v>PO24000288</v>
          </cell>
          <cell r="AQ316">
            <v>4772500</v>
          </cell>
          <cell r="AR316">
            <v>45443</v>
          </cell>
          <cell r="AS316">
            <v>45447</v>
          </cell>
          <cell r="AT316">
            <v>45447</v>
          </cell>
          <cell r="AU316">
            <v>45457</v>
          </cell>
          <cell r="AV316">
            <v>45425</v>
          </cell>
          <cell r="AW316">
            <v>45435</v>
          </cell>
          <cell r="AX316">
            <v>1.4285714285714286</v>
          </cell>
          <cell r="AY316">
            <v>45454</v>
          </cell>
          <cell r="AZ316">
            <v>19</v>
          </cell>
          <cell r="BA316">
            <v>143175</v>
          </cell>
          <cell r="BB316" t="str">
            <v>Completed</v>
          </cell>
          <cell r="BC316" t="str">
            <v>PR100008859</v>
          </cell>
        </row>
        <row r="317">
          <cell r="B317" t="str">
            <v>PR100009101</v>
          </cell>
          <cell r="C317" t="str">
            <v>Jasa adjusment Valve 3G3 schedule HM 2000</v>
          </cell>
          <cell r="E317" t="str">
            <v>Tri Arga Kencana, CV
Trakindo Utama, PT
Arthur Teknik Indoprima, PT
Triguna Karya Nusantara, PT
Mustika Jaya Tracktor, PT
Uno Solusi Teknik, CV
Karya Prima Sukses, PT
Hartekprima Listrindo, PT
Ricon Masintan Pratama, PT
Gayamakmur Techno Nusantara, PT
Panca Global Solusindo, PT
Xservice, CV</v>
          </cell>
          <cell r="F317" t="str">
            <v>Trakindo Utama, PT
Mustika Jaya Tracktor, PT
Panca Global Solusindo, PT</v>
          </cell>
          <cell r="G317" t="str">
            <v>R0
3 of 12
07 Jun 24</v>
          </cell>
          <cell r="H317" t="str">
            <v>SLAMET</v>
          </cell>
          <cell r="I317">
            <v>45429</v>
          </cell>
          <cell r="J317" t="str">
            <v>Tech Main</v>
          </cell>
          <cell r="K317" t="str">
            <v>J</v>
          </cell>
          <cell r="L317" t="str">
            <v>BID</v>
          </cell>
          <cell r="M317" t="str">
            <v>0152</v>
          </cell>
          <cell r="N317" t="str">
            <v>RH</v>
          </cell>
          <cell r="O317" t="str">
            <v>robertiagus.haposan@alamtri.com</v>
          </cell>
          <cell r="P317">
            <v>1240</v>
          </cell>
          <cell r="Q317">
            <v>19840000</v>
          </cell>
          <cell r="R317" t="str">
            <v>Completed Sign PO</v>
          </cell>
          <cell r="T317" t="str">
            <v>MSW</v>
          </cell>
          <cell r="U317" t="str">
            <v>Tri Arga Kencana, CV
Trakindo Utama, PT
Arthur Teknik Indoprima, PT
Triguna Karya Nusantara, PT
Mustika Jaya Tracktor, PT
Uno Solusi Teknik, CV
Karya Prima Sukses, PT
Hartekprima Listrindo, PT
Ricon Masintan Pratama, PT
Gayamakmur Techno Nusantara, PT
Panca Global Solusindo, PT
Xservice, CV</v>
          </cell>
          <cell r="V317" t="str">
            <v>Trakindo Utama, PT
Mustika Jaya Tracktor, PT
Panca Global Solusindo, PT</v>
          </cell>
          <cell r="W317" t="str">
            <v>12 of 12</v>
          </cell>
          <cell r="X317" t="str">
            <v>3 of 12</v>
          </cell>
          <cell r="Y317">
            <v>45443</v>
          </cell>
          <cell r="Z317">
            <v>45450</v>
          </cell>
          <cell r="AC317" t="str">
            <v xml:space="preserve"> of </v>
          </cell>
          <cell r="AD317" t="str">
            <v xml:space="preserve"> of </v>
          </cell>
          <cell r="AF317" t="str">
            <v/>
          </cell>
          <cell r="AI317" t="str">
            <v xml:space="preserve"> of </v>
          </cell>
          <cell r="AJ317" t="str">
            <v xml:space="preserve"> of </v>
          </cell>
          <cell r="AL317" t="str">
            <v/>
          </cell>
          <cell r="AM317">
            <v>0.70833333333333337</v>
          </cell>
          <cell r="AN317" t="str">
            <v>Trakindo Utama, PT</v>
          </cell>
          <cell r="AO317" t="str">
            <v>hjuniater.sidauruk@trakindo.co.id</v>
          </cell>
          <cell r="AP317" t="str">
            <v>PO24000324</v>
          </cell>
          <cell r="AQ317">
            <v>10250000</v>
          </cell>
          <cell r="AR317">
            <v>45454</v>
          </cell>
          <cell r="AS317">
            <v>45463</v>
          </cell>
          <cell r="AT317">
            <v>45464</v>
          </cell>
          <cell r="AU317">
            <v>45513</v>
          </cell>
          <cell r="AV317">
            <v>45425</v>
          </cell>
          <cell r="AW317">
            <v>45474</v>
          </cell>
          <cell r="AX317">
            <v>7</v>
          </cell>
          <cell r="AY317">
            <v>45507</v>
          </cell>
          <cell r="AZ317">
            <v>33</v>
          </cell>
          <cell r="BA317">
            <v>512500</v>
          </cell>
          <cell r="BB317" t="str">
            <v>Late Completed</v>
          </cell>
          <cell r="BC317" t="str">
            <v>PR100009101</v>
          </cell>
        </row>
        <row r="318">
          <cell r="B318" t="str">
            <v>PR100009151</v>
          </cell>
          <cell r="C318" t="str">
            <v>Kebutuhan Lubrication ALL DG  IBT  Barang  langsung ke IBT mekar putih  Lontar - Kota Baru</v>
          </cell>
          <cell r="E318" t="str">
            <v>Arthapusaka Mitra Sakti, PT
Gama Tritunggal Pratama, PT
Sumberdaya Sewatama, PT
Sefas Pelindotama, PT
Multidaya Prima Lestari, PT
Kreasindo Cahaya Sejati, PT
Mandiri Indonusa Perkasa, PT</v>
          </cell>
          <cell r="F318" t="str">
            <v>Arthapusaka Mitra Sakti, PT
Gama Tritunggal Pratama, PT
Sefas Pelindotama, PT
Multidaya Prima Lestari, PT</v>
          </cell>
          <cell r="G318" t="str">
            <v>R1
4 of 7
07 Jun 24</v>
          </cell>
          <cell r="H318" t="str">
            <v>SLAMET</v>
          </cell>
          <cell r="I318">
            <v>45429</v>
          </cell>
          <cell r="J318" t="str">
            <v>Tech Main</v>
          </cell>
          <cell r="K318" t="str">
            <v>B</v>
          </cell>
          <cell r="L318" t="str">
            <v>BID</v>
          </cell>
          <cell r="M318" t="str">
            <v>0128</v>
          </cell>
          <cell r="N318" t="str">
            <v>RH</v>
          </cell>
          <cell r="O318" t="str">
            <v>robertiagus.haposan@alamtri.com</v>
          </cell>
          <cell r="P318">
            <v>9142</v>
          </cell>
          <cell r="Q318">
            <v>146272000</v>
          </cell>
          <cell r="R318" t="str">
            <v>Completed Sign PO</v>
          </cell>
          <cell r="T318" t="str">
            <v>MSW</v>
          </cell>
          <cell r="U318" t="str">
            <v>Arthapusaka Mitra Sakti, PT
Gama Tritunggal Pratama, PT
Otto Sukses Jaya Perkasa, PT
Bima Kaltim Utama, PT
Gama Tritunggal Pratama, PT
Indo Jaya Perkasa Lubricant, PT
Vhipa Mulia Pratama, PT
Multidaya Prima Lestari, PT
Alpha Gaya Bhakti Pertiwi, PT</v>
          </cell>
          <cell r="V318" t="str">
            <v>Arthapusaka Mitra Sakti, PT
Gama Tritunggal Pratama, PT</v>
          </cell>
          <cell r="W318" t="str">
            <v>9 of 9</v>
          </cell>
          <cell r="X318" t="str">
            <v>2 of 9</v>
          </cell>
          <cell r="Y318">
            <v>45429</v>
          </cell>
          <cell r="Z318">
            <v>45439</v>
          </cell>
          <cell r="AA318" t="str">
            <v>Arthapusaka Mitra Sakti, PT
Gama Tritunggal Pratama, PT
Sumberdaya Sewatama, PT
Sefas Pelindotama, PT
Multidaya Prima Lestari, PT
Kreasindo Cahaya Sejati, PT
Mandiri Indonusa Perkasa, PT</v>
          </cell>
          <cell r="AB318" t="str">
            <v>Arthapusaka Mitra Sakti, PT
Gama Tritunggal Pratama, PT
Sefas Pelindotama, PT
Multidaya Prima Lestari, PT</v>
          </cell>
          <cell r="AC318" t="str">
            <v>7 of 7</v>
          </cell>
          <cell r="AD318" t="str">
            <v>4 of 7</v>
          </cell>
          <cell r="AE318">
            <v>45442</v>
          </cell>
          <cell r="AF318">
            <v>45450</v>
          </cell>
          <cell r="AI318" t="str">
            <v xml:space="preserve"> of </v>
          </cell>
          <cell r="AJ318" t="str">
            <v xml:space="preserve"> of </v>
          </cell>
          <cell r="AL318" t="str">
            <v/>
          </cell>
          <cell r="AM318">
            <v>0.70833333333333337</v>
          </cell>
          <cell r="AN318" t="str">
            <v>Arthapusaka Mitra Sakti, PT</v>
          </cell>
          <cell r="AO318" t="str">
            <v>putu@ptapms.com; acc.bjm@ptapms.com</v>
          </cell>
          <cell r="AP318" t="str">
            <v>PO24000347</v>
          </cell>
          <cell r="AQ318">
            <v>140000000</v>
          </cell>
          <cell r="AR318">
            <v>45454</v>
          </cell>
          <cell r="AS318">
            <v>45467</v>
          </cell>
          <cell r="AT318">
            <v>45470</v>
          </cell>
          <cell r="AU318">
            <v>45490</v>
          </cell>
          <cell r="AV318">
            <v>45425</v>
          </cell>
          <cell r="AW318">
            <v>45445</v>
          </cell>
          <cell r="AX318">
            <v>2.8571428571428572</v>
          </cell>
          <cell r="AY318">
            <v>45482</v>
          </cell>
          <cell r="AZ318">
            <v>37</v>
          </cell>
          <cell r="BA318">
            <v>7000000</v>
          </cell>
          <cell r="BB318" t="str">
            <v>Late Completed</v>
          </cell>
          <cell r="BC318" t="str">
            <v>PR100009151</v>
          </cell>
        </row>
        <row r="319">
          <cell r="B319" t="str">
            <v>PR100009119</v>
          </cell>
          <cell r="C319" t="str">
            <v>Pembelian Heating to Load Genset Perkins 80 Kva to ATS</v>
          </cell>
          <cell r="E319" t="str">
            <v>Petrocom Nusa Synergy, PT
Greentek Elektrikal Indonesia, PT
Sola Anugerah Oilfield, PT
Multikarya Asia Pasifik Raya, PT
Alfa Teknik Mandiri Makmur, PT
Antares Jaya Gemilang Prima, PT</v>
          </cell>
          <cell r="F319" t="str">
            <v>Petrocom Nusa Synergy, PT
Greentek Elektrikal Indonesia, PT
Sola Anugerah Oilfield, PT</v>
          </cell>
          <cell r="G319" t="str">
            <v>R2
3 of 6
01 Jul 24</v>
          </cell>
          <cell r="H319" t="str">
            <v>SLAMET</v>
          </cell>
          <cell r="I319">
            <v>45432</v>
          </cell>
          <cell r="J319" t="str">
            <v>COMMON</v>
          </cell>
          <cell r="K319" t="str">
            <v>B</v>
          </cell>
          <cell r="L319" t="str">
            <v>BID</v>
          </cell>
          <cell r="M319" t="str">
            <v>0142</v>
          </cell>
          <cell r="N319" t="str">
            <v>RH</v>
          </cell>
          <cell r="O319" t="str">
            <v>robertiagus.haposan@alamtri.com</v>
          </cell>
          <cell r="P319">
            <v>1034</v>
          </cell>
          <cell r="Q319">
            <v>16544000</v>
          </cell>
          <cell r="R319" t="str">
            <v>Completed Sign PO</v>
          </cell>
          <cell r="T319" t="str">
            <v>MSW</v>
          </cell>
          <cell r="U319" t="str">
            <v>Anugrah Mandiri Putra Tabalong, PT
Indo Tehnik Tanjung Tabalong, PT
Petrocom Nusa Synergy, PT
Outsourcindo, PT
Perwira Sentra Officindo, PT
Vhipa Mulia Pratama, PT
Dwijaya Sentral Sarana, PT
Yabestindo Mitra Utama, PT
Kin Kitra Kencana, PT
Greentek Elektrikal Indonesia, PT
Sola Anugerah Oilfield, PT
Lotus Inti Pratama, PT
Afghan Jaya Abadi, PT
Berkat Pratama Teknik, CV
Gevana, PT</v>
          </cell>
          <cell r="W319" t="str">
            <v>15 of 15</v>
          </cell>
          <cell r="X319" t="str">
            <v xml:space="preserve"> of 15</v>
          </cell>
          <cell r="Y319">
            <v>45441</v>
          </cell>
          <cell r="Z319">
            <v>45450</v>
          </cell>
          <cell r="AA319" t="str">
            <v>Anugrah Mandiri Putra Tabalong, PT
Putera Instrumenindo, PT
Petrocom Nusa Synergy, PT
Outsourcindo, PT
Perwira Sentra Officindo, PT
Vhipa Mulia Pratama, PT
Gading Mas Utama, PT
Antares Jaya Gemilang Prima, PT
Kin Kitra Kencana, PT
Greentek Elektrikal Indonesia, PT
Sola Anugerah Oilfield, PT
Lotus Inti Pratama, PT
Gema Industrial, PT
Berkat Pratama Teknik, CV
Dwijaya Sentral Sarana, PT</v>
          </cell>
          <cell r="AB319" t="str">
            <v>Petrocom Nusa Synergy, PT
Greentek Elektrikal Indonesia, PT</v>
          </cell>
          <cell r="AC319" t="str">
            <v>15 of 15</v>
          </cell>
          <cell r="AD319" t="str">
            <v>2 of 15</v>
          </cell>
          <cell r="AE319">
            <v>45455</v>
          </cell>
          <cell r="AF319">
            <v>45462</v>
          </cell>
          <cell r="AG319" t="str">
            <v>Petrocom Nusa Synergy, PT
Greentek Elektrikal Indonesia, PT
Sola Anugerah Oilfield, PT
Multikarya Asia Pasifik Raya, PT
Alfa Teknik Mandiri Makmur, PT
Antares Jaya Gemilang Prima, PT</v>
          </cell>
          <cell r="AH319" t="str">
            <v>Petrocom Nusa Synergy, PT
Greentek Elektrikal Indonesia, PT
Sola Anugerah Oilfield, PT</v>
          </cell>
          <cell r="AI319" t="str">
            <v>6 of 6</v>
          </cell>
          <cell r="AJ319" t="str">
            <v>3 of 6</v>
          </cell>
          <cell r="AK319">
            <v>45467</v>
          </cell>
          <cell r="AL319">
            <v>45474</v>
          </cell>
          <cell r="AM319">
            <v>0.70833333333333337</v>
          </cell>
          <cell r="AN319" t="str">
            <v>Petrocom Nusa Synergy, PT</v>
          </cell>
          <cell r="AO319" t="str">
            <v>petrocomnusasynergy@gmail.com</v>
          </cell>
          <cell r="AP319" t="str">
            <v>PO24000419</v>
          </cell>
          <cell r="AQ319">
            <v>9500000</v>
          </cell>
          <cell r="AR319">
            <v>45475</v>
          </cell>
          <cell r="AS319">
            <v>45491</v>
          </cell>
          <cell r="AT319">
            <v>45491</v>
          </cell>
          <cell r="AU319">
            <v>45555</v>
          </cell>
          <cell r="AV319">
            <v>45425</v>
          </cell>
          <cell r="AW319">
            <v>45489</v>
          </cell>
          <cell r="AX319">
            <v>9.1428571428571423</v>
          </cell>
          <cell r="AY319">
            <v>45578</v>
          </cell>
          <cell r="AZ319">
            <v>89</v>
          </cell>
          <cell r="BA319">
            <v>285000</v>
          </cell>
          <cell r="BB319" t="str">
            <v>Late Completed</v>
          </cell>
          <cell r="BC319" t="str">
            <v>PR100009119</v>
          </cell>
        </row>
        <row r="320">
          <cell r="B320" t="str">
            <v>PR100009185</v>
          </cell>
          <cell r="C320" t="str">
            <v>Filter Spare Part WA Loader 380,Stock Inventory</v>
          </cell>
          <cell r="D320" t="str">
            <v>Bima Kaltim Utama, PT
Mandiri Era Utama, PT</v>
          </cell>
          <cell r="E320" t="str">
            <v>Bima Kaltim Utama, PT
Pasific Tractor Indonesia, PT
Sentrapart Niaga Utama, PT
Aneka Mitra Cipta, PT
Blessindo Prima Sarana, PT
Arisco Mandiri, PT
Cahaya Multi Parts, PD
Monako Manunggal, PT
Anugrah Mandiri Putra Tabalong, PT
Petrocom Nusa Synergy, PT
Mulia Abadi Sukses Partindo, PT
Traktor Nusantara, PT
Total Prime Engineering, PT</v>
          </cell>
          <cell r="F320" t="str">
            <v>Bima Kaltim Utama, PT
Sentrapart Niaga Utama, PT
Aneka Mitra Cipta, PT
Petrocom Nusa Synergy, PT
Blessindo Prima Sarana, PT-x
Arisco Mandiri, PT-x</v>
          </cell>
          <cell r="G320" t="str">
            <v>R0
6 of 13
07 Jun 24</v>
          </cell>
          <cell r="H320" t="str">
            <v>ARTHUR BRAMIYANA</v>
          </cell>
          <cell r="I320">
            <v>45432</v>
          </cell>
          <cell r="J320" t="str">
            <v>INV</v>
          </cell>
          <cell r="K320" t="str">
            <v>B</v>
          </cell>
          <cell r="L320" t="str">
            <v>BID</v>
          </cell>
          <cell r="M320" t="str">
            <v>0151</v>
          </cell>
          <cell r="N320" t="str">
            <v>RH</v>
          </cell>
          <cell r="O320" t="str">
            <v>robertiagus.haposan@alamtri.com</v>
          </cell>
          <cell r="P320">
            <v>312.90750000000003</v>
          </cell>
          <cell r="Q320">
            <v>5006520</v>
          </cell>
          <cell r="R320" t="str">
            <v>Completed Sign PO</v>
          </cell>
          <cell r="T320" t="str">
            <v>MSW</v>
          </cell>
          <cell r="U320" t="str">
            <v>Bima Kaltim Utama, PT
Pasific Tractor Indonesia, PT
Sentrapart Niaga Utama, PT
Aneka Mitra Cipta, PT
Blessindo Prima Sarana, PT
Arisco Mandiri, PT
Cahaya Multi Parts, PD
Monako Manunggal, PT
Anugrah Mandiri Putra Tabalong, PT
Petrocom Nusa Synergy, PT
Mulia Abadi Sukses Partindo, PT
Traktor Nusantara, PT
Total Prime Engineering, PT</v>
          </cell>
          <cell r="V320" t="str">
            <v>Bima Kaltim Utama, PT
Sentrapart Niaga Utama, PT
Aneka Mitra Cipta, PT
Petrocom Nusa Synergy, PT
Blessindo Prima Sarana, PT-x
Arisco Mandiri, PT-x</v>
          </cell>
          <cell r="W320" t="str">
            <v>13 of 13</v>
          </cell>
          <cell r="X320" t="str">
            <v>6 of 13</v>
          </cell>
          <cell r="Y320">
            <v>45443</v>
          </cell>
          <cell r="Z320">
            <v>45450</v>
          </cell>
          <cell r="AC320" t="str">
            <v xml:space="preserve"> of </v>
          </cell>
          <cell r="AD320" t="str">
            <v xml:space="preserve"> of </v>
          </cell>
          <cell r="AF320" t="str">
            <v/>
          </cell>
          <cell r="AI320" t="str">
            <v xml:space="preserve"> of </v>
          </cell>
          <cell r="AJ320" t="str">
            <v xml:space="preserve"> of </v>
          </cell>
          <cell r="AL320" t="str">
            <v/>
          </cell>
          <cell r="AM320">
            <v>0.70833333333333337</v>
          </cell>
          <cell r="AN320" t="str">
            <v>Sentrapart Niaga Utama, PT</v>
          </cell>
          <cell r="AO320" t="str">
            <v>sales@sentrapart.com; Novriyanti@sentrapart.com</v>
          </cell>
          <cell r="AP320" t="str">
            <v>PO24000387</v>
          </cell>
          <cell r="AQ320">
            <v>5446000</v>
          </cell>
          <cell r="AR320">
            <v>45454</v>
          </cell>
          <cell r="AS320">
            <v>45482</v>
          </cell>
          <cell r="AT320">
            <v>45488</v>
          </cell>
          <cell r="AU320">
            <v>45513</v>
          </cell>
          <cell r="AV320">
            <v>45425</v>
          </cell>
          <cell r="AW320">
            <v>45450</v>
          </cell>
          <cell r="AX320">
            <v>3.5714285714285716</v>
          </cell>
          <cell r="AY320">
            <v>45495</v>
          </cell>
          <cell r="AZ320">
            <v>45</v>
          </cell>
          <cell r="BA320">
            <v>163380</v>
          </cell>
          <cell r="BB320" t="str">
            <v>Late Completed</v>
          </cell>
          <cell r="BC320" t="str">
            <v>PR100009185</v>
          </cell>
        </row>
        <row r="321">
          <cell r="B321" t="str">
            <v>PR100009196</v>
          </cell>
          <cell r="C321" t="str">
            <v>Kebutuhan Part PM untuk  DG IBT CAT C 18  4G2  dan DG  Cat 3516 Part langsung ke IBT mekar putih</v>
          </cell>
          <cell r="D321" t="str">
            <v>Trakindo Utama, PT
Petrocom Nusa Synergy, PT
Bima Kaltim Utama, PT</v>
          </cell>
          <cell r="E321" t="str">
            <v>Trakindo Utama, PT
Bima Kaltim Utama, PT
Aneka Mitra Cipta, PT
Sentrapart Niaga Utama, PT
Lotus Inti Pratama, PT
Vhipa Mulia Pratama, PT
Outsourcindo, PT
Panja Utama, PT
Monako Manunggal, PT
Gardamas Surya Lestari, PT</v>
          </cell>
          <cell r="F321" t="str">
            <v>Trakindo Utama, PT
Bima Kaltim Utama, PT
Vhipa Mulia Pratama, PT</v>
          </cell>
          <cell r="G321" t="str">
            <v>R0
3 of 10
10 Jun 24</v>
          </cell>
          <cell r="H321" t="str">
            <v>SLAMET</v>
          </cell>
          <cell r="I321">
            <v>45432</v>
          </cell>
          <cell r="J321" t="str">
            <v>Tech Main</v>
          </cell>
          <cell r="K321" t="str">
            <v>B</v>
          </cell>
          <cell r="L321" t="str">
            <v>BID</v>
          </cell>
          <cell r="M321" t="str">
            <v>0143</v>
          </cell>
          <cell r="N321" t="str">
            <v>RH</v>
          </cell>
          <cell r="O321" t="str">
            <v>robertiagus.haposan@alamtri.com</v>
          </cell>
          <cell r="P321">
            <v>3538.32</v>
          </cell>
          <cell r="Q321">
            <v>56613120</v>
          </cell>
          <cell r="R321" t="str">
            <v>Completed Sign PO</v>
          </cell>
          <cell r="T321" t="str">
            <v>MSW</v>
          </cell>
          <cell r="U321" t="str">
            <v>Trakindo Utama, PT
Bima Kaltim Utama, PT
Aneka Mitra Cipta, PT
Sentrapart Niaga Utama, PT
Lotus Inti Pratama, PT
Vhipa Mulia Pratama, PT
Outsourcindo, PT
Panja Utama, PT
Monako Manunggal, PT
Gardamas Surya Lestari, PT</v>
          </cell>
          <cell r="V321" t="str">
            <v>Trakindo Utama, PT
Bima Kaltim Utama, PT
Vhipa Mulia Pratama, PT</v>
          </cell>
          <cell r="W321" t="str">
            <v>10 of 10</v>
          </cell>
          <cell r="X321" t="str">
            <v>3 of 10</v>
          </cell>
          <cell r="Y321">
            <v>45442</v>
          </cell>
          <cell r="Z321">
            <v>45453</v>
          </cell>
          <cell r="AC321" t="str">
            <v xml:space="preserve"> of </v>
          </cell>
          <cell r="AD321" t="str">
            <v xml:space="preserve"> of </v>
          </cell>
          <cell r="AF321" t="str">
            <v/>
          </cell>
          <cell r="AI321" t="str">
            <v xml:space="preserve"> of </v>
          </cell>
          <cell r="AJ321" t="str">
            <v xml:space="preserve"> of </v>
          </cell>
          <cell r="AL321" t="str">
            <v/>
          </cell>
          <cell r="AM321">
            <v>0.70833333333333337</v>
          </cell>
          <cell r="AN321" t="str">
            <v>Bima Kaltim Utama, PT</v>
          </cell>
          <cell r="AO321" t="str">
            <v>rera.bimakaltim@yahoo.com; albert.bimautama@yahoo.com; rya_bimakaltim@yahoo.com</v>
          </cell>
          <cell r="AP321" t="str">
            <v>PO24000399</v>
          </cell>
          <cell r="AQ321">
            <v>91870000</v>
          </cell>
          <cell r="AR321">
            <v>45456</v>
          </cell>
          <cell r="AS321">
            <v>45485</v>
          </cell>
          <cell r="AT321">
            <v>45488</v>
          </cell>
          <cell r="AU321">
            <v>45513</v>
          </cell>
          <cell r="AV321">
            <v>45425</v>
          </cell>
          <cell r="AW321">
            <v>45450</v>
          </cell>
          <cell r="AX321">
            <v>3.5714285714285716</v>
          </cell>
          <cell r="AY321">
            <v>45524</v>
          </cell>
          <cell r="AZ321">
            <v>74</v>
          </cell>
          <cell r="BA321">
            <v>4593500</v>
          </cell>
          <cell r="BB321" t="str">
            <v>Late Completed</v>
          </cell>
          <cell r="BC321" t="str">
            <v>PR100009196</v>
          </cell>
        </row>
        <row r="322">
          <cell r="B322" t="str">
            <v>PR100009171</v>
          </cell>
          <cell r="C322" t="str">
            <v>SLO Unit Genset IBT (3G1 &amp; 3G2)</v>
          </cell>
          <cell r="E322" t="str">
            <v>Surveyor Indonesia, PT
Dankha Dian Kurnia, PT
Ketel Uap Indonesia, PT
Unilab Perdana, PT
Indotech Citra Sinergi, PT</v>
          </cell>
          <cell r="F322" t="str">
            <v>Surveyor Indonesia, PT
Dankha Dian Kurnia, PT
Ketel Uap Indonesia, PT</v>
          </cell>
          <cell r="G322" t="str">
            <v>R0
3 of 5
31 May 24</v>
          </cell>
          <cell r="H322" t="str">
            <v>ADITIYA KUSUMA WARDANA</v>
          </cell>
          <cell r="I322">
            <v>45432</v>
          </cell>
          <cell r="J322" t="str">
            <v>HSE</v>
          </cell>
          <cell r="K322" t="str">
            <v>J</v>
          </cell>
          <cell r="L322" t="str">
            <v>BID</v>
          </cell>
          <cell r="M322" t="str">
            <v>0139</v>
          </cell>
          <cell r="N322" t="str">
            <v>RH</v>
          </cell>
          <cell r="O322" t="str">
            <v>robertiagus.haposan@alamtri.com</v>
          </cell>
          <cell r="P322">
            <v>1950</v>
          </cell>
          <cell r="Q322">
            <v>31200000</v>
          </cell>
          <cell r="R322" t="str">
            <v>Completed Sign PO</v>
          </cell>
          <cell r="T322" t="str">
            <v>MSW</v>
          </cell>
          <cell r="U322" t="str">
            <v>Surveyor Indonesia, PT
Dankha Dian Kurnia, PT
Ketel Uap Indonesia, PT
Unilab Perdana, PT
Indotech Citra Sinergi, PT</v>
          </cell>
          <cell r="V322" t="str">
            <v>Surveyor Indonesia, PT
Dankha Dian Kurnia, PT
Ketel Uap Indonesia, PT</v>
          </cell>
          <cell r="W322" t="str">
            <v>5 of 5</v>
          </cell>
          <cell r="X322" t="str">
            <v>3 of 5</v>
          </cell>
          <cell r="Y322">
            <v>45441</v>
          </cell>
          <cell r="Z322">
            <v>45443</v>
          </cell>
          <cell r="AC322" t="str">
            <v xml:space="preserve"> of </v>
          </cell>
          <cell r="AD322" t="str">
            <v xml:space="preserve"> of </v>
          </cell>
          <cell r="AF322" t="str">
            <v/>
          </cell>
          <cell r="AI322" t="str">
            <v xml:space="preserve"> of </v>
          </cell>
          <cell r="AJ322" t="str">
            <v xml:space="preserve"> of </v>
          </cell>
          <cell r="AL322" t="str">
            <v/>
          </cell>
          <cell r="AM322">
            <v>0.70833333333333337</v>
          </cell>
          <cell r="AN322" t="str">
            <v>Surveyor Indonesia, PT</v>
          </cell>
          <cell r="AO322" t="str">
            <v>titimaharani1203@gmail.com;
marketing.sibanjarbaru@gmail.com; al.hakim18@gmail.com</v>
          </cell>
          <cell r="AP322" t="str">
            <v>PO24000318</v>
          </cell>
          <cell r="AQ322">
            <v>40000000</v>
          </cell>
          <cell r="AR322">
            <v>45447</v>
          </cell>
          <cell r="AS322">
            <v>45456</v>
          </cell>
          <cell r="AT322">
            <v>45457</v>
          </cell>
          <cell r="AU322">
            <v>45520</v>
          </cell>
          <cell r="AV322">
            <v>45425</v>
          </cell>
          <cell r="AW322">
            <v>45488</v>
          </cell>
          <cell r="AX322">
            <v>9</v>
          </cell>
          <cell r="AY322">
            <v>45638</v>
          </cell>
          <cell r="AZ322">
            <v>150</v>
          </cell>
          <cell r="BA322">
            <v>2000000</v>
          </cell>
          <cell r="BB322" t="str">
            <v>Completed</v>
          </cell>
          <cell r="BC322" t="str">
            <v>PR100009171</v>
          </cell>
        </row>
        <row r="323">
          <cell r="B323" t="str">
            <v>PR100009172</v>
          </cell>
          <cell r="C323" t="str">
            <v>Sertifikasi berkala Ketel Uap Unit 1 (Boiler 1) 2024</v>
          </cell>
          <cell r="E323" t="str">
            <v>Surveyor Indonesia, PT
Dankha Dian Kurnia, PT
Ketel Uap Indonesia, PT
Unilab Perdana, PT
Indotech Citra Sinergi, PT</v>
          </cell>
          <cell r="F323" t="str">
            <v>Surveyor Indonesia, PT
Dankha Dian Kurnia, PT
Ketel Uap Indonesia, PT</v>
          </cell>
          <cell r="G323" t="str">
            <v>R0
3 of 5
31 May 24</v>
          </cell>
          <cell r="H323" t="str">
            <v>ADITIYA KUSUMA WARDANA</v>
          </cell>
          <cell r="I323">
            <v>45432</v>
          </cell>
          <cell r="J323" t="str">
            <v>HSE</v>
          </cell>
          <cell r="K323" t="str">
            <v>J</v>
          </cell>
          <cell r="L323" t="str">
            <v>BID</v>
          </cell>
          <cell r="M323" t="str">
            <v>0139</v>
          </cell>
          <cell r="N323" t="str">
            <v>RH</v>
          </cell>
          <cell r="O323" t="str">
            <v>robertiagus.haposan@alamtri.com</v>
          </cell>
          <cell r="P323">
            <v>2587</v>
          </cell>
          <cell r="Q323">
            <v>41392000</v>
          </cell>
          <cell r="R323" t="str">
            <v>Completed Sign PO</v>
          </cell>
          <cell r="T323" t="str">
            <v>MSW</v>
          </cell>
          <cell r="U323" t="str">
            <v>Surveyor Indonesia, PT
Dankha Dian Kurnia, PT
Ketel Uap Indonesia, PT
Unilab Perdana, PT
Indotech Citra Sinergi, PT</v>
          </cell>
          <cell r="V323" t="str">
            <v>Surveyor Indonesia, PT
Dankha Dian Kurnia, PT
Ketel Uap Indonesia, PT</v>
          </cell>
          <cell r="W323" t="str">
            <v>5 of 5</v>
          </cell>
          <cell r="X323" t="str">
            <v>3 of 5</v>
          </cell>
          <cell r="Y323">
            <v>45441</v>
          </cell>
          <cell r="Z323">
            <v>45443</v>
          </cell>
          <cell r="AC323" t="str">
            <v xml:space="preserve"> of </v>
          </cell>
          <cell r="AD323" t="str">
            <v xml:space="preserve"> of </v>
          </cell>
          <cell r="AF323" t="str">
            <v/>
          </cell>
          <cell r="AI323" t="str">
            <v xml:space="preserve"> of </v>
          </cell>
          <cell r="AJ323" t="str">
            <v xml:space="preserve"> of </v>
          </cell>
          <cell r="AL323" t="str">
            <v/>
          </cell>
          <cell r="AM323">
            <v>0.70833333333333337</v>
          </cell>
          <cell r="AN323" t="str">
            <v>Surveyor Indonesia, PT</v>
          </cell>
          <cell r="AO323" t="str">
            <v>titimaharani1203@gmail.com;
marketing.sibanjarbaru@gmail.com; al.hakim18@gmail.com</v>
          </cell>
          <cell r="AP323" t="str">
            <v>PO24000318</v>
          </cell>
          <cell r="AQ323">
            <v>25000000</v>
          </cell>
          <cell r="AR323">
            <v>45447</v>
          </cell>
          <cell r="AS323">
            <v>45456</v>
          </cell>
          <cell r="AT323">
            <v>45457</v>
          </cell>
          <cell r="AU323">
            <v>45520</v>
          </cell>
          <cell r="AV323">
            <v>45425</v>
          </cell>
          <cell r="AW323">
            <v>45488</v>
          </cell>
          <cell r="AX323">
            <v>9</v>
          </cell>
          <cell r="AY323">
            <v>45655</v>
          </cell>
          <cell r="AZ323">
            <v>167</v>
          </cell>
          <cell r="BA323">
            <v>1250000</v>
          </cell>
          <cell r="BB323" t="str">
            <v>Completed</v>
          </cell>
          <cell r="BC323" t="str">
            <v>PR100009172</v>
          </cell>
        </row>
        <row r="324">
          <cell r="B324" t="str">
            <v>PR100008968 (Line 1-2)</v>
          </cell>
          <cell r="C324" t="str">
            <v>Safety Shoes &amp; APD Consumable stock Inventory</v>
          </cell>
          <cell r="D324" t="str">
            <v>Bhakti Ratutama Jaya, PT
Dunia Saftindo, PT
Sarana Prima Lestari, CV
Sentra Tanjung Jaya, CV
Bintang Anugrah Sehati, PT
Wahana Safety Indonesia, PT
Growrich Indonesia, PT
Berkat Keselamatan Dunia, PT</v>
          </cell>
          <cell r="E324" t="str">
            <v>Bhakti Ratutama Jaya, PT
Dunia Saftindo, PT
Sarana Prima Lestari, CV
Sentra Tanjung Jaya, CV
Bintang Anugrah Sehati, PT
Wahana Safety Indonesia, PT
Growrich Indonesia, PT
Berkat Keselamatan Dunia, PT
Cahaya Mitra Saftindo, PT</v>
          </cell>
          <cell r="F324" t="str">
            <v>Dunia Saftindo, PT
Sarana Prima Lestari, CV
Bintang Anugrah Sehati, PT
Wahana Safety Indonesia, PT
Berkat Keselamatan Dunia, PT
Cahaya Mitra Saftindo, PT</v>
          </cell>
          <cell r="G324" t="str">
            <v>R0
6 of 9
07 Jun 24</v>
          </cell>
          <cell r="H324" t="str">
            <v>ARTHUR BRAMIYANA</v>
          </cell>
          <cell r="I324">
            <v>45432</v>
          </cell>
          <cell r="J324" t="str">
            <v>INV</v>
          </cell>
          <cell r="K324" t="str">
            <v>B</v>
          </cell>
          <cell r="L324" t="str">
            <v>BID</v>
          </cell>
          <cell r="M324" t="str">
            <v>0146</v>
          </cell>
          <cell r="N324" t="str">
            <v>RH</v>
          </cell>
          <cell r="O324" t="str">
            <v>robertiagus.haposan@alamtri.com</v>
          </cell>
          <cell r="P324">
            <v>509.46679999999998</v>
          </cell>
          <cell r="Q324">
            <v>8151468.7999999998</v>
          </cell>
          <cell r="R324" t="str">
            <v>Completed Sign PO</v>
          </cell>
          <cell r="T324" t="str">
            <v>MSW</v>
          </cell>
          <cell r="U324" t="str">
            <v>Bhakti Ratutama Jaya, PT
Dunia Saftindo, PT
Sarana Prima Lestari, CV
Sentra Tanjung Jaya, CV
Bintang Anugrah Sehati, PT
Wahana Safety Indonesia, PT
Growrich Indonesia, PT
Berkat Keselamatan Dunia, PT
Cahaya Mitra Saftindo, PT</v>
          </cell>
          <cell r="V324" t="str">
            <v>Dunia Saftindo, PT
Sarana Prima Lestari, CV
Bintang Anugrah Sehati, PT
Wahana Safety Indonesia, PT
Berkat Keselamatan Dunia, PT
Cahaya Mitra Saftindo, PT</v>
          </cell>
          <cell r="W324" t="str">
            <v>9 of 9</v>
          </cell>
          <cell r="X324" t="str">
            <v>6 of 9</v>
          </cell>
          <cell r="Y324">
            <v>45443</v>
          </cell>
          <cell r="Z324">
            <v>45450</v>
          </cell>
          <cell r="AC324" t="str">
            <v xml:space="preserve"> of </v>
          </cell>
          <cell r="AD324" t="str">
            <v xml:space="preserve"> of </v>
          </cell>
          <cell r="AF324" t="str">
            <v/>
          </cell>
          <cell r="AI324" t="str">
            <v xml:space="preserve"> of </v>
          </cell>
          <cell r="AJ324" t="str">
            <v xml:space="preserve"> of </v>
          </cell>
          <cell r="AL324" t="str">
            <v/>
          </cell>
          <cell r="AM324">
            <v>0.70833333333333337</v>
          </cell>
          <cell r="AN324" t="str">
            <v>Cahaya Mitra Saftindo, PT</v>
          </cell>
          <cell r="AO324" t="str">
            <v>Admin02@cahayamitra.co.id</v>
          </cell>
          <cell r="AP324" t="str">
            <v>PO24000454</v>
          </cell>
          <cell r="AQ324">
            <v>4950000</v>
          </cell>
          <cell r="AR324">
            <v>45454</v>
          </cell>
          <cell r="AS324">
            <v>45491</v>
          </cell>
          <cell r="AT324">
            <v>45502</v>
          </cell>
          <cell r="AU324">
            <v>45520</v>
          </cell>
          <cell r="AV324">
            <v>45425</v>
          </cell>
          <cell r="AW324">
            <v>45443</v>
          </cell>
          <cell r="AX324">
            <v>2.5714285714285716</v>
          </cell>
          <cell r="AY324">
            <v>45513</v>
          </cell>
          <cell r="AZ324">
            <v>70</v>
          </cell>
          <cell r="BA324">
            <v>148500</v>
          </cell>
          <cell r="BB324" t="str">
            <v>Late Completed</v>
          </cell>
          <cell r="BC324" t="str">
            <v>PR100008968</v>
          </cell>
        </row>
        <row r="325">
          <cell r="B325" t="str">
            <v>PR100008968 (Line 3-5)</v>
          </cell>
          <cell r="C325" t="str">
            <v>Safety Shoes &amp; APD Consumable stock Inventory</v>
          </cell>
          <cell r="E325" t="str">
            <v>Bhakti Ratutama Jaya, PT
Dunia Saftindo, PT
Sarana Prima Lestari, CV
Sentra Tanjung Jaya, CV
Bintang Anugrah Sehati, PT
Wahana Safety Indonesia, PT
Growrich Indonesia, PT
Berkat Keselamatan Dunia, PT
Cahaya Mitra Saftindo, PT</v>
          </cell>
          <cell r="F325" t="str">
            <v>Dunia Saftindo, PT
Sarana Prima Lestari, CV
Bintang Anugrah Sehati, PT
Wahana Safety Indonesia, PT
Berkat Keselamatan Dunia, PT
Cahaya Mitra Saftindo, PT</v>
          </cell>
          <cell r="G325" t="str">
            <v>R0
6 of 9
07 Jun 24</v>
          </cell>
          <cell r="H325" t="str">
            <v>ARTHUR BRAMIYANA</v>
          </cell>
          <cell r="I325">
            <v>45432</v>
          </cell>
          <cell r="J325" t="str">
            <v>INV</v>
          </cell>
          <cell r="K325" t="str">
            <v>B</v>
          </cell>
          <cell r="L325" t="str">
            <v>BID</v>
          </cell>
          <cell r="M325" t="str">
            <v>0146</v>
          </cell>
          <cell r="N325" t="str">
            <v>RH</v>
          </cell>
          <cell r="O325" t="str">
            <v>robertiagus.haposan@alamtri.com</v>
          </cell>
          <cell r="P325">
            <v>509.46679999999998</v>
          </cell>
          <cell r="Q325">
            <v>8151468.7999999998</v>
          </cell>
          <cell r="R325" t="str">
            <v>Completed Sign PO</v>
          </cell>
          <cell r="T325" t="str">
            <v>MSW</v>
          </cell>
          <cell r="U325" t="str">
            <v>Bhakti Ratutama Jaya, PT
Dunia Saftindo, PT
Sarana Prima Lestari, CV
Sentra Tanjung Jaya, CV
Bintang Anugrah Sehati, PT
Wahana Safety Indonesia, PT
Growrich Indonesia, PT
Berkat Keselamatan Dunia, PT
Cahaya Mitra Saftindo, PT</v>
          </cell>
          <cell r="V325" t="str">
            <v>Dunia Saftindo, PT
Sarana Prima Lestari, CV
Bintang Anugrah Sehati, PT
Wahana Safety Indonesia, PT
Berkat Keselamatan Dunia, PT
Cahaya Mitra Saftindo, PT</v>
          </cell>
          <cell r="W325" t="str">
            <v>9 of 9</v>
          </cell>
          <cell r="X325" t="str">
            <v>6 of 9</v>
          </cell>
          <cell r="Y325">
            <v>45443</v>
          </cell>
          <cell r="Z325">
            <v>45450</v>
          </cell>
          <cell r="AC325" t="str">
            <v xml:space="preserve"> of </v>
          </cell>
          <cell r="AD325" t="str">
            <v xml:space="preserve"> of </v>
          </cell>
          <cell r="AF325" t="str">
            <v/>
          </cell>
          <cell r="AI325" t="str">
            <v xml:space="preserve"> of </v>
          </cell>
          <cell r="AJ325" t="str">
            <v xml:space="preserve"> of </v>
          </cell>
          <cell r="AL325" t="str">
            <v/>
          </cell>
          <cell r="AM325">
            <v>0.70833333333333337</v>
          </cell>
          <cell r="AN325" t="str">
            <v>Berkat Keselamatan Dunia, PT</v>
          </cell>
          <cell r="AO325" t="str">
            <v>novidadeputra@berkatsafety.co.id</v>
          </cell>
          <cell r="AP325" t="str">
            <v>PO24000415R1</v>
          </cell>
          <cell r="AQ325">
            <v>4950000</v>
          </cell>
          <cell r="AR325">
            <v>45454</v>
          </cell>
          <cell r="AS325">
            <v>45491</v>
          </cell>
          <cell r="AT325">
            <v>45491</v>
          </cell>
          <cell r="AU325">
            <v>45506</v>
          </cell>
          <cell r="AV325">
            <v>45425</v>
          </cell>
          <cell r="AW325">
            <v>45440</v>
          </cell>
          <cell r="AX325">
            <v>2.1428571428571428</v>
          </cell>
          <cell r="AY325">
            <v>45504</v>
          </cell>
          <cell r="AZ325">
            <v>64</v>
          </cell>
          <cell r="BA325">
            <v>148500</v>
          </cell>
          <cell r="BB325" t="str">
            <v>Late Completed</v>
          </cell>
          <cell r="BC325" t="str">
            <v>PR100008968</v>
          </cell>
        </row>
        <row r="326">
          <cell r="B326" t="str">
            <v>PR100009203</v>
          </cell>
          <cell r="C326" t="str">
            <v>Pembelian  Unit Genset Kapasitas. 40 Kva</v>
          </cell>
          <cell r="E326" t="str">
            <v>Ardiwijaya Prima Indonesia, PT
Alfa Teknik Mandiri Makmur, PT
Bima Kaltim Utama, PT
Borneo Maju Jaya, PT
Hartekprima Listrindo, PT
Satu Power Indonesia, PT
Perwira Sentra Officindo, PT
Bhakti Ratutama Jaya, PT
Nawata Kurnia Putra, PT
Petrocom Nusa Synergy, PT
Outsourcindo, PT
Vhipa Mulia Pratama, PT
Cipta Dua Power Frans Diesel, PT
Traktor Nusantara, PT
Interjaya Surya Megah, PT</v>
          </cell>
          <cell r="F326" t="str">
            <v>Alfa Teknik Mandiri Makmur, PT
Bima Kaltim Utama, PT
Hartekprima Listrindo, PT
Perwira Sentra Officindo, PT
Petrocom Nusa Synergy, PT
Vhipa Mulia Pratama, PT
Cipta Dua Power Frans Diesel, PT
Traktor Nusantara, PT
Interjaya Surya Megah, PT</v>
          </cell>
          <cell r="G326" t="str">
            <v>R0
9 of 15
07 Jun 24</v>
          </cell>
          <cell r="H326" t="str">
            <v>SLAMET</v>
          </cell>
          <cell r="I326">
            <v>45439</v>
          </cell>
          <cell r="J326" t="str">
            <v>Tech Main</v>
          </cell>
          <cell r="K326" t="str">
            <v>B</v>
          </cell>
          <cell r="L326" t="str">
            <v>BID</v>
          </cell>
          <cell r="M326" t="str">
            <v>0140</v>
          </cell>
          <cell r="N326" t="str">
            <v>RH</v>
          </cell>
          <cell r="O326" t="str">
            <v>robertiagus.haposan@alamtri.com</v>
          </cell>
          <cell r="P326">
            <v>35332</v>
          </cell>
          <cell r="Q326">
            <v>565312000</v>
          </cell>
          <cell r="R326" t="str">
            <v>Completed Sign PO</v>
          </cell>
          <cell r="T326" t="str">
            <v>MSW</v>
          </cell>
          <cell r="U326" t="str">
            <v>Ardiwijaya Prima Indonesia, PT
Alfa Teknik Mandiri Makmur, PT
Bima Kaltim Utama, PT
Borneo Maju Jaya, PT
Hartekprima Listrindo, PT
Satu Power Indonesia, PT
Perwira Sentra Officindo, PT
Bhakti Ratutama Jaya, PT
Nawata Kurnia Putra, PT
Petrocom Nusa Synergy, PT
Outsourcindo, PT
Vhipa Mulia Pratama, PT
Cipta Dua Power Frans Diesel, PT
Traktor Nusantara, PT
Interjaya Surya Megah, PT</v>
          </cell>
          <cell r="V326" t="str">
            <v>Alfa Teknik Mandiri Makmur, PT
Bima Kaltim Utama, PT
Hartekprima Listrindo, PT
Perwira Sentra Officindo, PT
Petrocom Nusa Synergy, PT
Vhipa Mulia Pratama, PT
Cipta Dua Power Frans Diesel, PT
Traktor Nusantara, PT
Interjaya Surya Megah, PT</v>
          </cell>
          <cell r="W326" t="str">
            <v>15 of 15</v>
          </cell>
          <cell r="X326" t="str">
            <v>9 of 15</v>
          </cell>
          <cell r="Y326">
            <v>45442</v>
          </cell>
          <cell r="Z326">
            <v>45450</v>
          </cell>
          <cell r="AC326" t="str">
            <v xml:space="preserve"> of </v>
          </cell>
          <cell r="AD326" t="str">
            <v xml:space="preserve"> of </v>
          </cell>
          <cell r="AF326" t="str">
            <v/>
          </cell>
          <cell r="AI326" t="str">
            <v xml:space="preserve"> of </v>
          </cell>
          <cell r="AJ326" t="str">
            <v xml:space="preserve"> of </v>
          </cell>
          <cell r="AL326" t="str">
            <v/>
          </cell>
          <cell r="AM326">
            <v>0.70833333333333337</v>
          </cell>
          <cell r="AN326" t="str">
            <v>Interjaya Suryamegah, PT</v>
          </cell>
          <cell r="AO326" t="str">
            <v>salesjakarta@interjaya.com</v>
          </cell>
          <cell r="AP326" t="str">
            <v>PO24000348R1</v>
          </cell>
          <cell r="AQ326">
            <v>280000000</v>
          </cell>
          <cell r="AR326">
            <v>45454</v>
          </cell>
          <cell r="AS326">
            <v>45464</v>
          </cell>
          <cell r="AT326">
            <v>45470</v>
          </cell>
          <cell r="AU326">
            <v>45520</v>
          </cell>
          <cell r="AV326">
            <v>45425</v>
          </cell>
          <cell r="AW326">
            <v>45475</v>
          </cell>
          <cell r="AX326">
            <v>7.1428571428571432</v>
          </cell>
          <cell r="AY326">
            <v>45517</v>
          </cell>
          <cell r="AZ326">
            <v>42</v>
          </cell>
          <cell r="BA326">
            <v>14000000</v>
          </cell>
          <cell r="BB326" t="str">
            <v>Late Completed</v>
          </cell>
          <cell r="BC326" t="str">
            <v>PR100009203</v>
          </cell>
        </row>
        <row r="327">
          <cell r="B327" t="str">
            <v>PR100009199 (Line 1,5,8)</v>
          </cell>
          <cell r="C327" t="str">
            <v>Stock Inventory,Spare Part Instruments</v>
          </cell>
          <cell r="D327" t="str">
            <v>Endress+Hauser Indonesia, PT
Kin Kitra Kencana, PT
Gading Mas Utama, PT
Raja Listrik Indonesia, PT
Greentek Elektrikal Indonesia, PT
Gema Industrial, PT
Alfa Teknik Mandiri Makmur, PT</v>
          </cell>
          <cell r="E327" t="str">
            <v>Endress+Hauser Indonesia, PT
Kin Kitra Kencana, PT
Gading Mas Utama, PT
Elang Mas Indoasia, PT
Raja Listrik Indonesia, PT
Greentek Elektrikal Indonesia, PT
Gema Industrial, PT
Alfa Teknik Mandiri Makmur, PT
Perwira Sentra Officindo, PT
Berkat Pratama Teknik, CV
Sola Anugerah Oilfield, PT
Indomultimeter Test Instruments, PT
Antares Jaya Gemilang Prima, PT
Indo Makmur Mandiri, PT
Suryamas Elsindo Primatara, PT</v>
          </cell>
          <cell r="F327" t="str">
            <v>Gading Mas Utama, PT
Gema Industrial, PT
Perwira Sentra Officindo, PT
Antares Jaya Gemilang Prima, PT</v>
          </cell>
          <cell r="G327" t="str">
            <v>R0
4 of 15
10 Jun 24</v>
          </cell>
          <cell r="H327" t="str">
            <v>ARTHUR BRAMIYANA</v>
          </cell>
          <cell r="I327">
            <v>45439</v>
          </cell>
          <cell r="J327" t="str">
            <v>INV</v>
          </cell>
          <cell r="K327" t="str">
            <v>B</v>
          </cell>
          <cell r="L327" t="str">
            <v>BID</v>
          </cell>
          <cell r="M327" t="str">
            <v>0145</v>
          </cell>
          <cell r="N327" t="str">
            <v>RH</v>
          </cell>
          <cell r="O327" t="str">
            <v>robertiagus.haposan@alamtri.com</v>
          </cell>
          <cell r="P327">
            <v>5906.7222000000002</v>
          </cell>
          <cell r="Q327">
            <v>94507555.200000003</v>
          </cell>
          <cell r="R327" t="str">
            <v>Completed Sign PO</v>
          </cell>
          <cell r="T327" t="str">
            <v>MSW</v>
          </cell>
          <cell r="U327" t="str">
            <v>Endress+Hauser Indonesia, PT
Kin Kitra Kencana, PT
Gading Mas Utama, PT
Elang Mas Indoasia, PT
Raja Listrik Indonesia, PT
Greentek Elektrikal Indonesia, PT
Gema Industrial, PT
Alfa Teknik Mandiri Makmur, PT
Perwira Sentra Officindo, PT
Berkat Pratama Teknik, CV
Sola Anugerah Oilfield, PT
Indomultimeter Test Instruments, PT
Antares Jaya Gemilang Prima, PT
Indo Makmur Mandiri, PT
Suryamas Elsindo Primatara, PT</v>
          </cell>
          <cell r="V327" t="str">
            <v>Gading Mas Utama, PT
Gema Industrial, PT
Perwira Sentra Officindo, PT
Antares Jaya Gemilang Prima, PT</v>
          </cell>
          <cell r="W327" t="str">
            <v>15 of 15</v>
          </cell>
          <cell r="X327" t="str">
            <v>4 of 15</v>
          </cell>
          <cell r="Y327">
            <v>45442</v>
          </cell>
          <cell r="Z327">
            <v>45453</v>
          </cell>
          <cell r="AC327" t="str">
            <v xml:space="preserve"> of </v>
          </cell>
          <cell r="AD327" t="str">
            <v xml:space="preserve"> of </v>
          </cell>
          <cell r="AF327" t="str">
            <v/>
          </cell>
          <cell r="AI327" t="str">
            <v xml:space="preserve"> of </v>
          </cell>
          <cell r="AJ327" t="str">
            <v xml:space="preserve"> of </v>
          </cell>
          <cell r="AL327" t="str">
            <v/>
          </cell>
          <cell r="AM327">
            <v>0.70833333333333337</v>
          </cell>
          <cell r="AN327" t="str">
            <v>Antares Jaya Gemilang Prima, PT</v>
          </cell>
          <cell r="AO327" t="str">
            <v>info@pt-antares.com; antares.jgp@gmail.com</v>
          </cell>
          <cell r="AP327" t="str">
            <v>PO24000383</v>
          </cell>
          <cell r="AQ327">
            <v>29150000</v>
          </cell>
          <cell r="AR327">
            <v>45456</v>
          </cell>
          <cell r="AS327">
            <v>45480</v>
          </cell>
          <cell r="AT327">
            <v>45482</v>
          </cell>
          <cell r="AU327">
            <v>45611</v>
          </cell>
          <cell r="AV327">
            <v>45425</v>
          </cell>
          <cell r="AW327">
            <v>45554</v>
          </cell>
          <cell r="AX327">
            <v>18.428571428571427</v>
          </cell>
          <cell r="AY327">
            <v>45614</v>
          </cell>
          <cell r="AZ327">
            <v>60</v>
          </cell>
          <cell r="BA327">
            <v>1457500</v>
          </cell>
          <cell r="BB327" t="str">
            <v>Late Completed</v>
          </cell>
          <cell r="BC327" t="str">
            <v>PR100009199</v>
          </cell>
        </row>
        <row r="328">
          <cell r="B328" t="str">
            <v>PR100009199 (Line 9)</v>
          </cell>
          <cell r="C328" t="str">
            <v>Stock Inventory,Spare Part Instruments</v>
          </cell>
          <cell r="E328" t="str">
            <v>Sola Anugerah Oilfield, PT
VEGA Instruments Indonesia, PT
Indo Makmur Mandiri, PT
Menara Alfasemesta, PT
Lima Makmur Jaya, PT
Petrocom Nusa Synergy, PT
Outsourcindo, PT
Putera Instrumenindo, PT</v>
          </cell>
          <cell r="F328" t="str">
            <v>Sola Anugerah Oilfield, PT
Indo Makmur Mandiri, PT
Menara Alfasemesta, PT
Lima Makmur Jaya, PT
Outsourcindo, PT
Putera Instrumenindo, PT</v>
          </cell>
          <cell r="G328" t="str">
            <v>R2
6 of 8
22 Jul 24</v>
          </cell>
          <cell r="H328" t="str">
            <v>ARTHUR BRAMIYANA</v>
          </cell>
          <cell r="I328">
            <v>45439</v>
          </cell>
          <cell r="J328" t="str">
            <v>INV</v>
          </cell>
          <cell r="K328" t="str">
            <v>B</v>
          </cell>
          <cell r="L328" t="str">
            <v>BID</v>
          </cell>
          <cell r="M328" t="str">
            <v>0236</v>
          </cell>
          <cell r="N328" t="str">
            <v>RH</v>
          </cell>
          <cell r="O328" t="str">
            <v>robertiagus.haposan@alamtri.com</v>
          </cell>
          <cell r="P328">
            <v>918.64080000000001</v>
          </cell>
          <cell r="Q328">
            <v>14698252.800000001</v>
          </cell>
          <cell r="R328" t="str">
            <v>Completed Sign PO</v>
          </cell>
          <cell r="T328" t="str">
            <v>MSW</v>
          </cell>
          <cell r="U328" t="str">
            <v>Endress+Hauser Indonesia, PT
Kin Kitra Kencana, PT
Gading Mas Utama, PT
Elang Mas Indoasia, PT
Raja Listrik Indonesia, PT
Greentek Elektrikal Indonesia, PT
Gema Industrial, PT
Alfa Teknik Mandiri Makmur, PT
Perwira Sentra Officindo, PT
Berkat Pratama Teknik, CV
Sola Anugerah Oilfield, PT
Indomultimeter Test Instruments, PT
Antares Jaya Gemilang Prima, PT
Indo Makmur Mandiri, PT
Suryamas Elsindo Primatara, PT</v>
          </cell>
          <cell r="V328" t="str">
            <v>Gading Mas Utama, PT
Gema Industrial, PT
Perwira Sentra Officindo, PT
Antares Jaya Gemilang Prima, PT</v>
          </cell>
          <cell r="W328" t="str">
            <v>15 of 15</v>
          </cell>
          <cell r="X328" t="str">
            <v>4 of 15</v>
          </cell>
          <cell r="Y328">
            <v>45442</v>
          </cell>
          <cell r="Z328">
            <v>45453</v>
          </cell>
          <cell r="AA328" t="str">
            <v>Sola Anugerah Oilfield, PT
Total Solusi Instrument, PT
Indo Makmur Mandiri, PT
Outsourcindo, PT
Petrocom Nusa Synergy, PT
Gading Mas Utama, PT
Vhipa Mulia Pratama, PT
Lamindo Prima Mandiri, PT
ANP Engineering, PT
Rande Buana Teknik, PT
Putera Instrumenindo, PT
Kin Kitra Kencana, PT
Comtech Global Indonesia, PT</v>
          </cell>
          <cell r="AB328" t="str">
            <v>Sola Anugerah Oilfield, PT</v>
          </cell>
          <cell r="AC328" t="str">
            <v>13 of 13</v>
          </cell>
          <cell r="AD328" t="str">
            <v>1 of 13</v>
          </cell>
          <cell r="AE328">
            <v>45475</v>
          </cell>
          <cell r="AF328">
            <v>45482</v>
          </cell>
          <cell r="AG328" t="str">
            <v>Sola Anugerah Oilfield, PT
VEGA Instruments Indonesia, PT
Indo Makmur Mandiri, PT
Menara Alfasemesta, PT
Lima Makmur Jaya, PT
Petrocom Nusa Synergy, PT
Outsourcindo, PT
Putera Instrumenindo, PT</v>
          </cell>
          <cell r="AH328" t="str">
            <v>Sola Anugerah Oilfield, PT
Indo Makmur Mandiri, PT
Menara Alfasemesta, PT
Lima Makmur Jaya, PT
Outsourcindo, PT
Putera Instrumenindo, PT</v>
          </cell>
          <cell r="AI328" t="str">
            <v>8 of 8</v>
          </cell>
          <cell r="AJ328" t="str">
            <v>6 of 8</v>
          </cell>
          <cell r="AK328">
            <v>45488</v>
          </cell>
          <cell r="AL328">
            <v>45495</v>
          </cell>
          <cell r="AM328">
            <v>0.70833333333333337</v>
          </cell>
          <cell r="AN328" t="str">
            <v>Sola Anugerah Oilfield, PT</v>
          </cell>
          <cell r="AO328" t="str">
            <v>mgr3@sola-oilfield.com;
sales3@sola-oilfield.com; admsolaanugerah@gmail.com; sales6@sola-oilfield.com</v>
          </cell>
          <cell r="AP328" t="str">
            <v>PO24000484</v>
          </cell>
          <cell r="AQ328">
            <v>11760000</v>
          </cell>
          <cell r="AR328">
            <v>45498</v>
          </cell>
          <cell r="AS328">
            <v>45505</v>
          </cell>
          <cell r="AT328">
            <v>45512</v>
          </cell>
          <cell r="AU328">
            <v>45615</v>
          </cell>
          <cell r="AV328">
            <v>45425</v>
          </cell>
          <cell r="AW328">
            <v>45528</v>
          </cell>
          <cell r="AX328">
            <v>14.714285714285714</v>
          </cell>
          <cell r="AY328">
            <v>45561</v>
          </cell>
          <cell r="AZ328">
            <v>33</v>
          </cell>
          <cell r="BA328">
            <v>588000</v>
          </cell>
          <cell r="BB328" t="str">
            <v>Late Completed</v>
          </cell>
          <cell r="BC328" t="str">
            <v>PR100009199</v>
          </cell>
        </row>
        <row r="329">
          <cell r="B329" t="str">
            <v>PR100009199 (Line 2-4, Line 6-7)</v>
          </cell>
          <cell r="C329" t="str">
            <v>Stock Inventory,Spare Part Instruments</v>
          </cell>
          <cell r="E329" t="str">
            <v>Endress+Hauser Indonesia, PT
Kin Kitra Kencana, PT
Gading Mas Utama, PT
Elang Mas Indoasia, PT
Raja Listrik Indonesia, PT
Greentek Elektrikal Indonesia, PT
Gema Industrial, PT
Alfa Teknik Mandiri Makmur, PT
Perwira Sentra Officindo, PT
Berkat Pratama Teknik, CV
Sola Anugerah Oilfield, PT
Indomultimeter Test Instruments, PT
Antares Jaya Gemilang Prima, PT
Indo Makmur Mandiri, PT
Suryamas Elsindo Primatara, PT</v>
          </cell>
          <cell r="F329" t="str">
            <v>Gading Mas Utama, PT
Gema Industrial, PT
Perwira Sentra Officindo, PT
Antares Jaya Gemilang Prima, PT</v>
          </cell>
          <cell r="G329" t="str">
            <v>R0
4 of 15
10 Jun 24</v>
          </cell>
          <cell r="H329" t="str">
            <v>ARTHUR BRAMIYANA</v>
          </cell>
          <cell r="I329">
            <v>45439</v>
          </cell>
          <cell r="J329" t="str">
            <v>INV</v>
          </cell>
          <cell r="K329" t="str">
            <v>B</v>
          </cell>
          <cell r="L329" t="str">
            <v>BID</v>
          </cell>
          <cell r="M329" t="str">
            <v>0145</v>
          </cell>
          <cell r="N329" t="str">
            <v>RH</v>
          </cell>
          <cell r="O329" t="str">
            <v>robertiagus.haposan@alamtri.com</v>
          </cell>
          <cell r="P329">
            <v>5906.7222000000002</v>
          </cell>
          <cell r="Q329">
            <v>94507555.200000003</v>
          </cell>
          <cell r="R329" t="str">
            <v>Completed Sign PO</v>
          </cell>
          <cell r="T329" t="str">
            <v>MSW</v>
          </cell>
          <cell r="U329" t="str">
            <v>Endress+Hauser Indonesia, PT
Kin Kitra Kencana, PT
Gading Mas Utama, PT
Elang Mas Indoasia, PT
Raja Listrik Indonesia, PT
Greentek Elektrikal Indonesia, PT
Gema Industrial, PT
Alfa Teknik Mandiri Makmur, PT
Perwira Sentra Officindo, PT
Berkat Pratama Teknik, CV
Sola Anugerah Oilfield, PT
Indomultimeter Test Instruments, PT
Antares Jaya Gemilang Prima, PT
Indo Makmur Mandiri, PT
Suryamas Elsindo Primatara, PT</v>
          </cell>
          <cell r="V329" t="str">
            <v>Gading Mas Utama, PT
Gema Industrial, PT
Perwira Sentra Officindo, PT
Antares Jaya Gemilang Prima, PT</v>
          </cell>
          <cell r="W329" t="str">
            <v>15 of 15</v>
          </cell>
          <cell r="X329" t="str">
            <v>4 of 15</v>
          </cell>
          <cell r="Y329">
            <v>45442</v>
          </cell>
          <cell r="Z329">
            <v>45453</v>
          </cell>
          <cell r="AC329" t="str">
            <v xml:space="preserve"> of </v>
          </cell>
          <cell r="AD329" t="str">
            <v xml:space="preserve"> of </v>
          </cell>
          <cell r="AF329" t="str">
            <v/>
          </cell>
          <cell r="AI329" t="str">
            <v xml:space="preserve"> of </v>
          </cell>
          <cell r="AJ329" t="str">
            <v xml:space="preserve"> of </v>
          </cell>
          <cell r="AL329" t="str">
            <v/>
          </cell>
          <cell r="AM329">
            <v>0.70833333333333337</v>
          </cell>
          <cell r="AN329" t="str">
            <v>Gema Industrial, PT</v>
          </cell>
          <cell r="AO329" t="str">
            <v>marketing@gema-industrial.com</v>
          </cell>
          <cell r="AP329" t="str">
            <v>PO24000384R1</v>
          </cell>
          <cell r="AQ329">
            <v>50200000</v>
          </cell>
          <cell r="AR329">
            <v>45456</v>
          </cell>
          <cell r="AS329">
            <v>45480</v>
          </cell>
          <cell r="AT329">
            <v>45482</v>
          </cell>
          <cell r="AU329">
            <v>45667</v>
          </cell>
          <cell r="AV329">
            <v>45425</v>
          </cell>
          <cell r="AW329">
            <v>45610</v>
          </cell>
          <cell r="AX329">
            <v>26.428571428571427</v>
          </cell>
          <cell r="AY329">
            <v>45583</v>
          </cell>
          <cell r="AZ329" t="str">
            <v/>
          </cell>
          <cell r="BA329" t="str">
            <v/>
          </cell>
          <cell r="BB329" t="str">
            <v>Late Completed</v>
          </cell>
          <cell r="BC329" t="str">
            <v>PR100009199</v>
          </cell>
        </row>
        <row r="330">
          <cell r="B330" t="str">
            <v>PR100009216</v>
          </cell>
          <cell r="C330" t="str">
            <v>Stock Inventory For Bearing ID Fan &amp; SA FAN</v>
          </cell>
          <cell r="E330" t="str">
            <v>Banjar Bearing Sentosa, PT
SLS Bearindo, PT
Fortuna Anekamulti Gemilang, PT
Rollent Indonesia, PT
Perwira Sentra Officindo, PT
Vhipa Mulia Pratama, PT
Outsourcindo, PT
Satu Aneka Bering, PT
Fajar Mas Murni, PT
Inti Bearingindo Logamsari, PT
Jaya Utama Bearing, PT</v>
          </cell>
          <cell r="F330" t="str">
            <v>Banjar Bearing Sentosa, PT
SLS Bearindo, PT
Fortuna Anekamulti Gemilang, PT-x
Perwira Sentra Officindo, PT</v>
          </cell>
          <cell r="G330" t="str">
            <v>R0
4 of 11
06 Jun 24</v>
          </cell>
          <cell r="H330" t="str">
            <v>ARTHUR BRAMIYANA</v>
          </cell>
          <cell r="I330">
            <v>45442</v>
          </cell>
          <cell r="J330" t="str">
            <v>INV</v>
          </cell>
          <cell r="K330" t="str">
            <v>B</v>
          </cell>
          <cell r="L330" t="str">
            <v>BID</v>
          </cell>
          <cell r="M330" t="str">
            <v>0153</v>
          </cell>
          <cell r="N330" t="str">
            <v>RH</v>
          </cell>
          <cell r="O330" t="str">
            <v>robertiagus.haposan@alamtri.com</v>
          </cell>
          <cell r="P330">
            <v>5763.8950000000004</v>
          </cell>
          <cell r="Q330">
            <v>92222320</v>
          </cell>
          <cell r="R330" t="str">
            <v>Completed Sign PO</v>
          </cell>
          <cell r="T330" t="str">
            <v>MSW</v>
          </cell>
          <cell r="U330" t="str">
            <v>Banjar Bearing Sentosa, PT
SLS Bearindo, PT
Fortuna Anekamulti Gemilang, PT
Rollent Indonesia, PT
Perwira Sentra Officindo, PT
Vhipa Mulia Pratama, PT
Outsourcindo, PT
Satu Aneka Bering, PT
Fajar Mas Murni, PT
Inti Bearingindo Logamsari, PT
Jaya Utama Bearing, PT</v>
          </cell>
          <cell r="V330" t="str">
            <v>Banjar Bearing Sentosa, PT
SLS Bearindo, PT
Fortuna Anekamulti Gemilang, PT-x
Perwira Sentra Officindo, PT</v>
          </cell>
          <cell r="W330" t="str">
            <v>11 of 11</v>
          </cell>
          <cell r="X330" t="str">
            <v>4 of 11</v>
          </cell>
          <cell r="Y330">
            <v>45443</v>
          </cell>
          <cell r="Z330">
            <v>45449</v>
          </cell>
          <cell r="AC330" t="str">
            <v xml:space="preserve"> of </v>
          </cell>
          <cell r="AD330" t="str">
            <v xml:space="preserve"> of </v>
          </cell>
          <cell r="AF330" t="str">
            <v/>
          </cell>
          <cell r="AI330" t="str">
            <v xml:space="preserve"> of </v>
          </cell>
          <cell r="AJ330" t="str">
            <v xml:space="preserve"> of </v>
          </cell>
          <cell r="AL330" t="str">
            <v/>
          </cell>
          <cell r="AM330">
            <v>0.70833333333333337</v>
          </cell>
          <cell r="AN330" t="str">
            <v>Banjar Bearing Sentosa, PT</v>
          </cell>
          <cell r="AO330" t="str">
            <v>bbsbjm@banjarbearing.com; eddy@bbs.banjarbearing.com; surya@bbs.banjarbearing.com</v>
          </cell>
          <cell r="AP330" t="str">
            <v>PO24000332</v>
          </cell>
          <cell r="AQ330">
            <v>48400000</v>
          </cell>
          <cell r="AR330">
            <v>45454</v>
          </cell>
          <cell r="AS330">
            <v>45464</v>
          </cell>
          <cell r="AT330">
            <v>45467</v>
          </cell>
          <cell r="AU330">
            <v>45492</v>
          </cell>
          <cell r="AV330">
            <v>45425</v>
          </cell>
          <cell r="AW330">
            <v>45450</v>
          </cell>
          <cell r="AX330">
            <v>3.5714285714285716</v>
          </cell>
          <cell r="AY330">
            <v>45477</v>
          </cell>
          <cell r="AZ330">
            <v>27</v>
          </cell>
          <cell r="BA330">
            <v>1306800</v>
          </cell>
          <cell r="BB330" t="str">
            <v>Completed</v>
          </cell>
          <cell r="BC330" t="str">
            <v>PR100009216</v>
          </cell>
        </row>
        <row r="331">
          <cell r="B331" t="str">
            <v>PR100009211</v>
          </cell>
          <cell r="C331" t="str">
            <v>Kebutuhan Material untuk Genset  Perkins 80 Kva</v>
          </cell>
          <cell r="E331" t="str">
            <v>Bima Kaltim Utama, PT
Anugrah Mandiri Putra Tabalong, PT
Universal Sukses Abadi, PT
Petrocom Nusa Synergy, PT
Outsourcindo, PT
Bhakti Ratutama Jaya, PT
Perwira Sentra Officindo, PT
Cipta Dua Power Frans Diesel, PT
Interjaya Surya Megah, PT
Satu Power Indonesia, PT
Hartekprima Listrindo, PT
Nawata Kurnia Putra, PT
Berkat Pratama Teknik, CV
Ardiwijaya Prima Indonesia, PT
Gevana, PT</v>
          </cell>
          <cell r="F331" t="str">
            <v>Bima Kaltim Utama, PT
Bhakti Ratutama Jaya, PT
Perwira Sentra Officindo, PT
Cipta Dua Power Frans Diesel, PT
Satu Power Indonesia, PT
Hartekprima Listrindo, PT-x
Gevana, PT</v>
          </cell>
          <cell r="G331" t="str">
            <v>R0
7 of 15
11 Jun 24</v>
          </cell>
          <cell r="H331" t="str">
            <v>SLAMET</v>
          </cell>
          <cell r="I331">
            <v>45442</v>
          </cell>
          <cell r="J331" t="str">
            <v>Tech Main</v>
          </cell>
          <cell r="K331" t="str">
            <v>B</v>
          </cell>
          <cell r="L331" t="str">
            <v>BID</v>
          </cell>
          <cell r="M331" t="str">
            <v>0155</v>
          </cell>
          <cell r="N331" t="str">
            <v>RH</v>
          </cell>
          <cell r="O331" t="str">
            <v>robertiagus.haposan@alamtri.com</v>
          </cell>
          <cell r="P331">
            <v>288</v>
          </cell>
          <cell r="Q331">
            <v>4608000</v>
          </cell>
          <cell r="R331" t="str">
            <v>Completed Sign PO</v>
          </cell>
          <cell r="T331" t="str">
            <v>MSW</v>
          </cell>
          <cell r="U331" t="str">
            <v>Bima Kaltim Utama, PT
Anugrah Mandiri Putra Tabalong, PT
Universal Sukses Abadi, PT
Petrocom Nusa Synergy, PT
Outsourcindo, PT
Bhakti Ratutama Jaya, PT
Perwira Sentra Officindo, PT
Cipta Dua Power Frans Diesel, PT
Interjaya Surya Megah, PT
Satu Power Indonesia, PT
Hartekprima Listrindo, PT
Nawata Kurnia Putra, PT
Berkat Pratama Teknik, CV
Ardiwijaya Prima Indonesia, PT
Gevana, PT</v>
          </cell>
          <cell r="V331" t="str">
            <v>Bima Kaltim Utama, PT
Bhakti Ratutama Jaya, PT
Perwira Sentra Officindo, PT
Cipta Dua Power Frans Diesel, PT
Satu Power Indonesia, PT
Hartekprima Listrindo, PT-x
Gevana, PT</v>
          </cell>
          <cell r="W331" t="str">
            <v>15 of 15</v>
          </cell>
          <cell r="X331" t="str">
            <v>7 of 15</v>
          </cell>
          <cell r="Y331">
            <v>45446</v>
          </cell>
          <cell r="Z331">
            <v>45454</v>
          </cell>
          <cell r="AC331" t="str">
            <v xml:space="preserve"> of </v>
          </cell>
          <cell r="AD331" t="str">
            <v xml:space="preserve"> of </v>
          </cell>
          <cell r="AF331" t="str">
            <v/>
          </cell>
          <cell r="AI331" t="str">
            <v xml:space="preserve"> of </v>
          </cell>
          <cell r="AJ331" t="str">
            <v xml:space="preserve"> of </v>
          </cell>
          <cell r="AL331" t="str">
            <v/>
          </cell>
          <cell r="AM331">
            <v>0.70833333333333337</v>
          </cell>
          <cell r="AN331" t="str">
            <v>Cipta Dua Power Frans Diesel, PT</v>
          </cell>
          <cell r="AO331" t="str">
            <v>fdiesel@indo.net.id; franssugandi.johannes@gmail.com; fdiesel.logistic@gmail.com</v>
          </cell>
          <cell r="AP331" t="str">
            <v>PO24000326</v>
          </cell>
          <cell r="AQ331">
            <v>8450000</v>
          </cell>
          <cell r="AR331">
            <v>45455</v>
          </cell>
          <cell r="AS331">
            <v>45463</v>
          </cell>
          <cell r="AT331">
            <v>45464</v>
          </cell>
          <cell r="AU331">
            <v>45485</v>
          </cell>
          <cell r="AV331">
            <v>45425</v>
          </cell>
          <cell r="AW331">
            <v>45446</v>
          </cell>
          <cell r="AX331">
            <v>3</v>
          </cell>
          <cell r="AY331">
            <v>45483</v>
          </cell>
          <cell r="AZ331">
            <v>37</v>
          </cell>
          <cell r="BA331">
            <v>253500</v>
          </cell>
          <cell r="BB331" t="str">
            <v>Completed</v>
          </cell>
          <cell r="BC331" t="str">
            <v>PR100009211</v>
          </cell>
        </row>
        <row r="332">
          <cell r="B332" t="str">
            <v>PR100009232</v>
          </cell>
          <cell r="C332" t="str">
            <v>Resertifikasi Peralatan Alat angkat dan angkut - Wheel Loader &amp; Bobcat</v>
          </cell>
          <cell r="E332" t="str">
            <v>Dankha Dian Kurnia, PT
Surveyor Indonesia, PT
Sucofindo, PT
Indotech Citra Sinergi, PT
Karya Master Mandiri Indonesia, PT
Tehnik Bauran Energi Nusa Indah, PT
Inspeksi Katiga Mandiri, PT
Mutu Bina Inspeksi, PT</v>
          </cell>
          <cell r="F332" t="str">
            <v>Dankha Dian Kurnia, PT
Surveyor Indonesia, PT
Sucofindo, PT
Indotech Citra Sinergi, PT</v>
          </cell>
          <cell r="G332" t="str">
            <v>R0
4 of 8
12 Jun 24</v>
          </cell>
          <cell r="H332" t="str">
            <v>ADITIYA KUSUMA WARDANA</v>
          </cell>
          <cell r="I332">
            <v>45446</v>
          </cell>
          <cell r="J332" t="str">
            <v>HSE</v>
          </cell>
          <cell r="K332" t="str">
            <v>J</v>
          </cell>
          <cell r="L332" t="str">
            <v>BID</v>
          </cell>
          <cell r="M332" t="str">
            <v>0163</v>
          </cell>
          <cell r="N332" t="str">
            <v>RH</v>
          </cell>
          <cell r="O332" t="str">
            <v>robertiagus.haposan@alamtri.com</v>
          </cell>
          <cell r="P332">
            <v>670</v>
          </cell>
          <cell r="Q332">
            <v>10720000</v>
          </cell>
          <cell r="R332" t="str">
            <v>Completed Sign PO</v>
          </cell>
          <cell r="T332" t="str">
            <v>MSW</v>
          </cell>
          <cell r="U332" t="str">
            <v>Dankha Dian Kurnia, PT
Surveyor Indonesia, PT
Sucofindo, PT
Indotech Citra Sinergi, PT
Karya Master Mandiri Indonesia, PT
Tehnik Bauran Energi Nusa Indah, PT
Inspeksi Katiga Mandiri, PT
Mutu Bina Inspeksi, PT</v>
          </cell>
          <cell r="V332" t="str">
            <v>Dankha Dian Kurnia, PT
Surveyor Indonesia, PT
Sucofindo, PT
Indotech Citra Sinergi, PT</v>
          </cell>
          <cell r="W332" t="str">
            <v>8 of 8</v>
          </cell>
          <cell r="X332" t="str">
            <v>4 of 8</v>
          </cell>
          <cell r="Y332">
            <v>45449</v>
          </cell>
          <cell r="Z332">
            <v>45455</v>
          </cell>
          <cell r="AC332" t="str">
            <v xml:space="preserve"> of </v>
          </cell>
          <cell r="AD332" t="str">
            <v xml:space="preserve"> of </v>
          </cell>
          <cell r="AF332" t="str">
            <v/>
          </cell>
          <cell r="AI332" t="str">
            <v xml:space="preserve"> of </v>
          </cell>
          <cell r="AJ332" t="str">
            <v xml:space="preserve"> of </v>
          </cell>
          <cell r="AL332" t="str">
            <v/>
          </cell>
          <cell r="AM332">
            <v>0.70833333333333337</v>
          </cell>
          <cell r="AN332" t="str">
            <v>Dankha Dian Kurnia, PT</v>
          </cell>
          <cell r="AO332" t="str">
            <v>alzanzea.ysf@gmail.com; dankha.diankurnia@gmail.com; fekawardani999@gmail.com; melindasepti50@gmail.com</v>
          </cell>
          <cell r="AP332" t="str">
            <v>PO24000340</v>
          </cell>
          <cell r="AQ332">
            <v>9000000</v>
          </cell>
          <cell r="AR332">
            <v>45457</v>
          </cell>
          <cell r="AS332">
            <v>45467</v>
          </cell>
          <cell r="AT332">
            <v>45468</v>
          </cell>
          <cell r="AU332">
            <v>45548</v>
          </cell>
          <cell r="AV332">
            <v>45425</v>
          </cell>
          <cell r="AW332">
            <v>45505</v>
          </cell>
          <cell r="AX332">
            <v>11.428571428571429</v>
          </cell>
          <cell r="AY332">
            <v>45545</v>
          </cell>
          <cell r="AZ332">
            <v>40</v>
          </cell>
          <cell r="BA332">
            <v>270000</v>
          </cell>
          <cell r="BB332" t="str">
            <v>Completed</v>
          </cell>
          <cell r="BC332" t="str">
            <v>PR100009232</v>
          </cell>
        </row>
        <row r="333">
          <cell r="B333" t="str">
            <v>PR100009229 (Line 1-2)</v>
          </cell>
          <cell r="C333" t="str">
            <v>V-Belt Optibelt &amp; Filter Ash Silo Brand Donaldson Stock Inventory</v>
          </cell>
          <cell r="D333" t="str">
            <v>SLS Bearindo, PT
Mytech Engineering, PT
Stanindo Artha Langgeng, PT</v>
          </cell>
          <cell r="E333" t="str">
            <v>SLS Bearindo, PT
Mytech Engineering, PT
Sola Anugerah Oilfield, PT
Donaldson Filtration Indonesia, PT
Putera Instrumenindo, PT
Stanindo Artha Langgeng, PT
Kin Kitra Kencana, PT
Gevana, PT
Petrocom Nusa Synergy, PT
Vhipa Mulia Pratama, PT
Taman Baru , PT
Alfa Teknik Mandiri Makmur, PT
Banjar Bearing Sentosa, PT</v>
          </cell>
          <cell r="F333" t="str">
            <v>Mytech Engineering, PT
Sola Anugerah Oilfield, PT
Taman Baru , PT
Alfa Teknik Mandiri Makmur, PT</v>
          </cell>
          <cell r="G333" t="str">
            <v>R0
4 of 13
13 Jun 24</v>
          </cell>
          <cell r="H333" t="str">
            <v>ARTHUR BRAMIYANA</v>
          </cell>
          <cell r="I333">
            <v>45446</v>
          </cell>
          <cell r="J333" t="str">
            <v>INV</v>
          </cell>
          <cell r="K333" t="str">
            <v>B</v>
          </cell>
          <cell r="L333" t="str">
            <v>BID</v>
          </cell>
          <cell r="M333" t="str">
            <v>0164</v>
          </cell>
          <cell r="N333" t="str">
            <v>RH</v>
          </cell>
          <cell r="O333" t="str">
            <v>robertiagus.haposan@alamtri.com</v>
          </cell>
          <cell r="P333">
            <v>17968.933000000001</v>
          </cell>
          <cell r="Q333">
            <v>287502928</v>
          </cell>
          <cell r="R333" t="str">
            <v>Completed Sign PO</v>
          </cell>
          <cell r="T333" t="str">
            <v>MSW</v>
          </cell>
          <cell r="U333" t="str">
            <v>SLS Bearindo, PT
Mytech Engineering, PT
Sola Anugerah Oilfield, PT
Donaldson Filtration Indonesia, PT
Putera Instrumenindo, PT
Stanindo Artha Langgeng, PT
Kin Kitra Kencana, PT
Gevana, PT
Petrocom Nusa Synergy, PT
Vhipa Mulia Pratama, PT
Taman Baru , PT
Alfa Teknik Mandiri Makmur, PT
Banjar Bearing Sentosa, PT</v>
          </cell>
          <cell r="V333" t="str">
            <v>Mytech Engineering, PT
Sola Anugerah Oilfield, PT
Taman Baru , PT
Alfa Teknik Mandiri Makmur, PT</v>
          </cell>
          <cell r="W333" t="str">
            <v>13 of 13</v>
          </cell>
          <cell r="X333" t="str">
            <v>4 of 13</v>
          </cell>
          <cell r="Y333">
            <v>45449</v>
          </cell>
          <cell r="Z333">
            <v>45456</v>
          </cell>
          <cell r="AC333" t="str">
            <v xml:space="preserve"> of </v>
          </cell>
          <cell r="AD333" t="str">
            <v xml:space="preserve"> of </v>
          </cell>
          <cell r="AF333" t="str">
            <v/>
          </cell>
          <cell r="AI333" t="str">
            <v xml:space="preserve"> of </v>
          </cell>
          <cell r="AJ333" t="str">
            <v xml:space="preserve"> of </v>
          </cell>
          <cell r="AL333" t="str">
            <v/>
          </cell>
          <cell r="AM333">
            <v>0.70833333333333337</v>
          </cell>
          <cell r="AN333" t="str">
            <v>Sola Anugerah Oilfield, PT</v>
          </cell>
          <cell r="AO333" t="str">
            <v>mgr3@sola-oilfield.com;
sales3@sola-oilfield.com; admsolaanugerah@gmail.com; sales6@sola-oilfield.com</v>
          </cell>
          <cell r="AP333" t="str">
            <v>PO24000385R2</v>
          </cell>
          <cell r="AQ333">
            <v>67062000</v>
          </cell>
          <cell r="AR333">
            <v>45461</v>
          </cell>
          <cell r="AS333">
            <v>45480</v>
          </cell>
          <cell r="AT333">
            <v>45482</v>
          </cell>
          <cell r="AU333">
            <v>45632</v>
          </cell>
          <cell r="AV333">
            <v>45425</v>
          </cell>
          <cell r="AW333">
            <v>45575</v>
          </cell>
          <cell r="AX333">
            <v>21.428571428571427</v>
          </cell>
          <cell r="AY333">
            <v>45604</v>
          </cell>
          <cell r="AZ333">
            <v>29</v>
          </cell>
          <cell r="BA333">
            <v>1944798</v>
          </cell>
          <cell r="BB333" t="str">
            <v>Late Completed</v>
          </cell>
          <cell r="BC333" t="str">
            <v>PR100009229</v>
          </cell>
        </row>
        <row r="334">
          <cell r="B334" t="str">
            <v>PR100008892</v>
          </cell>
          <cell r="C334" t="str">
            <v>Linear Heat Detector (LHD) Cable for Fire Alarm System,stock inventory</v>
          </cell>
          <cell r="E334" t="str">
            <v>Kin Kitra Kencana, PT
Putera Instrumenindo, PT
Gading Mas Utama, PT
Indomultimeter Test Instruments, PT
Elang Mas Indoasia, PT
Dycom Engineering, PT
Kenco Primadea, PT
Suryamas Elsindo Primatara, PT
Comtech Global Indonesia, PT
Total Solusi Instrument, PT
Outsourcindo, PT
Lima Makmur Jaya, PT</v>
          </cell>
          <cell r="F334" t="str">
            <v/>
          </cell>
          <cell r="G334" t="str">
            <v xml:space="preserve">R0
 of 12
</v>
          </cell>
          <cell r="H334" t="str">
            <v>ARTHUR BRAMIYANA</v>
          </cell>
          <cell r="I334">
            <v>45449</v>
          </cell>
          <cell r="J334" t="str">
            <v>INV</v>
          </cell>
          <cell r="K334" t="str">
            <v>B</v>
          </cell>
          <cell r="L334" t="str">
            <v>BID</v>
          </cell>
          <cell r="M334" t="str">
            <v>0166</v>
          </cell>
          <cell r="N334" t="str">
            <v>RH</v>
          </cell>
          <cell r="O334" t="str">
            <v>robertiagus.haposan@alamtri.com</v>
          </cell>
          <cell r="P334">
            <v>14.5778</v>
          </cell>
          <cell r="Q334">
            <v>233244.79999999999</v>
          </cell>
          <cell r="R334" t="str">
            <v>Completed Sign PO</v>
          </cell>
          <cell r="T334" t="str">
            <v>MSW</v>
          </cell>
          <cell r="U334" t="str">
            <v>Kin Kitra Kencana, PT
Putera Instrumenindo, PT
Gading Mas Utama, PT
Indomultimeter Test Instruments, PT
Elang Mas Indoasia, PT
Dycom Engineering, PT
Kenco Primadea, PT
Suryamas Elsindo Primatara, PT
Comtech Global Indonesia, PT
Total Solusi Instrument, PT
Outsourcindo, PT
Lima Makmur Jaya, PT</v>
          </cell>
          <cell r="W334" t="str">
            <v>12 of 12</v>
          </cell>
          <cell r="X334" t="str">
            <v xml:space="preserve"> of 12</v>
          </cell>
          <cell r="Z334" t="str">
            <v/>
          </cell>
          <cell r="AC334" t="str">
            <v xml:space="preserve"> of </v>
          </cell>
          <cell r="AD334" t="str">
            <v xml:space="preserve"> of </v>
          </cell>
          <cell r="AF334" t="str">
            <v/>
          </cell>
          <cell r="AI334" t="str">
            <v xml:space="preserve"> of </v>
          </cell>
          <cell r="AJ334" t="str">
            <v xml:space="preserve"> of </v>
          </cell>
          <cell r="AL334" t="str">
            <v/>
          </cell>
          <cell r="AM334">
            <v>0.70833333333333337</v>
          </cell>
          <cell r="AN334" t="str">
            <v>Kin Kitra Kencana, PT</v>
          </cell>
          <cell r="AO334" t="str">
            <v>ptkinkitrakencana@gmail.com; teguhkin999@gmail.com</v>
          </cell>
          <cell r="AP334" t="str">
            <v>PO24000359</v>
          </cell>
          <cell r="AQ334">
            <v>47500000</v>
          </cell>
          <cell r="AR334">
            <v>45456</v>
          </cell>
          <cell r="AS334">
            <v>45468</v>
          </cell>
          <cell r="AT334">
            <v>45474</v>
          </cell>
          <cell r="AU334">
            <v>45674</v>
          </cell>
          <cell r="AV334">
            <v>45425</v>
          </cell>
          <cell r="AW334">
            <v>45625</v>
          </cell>
          <cell r="AX334">
            <v>28.571428571428573</v>
          </cell>
          <cell r="AY334">
            <v>45622</v>
          </cell>
          <cell r="AZ334" t="str">
            <v/>
          </cell>
          <cell r="BA334" t="str">
            <v/>
          </cell>
          <cell r="BB334" t="str">
            <v>Completed</v>
          </cell>
          <cell r="BC334" t="str">
            <v>PR100008892</v>
          </cell>
        </row>
        <row r="335">
          <cell r="B335" t="str">
            <v>PR100009236 (Line 1)</v>
          </cell>
          <cell r="C335" t="str">
            <v>Oli Stock Inventory</v>
          </cell>
          <cell r="E335" t="str">
            <v>Putera Instrumenindo, PT
Maju Langgeng Mandiri, PT
Gama Tritunggal Pratama, PT
Sukses Mulia Raya, PT
Elgi Equipment Indonesia, PT
Triguna Karya Nusantara, PT
Arthapusaka Mitra Sakti, PT</v>
          </cell>
          <cell r="F335" t="str">
            <v>Putera Instrumenindo, PT
Gama Tritunggal Pratama, PT
Arthapusaka Mitra Sakti, PT</v>
          </cell>
          <cell r="G335" t="str">
            <v>R1
3 of 7
26 Jun 24</v>
          </cell>
          <cell r="H335" t="str">
            <v>ARTHUR BRAMIYANA</v>
          </cell>
          <cell r="I335">
            <v>45449</v>
          </cell>
          <cell r="J335" t="str">
            <v>INV</v>
          </cell>
          <cell r="K335" t="str">
            <v>B</v>
          </cell>
          <cell r="L335" t="str">
            <v>BID</v>
          </cell>
          <cell r="M335" t="str">
            <v>0165</v>
          </cell>
          <cell r="N335" t="str">
            <v>RH</v>
          </cell>
          <cell r="O335" t="str">
            <v>robertiagus.haposan@alamtri.com</v>
          </cell>
          <cell r="P335">
            <v>529.76850000000002</v>
          </cell>
          <cell r="Q335">
            <v>8476296</v>
          </cell>
          <cell r="R335" t="str">
            <v>Completed Sign PO</v>
          </cell>
          <cell r="T335" t="str">
            <v>MSW</v>
          </cell>
          <cell r="U335" t="str">
            <v>Putera Instrumenindo, PT
Maju Langgeng Mandiri, PT
Gama Tritunggal Pratama, PT
Sukses Mulia Raya, PT
Petrocom Nusa Synergy, PT
Vhipa Mulia Pratama, PT
Andalan Gaya Bhakti Pratama, PT
Alfa Teknik Mandiri Makmur, PT
Kapuas Kencana Jaya, PT
Multidaya Prima Lestari, PT
Arthapusaka Mitra Sakti, PT
Kreasindo Cahaya Sejati, PT
Mandiri Indonusa Perkasa, PT</v>
          </cell>
          <cell r="W335" t="str">
            <v>13 of 13</v>
          </cell>
          <cell r="X335" t="str">
            <v xml:space="preserve"> of 13</v>
          </cell>
          <cell r="Y335">
            <v>45450</v>
          </cell>
          <cell r="Z335">
            <v>45457</v>
          </cell>
          <cell r="AA335" t="str">
            <v>Putera Instrumenindo, PT
Maju Langgeng Mandiri, PT
Gama Tritunggal Pratama, PT
Sukses Mulia Raya, PT
Elgi Equipment Indonesia, PT
Triguna Karya Nusantara, PT
Arthapusaka Mitra Sakti, PT</v>
          </cell>
          <cell r="AB335" t="str">
            <v>Putera Instrumenindo, PT
Gama Tritunggal Pratama, PT
Arthapusaka Mitra Sakti, PT</v>
          </cell>
          <cell r="AC335" t="str">
            <v>7 of 7</v>
          </cell>
          <cell r="AD335" t="str">
            <v>3 of 7</v>
          </cell>
          <cell r="AE335">
            <v>45462</v>
          </cell>
          <cell r="AF335">
            <v>45469</v>
          </cell>
          <cell r="AI335" t="str">
            <v xml:space="preserve"> of </v>
          </cell>
          <cell r="AJ335" t="str">
            <v xml:space="preserve"> of </v>
          </cell>
          <cell r="AL335" t="str">
            <v/>
          </cell>
          <cell r="AM335">
            <v>0.70833333333333337</v>
          </cell>
          <cell r="AN335" t="str">
            <v>Putera Instrumenindo, PT</v>
          </cell>
          <cell r="AO335" t="str">
            <v>vergi@pinst.co.id; linda@pinst.co.id; putri@pinst.co.id</v>
          </cell>
          <cell r="AP335" t="str">
            <v>PO24000386</v>
          </cell>
          <cell r="AQ335">
            <v>8100000</v>
          </cell>
          <cell r="AR335">
            <v>45474</v>
          </cell>
          <cell r="AS335">
            <v>45482</v>
          </cell>
          <cell r="AT335">
            <v>45483</v>
          </cell>
          <cell r="AU335">
            <v>45541</v>
          </cell>
          <cell r="AV335">
            <v>45425</v>
          </cell>
          <cell r="AW335">
            <v>45483</v>
          </cell>
          <cell r="AX335">
            <v>8.2857142857142865</v>
          </cell>
          <cell r="AY335">
            <v>45513</v>
          </cell>
          <cell r="AZ335">
            <v>30</v>
          </cell>
          <cell r="BA335">
            <v>243000</v>
          </cell>
          <cell r="BB335" t="str">
            <v>Late Completed</v>
          </cell>
          <cell r="BC335" t="str">
            <v>PR100009236</v>
          </cell>
        </row>
        <row r="336">
          <cell r="B336" t="str">
            <v>PR100009236 (Line 2-5)</v>
          </cell>
          <cell r="C336" t="str">
            <v>Oli Stock Inventory</v>
          </cell>
          <cell r="D336" t="str">
            <v>Petrocom Nusa Synergy, PT
Andalan Gaya Bhakti Pratama, PT</v>
          </cell>
          <cell r="E336" t="str">
            <v>Gama Tritunggal Pratama, PT
Andalan Gaya Bhakti Pratama, PT
Arthapusaka Mitra Sakti, PT
Petrocom Nusa Synergy, PT
Alpha Gaya Bhakti Pertiwi, PT
Kapuas Kencana Jaya, PT
Outsourcindo, PT
Tentra Eka Pratama, PT
Gunung Moria Mega Prima, PT
Pacific Tractor Indonesia, PT
Alfa Teknik Mandiri Makmur, PT
Indo Jaya Perkasa Lubricant, PT
Sefas Pelindotama, PT
Visakha Abadi Sukses, PT</v>
          </cell>
          <cell r="F336" t="str">
            <v>Gama Tritunggal Pratama, PT
Andalan Gaya Bhakti Pratama, PT
Arthapusaka Mitra Sakti, PT
Petrocom Nusa Synergy, PT
Kapuas Kencana Jaya, PT
Outsourcindo, PT
Tentra Eka Pratama, PT
Sefas Pelindotama, PT</v>
          </cell>
          <cell r="G336" t="str">
            <v>R1
8 of 14
04 Jul 24</v>
          </cell>
          <cell r="H336" t="str">
            <v>ARTHUR BRAMIYANA</v>
          </cell>
          <cell r="I336">
            <v>45449</v>
          </cell>
          <cell r="J336" t="str">
            <v>INV</v>
          </cell>
          <cell r="K336" t="str">
            <v>B</v>
          </cell>
          <cell r="L336" t="str">
            <v>BID</v>
          </cell>
          <cell r="M336" t="str">
            <v>0191</v>
          </cell>
          <cell r="N336" t="str">
            <v>RH</v>
          </cell>
          <cell r="O336" t="str">
            <v>robertiagus.haposan@alamtri.com</v>
          </cell>
          <cell r="P336">
            <v>19.808500000000002</v>
          </cell>
          <cell r="Q336">
            <v>316936.00000000006</v>
          </cell>
          <cell r="R336" t="str">
            <v>Completed Sign PO</v>
          </cell>
          <cell r="T336" t="str">
            <v>MSW</v>
          </cell>
          <cell r="U336" t="str">
            <v>Putera Instrumenindo, PT
Maju Langgeng Mandiri, PT
Gama Tritunggal Pratama, PT
Sukses Mulia Raya, PT
Petrocom Nusa Synergy, PT
Vhipa Mulia Pratama, PT
Andalan Gaya Bhakti Pratama, PT
Alfa Teknik Mandiri Makmur, PT
Kapuas Kencana Jaya, PT
Multidaya Prima Lestari, PT
Arthapusaka Mitra Sakti, PT
Kreasindo Cahaya Sejati, PT
Mandiri Indonusa Perkasa, PT</v>
          </cell>
          <cell r="W336" t="str">
            <v>13 of 13</v>
          </cell>
          <cell r="X336" t="str">
            <v xml:space="preserve"> of 13</v>
          </cell>
          <cell r="Y336">
            <v>45450</v>
          </cell>
          <cell r="Z336">
            <v>45457</v>
          </cell>
          <cell r="AA336" t="str">
            <v>Gama Tritunggal Pratama, PT
Andalan Gaya Bhakti Pratama, PT
Arthapusaka Mitra Sakti, PT
Petrocom Nusa Synergy, PT
Alpha Gaya Bhakti Pertiwi, PT
Kapuas Kencana Jaya, PT
Outsourcindo, PT
Tentra Eka Pratama, PT
Gunung Moria Mega Prima, PT
Pacific Tractor Indonesia, PT
Alfa Teknik Mandiri Makmur, PT
Indo Jaya Perkasa Lubricant, PT
Sefas Pelindotama, PT
Visakha Abadi Sukses, PT</v>
          </cell>
          <cell r="AB336" t="str">
            <v>Gama Tritunggal Pratama, PT
Andalan Gaya Bhakti Pratama, PT
Arthapusaka Mitra Sakti, PT
Petrocom Nusa Synergy, PT
Kapuas Kencana Jaya, PT
Outsourcindo, PT
Tentra Eka Pratama, PT
Sefas Pelindotama, PT</v>
          </cell>
          <cell r="AC336" t="str">
            <v>14 of 14</v>
          </cell>
          <cell r="AD336" t="str">
            <v>8 of 14</v>
          </cell>
          <cell r="AE336">
            <v>45470</v>
          </cell>
          <cell r="AF336">
            <v>45477</v>
          </cell>
          <cell r="AI336" t="str">
            <v xml:space="preserve"> of </v>
          </cell>
          <cell r="AJ336" t="str">
            <v xml:space="preserve"> of </v>
          </cell>
          <cell r="AL336" t="str">
            <v/>
          </cell>
          <cell r="AM336">
            <v>0.70833333333333337</v>
          </cell>
          <cell r="AN336" t="str">
            <v>Kapuas Kencana Jaya, PT</v>
          </cell>
          <cell r="AO336" t="str">
            <v>soetopo@kapuaskencana.com; sales@kapuaskencana.com</v>
          </cell>
          <cell r="AP336" t="str">
            <v>PO24000433R1</v>
          </cell>
          <cell r="AQ336">
            <v>61027027.340000004</v>
          </cell>
          <cell r="AR336">
            <v>45474</v>
          </cell>
          <cell r="AS336">
            <v>45492</v>
          </cell>
          <cell r="AT336">
            <v>45554</v>
          </cell>
          <cell r="AU336">
            <v>45576</v>
          </cell>
          <cell r="AV336">
            <v>45425</v>
          </cell>
          <cell r="AW336">
            <v>45447</v>
          </cell>
          <cell r="AX336">
            <v>3.1428571428571428</v>
          </cell>
          <cell r="AY336">
            <v>45694</v>
          </cell>
          <cell r="AZ336">
            <v>247</v>
          </cell>
          <cell r="BA336">
            <v>3051351.3670000006</v>
          </cell>
          <cell r="BB336" t="str">
            <v>Late Completed</v>
          </cell>
          <cell r="BC336" t="str">
            <v>PR100009236</v>
          </cell>
        </row>
        <row r="337">
          <cell r="B337" t="str">
            <v>PR100008769</v>
          </cell>
          <cell r="C337" t="str">
            <v>Consuamble Worskshop Scaffolding</v>
          </cell>
          <cell r="E337" t="str">
            <v>Sehati, CV
Indo Tehnik Tanjung Tabalong, PT
Cahaya Murni, CV
Alfa Teknik Mandiri Makmur, PT
Sola Anugerah Oilfield, PT
Berkat Mandiri Utama Tanjung, PT
Petrocom Nusa Synergy, PT</v>
          </cell>
          <cell r="F337" t="str">
            <v/>
          </cell>
          <cell r="G337" t="str">
            <v xml:space="preserve">R0
 of 7
</v>
          </cell>
          <cell r="H337" t="str">
            <v>BAYU FITRAH DARMAWAN</v>
          </cell>
          <cell r="I337">
            <v>45450</v>
          </cell>
          <cell r="J337" t="str">
            <v>INV</v>
          </cell>
          <cell r="K337" t="str">
            <v>B</v>
          </cell>
          <cell r="L337" t="str">
            <v>BID</v>
          </cell>
          <cell r="M337" t="str">
            <v>0167</v>
          </cell>
          <cell r="N337" t="str">
            <v>RH</v>
          </cell>
          <cell r="O337" t="str">
            <v>robertiagus.haposan@alamtri.com</v>
          </cell>
          <cell r="P337">
            <v>118.955</v>
          </cell>
          <cell r="Q337">
            <v>1903280</v>
          </cell>
          <cell r="R337" t="str">
            <v>Completed Sign PO</v>
          </cell>
          <cell r="T337" t="str">
            <v>MSW</v>
          </cell>
          <cell r="U337" t="str">
            <v>Sehati, CV
Indo Tehnik Tanjung Tabalong, PT
Cahaya Murni, CV
Alfa Teknik Mandiri Makmur, PT
Sola Anugerah Oilfield, PT
Berkat Mandiri Utama Tanjung, PT
Petrocom Nusa Synergy, PT</v>
          </cell>
          <cell r="W337" t="str">
            <v>7 of 7</v>
          </cell>
          <cell r="X337" t="str">
            <v xml:space="preserve"> of 7</v>
          </cell>
          <cell r="Z337" t="str">
            <v/>
          </cell>
          <cell r="AC337" t="str">
            <v xml:space="preserve"> of </v>
          </cell>
          <cell r="AD337" t="str">
            <v xml:space="preserve"> of </v>
          </cell>
          <cell r="AF337" t="str">
            <v/>
          </cell>
          <cell r="AI337" t="str">
            <v xml:space="preserve"> of </v>
          </cell>
          <cell r="AJ337" t="str">
            <v xml:space="preserve"> of </v>
          </cell>
          <cell r="AL337" t="str">
            <v/>
          </cell>
          <cell r="AM337">
            <v>0.70833333333333337</v>
          </cell>
          <cell r="AN337" t="str">
            <v>Sehati, CV</v>
          </cell>
          <cell r="AO337" t="str">
            <v>cvsehati@ymail.com</v>
          </cell>
          <cell r="AP337" t="str">
            <v>PO24000327</v>
          </cell>
          <cell r="AQ337">
            <v>1700000</v>
          </cell>
          <cell r="AR337">
            <v>45461</v>
          </cell>
          <cell r="AS337">
            <v>45463</v>
          </cell>
          <cell r="AT337">
            <v>45467</v>
          </cell>
          <cell r="AU337">
            <v>45513</v>
          </cell>
          <cell r="AV337">
            <v>45425</v>
          </cell>
          <cell r="AW337">
            <v>45471</v>
          </cell>
          <cell r="AX337">
            <v>6.5714285714285712</v>
          </cell>
          <cell r="AY337">
            <v>45472</v>
          </cell>
          <cell r="AZ337" t="str">
            <v/>
          </cell>
          <cell r="BA337" t="str">
            <v/>
          </cell>
          <cell r="BB337" t="str">
            <v>Completed</v>
          </cell>
          <cell r="BC337" t="str">
            <v>PR100008769</v>
          </cell>
        </row>
        <row r="338">
          <cell r="B338" t="str">
            <v>PR100008782</v>
          </cell>
          <cell r="C338" t="str">
            <v>Cable terminal vinyl condom &amp; Terminal Ferrules Stock Inventory</v>
          </cell>
          <cell r="E338" t="str">
            <v>Gema Industrial, PT
Antares Jaya Gemilang Prima, PT
Vhipa Mulia Pratama, PT
Greentek Elektrikal Indonesia, PT
Sehati, CV
Raja Listrik Indonesia, PT
Perwira Sentra Officindo, PT
Axel Jaya Cakraniaga, PT
Berkat Pratama Teknik, CV
Afghan Jaya Abadi, PT</v>
          </cell>
          <cell r="F338" t="str">
            <v>Gema Industrial, PT
Vhipa Mulia Pratama, PT
Greentek Elektrikal Indonesia, PT
Perwira Sentra Officindo, PT
Berkat Pratama Teknik, CV</v>
          </cell>
          <cell r="G338" t="str">
            <v>R0
5 of 10
14 Jun 24</v>
          </cell>
          <cell r="H338" t="str">
            <v>ARTHUR BRAMIYANA</v>
          </cell>
          <cell r="I338">
            <v>45453</v>
          </cell>
          <cell r="J338" t="str">
            <v>INV</v>
          </cell>
          <cell r="K338" t="str">
            <v>B</v>
          </cell>
          <cell r="L338" t="str">
            <v>BID</v>
          </cell>
          <cell r="M338" t="str">
            <v>0173</v>
          </cell>
          <cell r="N338" t="str">
            <v>RH</v>
          </cell>
          <cell r="O338" t="str">
            <v>robertiagus.haposan@alamtri.com</v>
          </cell>
          <cell r="P338">
            <v>115.7303</v>
          </cell>
          <cell r="Q338">
            <v>1851684.8</v>
          </cell>
          <cell r="R338" t="str">
            <v>Completed Sign PO</v>
          </cell>
          <cell r="T338" t="str">
            <v>MSW</v>
          </cell>
          <cell r="U338" t="str">
            <v>Gema Industrial, PT
Antares Jaya Gemilang Prima, PT
Vhipa Mulia Pratama, PT
Greentek Elektrikal Indonesia, PT
Sehati, CV
Raja Listrik Indonesia, PT
Perwira Sentra Officindo, PT
Axel Jaya Cakraniaga, PT
Berkat Pratama Teknik, CV
Afghan Jaya Abadi, PT</v>
          </cell>
          <cell r="V338" t="str">
            <v>Gema Industrial, PT
Vhipa Mulia Pratama, PT
Greentek Elektrikal Indonesia, PT
Perwira Sentra Officindo, PT
Berkat Pratama Teknik, CV</v>
          </cell>
          <cell r="W338" t="str">
            <v>10 of 10</v>
          </cell>
          <cell r="X338" t="str">
            <v>5 of 10</v>
          </cell>
          <cell r="Y338">
            <v>45453</v>
          </cell>
          <cell r="Z338">
            <v>45457</v>
          </cell>
          <cell r="AC338" t="str">
            <v xml:space="preserve"> of </v>
          </cell>
          <cell r="AD338" t="str">
            <v xml:space="preserve"> of </v>
          </cell>
          <cell r="AF338" t="str">
            <v/>
          </cell>
          <cell r="AI338" t="str">
            <v xml:space="preserve"> of </v>
          </cell>
          <cell r="AJ338" t="str">
            <v xml:space="preserve"> of </v>
          </cell>
          <cell r="AL338" t="str">
            <v/>
          </cell>
          <cell r="AM338">
            <v>0.70833333333333337</v>
          </cell>
          <cell r="AN338" t="str">
            <v>Greentek Elektrikal Indonesia, PT</v>
          </cell>
          <cell r="AO338" t="str">
            <v>rendym@greentechinternational.com</v>
          </cell>
          <cell r="AP338" t="str">
            <v>PO24000416</v>
          </cell>
          <cell r="AQ338">
            <v>1430000</v>
          </cell>
          <cell r="AR338">
            <v>45461</v>
          </cell>
          <cell r="AS338">
            <v>45490</v>
          </cell>
          <cell r="AT338">
            <v>45491</v>
          </cell>
          <cell r="AU338">
            <v>45523</v>
          </cell>
          <cell r="AV338">
            <v>45425</v>
          </cell>
          <cell r="AW338">
            <v>45457</v>
          </cell>
          <cell r="AX338">
            <v>4.5714285714285712</v>
          </cell>
          <cell r="AY338">
            <v>45523</v>
          </cell>
          <cell r="AZ338">
            <v>66</v>
          </cell>
          <cell r="BA338">
            <v>42900</v>
          </cell>
          <cell r="BB338" t="str">
            <v>Late Completed</v>
          </cell>
          <cell r="BC338" t="str">
            <v>PR100008782</v>
          </cell>
        </row>
        <row r="339">
          <cell r="B339" t="str">
            <v>PR100008839 (Line 1)</v>
          </cell>
          <cell r="C339" t="str">
            <v>Part Consumable stock inventory</v>
          </cell>
          <cell r="E339" t="str">
            <v>Wahana Safety Indonesia, PT
Cahaya Murni, CV
Tiga Putri Abadi, CV
Sehati, CV
Dunia Saftindo, PT
Indo Tehnik Tanjung Tabalong, PT
Bhakti Ratutama Jaya, PT
Bintang Anugrah Sehati, PT
Total Prime Engineering, PT</v>
          </cell>
          <cell r="F339" t="str">
            <v/>
          </cell>
          <cell r="G339" t="str">
            <v xml:space="preserve">R0
 of 9
</v>
          </cell>
          <cell r="H339" t="str">
            <v>ARTHUR BRAMIYANA</v>
          </cell>
          <cell r="I339">
            <v>45453</v>
          </cell>
          <cell r="J339" t="str">
            <v>INV</v>
          </cell>
          <cell r="K339" t="str">
            <v>B</v>
          </cell>
          <cell r="L339" t="str">
            <v>BID</v>
          </cell>
          <cell r="M339" t="str">
            <v>0174</v>
          </cell>
          <cell r="N339" t="str">
            <v>RH</v>
          </cell>
          <cell r="O339" t="str">
            <v>robertiagus.haposan@alamtri.com</v>
          </cell>
          <cell r="P339">
            <v>115.38</v>
          </cell>
          <cell r="Q339">
            <v>1846080</v>
          </cell>
          <cell r="R339" t="str">
            <v>Completed Sign PO</v>
          </cell>
          <cell r="T339" t="str">
            <v>MSW</v>
          </cell>
          <cell r="U339" t="str">
            <v>Wahana Safety Indonesia, PT
Cahaya Murni, CV
Tiga Putri Abadi, CV
Sehati, CV
Dunia Saftindo, PT
Indo Tehnik Tanjung Tabalong, PT
Bhakti Ratutama Jaya, PT
Bintang Anugrah Sehati, PT
Total Prime Engineering, PT</v>
          </cell>
          <cell r="W339" t="str">
            <v>9 of 9</v>
          </cell>
          <cell r="X339" t="str">
            <v xml:space="preserve"> of 9</v>
          </cell>
          <cell r="Z339" t="str">
            <v/>
          </cell>
          <cell r="AC339" t="str">
            <v xml:space="preserve"> of </v>
          </cell>
          <cell r="AD339" t="str">
            <v xml:space="preserve"> of </v>
          </cell>
          <cell r="AF339" t="str">
            <v/>
          </cell>
          <cell r="AI339" t="str">
            <v xml:space="preserve"> of </v>
          </cell>
          <cell r="AJ339" t="str">
            <v xml:space="preserve"> of </v>
          </cell>
          <cell r="AL339" t="str">
            <v/>
          </cell>
          <cell r="AM339">
            <v>0.70833333333333337</v>
          </cell>
          <cell r="AN339" t="str">
            <v>Bintang Anugrah Sehati, PT</v>
          </cell>
          <cell r="AO339" t="str">
            <v>sales11@bas-supply.co.id</v>
          </cell>
          <cell r="AP339" t="str">
            <v>PO24000361</v>
          </cell>
          <cell r="AQ339">
            <v>2750000</v>
          </cell>
          <cell r="AR339">
            <v>45462</v>
          </cell>
          <cell r="AS339">
            <v>45468</v>
          </cell>
          <cell r="AT339">
            <v>45474</v>
          </cell>
          <cell r="AU339">
            <v>45492</v>
          </cell>
          <cell r="AV339">
            <v>45425</v>
          </cell>
          <cell r="AW339">
            <v>45443</v>
          </cell>
          <cell r="AX339">
            <v>2.5714285714285716</v>
          </cell>
          <cell r="AY339">
            <v>45481</v>
          </cell>
          <cell r="AZ339">
            <v>38</v>
          </cell>
          <cell r="BA339">
            <v>82500</v>
          </cell>
          <cell r="BB339" t="str">
            <v>Completed</v>
          </cell>
          <cell r="BC339" t="str">
            <v>PR100008839</v>
          </cell>
        </row>
        <row r="340">
          <cell r="B340" t="str">
            <v>PR100008854</v>
          </cell>
          <cell r="C340" t="str">
            <v>Material Plate for WO10565403 BOP, PEMASANGAN DINDING PENAHAN TANAH PADA AREA COOLING WATER PUMP</v>
          </cell>
          <cell r="E340" t="str">
            <v>Alfa Teknik Mandiri Makmur, PT
Indo Tehnik Tanjung Tabalong, PT
Sehati, CV
Perwira Sentra Officindo, PT
Cahaya Murni, CV
Outsourcindo, PT
Putera Instrumenindo, PT
Sarana Prima Lestari, CV
Perwira Sentra Officindo, PT
Petrocom Nusa Synergy, PT
Kin Kitra Kencana, PT
Elang Mas Indoasia, PT
Berkat Pratama Teknik, CV
Total Prime Engineering, PT
Sola Anugerah Oilfield, PT</v>
          </cell>
          <cell r="F340" t="str">
            <v/>
          </cell>
          <cell r="G340" t="str">
            <v xml:space="preserve">R0
 of 15
</v>
          </cell>
          <cell r="H340" t="str">
            <v>RIDHANI TAUFIQ</v>
          </cell>
          <cell r="I340">
            <v>45453</v>
          </cell>
          <cell r="J340" t="str">
            <v>Tech Main</v>
          </cell>
          <cell r="K340" t="str">
            <v>B</v>
          </cell>
          <cell r="L340" t="str">
            <v>BID</v>
          </cell>
          <cell r="M340" t="str">
            <v>0176</v>
          </cell>
          <cell r="N340" t="str">
            <v>RH</v>
          </cell>
          <cell r="O340" t="str">
            <v>robertiagus.haposan@alamtri.com</v>
          </cell>
          <cell r="P340">
            <v>6035</v>
          </cell>
          <cell r="Q340">
            <v>96560000</v>
          </cell>
          <cell r="R340" t="str">
            <v>Completed Sign PO</v>
          </cell>
          <cell r="T340" t="str">
            <v>MSW</v>
          </cell>
          <cell r="U340" t="str">
            <v>Alfa Teknik Mandiri Makmur, PT
Indo Tehnik Tanjung Tabalong, PT
Sehati, CV
Perwira Sentra Officindo, PT
Cahaya Murni, CV
Outsourcindo, PT
Putera Instrumenindo, PT
Sarana Prima Lestari, CV
Perwira Sentra Officindo, PT
Petrocom Nusa Synergy, PT
Kin Kitra Kencana, PT
Elang Mas Indoasia, PT
Berkat Pratama Teknik, CV
Total Prime Engineering, PT
Sola Anugerah Oilfield, PT</v>
          </cell>
          <cell r="W340" t="str">
            <v>15 of 15</v>
          </cell>
          <cell r="X340" t="str">
            <v xml:space="preserve"> of 15</v>
          </cell>
          <cell r="Z340" t="str">
            <v/>
          </cell>
          <cell r="AC340" t="str">
            <v xml:space="preserve"> of </v>
          </cell>
          <cell r="AD340" t="str">
            <v xml:space="preserve"> of </v>
          </cell>
          <cell r="AF340" t="str">
            <v/>
          </cell>
          <cell r="AI340" t="str">
            <v xml:space="preserve"> of </v>
          </cell>
          <cell r="AJ340" t="str">
            <v xml:space="preserve"> of </v>
          </cell>
          <cell r="AL340" t="str">
            <v/>
          </cell>
          <cell r="AM340">
            <v>0.70833333333333337</v>
          </cell>
          <cell r="AN340" t="str">
            <v>Sola Anugerah Oilfield, PT</v>
          </cell>
          <cell r="AO340" t="str">
            <v>mgr3@sola-oilfield.com;
sales3@sola-oilfield.com; admsolaanugerah@gmail.com; sales6@sola-oilfield.com</v>
          </cell>
          <cell r="AP340" t="str">
            <v>PO24000432</v>
          </cell>
          <cell r="AQ340">
            <v>89860000</v>
          </cell>
          <cell r="AR340">
            <v>45464</v>
          </cell>
          <cell r="AS340">
            <v>45492</v>
          </cell>
          <cell r="AT340">
            <v>45496</v>
          </cell>
          <cell r="AU340">
            <v>45604</v>
          </cell>
          <cell r="AV340">
            <v>45425</v>
          </cell>
          <cell r="AW340">
            <v>45533</v>
          </cell>
          <cell r="AX340">
            <v>15.428571428571429</v>
          </cell>
          <cell r="AY340">
            <v>45520</v>
          </cell>
          <cell r="AZ340" t="str">
            <v/>
          </cell>
          <cell r="BA340" t="str">
            <v/>
          </cell>
          <cell r="BB340" t="str">
            <v>Late Completed</v>
          </cell>
          <cell r="BC340" t="str">
            <v>PR100008854</v>
          </cell>
        </row>
        <row r="341">
          <cell r="B341" t="str">
            <v>PR100008887 (Line 1-2, 12)</v>
          </cell>
          <cell r="C341" t="str">
            <v>Par For Stock Inventory Electrical</v>
          </cell>
          <cell r="D341" t="str">
            <v>SLS Bearindo, PT - Line 1,2,12
Perwira Sentra Officindo, PT - Line 3,6,8,13
Greentek Elektrikal Indonesia, PT - Line 4,9,15
Vhipa Mulia Pratama, PT - Line 5
Banjar Bearing Sentosa, PT - Line 7
Bima Kaltim Utama, PT - Line 10
Petrocom Nusa Synergy, PT - Line 11,24</v>
          </cell>
          <cell r="E341" t="str">
            <v>SLS Bearindo, PT
Banjar Bearing Sentosa, PT
Fortuna Anekamulti Gemilang, PT
Satu Aneka Bering, PT
Gema Industrial, PT
Borneo Maju Jaya, PT
Greentek Elektrikal Indonesia, PT
Antares Jaya Gemilang Prima, PT
Vhipa Mulia Pratama, PT
Sehati, CV
Raja Listrik Indonesia, PT
Perwira Sentra Officindo, PT
Petrocom Nusa Synergy, PT
Alfa Teknik Mandiri Makmur, PT
Kin Kitra Kencana, PT</v>
          </cell>
          <cell r="F341" t="str">
            <v>SLS Bearindo, PT
Banjar Bearing Sentosa, PT
Fortuna Anekamulti Gemilang, PT-x
Gema Industrial, PT
Borneo Maju Jaya, PT
Greentek Elektrikal Indonesia, PT
Antares Jaya Gemilang Prima, PT
Perwira Sentra Officindo, PT
Petrocom Nusa Synergy, PT
Alfa Teknik Mandiri Makmur, PT</v>
          </cell>
          <cell r="G341" t="str">
            <v>R0
10 of 15
21 Jun 24</v>
          </cell>
          <cell r="H341" t="str">
            <v>ARTHUR BRAMIYANA</v>
          </cell>
          <cell r="I341">
            <v>45453</v>
          </cell>
          <cell r="J341" t="str">
            <v>INV</v>
          </cell>
          <cell r="K341" t="str">
            <v>B</v>
          </cell>
          <cell r="L341" t="str">
            <v>BID</v>
          </cell>
          <cell r="M341" t="str">
            <v>0177</v>
          </cell>
          <cell r="N341" t="str">
            <v>RH</v>
          </cell>
          <cell r="O341" t="str">
            <v>robertiagus.haposan@alamtri.com</v>
          </cell>
          <cell r="P341">
            <v>1713.2004999999999</v>
          </cell>
          <cell r="Q341">
            <v>27411208</v>
          </cell>
          <cell r="R341" t="str">
            <v>Completed Sign PO</v>
          </cell>
          <cell r="T341" t="str">
            <v>MSW</v>
          </cell>
          <cell r="U341" t="str">
            <v>SLS Bearindo, PT
Banjar Bearing Sentosa, PT
Fortuna Anekamulti Gemilang, PT
Satu Aneka Bering, PT
Gema Industrial, PT
Borneo Maju Jaya, PT
Greentek Elektrikal Indonesia, PT
Antares Jaya Gemilang Prima, PT
Vhipa Mulia Pratama, PT
Sehati, CV
Raja Listrik Indonesia, PT
Perwira Sentra Officindo, PT
Petrocom Nusa Synergy, PT
Alfa Teknik Mandiri Makmur, PT
Kin Kitra Kencana, PT</v>
          </cell>
          <cell r="V341" t="str">
            <v>SLS Bearindo, PT
Banjar Bearing Sentosa, PT
Fortuna Anekamulti Gemilang, PT-x
Gema Industrial, PT
Borneo Maju Jaya, PT
Greentek Elektrikal Indonesia, PT
Antares Jaya Gemilang Prima, PT
Perwira Sentra Officindo, PT
Petrocom Nusa Synergy, PT
Alfa Teknik Mandiri Makmur, PT</v>
          </cell>
          <cell r="W341" t="str">
            <v>15 of 15</v>
          </cell>
          <cell r="X341" t="str">
            <v>10 of 15</v>
          </cell>
          <cell r="Y341">
            <v>45453</v>
          </cell>
          <cell r="Z341">
            <v>45464</v>
          </cell>
          <cell r="AC341" t="str">
            <v xml:space="preserve"> of </v>
          </cell>
          <cell r="AD341" t="str">
            <v xml:space="preserve"> of </v>
          </cell>
          <cell r="AF341" t="str">
            <v/>
          </cell>
          <cell r="AI341" t="str">
            <v xml:space="preserve"> of </v>
          </cell>
          <cell r="AJ341" t="str">
            <v xml:space="preserve"> of </v>
          </cell>
          <cell r="AL341" t="str">
            <v/>
          </cell>
          <cell r="AM341">
            <v>0.70833333333333337</v>
          </cell>
          <cell r="AN341" t="str">
            <v>SLS Bearindo, PT</v>
          </cell>
          <cell r="AO341" t="str">
            <v>slsbpn@slsbearindo.com</v>
          </cell>
          <cell r="AP341" t="str">
            <v>PO24000555</v>
          </cell>
          <cell r="AQ341">
            <v>528000</v>
          </cell>
          <cell r="AR341">
            <v>45469</v>
          </cell>
          <cell r="AS341">
            <v>45526</v>
          </cell>
          <cell r="AT341">
            <v>45527</v>
          </cell>
          <cell r="AU341">
            <v>45541</v>
          </cell>
          <cell r="AV341">
            <v>45425</v>
          </cell>
          <cell r="AW341">
            <v>45439</v>
          </cell>
          <cell r="AX341">
            <v>2</v>
          </cell>
          <cell r="AY341">
            <v>45544</v>
          </cell>
          <cell r="AZ341">
            <v>105</v>
          </cell>
          <cell r="BA341">
            <v>15840</v>
          </cell>
          <cell r="BB341" t="str">
            <v>Late Completed</v>
          </cell>
          <cell r="BC341" t="str">
            <v>PR100008887</v>
          </cell>
        </row>
        <row r="342">
          <cell r="B342" t="str">
            <v>PR100008900</v>
          </cell>
          <cell r="C342" t="str">
            <v>Stock For Inventory</v>
          </cell>
          <cell r="E342" t="str">
            <v>Alfa Teknik Mandiri Makmur, PT
Indo Tehnik Tanjung Tabalong, PT
Sehati, CV
Perwira Sentra Officindo, PT
Cahaya Murni, CV
Outsourcindo, PT
Putera Instrumenindo, PT
Sarana Prima Lestari, CV
Perwira Sentra Officindo, PT
Petrocom Nusa Synergy, PT
Kin Kitra Kencana, PT
Elang Mas Indoasia, PT
Berkat Pratama Teknik, CV
Total Prime Engineering, PT
Sola Anugerah Oilfield, PT</v>
          </cell>
          <cell r="F342" t="str">
            <v/>
          </cell>
          <cell r="G342" t="str">
            <v xml:space="preserve">R0
 of 15
</v>
          </cell>
          <cell r="H342" t="str">
            <v>ARTHUR BRAMIYANA</v>
          </cell>
          <cell r="I342">
            <v>45453</v>
          </cell>
          <cell r="J342" t="str">
            <v>INV</v>
          </cell>
          <cell r="K342" t="str">
            <v>B</v>
          </cell>
          <cell r="L342" t="str">
            <v>BID</v>
          </cell>
          <cell r="M342" t="str">
            <v>0176</v>
          </cell>
          <cell r="N342" t="str">
            <v>RH</v>
          </cell>
          <cell r="O342" t="str">
            <v>robertiagus.haposan@alamtri.com</v>
          </cell>
          <cell r="P342">
            <v>591.23900000000003</v>
          </cell>
          <cell r="Q342">
            <v>9459824</v>
          </cell>
          <cell r="R342" t="str">
            <v>Completed Sign PO</v>
          </cell>
          <cell r="T342" t="str">
            <v>MSW</v>
          </cell>
          <cell r="U342" t="str">
            <v>Alfa Teknik Mandiri Makmur, PT
Indo Tehnik Tanjung Tabalong, PT
Sehati, CV
Perwira Sentra Officindo, PT
Cahaya Murni, CV
Outsourcindo, PT
Putera Instrumenindo, PT
Sarana Prima Lestari, CV
Perwira Sentra Officindo, PT
Petrocom Nusa Synergy, PT
Kin Kitra Kencana, PT
Elang Mas Indoasia, PT
Berkat Pratama Teknik, CV
Total Prime Engineering, PT
Sola Anugerah Oilfield, PT</v>
          </cell>
          <cell r="W342" t="str">
            <v>15 of 15</v>
          </cell>
          <cell r="X342" t="str">
            <v xml:space="preserve"> of 15</v>
          </cell>
          <cell r="Z342" t="str">
            <v/>
          </cell>
          <cell r="AC342" t="str">
            <v xml:space="preserve"> of </v>
          </cell>
          <cell r="AD342" t="str">
            <v xml:space="preserve"> of </v>
          </cell>
          <cell r="AF342" t="str">
            <v/>
          </cell>
          <cell r="AI342" t="str">
            <v xml:space="preserve"> of </v>
          </cell>
          <cell r="AJ342" t="str">
            <v xml:space="preserve"> of </v>
          </cell>
          <cell r="AL342" t="str">
            <v/>
          </cell>
          <cell r="AM342">
            <v>0.70833333333333337</v>
          </cell>
          <cell r="AN342" t="str">
            <v>Sarana Prima Lestari, CV</v>
          </cell>
          <cell r="AO342" t="str">
            <v>krisma@saranaprimalestari.com; spl@indo.net.id</v>
          </cell>
          <cell r="AP342" t="str">
            <v>PO24000431</v>
          </cell>
          <cell r="AQ342">
            <v>20485000</v>
          </cell>
          <cell r="AR342">
            <v>45464</v>
          </cell>
          <cell r="AS342">
            <v>45492</v>
          </cell>
          <cell r="AT342">
            <v>45496</v>
          </cell>
          <cell r="AU342">
            <v>45513</v>
          </cell>
          <cell r="AV342">
            <v>45425</v>
          </cell>
          <cell r="AW342">
            <v>45442</v>
          </cell>
          <cell r="AX342">
            <v>2.4285714285714284</v>
          </cell>
          <cell r="AY342">
            <v>45542</v>
          </cell>
          <cell r="AZ342">
            <v>100</v>
          </cell>
          <cell r="BA342">
            <v>1024250</v>
          </cell>
          <cell r="BB342" t="str">
            <v>Late Completed</v>
          </cell>
          <cell r="BC342" t="str">
            <v>PR100008900</v>
          </cell>
        </row>
        <row r="343">
          <cell r="B343" t="str">
            <v>PR100008901</v>
          </cell>
          <cell r="C343" t="str">
            <v>Floodlight LED, Philips, 50W For Stock Inventory</v>
          </cell>
          <cell r="D343" t="str">
            <v>Borneo Maju Jaya, PT
Gema Industrial, PT</v>
          </cell>
          <cell r="E343" t="str">
            <v>Borneo Maju Jaya, PT
Vhipa Mulia Pratama, PT
Alfa Teknik Mandiri Makmur, PT
Gema Industrial, PT
Perwira Sentra Officindo, PT
Outsourcindo, PT
Gridtech Indonesia, PT
Indoparts, CV
Andalan Tiga Berlian, PT</v>
          </cell>
          <cell r="F343" t="str">
            <v>Borneo Maju Jaya, PT
Vhipa Mulia Pratama, PT
Alfa Teknik Mandiri Makmur, PT
Gema Industrial, PT
Outsourcindo, PT</v>
          </cell>
          <cell r="G343" t="str">
            <v>R1
5 of 9
30 Jul 24</v>
          </cell>
          <cell r="H343" t="str">
            <v>ARTHUR BRAMIYANA</v>
          </cell>
          <cell r="I343">
            <v>45453</v>
          </cell>
          <cell r="J343" t="str">
            <v>INV</v>
          </cell>
          <cell r="K343" t="str">
            <v>B</v>
          </cell>
          <cell r="L343" t="str">
            <v>BID</v>
          </cell>
          <cell r="M343" t="str">
            <v>0172</v>
          </cell>
          <cell r="N343" t="str">
            <v>RH</v>
          </cell>
          <cell r="O343" t="str">
            <v>robertiagus.haposan@alamtri.com</v>
          </cell>
          <cell r="P343">
            <v>708.21</v>
          </cell>
          <cell r="Q343">
            <v>11331360</v>
          </cell>
          <cell r="R343" t="str">
            <v>Completed Sign PO</v>
          </cell>
          <cell r="T343" t="str">
            <v>MSW</v>
          </cell>
          <cell r="U343" t="str">
            <v>Borneo Maju Jaya, PT
Vhipa Mulia Pratama, PT
Antares Jaya Gemilang Prima, PT
Alfa Teknik Mandiri Makmur, PT
Kin Kitra Kencana, PT
Gema Industrial, PT
Ganesha Wirya Pratama, PT
Perwira Sentra Officindo, PT
Outsourcindo, PT</v>
          </cell>
          <cell r="V343" t="str">
            <v>Borneo Maju Jaya, PT
Vhipa Mulia Pratama, PT
Alfa Teknik Mandiri Makmur, PT
Gema Industrial, PT
Perwira Sentra Officindo, PT
Outsourcindo, PT</v>
          </cell>
          <cell r="W343" t="str">
            <v>9 of 9</v>
          </cell>
          <cell r="X343" t="str">
            <v>6 of 9</v>
          </cell>
          <cell r="Y343">
            <v>45453</v>
          </cell>
          <cell r="Z343">
            <v>45462</v>
          </cell>
          <cell r="AA343" t="str">
            <v>Borneo Maju Jaya, PT
Vhipa Mulia Pratama, PT
Alfa Teknik Mandiri Makmur, PT
Gema Industrial, PT
Perwira Sentra Officindo, PT
Outsourcindo, PT
Gridtech Indonesia, PT
Indoparts, CV
Andalan Tiga Berlian, PT</v>
          </cell>
          <cell r="AB343" t="str">
            <v>Borneo Maju Jaya, PT
Vhipa Mulia Pratama, PT
Alfa Teknik Mandiri Makmur, PT
Gema Industrial, PT
Outsourcindo, PT</v>
          </cell>
          <cell r="AC343" t="str">
            <v>9 of 9</v>
          </cell>
          <cell r="AD343" t="str">
            <v>5 of 9</v>
          </cell>
          <cell r="AE343">
            <v>45496</v>
          </cell>
          <cell r="AF343">
            <v>45503</v>
          </cell>
          <cell r="AI343" t="str">
            <v xml:space="preserve"> of </v>
          </cell>
          <cell r="AJ343" t="str">
            <v xml:space="preserve"> of </v>
          </cell>
          <cell r="AL343" t="str">
            <v/>
          </cell>
          <cell r="AM343">
            <v>0.70833333333333337</v>
          </cell>
          <cell r="AN343" t="str">
            <v>Gema Industrial, PT</v>
          </cell>
          <cell r="AO343" t="str">
            <v>marketing@gema-industrial.com</v>
          </cell>
          <cell r="AP343" t="str">
            <v>PO24000521</v>
          </cell>
          <cell r="AQ343">
            <v>10410000</v>
          </cell>
          <cell r="AR343">
            <v>45505</v>
          </cell>
          <cell r="AS343">
            <v>45522</v>
          </cell>
          <cell r="AT343">
            <v>45523</v>
          </cell>
          <cell r="AU343">
            <v>45667</v>
          </cell>
          <cell r="AV343">
            <v>45425</v>
          </cell>
          <cell r="AW343">
            <v>45569</v>
          </cell>
          <cell r="AX343">
            <v>20.571428571428573</v>
          </cell>
          <cell r="AY343">
            <v>45542</v>
          </cell>
          <cell r="AZ343" t="str">
            <v/>
          </cell>
          <cell r="BA343" t="str">
            <v/>
          </cell>
          <cell r="BB343" t="str">
            <v>Late Completed</v>
          </cell>
          <cell r="BC343" t="str">
            <v>PR100008901</v>
          </cell>
        </row>
        <row r="344">
          <cell r="B344" t="str">
            <v>PR100008908</v>
          </cell>
          <cell r="C344" t="str">
            <v>Apar Powder Refill Stock Inventory</v>
          </cell>
          <cell r="E344" t="str">
            <v>Wahana Safety Indonesia, PT
Cahaya Murni, CV
Tiga Putri Abadi, CV
Sehati, CV
Dunia Saftindo, PT
Indo Tehnik Tanjung Tabalong, PT
Bhakti Ratutama Jaya, PT
Bintang Anugrah Sehati, PT
Total Prime Engineering, PT</v>
          </cell>
          <cell r="F344" t="str">
            <v/>
          </cell>
          <cell r="G344" t="str">
            <v xml:space="preserve">R0
 of 9
</v>
          </cell>
          <cell r="H344" t="str">
            <v>ARTHUR BRAMIYANA</v>
          </cell>
          <cell r="I344">
            <v>45453</v>
          </cell>
          <cell r="J344" t="str">
            <v>INV</v>
          </cell>
          <cell r="K344" t="str">
            <v>B</v>
          </cell>
          <cell r="L344" t="str">
            <v>BID</v>
          </cell>
          <cell r="M344" t="str">
            <v>0174</v>
          </cell>
          <cell r="N344" t="str">
            <v>RH</v>
          </cell>
          <cell r="O344" t="str">
            <v>robertiagus.haposan@alamtri.com</v>
          </cell>
          <cell r="P344">
            <v>141.88399999999999</v>
          </cell>
          <cell r="Q344">
            <v>2270144</v>
          </cell>
          <cell r="R344" t="str">
            <v>Completed Sign PO</v>
          </cell>
          <cell r="T344" t="str">
            <v>MSW</v>
          </cell>
          <cell r="U344" t="str">
            <v>Wahana Safety Indonesia, PT
Cahaya Murni, CV
Tiga Putri Abadi, CV
Sehati, CV
Dunia Saftindo, PT
Indo Tehnik Tanjung Tabalong, PT
Bhakti Ratutama Jaya, PT
Bintang Anugrah Sehati, PT
Total Prime Engineering, PT</v>
          </cell>
          <cell r="W344" t="str">
            <v>9 of 9</v>
          </cell>
          <cell r="X344" t="str">
            <v xml:space="preserve"> of 9</v>
          </cell>
          <cell r="Z344" t="str">
            <v/>
          </cell>
          <cell r="AC344" t="str">
            <v xml:space="preserve"> of </v>
          </cell>
          <cell r="AD344" t="str">
            <v xml:space="preserve"> of </v>
          </cell>
          <cell r="AF344" t="str">
            <v/>
          </cell>
          <cell r="AI344" t="str">
            <v xml:space="preserve"> of </v>
          </cell>
          <cell r="AJ344" t="str">
            <v xml:space="preserve"> of </v>
          </cell>
          <cell r="AL344" t="str">
            <v/>
          </cell>
          <cell r="AM344">
            <v>0.70833333333333337</v>
          </cell>
          <cell r="AN344" t="str">
            <v>Wahana Safety Indonesia, PT</v>
          </cell>
          <cell r="AO344" t="str">
            <v>ardhian@wahanasafety.com</v>
          </cell>
          <cell r="AP344" t="str">
            <v>PO24000364</v>
          </cell>
          <cell r="AQ344">
            <v>1871000</v>
          </cell>
          <cell r="AR344">
            <v>45462</v>
          </cell>
          <cell r="AS344">
            <v>45468</v>
          </cell>
          <cell r="AT344">
            <v>45475</v>
          </cell>
          <cell r="AU344">
            <v>45506</v>
          </cell>
          <cell r="AV344">
            <v>45425</v>
          </cell>
          <cell r="AW344">
            <v>45456</v>
          </cell>
          <cell r="AX344">
            <v>4.4285714285714288</v>
          </cell>
          <cell r="AY344">
            <v>45560</v>
          </cell>
          <cell r="AZ344">
            <v>104</v>
          </cell>
          <cell r="BA344">
            <v>56130</v>
          </cell>
          <cell r="BB344" t="str">
            <v>Completed</v>
          </cell>
          <cell r="BC344" t="str">
            <v>PR100008908</v>
          </cell>
        </row>
        <row r="345">
          <cell r="B345" t="str">
            <v>PR100008921</v>
          </cell>
          <cell r="C345" t="str">
            <v>Screw Pump With Built In Relief Valve (Stock Inventory)</v>
          </cell>
          <cell r="E345" t="str">
            <v>Kin Kitra Kencana, PT
Putera Instrumenindo, PT
Outsourcindo, PT
Petrocom Nusa Synergy, PT
Bumi Cahaya Unggul, PT
Andalan Tiga Berlian, PT
Dayaniaga Ekaselaras, PT
Yabestindo Mitra Utama, PT
Maju Langgeng Mandiri, PT
Dwijaya Sentral Sarana, PT</v>
          </cell>
          <cell r="F345" t="str">
            <v>Kin Kitra Kencana, PT
Putera Instrumenindo, PT
Outsourcindo, PT</v>
          </cell>
          <cell r="G345" t="str">
            <v>R1
3 of 10
28 Jun 24</v>
          </cell>
          <cell r="H345" t="str">
            <v>ARTHUR BRAMIYANA</v>
          </cell>
          <cell r="I345">
            <v>45453</v>
          </cell>
          <cell r="J345" t="str">
            <v>INV</v>
          </cell>
          <cell r="K345" t="str">
            <v>B</v>
          </cell>
          <cell r="L345" t="str">
            <v>BID</v>
          </cell>
          <cell r="M345" t="str">
            <v>0175</v>
          </cell>
          <cell r="N345" t="str">
            <v>RH</v>
          </cell>
          <cell r="O345" t="str">
            <v>robertiagus.haposan@alamtri.com</v>
          </cell>
          <cell r="P345">
            <v>3710.7</v>
          </cell>
          <cell r="Q345">
            <v>59371200</v>
          </cell>
          <cell r="R345" t="str">
            <v>Completed Sign PO</v>
          </cell>
          <cell r="T345" t="str">
            <v>MSW</v>
          </cell>
          <cell r="U345" t="str">
            <v>Alfa Teknik Mandiri Makmur, PT
Indo Tehnik Tanjung Tabalong, PT
Sehati, CV
Perwira Sentra Officindo, PT
Cahaya Murni, CV
Outsourcindo, PT
Putera Instrumenindo, PT
Sarana Prima Lestari, CV
Perwira Sentra Officindo, PT
Petrocom Nusa Synergy, PT
Kin Kitra Kencana, PT
Elang Mas Indoasia, PT
Berkat Pratama Teknik, CV
Total Prime Engineering, PT
Andalan Tiga Berlian, PT
Trimitra Wahana Sukses, PT
Sola Anugerah Oilfield, PT</v>
          </cell>
          <cell r="V345" t="str">
            <v>Alfa Teknik Mandiri Makmur, PT
Indo Tehnik Tanjung Tabalong, PT
Sehati, CV
Outsourcindo, PT
Sarana Prima Lestari, CV
Perwira Sentra Officindo, PT
Petrocom Nusa Synergy, PT
Elang Mas Indoasia, PT
Berkat Pratama Teknik, CV
Andalan Tiga Berlian, PT
Sola Anugerah Oilfield, PT</v>
          </cell>
          <cell r="W345" t="str">
            <v>17 of 17</v>
          </cell>
          <cell r="X345" t="str">
            <v>11 of 17</v>
          </cell>
          <cell r="Y345">
            <v>45453</v>
          </cell>
          <cell r="Z345">
            <v>45463</v>
          </cell>
          <cell r="AA345" t="str">
            <v>Kin Kitra Kencana, PT
Putera Instrumenindo, PT
Outsourcindo, PT
Petrocom Nusa Synergy, PT
Bumi Cahaya Unggul, PT
Andalan Tiga Berlian, PT
Dayaniaga Ekaselaras, PT
Yabestindo Mitra Utama, PT
Maju Langgeng Mandiri, PT
Dwijaya Sentral Sarana, PT</v>
          </cell>
          <cell r="AB345" t="str">
            <v>Kin Kitra Kencana, PT
Putera Instrumenindo, PT
Outsourcindo, PT</v>
          </cell>
          <cell r="AC345" t="str">
            <v>10 of 10</v>
          </cell>
          <cell r="AD345" t="str">
            <v>3 of 10</v>
          </cell>
          <cell r="AE345">
            <v>45464</v>
          </cell>
          <cell r="AF345">
            <v>45471</v>
          </cell>
          <cell r="AI345" t="str">
            <v xml:space="preserve"> of </v>
          </cell>
          <cell r="AJ345" t="str">
            <v xml:space="preserve"> of </v>
          </cell>
          <cell r="AL345" t="str">
            <v/>
          </cell>
          <cell r="AM345">
            <v>0.70833333333333337</v>
          </cell>
          <cell r="AN345" t="str">
            <v>Kin Kitra Kencana, PT</v>
          </cell>
          <cell r="AO345" t="str">
            <v>ptkinkitrakencana@gmail.com; teguhkin999@gmail.com</v>
          </cell>
          <cell r="AP345" t="str">
            <v>PO24000542</v>
          </cell>
          <cell r="AQ345">
            <v>82000000</v>
          </cell>
          <cell r="AR345">
            <v>45474</v>
          </cell>
          <cell r="AS345">
            <v>45524</v>
          </cell>
          <cell r="AT345">
            <v>45527</v>
          </cell>
          <cell r="AU345">
            <v>45674</v>
          </cell>
          <cell r="AV345">
            <v>45425</v>
          </cell>
          <cell r="AW345">
            <v>45572</v>
          </cell>
          <cell r="AX345">
            <v>21</v>
          </cell>
          <cell r="AZ345" t="str">
            <v/>
          </cell>
          <cell r="BA345" t="str">
            <v/>
          </cell>
          <cell r="BB345" t="str">
            <v>Late Completed</v>
          </cell>
          <cell r="BC345" t="str">
            <v>PR100008921</v>
          </cell>
        </row>
        <row r="346">
          <cell r="B346" t="str">
            <v>PR100008923</v>
          </cell>
          <cell r="C346" t="str">
            <v>Seal Bushing Trafo 24NF-250A Stock Inventory</v>
          </cell>
          <cell r="E346" t="str">
            <v>Gema Industrial, PT
Antares Jaya Gemilang Prima, PT
Vhipa Mulia Pratama, PT
Greentek Elektrikal Indonesia, PT
Sehati, CV
Raja Listrik Indonesia, PT
Perwira Sentra Officindo, PT
Axel Jaya Cakraniaga, PT
Berkat Pratama Teknik, CV
Afghan Jaya Abadi, PT</v>
          </cell>
          <cell r="F346" t="str">
            <v>Indo Tehnik Tanjung Tabalong, PT</v>
          </cell>
          <cell r="G346" t="str">
            <v>R0
1 of 10
14 Jun 24</v>
          </cell>
          <cell r="H346" t="str">
            <v>ARTHUR BRAMIYANA</v>
          </cell>
          <cell r="I346">
            <v>45453</v>
          </cell>
          <cell r="J346" t="str">
            <v>INV</v>
          </cell>
          <cell r="K346" t="str">
            <v>B</v>
          </cell>
          <cell r="L346" t="str">
            <v>BID</v>
          </cell>
          <cell r="M346" t="str">
            <v>0173</v>
          </cell>
          <cell r="N346" t="str">
            <v>RH</v>
          </cell>
          <cell r="O346" t="str">
            <v>robertiagus.haposan@alamtri.com</v>
          </cell>
          <cell r="P346">
            <v>60.287999999999997</v>
          </cell>
          <cell r="Q346">
            <v>964608</v>
          </cell>
          <cell r="R346" t="str">
            <v>Completed Sign PO</v>
          </cell>
          <cell r="T346" t="str">
            <v>MSW</v>
          </cell>
          <cell r="U346" t="str">
            <v>Gema Industrial, PT
Antares Jaya Gemilang Prima, PT
Vhipa Mulia Pratama, PT
Greentek Elektrikal Indonesia, PT
Sehati, CV
Raja Listrik Indonesia, PT
Perwira Sentra Officindo, PT
Axel Jaya Cakraniaga, PT
Berkat Pratama Teknik, CV
Afghan Jaya Abadi, PT</v>
          </cell>
          <cell r="V346" t="str">
            <v>Indo Tehnik Tanjung Tabalong, PT</v>
          </cell>
          <cell r="W346" t="str">
            <v>10 of 10</v>
          </cell>
          <cell r="X346" t="str">
            <v>1 of 10</v>
          </cell>
          <cell r="Y346">
            <v>45453</v>
          </cell>
          <cell r="Z346">
            <v>45457</v>
          </cell>
          <cell r="AC346" t="str">
            <v xml:space="preserve"> of </v>
          </cell>
          <cell r="AD346" t="str">
            <v xml:space="preserve"> of </v>
          </cell>
          <cell r="AF346" t="str">
            <v/>
          </cell>
          <cell r="AI346" t="str">
            <v xml:space="preserve"> of </v>
          </cell>
          <cell r="AJ346" t="str">
            <v xml:space="preserve"> of </v>
          </cell>
          <cell r="AL346" t="str">
            <v/>
          </cell>
          <cell r="AM346">
            <v>0.70833333333333337</v>
          </cell>
          <cell r="AN346" t="str">
            <v>Berkat Pratama Teknik, CV</v>
          </cell>
          <cell r="AO346" t="str">
            <v>berkatpratamateknik@gmail.com</v>
          </cell>
          <cell r="AP346" t="str">
            <v>PO24000417</v>
          </cell>
          <cell r="AQ346">
            <v>886800</v>
          </cell>
          <cell r="AR346">
            <v>45461</v>
          </cell>
          <cell r="AS346">
            <v>45490</v>
          </cell>
          <cell r="AT346">
            <v>45491</v>
          </cell>
          <cell r="AU346">
            <v>45523</v>
          </cell>
          <cell r="AV346">
            <v>45425</v>
          </cell>
          <cell r="AW346">
            <v>45457</v>
          </cell>
          <cell r="AX346">
            <v>4.5714285714285712</v>
          </cell>
          <cell r="AY346">
            <v>45519</v>
          </cell>
          <cell r="AZ346">
            <v>62</v>
          </cell>
          <cell r="BA346">
            <v>26604</v>
          </cell>
          <cell r="BB346" t="str">
            <v>Late Completed</v>
          </cell>
          <cell r="BC346" t="str">
            <v>PR100008923</v>
          </cell>
        </row>
        <row r="347">
          <cell r="B347" t="str">
            <v>PR100008905</v>
          </cell>
          <cell r="C347" t="str">
            <v>Bolt Nuts Consumable Stock Inventory</v>
          </cell>
          <cell r="E347" t="str">
            <v>Alfa Teknik Mandiri Makmur, PT
Indo Tehnik Tanjung Tabalong, PT
Sehati, CV
Perwira Sentra Officindo, PT
Cahaya Murni, CV
Outsourcindo, PT
Putera Instrumenindo, PT
Sarana Prima Lestari, CV
Perwira Sentra Officindo, PT
Petrocom Nusa Synergy, PT
Kin Kitra Kencana, PT
Elang Mas Indoasia, PT
Berkat Pratama Teknik, CV
Total Prime Engineering, PT
Andalan Tiga Berlian, PT
Trimitra Wahana Sukses, PT
Sola Anugerah Oilfield, PT</v>
          </cell>
          <cell r="F347" t="str">
            <v>Sehati, CV</v>
          </cell>
          <cell r="G347" t="str">
            <v xml:space="preserve">R0
1 of 17
</v>
          </cell>
          <cell r="H347" t="str">
            <v>BAYU FITRAH DARMAWAN</v>
          </cell>
          <cell r="I347">
            <v>45453</v>
          </cell>
          <cell r="J347" t="str">
            <v>INV</v>
          </cell>
          <cell r="K347" t="str">
            <v>B</v>
          </cell>
          <cell r="L347" t="str">
            <v>BID</v>
          </cell>
          <cell r="M347" t="str">
            <v>0175</v>
          </cell>
          <cell r="N347" t="str">
            <v>RH</v>
          </cell>
          <cell r="O347" t="str">
            <v>robertiagus.haposan@alamtri.com</v>
          </cell>
          <cell r="P347">
            <v>402.75</v>
          </cell>
          <cell r="Q347">
            <v>6444000</v>
          </cell>
          <cell r="R347" t="str">
            <v>Completed Sign PO</v>
          </cell>
          <cell r="T347" t="str">
            <v>MSW</v>
          </cell>
          <cell r="U347" t="str">
            <v>Alfa Teknik Mandiri Makmur, PT
Indo Tehnik Tanjung Tabalong, PT
Sehati, CV
Perwira Sentra Officindo, PT
Cahaya Murni, CV
Outsourcindo, PT
Putera Instrumenindo, PT
Sarana Prima Lestari, CV
Perwira Sentra Officindo, PT
Petrocom Nusa Synergy, PT
Kin Kitra Kencana, PT
Elang Mas Indoasia, PT
Berkat Pratama Teknik, CV
Total Prime Engineering, PT
Andalan Tiga Berlian, PT
Trimitra Wahana Sukses, PT
Sola Anugerah Oilfield, PT</v>
          </cell>
          <cell r="V347" t="str">
            <v>Sehati, CV</v>
          </cell>
          <cell r="W347" t="str">
            <v>17 of 17</v>
          </cell>
          <cell r="X347" t="str">
            <v>1 of 17</v>
          </cell>
          <cell r="Z347" t="str">
            <v/>
          </cell>
          <cell r="AC347" t="str">
            <v xml:space="preserve"> of </v>
          </cell>
          <cell r="AD347" t="str">
            <v xml:space="preserve"> of </v>
          </cell>
          <cell r="AF347" t="str">
            <v/>
          </cell>
          <cell r="AI347" t="str">
            <v xml:space="preserve"> of </v>
          </cell>
          <cell r="AJ347" t="str">
            <v xml:space="preserve"> of </v>
          </cell>
          <cell r="AL347" t="str">
            <v/>
          </cell>
          <cell r="AM347">
            <v>0.70833333333333337</v>
          </cell>
          <cell r="AN347" t="str">
            <v>Perwira Sentra Officindo, PT</v>
          </cell>
          <cell r="AO347" t="str">
            <v>d_santos63@yahoo.com</v>
          </cell>
          <cell r="AP347" t="str">
            <v>PO24000481</v>
          </cell>
          <cell r="AQ347">
            <v>8521000</v>
          </cell>
          <cell r="AR347">
            <v>45464</v>
          </cell>
          <cell r="AS347">
            <v>45502</v>
          </cell>
          <cell r="AT347">
            <v>45505</v>
          </cell>
          <cell r="AU347">
            <v>45541</v>
          </cell>
          <cell r="AV347">
            <v>45425</v>
          </cell>
          <cell r="AW347">
            <v>45461</v>
          </cell>
          <cell r="AX347">
            <v>5.1428571428571432</v>
          </cell>
          <cell r="AY347">
            <v>45533</v>
          </cell>
          <cell r="AZ347">
            <v>72</v>
          </cell>
          <cell r="BA347">
            <v>255630</v>
          </cell>
          <cell r="BB347" t="str">
            <v>Late Completed</v>
          </cell>
          <cell r="BC347" t="str">
            <v>PR100008905</v>
          </cell>
        </row>
        <row r="348">
          <cell r="B348" t="str">
            <v>PR100008836</v>
          </cell>
          <cell r="C348" t="str">
            <v>For Tire 1 Set Bobcat S750</v>
          </cell>
          <cell r="D348" t="str">
            <v>Berkat Partindo Abadi, PT</v>
          </cell>
          <cell r="E348" t="str">
            <v>Afghan Jaya Abadi, PT
Multico Equipment Indonesia, PT
Pacific Tractor Indonesia, PT
Berkat Partindo Abadi, PT
Alfa Teknik Mandiri Makmur, PT</v>
          </cell>
          <cell r="F348" t="str">
            <v>Afghan Jaya Abadi, PT</v>
          </cell>
          <cell r="G348" t="str">
            <v>R2
1 of 5
05 Jul 24</v>
          </cell>
          <cell r="H348" t="str">
            <v>BAYU FITRAH DARMAWAN</v>
          </cell>
          <cell r="I348">
            <v>45453</v>
          </cell>
          <cell r="J348" t="str">
            <v>INV</v>
          </cell>
          <cell r="K348" t="str">
            <v>B</v>
          </cell>
          <cell r="L348" t="str">
            <v>BID</v>
          </cell>
          <cell r="M348" t="str">
            <v>0178</v>
          </cell>
          <cell r="N348" t="str">
            <v>RH</v>
          </cell>
          <cell r="O348" t="str">
            <v>robertiagus.haposan@alamtri.com</v>
          </cell>
          <cell r="P348">
            <v>5498.4</v>
          </cell>
          <cell r="Q348">
            <v>87974400</v>
          </cell>
          <cell r="R348" t="str">
            <v>Completed Sign PO</v>
          </cell>
          <cell r="T348" t="str">
            <v>MSW</v>
          </cell>
          <cell r="U348" t="str">
            <v>Intraco Penta Tbk, PT
Berkat Partindo Abadi, PT
Afghan Jaya Abadi, PT
Mandiri Teknik Perkasa, PT
Alfa Teknik Mandiri Makmur, PT
Indoparts, CV</v>
          </cell>
          <cell r="V348" t="str">
            <v>Afghan Jaya Abadi, PT</v>
          </cell>
          <cell r="W348" t="str">
            <v>6 of 6</v>
          </cell>
          <cell r="X348" t="str">
            <v>1 of 6</v>
          </cell>
          <cell r="Y348">
            <v>45450</v>
          </cell>
          <cell r="Z348">
            <v>45457</v>
          </cell>
          <cell r="AA348" t="str">
            <v>Afghan Jaya Abadi, PT
Multico Equipment Indonesia, PT
Pacific Tractor Indonesia, PT
Blessindo Prima Sarana, PT
Berkat Partindo Abadi, PT
Indo Tehnik Tanjung Tabalong, PT
Alfa Teknik Mandiri Makmur, PT
Indoparts, CV</v>
          </cell>
          <cell r="AB348" t="str">
            <v>Afghan Jaya Abadi, PT
Multico Equipment Indonesia, PT
Pacific Tractor Indonesia, PT
Berkat Partindo Abadi, PT</v>
          </cell>
          <cell r="AC348" t="str">
            <v>8 of 8</v>
          </cell>
          <cell r="AD348" t="str">
            <v>4 of 8</v>
          </cell>
          <cell r="AE348">
            <v>45467</v>
          </cell>
          <cell r="AF348">
            <v>45474</v>
          </cell>
          <cell r="AG348" t="str">
            <v>Afghan Jaya Abadi, PT
Multico Equipment Indonesia, PT
Pacific Tractor Indonesia, PT
Berkat Partindo Abadi, PT
Alfa Teknik Mandiri Makmur, PT</v>
          </cell>
          <cell r="AH348" t="str">
            <v>Afghan Jaya Abadi, PT</v>
          </cell>
          <cell r="AI348" t="str">
            <v>5 of 5</v>
          </cell>
          <cell r="AJ348" t="str">
            <v>1 of 5</v>
          </cell>
          <cell r="AK348">
            <v>45475</v>
          </cell>
          <cell r="AL348">
            <v>45478</v>
          </cell>
          <cell r="AM348">
            <v>0.70833333333333337</v>
          </cell>
          <cell r="AN348" t="str">
            <v>Afghan Jaya Abadi, PT</v>
          </cell>
          <cell r="AO348" t="str">
            <v>renny.puspita78@gmail.com</v>
          </cell>
          <cell r="AP348" t="str">
            <v>PO24000482</v>
          </cell>
          <cell r="AQ348">
            <v>80400000</v>
          </cell>
          <cell r="AR348">
            <v>45482</v>
          </cell>
          <cell r="AS348">
            <v>45505</v>
          </cell>
          <cell r="AT348">
            <v>45509</v>
          </cell>
          <cell r="AU348">
            <v>45548</v>
          </cell>
          <cell r="AV348">
            <v>45425</v>
          </cell>
          <cell r="AW348">
            <v>45464</v>
          </cell>
          <cell r="AX348">
            <v>5.5714285714285712</v>
          </cell>
          <cell r="AY348">
            <v>45546</v>
          </cell>
          <cell r="AZ348">
            <v>82</v>
          </cell>
          <cell r="BA348">
            <v>4020000</v>
          </cell>
          <cell r="BB348" t="str">
            <v>Late Completed</v>
          </cell>
          <cell r="BC348" t="str">
            <v>PR100008836</v>
          </cell>
        </row>
        <row r="349">
          <cell r="B349" t="str">
            <v>PR100009158 (Line 1-4)</v>
          </cell>
          <cell r="C349" t="str">
            <v>Battery Genzet  &amp; Round Up For Stock Inventory</v>
          </cell>
          <cell r="E349" t="str">
            <v>SLS Bearindo, PT
Banjar Bearing Sentosa, PT
Fortuna Anekamulti Gemilang, PT
Satu Aneka Bering, PT
Gema Industrial, PT
Borneo Maju Jaya, PT
Greentek Elektrikal Indonesia, PT
Antares Jaya Gemilang Prima, PT
Vhipa Mulia Pratama, PT
Sehati, CV
Raja Listrik Indonesia, PT
Perwira Sentra Officindo, PT
Petrocom Nusa Synergy, PT
Alfa Teknik Mandiri Makmur, PT
Kin Kitra Kencana, PT</v>
          </cell>
          <cell r="F349" t="str">
            <v>SLS Bearindo, PT
Banjar Bearing Sentosa, PT
Fortuna Anekamulti Gemilang, PT-x
Gema Industrial, PT
Borneo Maju Jaya, PT
Greentek Elektrikal Indonesia, PT
Antares Jaya Gemilang Prima, PT
Vhipa Mulia Pratama, PT
Perwira Sentra Officindo, PT
Petrocom Nusa Synergy, PT
Alfa Teknik Mandiri Makmur, PT</v>
          </cell>
          <cell r="G349" t="str">
            <v>R0
11 of 15
21 Jun 24</v>
          </cell>
          <cell r="H349" t="str">
            <v>ARTHUR BRAMIYANA</v>
          </cell>
          <cell r="I349">
            <v>45453</v>
          </cell>
          <cell r="J349" t="str">
            <v>INV</v>
          </cell>
          <cell r="K349" t="str">
            <v>B</v>
          </cell>
          <cell r="L349" t="str">
            <v>BID</v>
          </cell>
          <cell r="M349" t="str">
            <v>0177</v>
          </cell>
          <cell r="N349" t="str">
            <v>RH</v>
          </cell>
          <cell r="O349" t="str">
            <v>robertiagus.haposan@alamtri.com</v>
          </cell>
          <cell r="P349">
            <v>744.27099999999996</v>
          </cell>
          <cell r="Q349">
            <v>11908336</v>
          </cell>
          <cell r="R349" t="str">
            <v>Completed Sign PO</v>
          </cell>
          <cell r="T349" t="str">
            <v>MSW</v>
          </cell>
          <cell r="U349" t="str">
            <v>SLS Bearindo, PT
Banjar Bearing Sentosa, PT
Fortuna Anekamulti Gemilang, PT
Satu Aneka Bering, PT
Gema Industrial, PT
Borneo Maju Jaya, PT
Greentek Elektrikal Indonesia, PT
Antares Jaya Gemilang Prima, PT
Vhipa Mulia Pratama, PT
Sehati, CV
Raja Listrik Indonesia, PT
Perwira Sentra Officindo, PT
Petrocom Nusa Synergy, PT
Alfa Teknik Mandiri Makmur, PT
Kin Kitra Kencana, PT</v>
          </cell>
          <cell r="V349" t="str">
            <v>SLS Bearindo, PT
Banjar Bearing Sentosa, PT
Fortuna Anekamulti Gemilang, PT-x
Gema Industrial, PT
Borneo Maju Jaya, PT
Greentek Elektrikal Indonesia, PT
Antares Jaya Gemilang Prima, PT
Vhipa Mulia Pratama, PT
Perwira Sentra Officindo, PT
Petrocom Nusa Synergy, PT
Alfa Teknik Mandiri Makmur, PT</v>
          </cell>
          <cell r="W349" t="str">
            <v>15 of 15</v>
          </cell>
          <cell r="X349" t="str">
            <v>11 of 15</v>
          </cell>
          <cell r="Y349">
            <v>45453</v>
          </cell>
          <cell r="Z349">
            <v>45464</v>
          </cell>
          <cell r="AC349" t="str">
            <v xml:space="preserve"> of </v>
          </cell>
          <cell r="AD349" t="str">
            <v xml:space="preserve"> of </v>
          </cell>
          <cell r="AF349" t="str">
            <v/>
          </cell>
          <cell r="AI349" t="str">
            <v xml:space="preserve"> of </v>
          </cell>
          <cell r="AJ349" t="str">
            <v xml:space="preserve"> of </v>
          </cell>
          <cell r="AL349" t="str">
            <v/>
          </cell>
          <cell r="AM349">
            <v>0.70833333333333337</v>
          </cell>
          <cell r="AN349" t="str">
            <v>Greentek Elektrikal Indonesia, PT</v>
          </cell>
          <cell r="AO349" t="str">
            <v>rendym@greentechinternational.com</v>
          </cell>
          <cell r="AP349" t="str">
            <v>PO24000551</v>
          </cell>
          <cell r="AQ349">
            <v>11430000</v>
          </cell>
          <cell r="AR349">
            <v>45469</v>
          </cell>
          <cell r="AS349">
            <v>45526</v>
          </cell>
          <cell r="AT349">
            <v>45527</v>
          </cell>
          <cell r="AU349">
            <v>45576</v>
          </cell>
          <cell r="AV349">
            <v>45425</v>
          </cell>
          <cell r="AW349">
            <v>45474</v>
          </cell>
          <cell r="AX349">
            <v>7</v>
          </cell>
          <cell r="AY349">
            <v>45579</v>
          </cell>
          <cell r="AZ349">
            <v>105</v>
          </cell>
          <cell r="BA349">
            <v>571500</v>
          </cell>
          <cell r="BB349" t="str">
            <v>Late Completed</v>
          </cell>
          <cell r="BC349" t="str">
            <v>PR100009158</v>
          </cell>
        </row>
        <row r="350">
          <cell r="B350" t="str">
            <v>PR100009164 (Line 3)</v>
          </cell>
          <cell r="C350" t="str">
            <v>Streetlight, Philips 55W &amp; Floodlight LED Philips 20W,stock Inventory</v>
          </cell>
          <cell r="D350" t="str">
            <v>Borneo Maju Jaya, PT
Gema Industrial, PT
Antares Jaya Gemilang Prima, PT</v>
          </cell>
          <cell r="E350" t="str">
            <v>Borneo Maju Jaya, PT
Vhipa Mulia Pratama, PT
Antares Jaya Gemilang Prima, PT
Alfa Teknik Mandiri Makmur, PT
Kin Kitra Kencana, PT
Gema Industrial, PT
Ganesha Wirya Pratama, PT
Perwira Sentra Officindo, PT
Outsourcindo, PT</v>
          </cell>
          <cell r="F350" t="str">
            <v/>
          </cell>
          <cell r="G350" t="str">
            <v xml:space="preserve">R0
 of 9
</v>
          </cell>
          <cell r="H350" t="str">
            <v>ARTHUR BRAMIYANA</v>
          </cell>
          <cell r="I350">
            <v>45453</v>
          </cell>
          <cell r="J350" t="str">
            <v>INV</v>
          </cell>
          <cell r="K350" t="str">
            <v>B</v>
          </cell>
          <cell r="L350" t="str">
            <v>BID</v>
          </cell>
          <cell r="M350" t="str">
            <v>0172</v>
          </cell>
          <cell r="N350" t="str">
            <v>RH</v>
          </cell>
          <cell r="O350" t="str">
            <v>robertiagus.haposan@alamtri.com</v>
          </cell>
          <cell r="P350">
            <v>421.08</v>
          </cell>
          <cell r="Q350">
            <v>6737280</v>
          </cell>
          <cell r="R350" t="str">
            <v>Completed Sign PO</v>
          </cell>
          <cell r="T350" t="str">
            <v>MSW</v>
          </cell>
          <cell r="U350" t="str">
            <v>Borneo Maju Jaya, PT
Vhipa Mulia Pratama, PT
Antares Jaya Gemilang Prima, PT
Alfa Teknik Mandiri Makmur, PT
Kin Kitra Kencana, PT
Gema Industrial, PT
Ganesha Wirya Pratama, PT
Perwira Sentra Officindo, PT
Outsourcindo, PT</v>
          </cell>
          <cell r="W350" t="str">
            <v>9 of 9</v>
          </cell>
          <cell r="X350" t="str">
            <v xml:space="preserve"> of 9</v>
          </cell>
          <cell r="Z350" t="str">
            <v/>
          </cell>
          <cell r="AC350" t="str">
            <v xml:space="preserve"> of </v>
          </cell>
          <cell r="AD350" t="str">
            <v xml:space="preserve"> of </v>
          </cell>
          <cell r="AF350" t="str">
            <v/>
          </cell>
          <cell r="AI350" t="str">
            <v xml:space="preserve"> of </v>
          </cell>
          <cell r="AJ350" t="str">
            <v xml:space="preserve"> of </v>
          </cell>
          <cell r="AL350" t="str">
            <v/>
          </cell>
          <cell r="AM350">
            <v>0.70833333333333337</v>
          </cell>
          <cell r="AN350" t="str">
            <v>Vhipa Mulia Pratama, PT</v>
          </cell>
          <cell r="AO350" t="str">
            <v>Feby@ptvmp.co.id</v>
          </cell>
          <cell r="AP350" t="str">
            <v>PO24000460</v>
          </cell>
          <cell r="AQ350">
            <v>8000000</v>
          </cell>
          <cell r="AR350">
            <v>45463</v>
          </cell>
          <cell r="AS350">
            <v>45496</v>
          </cell>
          <cell r="AT350">
            <v>45499</v>
          </cell>
          <cell r="AU350">
            <v>45541</v>
          </cell>
          <cell r="AV350">
            <v>45425</v>
          </cell>
          <cell r="AW350">
            <v>45467</v>
          </cell>
          <cell r="AX350">
            <v>6</v>
          </cell>
          <cell r="AY350">
            <v>45548</v>
          </cell>
          <cell r="AZ350">
            <v>81</v>
          </cell>
          <cell r="BA350">
            <v>240000</v>
          </cell>
          <cell r="BB350" t="str">
            <v>Late Completed</v>
          </cell>
          <cell r="BC350" t="str">
            <v>PR100009164</v>
          </cell>
        </row>
        <row r="351">
          <cell r="B351" t="str">
            <v>PR100009164 (Line1-2 &amp; 4)</v>
          </cell>
          <cell r="C351" t="str">
            <v>Streetlight, Philips 55W &amp; Floodlight LED Philips 20W,stock Inventory</v>
          </cell>
          <cell r="D351" t="str">
            <v>Borneo Maju Jaya, PT
Gema Industrial, PT
Antares Jaya Gemilang Prima, PT</v>
          </cell>
          <cell r="E351" t="str">
            <v>Borneo Maju Jaya, PT
Vhipa Mulia Pratama, PT
Alfa Teknik Mandiri Makmur, PT
Gema Industrial, PT
Perwira Sentra Officindo, PT
Outsourcindo, PT
Gridtech Indonesia, PT
Indoparts, CV
Andalan Tiga Berlian, PT</v>
          </cell>
          <cell r="F351" t="str">
            <v>Borneo Maju Jaya, PT
Vhipa Mulia Pratama, PT
Alfa Teknik Mandiri Makmur, PT
Gema Industrial, PT
Outsourcindo, PT</v>
          </cell>
          <cell r="G351" t="str">
            <v>R1
5 of 9
01 Jul 24</v>
          </cell>
          <cell r="H351" t="str">
            <v>ARTHUR BRAMIYANA</v>
          </cell>
          <cell r="I351">
            <v>45453</v>
          </cell>
          <cell r="J351" t="str">
            <v>INV</v>
          </cell>
          <cell r="K351" t="str">
            <v>B</v>
          </cell>
          <cell r="L351" t="str">
            <v>BID</v>
          </cell>
          <cell r="M351" t="str">
            <v>0172</v>
          </cell>
          <cell r="N351" t="str">
            <v>RH</v>
          </cell>
          <cell r="O351" t="str">
            <v>robertiagus.haposan@alamtri.com</v>
          </cell>
          <cell r="P351">
            <v>4405.9030000000002</v>
          </cell>
          <cell r="Q351">
            <v>70494448</v>
          </cell>
          <cell r="R351" t="str">
            <v>Completed Sign PO</v>
          </cell>
          <cell r="T351" t="str">
            <v>MSW</v>
          </cell>
          <cell r="U351" t="str">
            <v>Borneo Maju Jaya, PT
Vhipa Mulia Pratama, PT
Antares Jaya Gemilang Prima, PT
Alfa Teknik Mandiri Makmur, PT
Kin Kitra Kencana, PT
Gema Industrial, PT
Ganesha Wirya Pratama, PT
Perwira Sentra Officindo, PT
Outsourcindo, PT</v>
          </cell>
          <cell r="V351" t="str">
            <v>Afghan Jaya Abadi, PT</v>
          </cell>
          <cell r="W351" t="str">
            <v>9 of 9</v>
          </cell>
          <cell r="X351" t="str">
            <v>1 of 9</v>
          </cell>
          <cell r="Y351">
            <v>45450</v>
          </cell>
          <cell r="Z351">
            <v>45457</v>
          </cell>
          <cell r="AA351" t="str">
            <v>Borneo Maju Jaya, PT
Vhipa Mulia Pratama, PT
Alfa Teknik Mandiri Makmur, PT
Gema Industrial, PT
Perwira Sentra Officindo, PT
Outsourcindo, PT
Gridtech Indonesia, PT
Indoparts, CV
Andalan Tiga Berlian, PT</v>
          </cell>
          <cell r="AB351" t="str">
            <v>Borneo Maju Jaya, PT
Vhipa Mulia Pratama, PT
Alfa Teknik Mandiri Makmur, PT
Gema Industrial, PT
Outsourcindo, PT</v>
          </cell>
          <cell r="AC351" t="str">
            <v>9 of 9</v>
          </cell>
          <cell r="AD351" t="str">
            <v>5 of 9</v>
          </cell>
          <cell r="AE351">
            <v>45467</v>
          </cell>
          <cell r="AF351">
            <v>45474</v>
          </cell>
          <cell r="AI351" t="str">
            <v xml:space="preserve"> of </v>
          </cell>
          <cell r="AJ351" t="str">
            <v xml:space="preserve"> of </v>
          </cell>
          <cell r="AL351" t="str">
            <v/>
          </cell>
          <cell r="AM351">
            <v>0.70833333333333337</v>
          </cell>
          <cell r="AN351" t="str">
            <v>Alfa Teknik Mandiri Makmur, PT</v>
          </cell>
          <cell r="AO351" t="str">
            <v>sales.atmm@gmail.com; alex_atmm@yahoo.com</v>
          </cell>
          <cell r="AP351" t="str">
            <v>PO24000522</v>
          </cell>
          <cell r="AQ351">
            <v>85350000</v>
          </cell>
          <cell r="AR351">
            <v>45505</v>
          </cell>
          <cell r="AS351">
            <v>45522</v>
          </cell>
          <cell r="AT351">
            <v>45523</v>
          </cell>
          <cell r="AU351">
            <v>45639</v>
          </cell>
          <cell r="AV351">
            <v>45425</v>
          </cell>
          <cell r="AW351">
            <v>45541</v>
          </cell>
          <cell r="AX351">
            <v>16.571428571428573</v>
          </cell>
          <cell r="AY351">
            <v>45625</v>
          </cell>
          <cell r="AZ351">
            <v>84</v>
          </cell>
          <cell r="BA351">
            <v>4267500</v>
          </cell>
          <cell r="BB351" t="str">
            <v>Late Completed</v>
          </cell>
          <cell r="BC351" t="str">
            <v>PR100009164</v>
          </cell>
        </row>
        <row r="352">
          <cell r="B352" t="str">
            <v>PR100008887 (Line 7)</v>
          </cell>
          <cell r="C352" t="str">
            <v>Par For Stock Inventory Electrical</v>
          </cell>
          <cell r="D352" t="str">
            <v>SLS Bearindo, PT - Line 1,2,12
Perwira Sentra Officindo, PT - Line 3,6,8,13
Greentek Elektrikal Indonesia, PT - Line 4,9,15
Vhipa Mulia Pratama, PT - Line 5
Banjar Bearing Sentosa, PT - Line 7
Bima Kaltim Utama, PT - Line 10
Petrocom Nusa Synergy, PT - Line 11,24</v>
          </cell>
          <cell r="E352" t="str">
            <v>SLS Bearindo, PT
Banjar Bearing Sentosa, PT
Fortuna Anekamulti Gemilang, PT
Satu Aneka Bering, PT
Gema Industrial, PT
Borneo Maju Jaya, PT
Greentek Elektrikal Indonesia, PT
Antares Jaya Gemilang Prima, PT
Vhipa Mulia Pratama, PT
Sehati, CV
Raja Listrik Indonesia, PT
Perwira Sentra Officindo, PT
Petrocom Nusa Synergy, PT
Alfa Teknik Mandiri Makmur, PT
Kin Kitra Kencana, PT</v>
          </cell>
          <cell r="F352" t="str">
            <v>SLS Bearindo, PT
Banjar Bearing Sentosa, PT
Fortuna Anekamulti Gemilang, PT-x
Gema Industrial, PT
Borneo Maju Jaya, PT
Greentek Elektrikal Indonesia, PT
Antares Jaya Gemilang Prima, PT
Perwira Sentra Officindo, PT
Petrocom Nusa Synergy, PT
Alfa Teknik Mandiri Makmur, PT</v>
          </cell>
          <cell r="G352" t="str">
            <v>R0
10 of 15
21 Jun 24</v>
          </cell>
          <cell r="H352" t="str">
            <v>ARTHUR BRAMIYANA</v>
          </cell>
          <cell r="I352">
            <v>45453</v>
          </cell>
          <cell r="J352" t="str">
            <v>INV</v>
          </cell>
          <cell r="K352" t="str">
            <v>B</v>
          </cell>
          <cell r="L352" t="str">
            <v>BID</v>
          </cell>
          <cell r="M352" t="str">
            <v>0177</v>
          </cell>
          <cell r="N352" t="str">
            <v>RH</v>
          </cell>
          <cell r="O352" t="str">
            <v>robertiagus.haposan@alamtri.com</v>
          </cell>
          <cell r="P352">
            <v>1713.2004999999999</v>
          </cell>
          <cell r="Q352">
            <v>27411208</v>
          </cell>
          <cell r="R352" t="str">
            <v>Completed Sign PO</v>
          </cell>
          <cell r="T352" t="str">
            <v>MSW</v>
          </cell>
          <cell r="U352" t="str">
            <v>SLS Bearindo, PT
Banjar Bearing Sentosa, PT
Fortuna Anekamulti Gemilang, PT
Satu Aneka Bering, PT
Gema Industrial, PT
Borneo Maju Jaya, PT
Greentek Elektrikal Indonesia, PT
Antares Jaya Gemilang Prima, PT
Vhipa Mulia Pratama, PT
Sehati, CV
Raja Listrik Indonesia, PT
Perwira Sentra Officindo, PT
Petrocom Nusa Synergy, PT
Alfa Teknik Mandiri Makmur, PT
Kin Kitra Kencana, PT</v>
          </cell>
          <cell r="V352" t="str">
            <v>SLS Bearindo, PT
Banjar Bearing Sentosa, PT
Fortuna Anekamulti Gemilang, PT-x
Gema Industrial, PT
Borneo Maju Jaya, PT
Greentek Elektrikal Indonesia, PT
Antares Jaya Gemilang Prima, PT
Perwira Sentra Officindo, PT
Petrocom Nusa Synergy, PT
Alfa Teknik Mandiri Makmur, PT</v>
          </cell>
          <cell r="W352" t="str">
            <v>15 of 15</v>
          </cell>
          <cell r="X352" t="str">
            <v>10 of 15</v>
          </cell>
          <cell r="Y352">
            <v>45453</v>
          </cell>
          <cell r="Z352">
            <v>45464</v>
          </cell>
          <cell r="AC352" t="str">
            <v xml:space="preserve"> of </v>
          </cell>
          <cell r="AD352" t="str">
            <v xml:space="preserve"> of </v>
          </cell>
          <cell r="AF352" t="str">
            <v/>
          </cell>
          <cell r="AI352" t="str">
            <v xml:space="preserve"> of </v>
          </cell>
          <cell r="AJ352" t="str">
            <v xml:space="preserve"> of </v>
          </cell>
          <cell r="AL352" t="str">
            <v/>
          </cell>
          <cell r="AM352">
            <v>0.70833333333333337</v>
          </cell>
          <cell r="AN352" t="str">
            <v>Banjar Bearing Sentosa, PT</v>
          </cell>
          <cell r="AO352" t="str">
            <v>bbsbjm@banjarbearing.com; eddy@bbs.banjarbearing.com; surya@bbs.banjarbearing.com</v>
          </cell>
          <cell r="AP352" t="str">
            <v>PO24000552</v>
          </cell>
          <cell r="AQ352">
            <v>1040000</v>
          </cell>
          <cell r="AR352">
            <v>45469</v>
          </cell>
          <cell r="AS352">
            <v>45526</v>
          </cell>
          <cell r="AT352">
            <v>45527</v>
          </cell>
          <cell r="AU352">
            <v>45541</v>
          </cell>
          <cell r="AV352">
            <v>45425</v>
          </cell>
          <cell r="AW352">
            <v>45439</v>
          </cell>
          <cell r="AX352">
            <v>2</v>
          </cell>
          <cell r="AY352">
            <v>45539</v>
          </cell>
          <cell r="AZ352">
            <v>100</v>
          </cell>
          <cell r="BA352">
            <v>31200</v>
          </cell>
          <cell r="BB352" t="str">
            <v>Late Completed</v>
          </cell>
          <cell r="BC352" t="str">
            <v>PR100008887</v>
          </cell>
        </row>
        <row r="353">
          <cell r="B353" t="str">
            <v>PR100008887 (Line 3-6,9)</v>
          </cell>
          <cell r="C353" t="str">
            <v>Par For Stock Inventory Electrical</v>
          </cell>
          <cell r="D353" t="str">
            <v>SLS Bearindo, PT - Line 1,2,12
Perwira Sentra Officindo, PT - Line 3,6,8,13
Greentek Elektrikal Indonesia, PT - Line 4,9,15
Vhipa Mulia Pratama, PT - Line 5
Banjar Bearing Sentosa, PT - Line 7
Bima Kaltim Utama, PT - Line 10
Petrocom Nusa Synergy, PT - Line 11,24</v>
          </cell>
          <cell r="E353" t="str">
            <v>SLS Bearindo, PT
Banjar Bearing Sentosa, PT
Fortuna Anekamulti Gemilang, PT
Satu Aneka Bering, PT
Gema Industrial, PT
Borneo Maju Jaya, PT
Greentek Elektrikal Indonesia, PT
Antares Jaya Gemilang Prima, PT
Vhipa Mulia Pratama, PT
Sehati, CV
Raja Listrik Indonesia, PT
Perwira Sentra Officindo, PT
Petrocom Nusa Synergy, PT
Alfa Teknik Mandiri Makmur, PT
Kin Kitra Kencana, PT</v>
          </cell>
          <cell r="F353" t="str">
            <v>SLS Bearindo, PT
Banjar Bearing Sentosa, PT
Fortuna Anekamulti Gemilang, PT-x
Gema Industrial, PT
Borneo Maju Jaya, PT
Greentek Elektrikal Indonesia, PT
Antares Jaya Gemilang Prima, PT
Perwira Sentra Officindo, PT
Petrocom Nusa Synergy, PT
Alfa Teknik Mandiri Makmur, PT</v>
          </cell>
          <cell r="G353" t="str">
            <v>R0
10 of 15
21 Jun 24</v>
          </cell>
          <cell r="H353" t="str">
            <v>ARTHUR BRAMIYANA</v>
          </cell>
          <cell r="I353">
            <v>45453</v>
          </cell>
          <cell r="J353" t="str">
            <v>INV</v>
          </cell>
          <cell r="K353" t="str">
            <v>B</v>
          </cell>
          <cell r="L353" t="str">
            <v>BID</v>
          </cell>
          <cell r="M353" t="str">
            <v>0177</v>
          </cell>
          <cell r="N353" t="str">
            <v>RH</v>
          </cell>
          <cell r="O353" t="str">
            <v>robertiagus.haposan@alamtri.com</v>
          </cell>
          <cell r="P353">
            <v>1713.2004999999999</v>
          </cell>
          <cell r="Q353">
            <v>27411208</v>
          </cell>
          <cell r="R353" t="str">
            <v>Completed Sign PO</v>
          </cell>
          <cell r="T353" t="str">
            <v>MSW</v>
          </cell>
          <cell r="U353" t="str">
            <v>SLS Bearindo, PT
Banjar Bearing Sentosa, PT
Fortuna Anekamulti Gemilang, PT
Satu Aneka Bering, PT
Gema Industrial, PT
Borneo Maju Jaya, PT
Greentek Elektrikal Indonesia, PT
Antares Jaya Gemilang Prima, PT
Vhipa Mulia Pratama, PT
Sehati, CV
Raja Listrik Indonesia, PT
Perwira Sentra Officindo, PT
Petrocom Nusa Synergy, PT
Alfa Teknik Mandiri Makmur, PT
Kin Kitra Kencana, PT</v>
          </cell>
          <cell r="V353" t="str">
            <v>SLS Bearindo, PT
Banjar Bearing Sentosa, PT
Fortuna Anekamulti Gemilang, PT-x
Gema Industrial, PT
Borneo Maju Jaya, PT
Greentek Elektrikal Indonesia, PT
Antares Jaya Gemilang Prima, PT
Perwira Sentra Officindo, PT
Petrocom Nusa Synergy, PT
Alfa Teknik Mandiri Makmur, PT</v>
          </cell>
          <cell r="W353" t="str">
            <v>15 of 15</v>
          </cell>
          <cell r="X353" t="str">
            <v>10 of 15</v>
          </cell>
          <cell r="Y353">
            <v>45453</v>
          </cell>
          <cell r="Z353">
            <v>45464</v>
          </cell>
          <cell r="AC353" t="str">
            <v xml:space="preserve"> of </v>
          </cell>
          <cell r="AD353" t="str">
            <v xml:space="preserve"> of </v>
          </cell>
          <cell r="AF353" t="str">
            <v/>
          </cell>
          <cell r="AI353" t="str">
            <v xml:space="preserve"> of </v>
          </cell>
          <cell r="AJ353" t="str">
            <v xml:space="preserve"> of </v>
          </cell>
          <cell r="AL353" t="str">
            <v/>
          </cell>
          <cell r="AM353">
            <v>0.70833333333333304</v>
          </cell>
          <cell r="AN353" t="str">
            <v>Greentek Elektrikal Indonesia, PT</v>
          </cell>
          <cell r="AO353" t="str">
            <v>rendym@greentechinternational.com</v>
          </cell>
          <cell r="AP353" t="str">
            <v>PO24000551</v>
          </cell>
          <cell r="AQ353">
            <v>22116000</v>
          </cell>
          <cell r="AR353">
            <v>45469</v>
          </cell>
          <cell r="AS353">
            <v>45526</v>
          </cell>
          <cell r="AT353">
            <v>45527</v>
          </cell>
          <cell r="AU353">
            <v>45576</v>
          </cell>
          <cell r="AV353">
            <v>45425</v>
          </cell>
          <cell r="AW353">
            <v>45474</v>
          </cell>
          <cell r="AX353">
            <v>7</v>
          </cell>
          <cell r="AY353">
            <v>45579</v>
          </cell>
          <cell r="AZ353">
            <v>105</v>
          </cell>
          <cell r="BA353">
            <v>1105800</v>
          </cell>
          <cell r="BB353" t="str">
            <v>Late Completed</v>
          </cell>
          <cell r="BC353" t="str">
            <v>PR100008887</v>
          </cell>
        </row>
        <row r="354">
          <cell r="B354" t="str">
            <v>PR100008887 (Line 8, 13)</v>
          </cell>
          <cell r="C354" t="str">
            <v>Par For Stock Inventory Electrical</v>
          </cell>
          <cell r="D354" t="str">
            <v>SLS Bearindo, PT - Line 1,2,12
Perwira Sentra Officindo, PT - Line 3,6,8,13
Greentek Elektrikal Indonesia, PT - Line 4,9,15
Vhipa Mulia Pratama, PT - Line 5
Banjar Bearing Sentosa, PT - Line 7
Bima Kaltim Utama, PT - Line 10
Petrocom Nusa Synergy, PT - Line 11,24</v>
          </cell>
          <cell r="E354" t="str">
            <v>SLS Bearindo, PT
Banjar Bearing Sentosa, PT
Fortuna Anekamulti Gemilang, PT
Satu Aneka Bering, PT
Gema Industrial, PT
Borneo Maju Jaya, PT
Greentek Elektrikal Indonesia, PT
Antares Jaya Gemilang Prima, PT
Vhipa Mulia Pratama, PT
Sehati, CV
Raja Listrik Indonesia, PT
Perwira Sentra Officindo, PT
Petrocom Nusa Synergy, PT
Alfa Teknik Mandiri Makmur, PT
Kin Kitra Kencana, PT</v>
          </cell>
          <cell r="F354" t="str">
            <v>SLS Bearindo, PT
Banjar Bearing Sentosa, PT
Fortuna Anekamulti Gemilang, PT-x
Gema Industrial, PT
Borneo Maju Jaya, PT
Greentek Elektrikal Indonesia, PT
Antares Jaya Gemilang Prima, PT
Perwira Sentra Officindo, PT
Petrocom Nusa Synergy, PT
Alfa Teknik Mandiri Makmur, PT</v>
          </cell>
          <cell r="G354" t="str">
            <v>R0
10 of 15
21 Jun 24</v>
          </cell>
          <cell r="H354" t="str">
            <v>ARTHUR BRAMIYANA</v>
          </cell>
          <cell r="I354">
            <v>45453</v>
          </cell>
          <cell r="J354" t="str">
            <v>INV</v>
          </cell>
          <cell r="K354" t="str">
            <v>B</v>
          </cell>
          <cell r="L354" t="str">
            <v>BID</v>
          </cell>
          <cell r="M354" t="str">
            <v>0177</v>
          </cell>
          <cell r="N354" t="str">
            <v>RH</v>
          </cell>
          <cell r="O354" t="str">
            <v>robertiagus.haposan@alamtri.com</v>
          </cell>
          <cell r="P354">
            <v>1713.2004999999999</v>
          </cell>
          <cell r="Q354">
            <v>27411208</v>
          </cell>
          <cell r="R354" t="str">
            <v>Completed Sign PO</v>
          </cell>
          <cell r="T354" t="str">
            <v>MSW</v>
          </cell>
          <cell r="U354" t="str">
            <v>SLS Bearindo, PT
Banjar Bearing Sentosa, PT
Fortuna Anekamulti Gemilang, PT
Satu Aneka Bering, PT
Gema Industrial, PT
Borneo Maju Jaya, PT
Greentek Elektrikal Indonesia, PT
Antares Jaya Gemilang Prima, PT
Vhipa Mulia Pratama, PT
Sehati, CV
Raja Listrik Indonesia, PT
Perwira Sentra Officindo, PT
Petrocom Nusa Synergy, PT
Alfa Teknik Mandiri Makmur, PT
Kin Kitra Kencana, PT</v>
          </cell>
          <cell r="V354" t="str">
            <v>SLS Bearindo, PT
Banjar Bearing Sentosa, PT
Fortuna Anekamulti Gemilang, PT-x
Gema Industrial, PT
Borneo Maju Jaya, PT
Greentek Elektrikal Indonesia, PT
Antares Jaya Gemilang Prima, PT
Perwira Sentra Officindo, PT
Petrocom Nusa Synergy, PT
Alfa Teknik Mandiri Makmur, PT</v>
          </cell>
          <cell r="W354" t="str">
            <v>15 of 15</v>
          </cell>
          <cell r="X354" t="str">
            <v>10 of 15</v>
          </cell>
          <cell r="Y354">
            <v>45453</v>
          </cell>
          <cell r="Z354">
            <v>45464</v>
          </cell>
          <cell r="AC354" t="str">
            <v xml:space="preserve"> of </v>
          </cell>
          <cell r="AD354" t="str">
            <v xml:space="preserve"> of </v>
          </cell>
          <cell r="AF354" t="str">
            <v/>
          </cell>
          <cell r="AI354" t="str">
            <v xml:space="preserve"> of </v>
          </cell>
          <cell r="AJ354" t="str">
            <v xml:space="preserve"> of </v>
          </cell>
          <cell r="AL354" t="str">
            <v/>
          </cell>
          <cell r="AM354">
            <v>0.70833333333333304</v>
          </cell>
          <cell r="AN354" t="str">
            <v>Perwira Sentra Officindo, PT</v>
          </cell>
          <cell r="AO354" t="str">
            <v>d_santos63@yahoo.com</v>
          </cell>
          <cell r="AP354" t="str">
            <v>PO24000554</v>
          </cell>
          <cell r="AQ354">
            <v>2880800</v>
          </cell>
          <cell r="AR354">
            <v>45469</v>
          </cell>
          <cell r="AS354">
            <v>45526</v>
          </cell>
          <cell r="AT354">
            <v>45527</v>
          </cell>
          <cell r="AU354">
            <v>45555</v>
          </cell>
          <cell r="AV354">
            <v>45425</v>
          </cell>
          <cell r="AW354">
            <v>45453</v>
          </cell>
          <cell r="AX354">
            <v>4</v>
          </cell>
          <cell r="AY354">
            <v>45565</v>
          </cell>
          <cell r="AZ354">
            <v>112</v>
          </cell>
          <cell r="BA354">
            <v>86424</v>
          </cell>
          <cell r="BB354" t="str">
            <v>Late Completed</v>
          </cell>
          <cell r="BC354" t="str">
            <v>PR100008887</v>
          </cell>
        </row>
        <row r="355">
          <cell r="B355" t="str">
            <v>PR100008887 (Line 11, 14)</v>
          </cell>
          <cell r="C355" t="str">
            <v>Par For Stock Inventory Electrical</v>
          </cell>
          <cell r="D355" t="str">
            <v>SLS Bearindo, PT - Line 1,2,12
Perwira Sentra Officindo, PT - Line 3,6,8,13
Greentek Elektrikal Indonesia, PT - Line 4,9,15
Vhipa Mulia Pratama, PT - Line 5
Banjar Bearing Sentosa, PT - Line 7
Bima Kaltim Utama, PT - Line 10
Petrocom Nusa Synergy, PT - Line 11,24</v>
          </cell>
          <cell r="E355" t="str">
            <v>SLS Bearindo, PT
Banjar Bearing Sentosa, PT
Fortuna Anekamulti Gemilang, PT
Satu Aneka Bering, PT
Gema Industrial, PT
Borneo Maju Jaya, PT
Greentek Elektrikal Indonesia, PT
Antares Jaya Gemilang Prima, PT
Vhipa Mulia Pratama, PT
Sehati, CV
Raja Listrik Indonesia, PT
Perwira Sentra Officindo, PT
Petrocom Nusa Synergy, PT
Alfa Teknik Mandiri Makmur, PT
Kin Kitra Kencana, PT</v>
          </cell>
          <cell r="F355" t="str">
            <v>SLS Bearindo, PT
Banjar Bearing Sentosa, PT
Fortuna Anekamulti Gemilang, PT-x
Gema Industrial, PT
Borneo Maju Jaya, PT
Greentek Elektrikal Indonesia, PT
Antares Jaya Gemilang Prima, PT
Perwira Sentra Officindo, PT
Petrocom Nusa Synergy, PT
Alfa Teknik Mandiri Makmur, PT</v>
          </cell>
          <cell r="G355" t="str">
            <v>R0
10 of 15
21 Jun 24</v>
          </cell>
          <cell r="H355" t="str">
            <v>ARTHUR BRAMIYANA</v>
          </cell>
          <cell r="I355">
            <v>45453</v>
          </cell>
          <cell r="J355" t="str">
            <v>INV</v>
          </cell>
          <cell r="K355" t="str">
            <v>B</v>
          </cell>
          <cell r="L355" t="str">
            <v>BID</v>
          </cell>
          <cell r="M355" t="str">
            <v>0177</v>
          </cell>
          <cell r="N355" t="str">
            <v>RH</v>
          </cell>
          <cell r="O355" t="str">
            <v>robertiagus.haposan@alamtri.com</v>
          </cell>
          <cell r="P355">
            <v>1713.2004999999999</v>
          </cell>
          <cell r="Q355">
            <v>27411208</v>
          </cell>
          <cell r="R355" t="str">
            <v>Completed Sign PO</v>
          </cell>
          <cell r="T355" t="str">
            <v>MSW</v>
          </cell>
          <cell r="U355" t="str">
            <v>SLS Bearindo, PT
Banjar Bearing Sentosa, PT
Fortuna Anekamulti Gemilang, PT
Satu Aneka Bering, PT
Gema Industrial, PT
Borneo Maju Jaya, PT
Greentek Elektrikal Indonesia, PT
Antares Jaya Gemilang Prima, PT
Vhipa Mulia Pratama, PT
Sehati, CV
Raja Listrik Indonesia, PT
Perwira Sentra Officindo, PT
Petrocom Nusa Synergy, PT
Alfa Teknik Mandiri Makmur, PT
Kin Kitra Kencana, PT</v>
          </cell>
          <cell r="V355" t="str">
            <v>SLS Bearindo, PT
Banjar Bearing Sentosa, PT
Fortuna Anekamulti Gemilang, PT-x
Gema Industrial, PT
Borneo Maju Jaya, PT
Greentek Elektrikal Indonesia, PT
Antares Jaya Gemilang Prima, PT
Perwira Sentra Officindo, PT
Petrocom Nusa Synergy, PT
Alfa Teknik Mandiri Makmur, PT</v>
          </cell>
          <cell r="W355" t="str">
            <v>15 of 15</v>
          </cell>
          <cell r="X355" t="str">
            <v>10 of 15</v>
          </cell>
          <cell r="Y355">
            <v>45453</v>
          </cell>
          <cell r="Z355">
            <v>45464</v>
          </cell>
          <cell r="AC355" t="str">
            <v xml:space="preserve"> of </v>
          </cell>
          <cell r="AD355" t="str">
            <v xml:space="preserve"> of </v>
          </cell>
          <cell r="AF355" t="str">
            <v/>
          </cell>
          <cell r="AI355" t="str">
            <v xml:space="preserve"> of </v>
          </cell>
          <cell r="AJ355" t="str">
            <v xml:space="preserve"> of </v>
          </cell>
          <cell r="AL355" t="str">
            <v/>
          </cell>
          <cell r="AM355">
            <v>0.70833333333333304</v>
          </cell>
          <cell r="AN355" t="str">
            <v>Petrocom Nusa Synergy, PT</v>
          </cell>
          <cell r="AO355" t="str">
            <v>petrocomnusasynergy@gmail.com</v>
          </cell>
          <cell r="AP355" t="str">
            <v>PO24000553</v>
          </cell>
          <cell r="AQ355">
            <v>430000</v>
          </cell>
          <cell r="AR355">
            <v>45469</v>
          </cell>
          <cell r="AS355">
            <v>45526</v>
          </cell>
          <cell r="AT355">
            <v>45527</v>
          </cell>
          <cell r="AU355">
            <v>45555</v>
          </cell>
          <cell r="AV355">
            <v>45425</v>
          </cell>
          <cell r="AW355">
            <v>45453</v>
          </cell>
          <cell r="AX355">
            <v>4</v>
          </cell>
          <cell r="AY355">
            <v>45540</v>
          </cell>
          <cell r="AZ355">
            <v>87</v>
          </cell>
          <cell r="BA355">
            <v>12900</v>
          </cell>
          <cell r="BB355" t="str">
            <v>Late Completed</v>
          </cell>
          <cell r="BC355" t="str">
            <v>PR100008887</v>
          </cell>
        </row>
        <row r="356">
          <cell r="B356" t="str">
            <v>PR100009158 (Line 5)</v>
          </cell>
          <cell r="C356" t="str">
            <v>Battery Genzet  &amp; Round Up For Stock Inventory</v>
          </cell>
          <cell r="E356" t="str">
            <v>SLS Bearindo, PT
Banjar Bearing Sentosa, PT
Fortuna Anekamulti Gemilang, PT
Satu Aneka Bering, PT
Gema Industrial, PT
Borneo Maju Jaya, PT
Greentek Elektrikal Indonesia, PT
Antares Jaya Gemilang Prima, PT
Vhipa Mulia Pratama, PT
Sehati, CV
Raja Listrik Indonesia, PT
Perwira Sentra Officindo, PT
Petrocom Nusa Synergy, PT
Alfa Teknik Mandiri Makmur, PT
Kin Kitra Kencana, PT</v>
          </cell>
          <cell r="F356" t="str">
            <v>SLS Bearindo, PT
Banjar Bearing Sentosa, PT
Fortuna Anekamulti Gemilang, PT-x
Gema Industrial, PT
Borneo Maju Jaya, PT
Greentek Elektrikal Indonesia, PT
Antares Jaya Gemilang Prima, PT
Vhipa Mulia Pratama, PT
Perwira Sentra Officindo, PT
Petrocom Nusa Synergy, PT
Alfa Teknik Mandiri Makmur, PT</v>
          </cell>
          <cell r="G356" t="str">
            <v>R0
11 of 15
21 Jun 24</v>
          </cell>
          <cell r="H356" t="str">
            <v>ARTHUR BRAMIYANA</v>
          </cell>
          <cell r="I356">
            <v>45453</v>
          </cell>
          <cell r="J356" t="str">
            <v>INV</v>
          </cell>
          <cell r="K356" t="str">
            <v>B</v>
          </cell>
          <cell r="L356" t="str">
            <v>BID</v>
          </cell>
          <cell r="M356" t="str">
            <v>0177</v>
          </cell>
          <cell r="N356" t="str">
            <v>RH</v>
          </cell>
          <cell r="O356" t="str">
            <v>robertiagus.haposan@alamtri.com</v>
          </cell>
          <cell r="P356">
            <v>744.27099999999996</v>
          </cell>
          <cell r="Q356">
            <v>11908336</v>
          </cell>
          <cell r="R356" t="str">
            <v>Completed Sign PO</v>
          </cell>
          <cell r="T356" t="str">
            <v>MSW</v>
          </cell>
          <cell r="U356" t="str">
            <v>SLS Bearindo, PT
Banjar Bearing Sentosa, PT
Fortuna Anekamulti Gemilang, PT
Satu Aneka Bering, PT
Gema Industrial, PT
Borneo Maju Jaya, PT
Greentek Elektrikal Indonesia, PT
Antares Jaya Gemilang Prima, PT
Vhipa Mulia Pratama, PT
Sehati, CV
Raja Listrik Indonesia, PT
Perwira Sentra Officindo, PT
Petrocom Nusa Synergy, PT
Alfa Teknik Mandiri Makmur, PT
Kin Kitra Kencana, PT</v>
          </cell>
          <cell r="V356" t="str">
            <v>SLS Bearindo, PT
Banjar Bearing Sentosa, PT
Fortuna Anekamulti Gemilang, PT-x
Gema Industrial, PT
Borneo Maju Jaya, PT
Greentek Elektrikal Indonesia, PT
Antares Jaya Gemilang Prima, PT
Vhipa Mulia Pratama, PT
Perwira Sentra Officindo, PT
Petrocom Nusa Synergy, PT
Alfa Teknik Mandiri Makmur, PT</v>
          </cell>
          <cell r="W356" t="str">
            <v>15 of 15</v>
          </cell>
          <cell r="X356" t="str">
            <v>11 of 15</v>
          </cell>
          <cell r="Y356">
            <v>45453</v>
          </cell>
          <cell r="Z356">
            <v>45464</v>
          </cell>
          <cell r="AC356" t="str">
            <v xml:space="preserve"> of </v>
          </cell>
          <cell r="AD356" t="str">
            <v xml:space="preserve"> of </v>
          </cell>
          <cell r="AF356" t="str">
            <v/>
          </cell>
          <cell r="AI356" t="str">
            <v xml:space="preserve"> of </v>
          </cell>
          <cell r="AJ356" t="str">
            <v xml:space="preserve"> of </v>
          </cell>
          <cell r="AL356" t="str">
            <v/>
          </cell>
          <cell r="AM356">
            <v>0.70833333333333304</v>
          </cell>
          <cell r="AN356" t="str">
            <v>Petrocom Nusa Synergy, PT</v>
          </cell>
          <cell r="AO356" t="str">
            <v>petrocomnusasynergy@gmail.com</v>
          </cell>
          <cell r="AP356" t="str">
            <v>PO24000553</v>
          </cell>
          <cell r="AQ356">
            <v>240000</v>
          </cell>
          <cell r="AR356">
            <v>45469</v>
          </cell>
          <cell r="AS356">
            <v>45526</v>
          </cell>
          <cell r="AT356">
            <v>45527</v>
          </cell>
          <cell r="AU356">
            <v>45555</v>
          </cell>
          <cell r="AV356">
            <v>45425</v>
          </cell>
          <cell r="AW356">
            <v>45453</v>
          </cell>
          <cell r="AX356">
            <v>4</v>
          </cell>
          <cell r="AY356">
            <v>45540</v>
          </cell>
          <cell r="AZ356">
            <v>87</v>
          </cell>
          <cell r="BA356">
            <v>7200</v>
          </cell>
          <cell r="BB356" t="str">
            <v>Late Completed</v>
          </cell>
          <cell r="BC356" t="str">
            <v>PR100009158</v>
          </cell>
        </row>
        <row r="357">
          <cell r="B357" t="str">
            <v>PR100009148 (Line 2)</v>
          </cell>
          <cell r="C357" t="str">
            <v>Stock Consumable Inventory</v>
          </cell>
          <cell r="E357" t="str">
            <v>Pandu Equator Prima, PT
Tetrasa Geosindo, PT
Geomax Reka Optima, PT
Alfa Teknik Mandiri Makmur, PT
Perwira Sentra Officindo, PT
Vhipa Mulia Pratama, PT
Indoparts, CV
Putra Andalan Perkasa, PT</v>
          </cell>
          <cell r="F357" t="str">
            <v>Pandu Equator Prima, PT
Geomax Reka Optima, PT
Perwira Sentra Officindo, PT
Vhipa Mulia Pratama, PT</v>
          </cell>
          <cell r="G357" t="str">
            <v>R0
4 of 8
19 Jun 24</v>
          </cell>
          <cell r="H357" t="str">
            <v>ARTHUR BRAMIYANA</v>
          </cell>
          <cell r="I357">
            <v>45455</v>
          </cell>
          <cell r="J357" t="str">
            <v>INV</v>
          </cell>
          <cell r="K357" t="str">
            <v>B</v>
          </cell>
          <cell r="L357" t="str">
            <v>BID</v>
          </cell>
          <cell r="M357" t="str">
            <v>0181</v>
          </cell>
          <cell r="N357" t="str">
            <v>RH</v>
          </cell>
          <cell r="O357" t="str">
            <v>robertiagus.haposan@alamtri.com</v>
          </cell>
          <cell r="P357">
            <v>1151.82</v>
          </cell>
          <cell r="Q357">
            <v>18429120</v>
          </cell>
          <cell r="R357" t="str">
            <v>Completed Sign PO</v>
          </cell>
          <cell r="T357" t="str">
            <v>MSW</v>
          </cell>
          <cell r="U357" t="str">
            <v>Pandu Equator Prima, PT
Tetrasa Geosindo, PT
Geomax Reka Optima, PT
Alfa Teknik Mandiri Makmur, PT
Perwira Sentra Officindo, PT
Vhipa Mulia Pratama, PT
Indoparts, CV
Putra Andalan Perkasa, PT</v>
          </cell>
          <cell r="V357" t="str">
            <v>Pandu Equator Prima, PT
Geomax Reka Optima, PT
Perwira Sentra Officindo, PT
Vhipa Mulia Pratama, PT</v>
          </cell>
          <cell r="W357" t="str">
            <v>8 of 8</v>
          </cell>
          <cell r="X357" t="str">
            <v>4 of 8</v>
          </cell>
          <cell r="Y357">
            <v>45455</v>
          </cell>
          <cell r="Z357">
            <v>45462</v>
          </cell>
          <cell r="AC357" t="str">
            <v xml:space="preserve"> of </v>
          </cell>
          <cell r="AD357" t="str">
            <v xml:space="preserve"> of </v>
          </cell>
          <cell r="AF357" t="str">
            <v/>
          </cell>
          <cell r="AI357" t="str">
            <v xml:space="preserve"> of </v>
          </cell>
          <cell r="AJ357" t="str">
            <v xml:space="preserve"> of </v>
          </cell>
          <cell r="AL357" t="str">
            <v/>
          </cell>
          <cell r="AM357">
            <v>0.70833333333333304</v>
          </cell>
          <cell r="AN357" t="str">
            <v>Pandu Equator Prima, PT</v>
          </cell>
          <cell r="AO357" t="str">
            <v>edwin@pandu-equator.com ; office@pandu-equator.com</v>
          </cell>
          <cell r="AP357" t="str">
            <v>PO24000483</v>
          </cell>
          <cell r="AQ357">
            <v>17600000</v>
          </cell>
          <cell r="AR357">
            <v>45464</v>
          </cell>
          <cell r="AS357">
            <v>45502</v>
          </cell>
          <cell r="AT357">
            <v>45506</v>
          </cell>
          <cell r="AU357">
            <v>45524</v>
          </cell>
          <cell r="AV357">
            <v>45425</v>
          </cell>
          <cell r="AW357">
            <v>45443</v>
          </cell>
          <cell r="AX357">
            <v>2.5714285714285716</v>
          </cell>
          <cell r="AY357">
            <v>45534</v>
          </cell>
          <cell r="AZ357">
            <v>91</v>
          </cell>
          <cell r="BA357">
            <v>880000</v>
          </cell>
          <cell r="BB357" t="str">
            <v>Late Completed</v>
          </cell>
          <cell r="BC357" t="str">
            <v>PR100009148</v>
          </cell>
        </row>
        <row r="358">
          <cell r="B358" t="str">
            <v>PR100009272</v>
          </cell>
          <cell r="C358" t="str">
            <v>Reorder Refill Argon dan LPG for Outage 1</v>
          </cell>
          <cell r="E358" t="str">
            <v>Surya Biru Murni Acetylene, PT
Tiga Putri Abadi, CV
Samator Gas Industri, PT
Wahana Safety Indonesia, PT
Dunia Saftindo, PT
Berkat Keselamatan Dunia, PT
Berkat Pratama Teknik, CV
Kalimantan Teknik Mandiri, PT
Lima Makmur Jaya, PT
Prima Safety, CV</v>
          </cell>
          <cell r="F358" t="str">
            <v>Surya Biru Murni Acetylene, PT
Tiga Putri Abadi, CV
Lima Makmur Jaya, PT</v>
          </cell>
          <cell r="G358" t="str">
            <v>R1
3 of 10
02 Jul 24</v>
          </cell>
          <cell r="H358" t="str">
            <v>ARTHUR BRAMIYANA</v>
          </cell>
          <cell r="I358">
            <v>45456</v>
          </cell>
          <cell r="J358" t="str">
            <v>INV</v>
          </cell>
          <cell r="K358" t="str">
            <v>B</v>
          </cell>
          <cell r="L358" t="str">
            <v>BID</v>
          </cell>
          <cell r="M358" t="str">
            <v>0187</v>
          </cell>
          <cell r="N358" t="str">
            <v>RH</v>
          </cell>
          <cell r="O358" t="str">
            <v>robertiagus.haposan@alamtri.com</v>
          </cell>
          <cell r="P358">
            <v>567.03499999999997</v>
          </cell>
          <cell r="Q358">
            <v>9072560</v>
          </cell>
          <cell r="R358" t="str">
            <v>Completed Sign PO</v>
          </cell>
          <cell r="T358" t="str">
            <v>MSW</v>
          </cell>
          <cell r="U358" t="str">
            <v>Tiga Putri Abadi, CV
Surya Biru Murni Acetylene, PT
Samator Gas Industri, PT
Anugrah Mandiri Putra Tabalong, PT
Alfa Teknik Mandiri Makmur, PT
Cahaya Mitra Saftindo, PT
Sentra Tanjung Jaya, CV
Sarana Prima Lestari, CV</v>
          </cell>
          <cell r="V358" t="str">
            <v>Surya Biru Murni Acetylene, PT</v>
          </cell>
          <cell r="W358" t="str">
            <v>8 of 8</v>
          </cell>
          <cell r="X358" t="str">
            <v>1 of 8</v>
          </cell>
          <cell r="Y358">
            <v>45457</v>
          </cell>
          <cell r="Z358">
            <v>45464</v>
          </cell>
          <cell r="AA358" t="str">
            <v>Surya Biru Murni Acetylene, PT
Tiga Putri Abadi, CV
Samator Gas Industri, PT
Wahana Safety Indonesia, PT
Dunia Saftindo, PT
Berkat Keselamatan Dunia, PT
Berkat Pratama Teknik, CV
Kalimantan Teknik Mandiri, PT
Lima Makmur Jaya, PT
Prima Safety, CV</v>
          </cell>
          <cell r="AB358" t="str">
            <v>Surya Biru Murni Acetylene, PT
Tiga Putri Abadi, CV
Lima Makmur Jaya, PT</v>
          </cell>
          <cell r="AC358" t="str">
            <v>10 of 10</v>
          </cell>
          <cell r="AD358" t="str">
            <v>3 of 10</v>
          </cell>
          <cell r="AE358">
            <v>45468</v>
          </cell>
          <cell r="AF358">
            <v>45475</v>
          </cell>
          <cell r="AI358" t="str">
            <v xml:space="preserve"> of </v>
          </cell>
          <cell r="AJ358" t="str">
            <v xml:space="preserve"> of </v>
          </cell>
          <cell r="AL358" t="str">
            <v/>
          </cell>
          <cell r="AM358">
            <v>0.70833333333333304</v>
          </cell>
          <cell r="AN358" t="str">
            <v>Tiga Putri Abadi, CV</v>
          </cell>
          <cell r="AO358" t="str">
            <v>tigaputriabadi@gmail.com</v>
          </cell>
          <cell r="AP358" t="str">
            <v>PO24000410</v>
          </cell>
          <cell r="AQ358">
            <v>8700000</v>
          </cell>
          <cell r="AR358">
            <v>45476</v>
          </cell>
          <cell r="AS358">
            <v>45488</v>
          </cell>
          <cell r="AT358">
            <v>45490</v>
          </cell>
          <cell r="AU358">
            <v>45506</v>
          </cell>
          <cell r="AV358">
            <v>45425</v>
          </cell>
          <cell r="AW358">
            <v>45441</v>
          </cell>
          <cell r="AX358">
            <v>2.2857142857142856</v>
          </cell>
          <cell r="AY358">
            <v>45868</v>
          </cell>
          <cell r="AZ358">
            <v>427</v>
          </cell>
          <cell r="BA358">
            <v>261000</v>
          </cell>
          <cell r="BB358" t="str">
            <v>Late Completed</v>
          </cell>
          <cell r="BC358" t="str">
            <v>PR100009272</v>
          </cell>
        </row>
        <row r="359">
          <cell r="B359" t="str">
            <v>PR100009283</v>
          </cell>
          <cell r="C359" t="str">
            <v>Part IEC (LHD, Pressure atau Temperature Gauge &amp; Bearing) for Outage 1</v>
          </cell>
          <cell r="D359" t="str">
            <v>Alfa Teknik Mandiri Makmur, PT
Kin Kitra Kencana, PT
Antares Jaya Gemilang Prima, PT</v>
          </cell>
          <cell r="E359" t="str">
            <v>Kin Kitra Kencana, PT
Putera Instrumenindo, PT
Sola Anugerah Oilfield, PT
Antares Jaya Gemilang Prima, PT
Alfa Teknik Mandiri Makmur, PT
Berkat Pratama Teknik, CV
Trimitra Karya Cipta, PT 
Perwira Sentra Officindo, PT
Gading Mas Utama, PT
Century, CV
Greentek Elektrikal Indonesia, PT
Trimitra Bangun Karyatama, PT
Gamamitra Setia, PT
Elang Mas Indoasia, PT</v>
          </cell>
          <cell r="F359" t="str">
            <v/>
          </cell>
          <cell r="G359" t="str">
            <v xml:space="preserve">R0
 of 14
</v>
          </cell>
          <cell r="H359" t="str">
            <v>ARTHUR BRAMIYANA</v>
          </cell>
          <cell r="I359">
            <v>45456</v>
          </cell>
          <cell r="J359" t="str">
            <v>INV</v>
          </cell>
          <cell r="K359" t="str">
            <v>B</v>
          </cell>
          <cell r="L359" t="str">
            <v>BID</v>
          </cell>
          <cell r="M359" t="str">
            <v>0190</v>
          </cell>
          <cell r="N359" t="str">
            <v>RH</v>
          </cell>
          <cell r="O359" t="str">
            <v>robertiagus.haposan@alamtri.com</v>
          </cell>
          <cell r="P359">
            <v>1587.9681</v>
          </cell>
          <cell r="Q359">
            <v>25407489.600000001</v>
          </cell>
          <cell r="R359" t="str">
            <v>Completed Sign PO</v>
          </cell>
          <cell r="T359" t="str">
            <v>MSW</v>
          </cell>
          <cell r="U359" t="str">
            <v>Kin Kitra Kencana, PT
Putera Instrumenindo, PT
Sola Anugerah Oilfield, PT
Antares Jaya Gemilang Prima, PT
Alfa Teknik Mandiri Makmur, PT
Berkat Pratama Teknik, CV
Trimitra Karya Cipta, PT 
Perwira Sentra Officindo, PT
Gading Mas Utama, PT
Century, CV
Greentek Elektrikal Indonesia, PT
Trimitra Bangun Karyatama, PT
Gamamitra Setia, PT
Elang Mas Indoasia, PT</v>
          </cell>
          <cell r="W359" t="str">
            <v>14 of 14</v>
          </cell>
          <cell r="X359" t="str">
            <v xml:space="preserve"> of 14</v>
          </cell>
          <cell r="Z359" t="str">
            <v/>
          </cell>
          <cell r="AC359" t="str">
            <v xml:space="preserve"> of </v>
          </cell>
          <cell r="AD359" t="str">
            <v xml:space="preserve"> of </v>
          </cell>
          <cell r="AF359" t="str">
            <v/>
          </cell>
          <cell r="AI359" t="str">
            <v xml:space="preserve"> of </v>
          </cell>
          <cell r="AJ359" t="str">
            <v xml:space="preserve"> of </v>
          </cell>
          <cell r="AL359" t="str">
            <v/>
          </cell>
          <cell r="AM359">
            <v>0.70833333333333304</v>
          </cell>
          <cell r="AN359" t="str">
            <v>Perwira Sentra Officindo, PT</v>
          </cell>
          <cell r="AO359" t="str">
            <v>d_santos63@yahoo.com</v>
          </cell>
          <cell r="AP359" t="str">
            <v>PO24000487</v>
          </cell>
          <cell r="AQ359">
            <v>120649760</v>
          </cell>
          <cell r="AR359">
            <v>45478</v>
          </cell>
          <cell r="AS359">
            <v>45504</v>
          </cell>
          <cell r="AT359">
            <v>45511</v>
          </cell>
          <cell r="AU359">
            <v>45674</v>
          </cell>
          <cell r="AV359">
            <v>45425</v>
          </cell>
          <cell r="AW359">
            <v>45588</v>
          </cell>
          <cell r="AX359">
            <v>23.285714285714285</v>
          </cell>
          <cell r="AY359">
            <v>45742</v>
          </cell>
          <cell r="AZ359">
            <v>154</v>
          </cell>
          <cell r="BA359">
            <v>6032488</v>
          </cell>
          <cell r="BB359" t="str">
            <v>Late Completed</v>
          </cell>
          <cell r="BC359" t="str">
            <v>PR100009283</v>
          </cell>
        </row>
        <row r="360">
          <cell r="B360" t="str">
            <v>PR100009273 (Line 1-5)</v>
          </cell>
          <cell r="C360" t="str">
            <v>Consumable Common Stock for Inventory</v>
          </cell>
          <cell r="D360" t="str">
            <v>Indo Tehnik Tanjung Tabalong, PT
Perwira Sentra Officindo, PT
Sehati, CV
Cahaya Murni, CV
Sarana Prima Lestari, CV
Alfa Teknik Mandiri Makmur, PT</v>
          </cell>
          <cell r="E360" t="str">
            <v>Alfa Teknik Mandiri Makmur, PT
Petrocom Nusa Synergy, PT
Indo Tehnik Tanjung Tabalong, PT
Vhipa Mulia Pratama, PT
Gama Tritunggal Pratama, PT
Perwira Sentra Officindo, PT
Berkat Pratama Teknik, CV
Sehati, CV
Cahaya Murni, CV
Sarana Prima Lestari, CV
Afghan Jaya Abadi, PT
Indoparts, CV</v>
          </cell>
          <cell r="F360" t="str">
            <v/>
          </cell>
          <cell r="G360" t="str">
            <v xml:space="preserve">R0
 of 12
</v>
          </cell>
          <cell r="H360" t="str">
            <v>ARTHUR BRAMIYANA</v>
          </cell>
          <cell r="I360">
            <v>45456</v>
          </cell>
          <cell r="J360" t="str">
            <v>INV</v>
          </cell>
          <cell r="K360" t="str">
            <v>B</v>
          </cell>
          <cell r="L360" t="str">
            <v>BID</v>
          </cell>
          <cell r="M360" t="str">
            <v>0189</v>
          </cell>
          <cell r="N360" t="str">
            <v>RH</v>
          </cell>
          <cell r="O360" t="str">
            <v>robertiagus.haposan@alamtri.com</v>
          </cell>
          <cell r="P360">
            <v>318.101</v>
          </cell>
          <cell r="Q360">
            <v>5089616</v>
          </cell>
          <cell r="R360" t="str">
            <v>Completed Sign PO</v>
          </cell>
          <cell r="T360" t="str">
            <v>MSW</v>
          </cell>
          <cell r="U360" t="str">
            <v>Alfa Teknik Mandiri Makmur, PT
Petrocom Nusa Synergy, PT
Indo Tehnik Tanjung Tabalong, PT
Vhipa Mulia Pratama, PT
Gama Tritunggal Pratama, PT
Perwira Sentra Officindo, PT
Berkat Pratama Teknik, CV
Sehati, CV
Cahaya Murni, CV
Sarana Prima Lestari, CV
Afghan Jaya Abadi, PT
Indoparts, CV</v>
          </cell>
          <cell r="W360" t="str">
            <v>12 of 12</v>
          </cell>
          <cell r="X360" t="str">
            <v xml:space="preserve"> of 12</v>
          </cell>
          <cell r="Z360" t="str">
            <v/>
          </cell>
          <cell r="AC360" t="str">
            <v xml:space="preserve"> of </v>
          </cell>
          <cell r="AD360" t="str">
            <v xml:space="preserve"> of </v>
          </cell>
          <cell r="AF360" t="str">
            <v/>
          </cell>
          <cell r="AI360" t="str">
            <v xml:space="preserve"> of </v>
          </cell>
          <cell r="AJ360" t="str">
            <v xml:space="preserve"> of </v>
          </cell>
          <cell r="AL360" t="str">
            <v/>
          </cell>
          <cell r="AM360">
            <v>0.70833333333333304</v>
          </cell>
          <cell r="AN360" t="str">
            <v>Sarana Prima Lestari, CV</v>
          </cell>
          <cell r="AO360" t="str">
            <v>krisma@saranaprimalestari.com; spl@indo.net.id</v>
          </cell>
          <cell r="AP360" t="str">
            <v>PO24000411</v>
          </cell>
          <cell r="AQ360">
            <v>5305000</v>
          </cell>
          <cell r="AR360">
            <v>45469</v>
          </cell>
          <cell r="AS360">
            <v>45488</v>
          </cell>
          <cell r="AT360">
            <v>45490</v>
          </cell>
          <cell r="AU360">
            <v>45513</v>
          </cell>
          <cell r="AV360">
            <v>45425</v>
          </cell>
          <cell r="AW360">
            <v>45448</v>
          </cell>
          <cell r="AX360">
            <v>3.2857142857142856</v>
          </cell>
          <cell r="AY360">
            <v>45511</v>
          </cell>
          <cell r="AZ360">
            <v>63</v>
          </cell>
          <cell r="BA360">
            <v>159150</v>
          </cell>
          <cell r="BB360" t="str">
            <v>Late Completed</v>
          </cell>
          <cell r="BC360" t="str">
            <v>PR100009273</v>
          </cell>
        </row>
        <row r="361">
          <cell r="B361" t="str">
            <v>PR100009273 (Line 6-8)</v>
          </cell>
          <cell r="C361" t="str">
            <v>Consumable Common Stock for Inventory</v>
          </cell>
          <cell r="E361" t="str">
            <v>Alfa Teknik Mandiri Makmur, PT
Indo Tehnik Tanjung Tabalong, PT
Vhipa Mulia Pratama, PT
Perwira Sentra Officindo, PT
Berkat Pratama Teknik, CV
Sehati, CV
Sarana Prima Lestari, CV
Sola Anugerah Oilfield, PT
Bhakti Ratutama Jaya, PT</v>
          </cell>
          <cell r="F361" t="str">
            <v>Alfa Teknik Mandiri Makmur, PT
Indo Tehnik Tanjung Tabalong, PT
Perwira Sentra Officindo, PT
Berkat Pratama Teknik, CV
Sehati, CV
Sarana Prima Lestari, CV
Bhakti Ratutama Jaya, PT</v>
          </cell>
          <cell r="G361" t="str">
            <v>R1
7 of 9
23 Jul 24</v>
          </cell>
          <cell r="H361" t="str">
            <v>ARTHUR BRAMIYANA</v>
          </cell>
          <cell r="I361">
            <v>45456</v>
          </cell>
          <cell r="J361" t="str">
            <v>INV</v>
          </cell>
          <cell r="K361" t="str">
            <v>B</v>
          </cell>
          <cell r="L361" t="str">
            <v>BID</v>
          </cell>
          <cell r="M361" t="str">
            <v>0189</v>
          </cell>
          <cell r="N361" t="str">
            <v>RH</v>
          </cell>
          <cell r="O361" t="str">
            <v>robertiagus.haposan@alamtri.com</v>
          </cell>
          <cell r="P361">
            <v>2839.011</v>
          </cell>
          <cell r="Q361">
            <v>45424176</v>
          </cell>
          <cell r="R361" t="str">
            <v>Completed Sign PO</v>
          </cell>
          <cell r="T361" t="str">
            <v>MSW</v>
          </cell>
          <cell r="U361" t="str">
            <v>Alfa Teknik Mandiri Makmur, PT
Petrocom Nusa Synergy, PT
Indo Tehnik Tanjung Tabalong, PT
Vhipa Mulia Pratama, PT
Gama Tritunggal Pratama, PT
Perwira Sentra Officindo, PT
Berkat Pratama Teknik, CV
Sehati, CV
Cahaya Murni, CV
Sarana Prima Lestari, CV
Afghan Jaya Abadi, PT
Indoparts, CV</v>
          </cell>
          <cell r="V361" t="str">
            <v>Alfa Teknik Mandiri Makmur, PT
Indo Tehnik Tanjung Tabalong, PT
Vhipa Mulia Pratama, PT
Perwira Sentra Officindo, PT
Berkat Pratama Teknik, CV
Sehati, CV
Sarana Prima Lestari, CV</v>
          </cell>
          <cell r="W361" t="str">
            <v>12 of 12</v>
          </cell>
          <cell r="X361" t="str">
            <v>7 of 12</v>
          </cell>
          <cell r="Y361">
            <v>45461</v>
          </cell>
          <cell r="Z361">
            <v>45468</v>
          </cell>
          <cell r="AA361" t="str">
            <v>Alfa Teknik Mandiri Makmur, PT
Indo Tehnik Tanjung Tabalong, PT
Vhipa Mulia Pratama, PT
Perwira Sentra Officindo, PT
Berkat Pratama Teknik, CV
Sehati, CV
Sarana Prima Lestari, CV
Sola Anugerah Oilfield, PT
Bhakti Ratutama Jaya, PT</v>
          </cell>
          <cell r="AB361" t="str">
            <v>Alfa Teknik Mandiri Makmur, PT
Indo Tehnik Tanjung Tabalong, PT
Perwira Sentra Officindo, PT
Berkat Pratama Teknik, CV
Sehati, CV
Sarana Prima Lestari, CV
Bhakti Ratutama Jaya, PT</v>
          </cell>
          <cell r="AC361" t="str">
            <v>9 of 9</v>
          </cell>
          <cell r="AD361" t="str">
            <v>7 of 9</v>
          </cell>
          <cell r="AE361">
            <v>45489</v>
          </cell>
          <cell r="AF361">
            <v>45496</v>
          </cell>
          <cell r="AI361" t="str">
            <v xml:space="preserve"> of </v>
          </cell>
          <cell r="AJ361" t="str">
            <v xml:space="preserve"> of </v>
          </cell>
          <cell r="AL361" t="str">
            <v/>
          </cell>
          <cell r="AM361">
            <v>0.70833333333333304</v>
          </cell>
          <cell r="AN361" t="str">
            <v>Sehati, CV</v>
          </cell>
          <cell r="AO361" t="str">
            <v>cvsehati@ymail.com</v>
          </cell>
          <cell r="AP361" t="str">
            <v>PO24000505</v>
          </cell>
          <cell r="AQ361">
            <v>19962000</v>
          </cell>
          <cell r="AR361">
            <v>45499</v>
          </cell>
          <cell r="AS361">
            <v>45512</v>
          </cell>
          <cell r="AT361">
            <v>45517</v>
          </cell>
          <cell r="AU361">
            <v>45548</v>
          </cell>
          <cell r="AV361">
            <v>45425</v>
          </cell>
          <cell r="AW361">
            <v>45456</v>
          </cell>
          <cell r="AX361">
            <v>4.4285714285714288</v>
          </cell>
          <cell r="AY361">
            <v>45525</v>
          </cell>
          <cell r="AZ361">
            <v>69</v>
          </cell>
          <cell r="BA361">
            <v>998100</v>
          </cell>
          <cell r="BB361" t="str">
            <v>Late Completed</v>
          </cell>
          <cell r="BC361" t="str">
            <v>PR100009273</v>
          </cell>
        </row>
        <row r="362">
          <cell r="B362" t="str">
            <v>PR100009297</v>
          </cell>
          <cell r="C362" t="str">
            <v>Pneumatic Double Disc Valve, Size  8 inchi atau 200 mm</v>
          </cell>
          <cell r="E362" t="str">
            <v>Dwijaya Sentral Sarana, PT
Alfa Teknik Mandiri Makmur, PT
Mitra Wira Pratama, PT
Lima Makmur Jaya, PT
Amanda Sejahtera Abadi, PT
Aqpa Indonesia, PT
Pacific Tractor Indonesia, PT
Andalan Tiga Berlian, PT
Petrocom Nusa Synergy, PT</v>
          </cell>
          <cell r="F362" t="str">
            <v>Dwijaya Sentral Sarana, PT
Alfa Teknik Mandiri Makmur, PT
Mitra Wira Pratama, PT</v>
          </cell>
          <cell r="G362" t="str">
            <v>R1
3 of 9
23 Jul 24</v>
          </cell>
          <cell r="H362" t="str">
            <v>ARTHUR BRAMIYANA</v>
          </cell>
          <cell r="I362">
            <v>45467</v>
          </cell>
          <cell r="J362" t="str">
            <v>INV</v>
          </cell>
          <cell r="K362" t="str">
            <v>B</v>
          </cell>
          <cell r="L362" t="str">
            <v>BID</v>
          </cell>
          <cell r="M362" t="str">
            <v>0235</v>
          </cell>
          <cell r="N362" t="str">
            <v>RH</v>
          </cell>
          <cell r="O362" t="str">
            <v>robertiagus.haposan@alamtri.com</v>
          </cell>
          <cell r="P362">
            <v>6454.375</v>
          </cell>
          <cell r="Q362">
            <v>103270000</v>
          </cell>
          <cell r="R362" t="str">
            <v>Completed Sign PO</v>
          </cell>
          <cell r="T362" t="str">
            <v>MSW</v>
          </cell>
          <cell r="U362" t="str">
            <v>Dwijaya Sentral Sarana, PT
Alfa Teknik Mandiri Makmur, PT
Mitra Wira Pratama, PT
Petrocom Nusa Synergy, PT
Kajianlogam Persada, PT
Trimitra Wahana Sukses, PT
Sola Anugerah Oilfield, PT
Outsourcindo, PT
Putera Instrumenindo, PT
Inako Pratama Indonesia, PT
Afghan Jaya Abadi, PT</v>
          </cell>
          <cell r="V362" t="str">
            <v>Dwijaya Sentral Sarana, PT
Alfa Teknik Mandiri Makmur, PT</v>
          </cell>
          <cell r="W362" t="str">
            <v>11 of 11</v>
          </cell>
          <cell r="X362" t="str">
            <v>2 of 11</v>
          </cell>
          <cell r="Y362">
            <v>45506</v>
          </cell>
          <cell r="Z362">
            <v>45513</v>
          </cell>
          <cell r="AA362" t="str">
            <v>Dwijaya Sentral Sarana, PT
Alfa Teknik Mandiri Makmur, PT
Mitra Wira Pratama, PT
Lima Makmur Jaya, PT
Amanda Sejahtera Abadi, PT
Aqpa Indonesia, PT
Pacific Tractor Indonesia, PT
Andalan Tiga Berlian, PT
Petrocom Nusa Synergy, PT</v>
          </cell>
          <cell r="AB362" t="str">
            <v>Dwijaya Sentral Sarana, PT
Alfa Teknik Mandiri Makmur, PT
Mitra Wira Pratama, PT</v>
          </cell>
          <cell r="AC362" t="str">
            <v>9 of 9</v>
          </cell>
          <cell r="AD362" t="str">
            <v>3 of 9</v>
          </cell>
          <cell r="AE362">
            <v>45489</v>
          </cell>
          <cell r="AF362">
            <v>45496</v>
          </cell>
          <cell r="AI362" t="str">
            <v xml:space="preserve"> of </v>
          </cell>
          <cell r="AJ362" t="str">
            <v xml:space="preserve"> of </v>
          </cell>
          <cell r="AL362" t="str">
            <v/>
          </cell>
          <cell r="AM362">
            <v>0.70833333333333304</v>
          </cell>
          <cell r="AN362" t="str">
            <v>Dwijaya Sentral Sarana, PT</v>
          </cell>
          <cell r="AO362" t="str">
            <v>yuminto@dwisenna.co.id; rona@dwisenna.co.id; ricky@dwisenna.co.id</v>
          </cell>
          <cell r="AP362" t="str">
            <v>PO24000576</v>
          </cell>
          <cell r="AQ362">
            <v>103270000</v>
          </cell>
          <cell r="AR362">
            <v>45499</v>
          </cell>
          <cell r="AS362">
            <v>45533</v>
          </cell>
          <cell r="AT362">
            <v>45534</v>
          </cell>
          <cell r="AU362">
            <v>45674</v>
          </cell>
          <cell r="AV362">
            <v>45425</v>
          </cell>
          <cell r="AW362">
            <v>45565</v>
          </cell>
          <cell r="AX362">
            <v>20</v>
          </cell>
          <cell r="AY362">
            <v>45645</v>
          </cell>
          <cell r="AZ362">
            <v>80</v>
          </cell>
          <cell r="BA362">
            <v>5163500</v>
          </cell>
          <cell r="BB362" t="str">
            <v>Late Completed</v>
          </cell>
          <cell r="BC362" t="str">
            <v>PR100009297</v>
          </cell>
        </row>
        <row r="363">
          <cell r="B363" t="str">
            <v>PR100009299 (Line 1)</v>
          </cell>
          <cell r="C363" t="str">
            <v>Consumable Common Stock Inventory</v>
          </cell>
          <cell r="E363" t="str">
            <v>Sehati, CV
Perwira Sentra Officindo, PT
Indo Tehnik Tanjung Tabalong, PT
Sarana Prima Lestari, CV
Indoparts, CV
Alfa Teknik Mandiri Makmur, PT
Sola Anugerah Oilfield, PT
Petrocom Nusa Synergy, PT
Afghan Jaya Abadi, PT
Lima Makmur Jaya, PT</v>
          </cell>
          <cell r="F363" t="str">
            <v>Perwira Sentra Officindo, PT
Indo Tehnik Tanjung Tabalong, PT
Sarana Prima Lestari, CV
Alfa Teknik Mandiri Makmur, PT
Sola Anugerah Oilfield, PT</v>
          </cell>
          <cell r="G363" t="str">
            <v>R0
5 of 10
02 Jul 24</v>
          </cell>
          <cell r="H363" t="str">
            <v>ARTHUR BRAMIYANA</v>
          </cell>
          <cell r="I363">
            <v>45467</v>
          </cell>
          <cell r="J363" t="str">
            <v>INV</v>
          </cell>
          <cell r="K363" t="str">
            <v>B</v>
          </cell>
          <cell r="L363" t="str">
            <v>BID</v>
          </cell>
          <cell r="M363" t="str">
            <v>0199</v>
          </cell>
          <cell r="N363" t="str">
            <v>RH</v>
          </cell>
          <cell r="O363" t="str">
            <v>robertiagus.haposan@alamtri.com</v>
          </cell>
          <cell r="P363">
            <v>13.58</v>
          </cell>
          <cell r="Q363">
            <v>217280</v>
          </cell>
          <cell r="R363" t="str">
            <v>Completed Sign PO</v>
          </cell>
          <cell r="T363" t="str">
            <v>MSW</v>
          </cell>
          <cell r="U363" t="str">
            <v>Sehati, CV
Perwira Sentra Officindo, PT
Indo Tehnik Tanjung Tabalong, PT
Sarana Prima Lestari, CV
Indoparts, CV
Alfa Teknik Mandiri Makmur, PT
Sola Anugerah Oilfield, PT
Petrocom Nusa Synergy, PT
Afghan Jaya Abadi, PT
Lima Makmur Jaya, PT</v>
          </cell>
          <cell r="V363" t="str">
            <v>Perwira Sentra Officindo, PT
Indo Tehnik Tanjung Tabalong, PT
Sarana Prima Lestari, CV
Alfa Teknik Mandiri Makmur, PT
Sola Anugerah Oilfield, PT</v>
          </cell>
          <cell r="W363" t="str">
            <v>10 of 10</v>
          </cell>
          <cell r="X363" t="str">
            <v>5 of 10</v>
          </cell>
          <cell r="Y363">
            <v>45468</v>
          </cell>
          <cell r="Z363">
            <v>45475</v>
          </cell>
          <cell r="AC363" t="str">
            <v xml:space="preserve"> of </v>
          </cell>
          <cell r="AD363" t="str">
            <v xml:space="preserve"> of </v>
          </cell>
          <cell r="AF363" t="str">
            <v/>
          </cell>
          <cell r="AI363" t="str">
            <v xml:space="preserve"> of </v>
          </cell>
          <cell r="AJ363" t="str">
            <v xml:space="preserve"> of </v>
          </cell>
          <cell r="AL363" t="str">
            <v/>
          </cell>
          <cell r="AM363">
            <v>0.70833333333333304</v>
          </cell>
          <cell r="AN363" t="str">
            <v>Perwira Sentra Officindo, PT</v>
          </cell>
          <cell r="AO363" t="str">
            <v>d_santos63@yahoo.com</v>
          </cell>
          <cell r="AP363" t="str">
            <v>PO24000508</v>
          </cell>
          <cell r="AQ363">
            <v>258000</v>
          </cell>
          <cell r="AR363">
            <v>45476</v>
          </cell>
          <cell r="AS363">
            <v>45518</v>
          </cell>
          <cell r="AT363">
            <v>45519</v>
          </cell>
          <cell r="AU363">
            <v>45555</v>
          </cell>
          <cell r="AV363">
            <v>45425</v>
          </cell>
          <cell r="AW363">
            <v>45461</v>
          </cell>
          <cell r="AX363">
            <v>5.1428571428571432</v>
          </cell>
          <cell r="AY363">
            <v>45533</v>
          </cell>
          <cell r="AZ363">
            <v>72</v>
          </cell>
          <cell r="BA363">
            <v>7740</v>
          </cell>
          <cell r="BB363" t="str">
            <v>Late Completed</v>
          </cell>
          <cell r="BC363" t="str">
            <v>PR100009299</v>
          </cell>
        </row>
        <row r="364">
          <cell r="B364" t="str">
            <v>PR100009298 (Line 1,5-6,10,12)</v>
          </cell>
          <cell r="C364" t="str">
            <v>Consumable Workshop Stock Inventory</v>
          </cell>
          <cell r="D364" t="str">
            <v>Sehati, CV
Perwira Sentra Officindo, PT
Indo Tehnik Tanjung Tabalong, PT
Sarana Prima Lestari, CV
Indoparts, CV
Alfa Teknik Mandiri Makmur, PT</v>
          </cell>
          <cell r="E364" t="str">
            <v>Sehati, CV
Perwira Sentra Officindo, PT
Indo Tehnik Tanjung Tabalong, PT
Sarana Prima Lestari, CV
Indoparts, CV
Alfa Teknik Mandiri Makmur, PT
Sola Anugerah Oilfield, PT
Petrocom Nusa Synergy, PT
Afghan Jaya Abadi, PT
Lima Makmur Jaya, PT</v>
          </cell>
          <cell r="F364" t="str">
            <v>Perwira Sentra Officindo, PT
Indo Tehnik Tanjung Tabalong, PT
Sarana Prima Lestari, CV
Alfa Teknik Mandiri Makmur, PT
Sola Anugerah Oilfield, PT</v>
          </cell>
          <cell r="G364" t="str">
            <v>R0
5 of 10
02 Jul 24</v>
          </cell>
          <cell r="H364" t="str">
            <v>ARTHUR BRAMIYANA</v>
          </cell>
          <cell r="I364">
            <v>45467</v>
          </cell>
          <cell r="J364" t="str">
            <v>INV</v>
          </cell>
          <cell r="K364" t="str">
            <v>B</v>
          </cell>
          <cell r="L364" t="str">
            <v>BID</v>
          </cell>
          <cell r="M364" t="str">
            <v>0199</v>
          </cell>
          <cell r="N364" t="str">
            <v>RH</v>
          </cell>
          <cell r="O364" t="str">
            <v>robertiagus.haposan@alamtri.com</v>
          </cell>
          <cell r="P364">
            <v>306.41149999999999</v>
          </cell>
          <cell r="Q364">
            <v>4902584</v>
          </cell>
          <cell r="R364" t="str">
            <v>Completed Sign PO</v>
          </cell>
          <cell r="T364" t="str">
            <v>MSW</v>
          </cell>
          <cell r="U364" t="str">
            <v>Sehati, CV
Perwira Sentra Officindo, PT
Indo Tehnik Tanjung Tabalong, PT
Sarana Prima Lestari, CV
Indoparts, CV
Alfa Teknik Mandiri Makmur, PT
Sola Anugerah Oilfield, PT
Petrocom Nusa Synergy, PT
Afghan Jaya Abadi, PT
Lima Makmur Jaya, PT</v>
          </cell>
          <cell r="V364" t="str">
            <v>Perwira Sentra Officindo, PT
Indo Tehnik Tanjung Tabalong, PT
Sarana Prima Lestari, CV
Alfa Teknik Mandiri Makmur, PT
Sola Anugerah Oilfield, PT</v>
          </cell>
          <cell r="W364" t="str">
            <v>10 of 10</v>
          </cell>
          <cell r="X364" t="str">
            <v>5 of 10</v>
          </cell>
          <cell r="Y364">
            <v>45468</v>
          </cell>
          <cell r="Z364">
            <v>45475</v>
          </cell>
          <cell r="AC364" t="str">
            <v xml:space="preserve"> of </v>
          </cell>
          <cell r="AD364" t="str">
            <v xml:space="preserve"> of </v>
          </cell>
          <cell r="AF364" t="str">
            <v/>
          </cell>
          <cell r="AI364" t="str">
            <v xml:space="preserve"> of </v>
          </cell>
          <cell r="AJ364" t="str">
            <v xml:space="preserve"> of </v>
          </cell>
          <cell r="AL364" t="str">
            <v/>
          </cell>
          <cell r="AM364">
            <v>0.70833333333333304</v>
          </cell>
          <cell r="AN364" t="str">
            <v>Perwira Sentra Officindo, PT</v>
          </cell>
          <cell r="AO364" t="str">
            <v>d_santos63@yahoo.com</v>
          </cell>
          <cell r="AP364" t="str">
            <v>PO24000508</v>
          </cell>
          <cell r="AQ364">
            <v>4297800</v>
          </cell>
          <cell r="AR364">
            <v>45476</v>
          </cell>
          <cell r="AS364">
            <v>45518</v>
          </cell>
          <cell r="AT364">
            <v>45519</v>
          </cell>
          <cell r="AU364">
            <v>45555</v>
          </cell>
          <cell r="AV364">
            <v>45425</v>
          </cell>
          <cell r="AW364">
            <v>45461</v>
          </cell>
          <cell r="AX364">
            <v>5.1428571428571432</v>
          </cell>
          <cell r="AY364">
            <v>45533</v>
          </cell>
          <cell r="AZ364">
            <v>72</v>
          </cell>
          <cell r="BA364">
            <v>128934</v>
          </cell>
          <cell r="BB364" t="str">
            <v>Late Completed</v>
          </cell>
          <cell r="BC364" t="str">
            <v>PR100009298</v>
          </cell>
        </row>
        <row r="365">
          <cell r="B365" t="str">
            <v>PR100009316</v>
          </cell>
          <cell r="C365" t="str">
            <v>Resistance Temperature Detector (RTD) dan PRESSURE GAUGE 0-16 Bar Stock Inventory</v>
          </cell>
          <cell r="D365" t="str">
            <v>Kin Kitra Kencana, PT
Alfa Teknik Mandiri Makmur, PT
Perwira Sentra Officindo, PT
Trimitra Bangun Karyatama, PT
Antares Jaya Gemilang Prima, PT</v>
          </cell>
          <cell r="E365" t="str">
            <v>Kin Kitra Kencana, PT
Gema Industrial, PT
Putera Instrumenindo, PT
Alfa Teknik Mandiri Makmur, PT
Perwira Sentra Officindo, PT
Antares Jaya Gemilang Prima, PT
Trimitra Bangun Karyatama, PT
Gading Mas Utama, PT
Buana Cahayatama, PT
Elang Mas Indoasia, PT
Lamindo Prima Mandiri, PT
Viktori Profindo Automation, PT
Adika Mitra Sehati, PT
Suryamas Elsindo Primatara, PT
Boveri Indonesia, PT
ABB Sakti Industri, PT</v>
          </cell>
          <cell r="F365" t="str">
            <v/>
          </cell>
          <cell r="G365" t="str">
            <v xml:space="preserve">R0
 of 16
</v>
          </cell>
          <cell r="H365" t="str">
            <v>ARTHUR BRAMIYANA</v>
          </cell>
          <cell r="I365">
            <v>45467</v>
          </cell>
          <cell r="J365" t="str">
            <v>INV</v>
          </cell>
          <cell r="K365" t="str">
            <v>B</v>
          </cell>
          <cell r="L365" t="str">
            <v>BID</v>
          </cell>
          <cell r="M365" t="str">
            <v>0201</v>
          </cell>
          <cell r="N365" t="str">
            <v>RH</v>
          </cell>
          <cell r="O365" t="str">
            <v>robertiagus.haposan@alamtri.com</v>
          </cell>
          <cell r="P365">
            <v>4490.4179999999997</v>
          </cell>
          <cell r="Q365">
            <v>71846688</v>
          </cell>
          <cell r="R365" t="str">
            <v>Completed Sign PO</v>
          </cell>
          <cell r="T365" t="str">
            <v>MSW</v>
          </cell>
          <cell r="U365" t="str">
            <v>Kin Kitra Kencana, PT
Gema Industrial, PT
Putera Instrumenindo, PT
Alfa Teknik Mandiri Makmur, PT
Perwira Sentra Officindo, PT
Antares Jaya Gemilang Prima, PT
Trimitra Bangun Karyatama, PT
Gading Mas Utama, PT
Buana Cahayatama, PT
Elang Mas Indoasia, PT
Lamindo Prima Mandiri, PT
Viktori Profindo Automation, PT
Adika Mitra Sehati, PT
Suryamas Elsindo Primatara, PT
Boveri Indonesia, PT
ABB Sakti Industri, PT</v>
          </cell>
          <cell r="W365" t="str">
            <v>16 of 16</v>
          </cell>
          <cell r="X365" t="str">
            <v xml:space="preserve"> of 16</v>
          </cell>
          <cell r="Z365" t="str">
            <v/>
          </cell>
          <cell r="AC365" t="str">
            <v xml:space="preserve"> of </v>
          </cell>
          <cell r="AD365" t="str">
            <v xml:space="preserve"> of </v>
          </cell>
          <cell r="AF365" t="str">
            <v/>
          </cell>
          <cell r="AI365" t="str">
            <v xml:space="preserve"> of </v>
          </cell>
          <cell r="AJ365" t="str">
            <v xml:space="preserve"> of </v>
          </cell>
          <cell r="AL365" t="str">
            <v/>
          </cell>
          <cell r="AM365">
            <v>0.70833333333333304</v>
          </cell>
          <cell r="AN365" t="str">
            <v>Gema Industrial, PT</v>
          </cell>
          <cell r="AO365" t="str">
            <v>marketing@gema-industrial.com</v>
          </cell>
          <cell r="AP365" t="str">
            <v>PO24000468R1</v>
          </cell>
          <cell r="AQ365">
            <v>84497000</v>
          </cell>
          <cell r="AR365">
            <v>45476</v>
          </cell>
          <cell r="AS365">
            <v>45492</v>
          </cell>
          <cell r="AT365">
            <v>45502</v>
          </cell>
          <cell r="AU365">
            <v>45674</v>
          </cell>
          <cell r="AV365">
            <v>45425</v>
          </cell>
          <cell r="AW365">
            <v>45597</v>
          </cell>
          <cell r="AX365">
            <v>24.571428571428573</v>
          </cell>
          <cell r="AY365">
            <v>45646</v>
          </cell>
          <cell r="AZ365">
            <v>49</v>
          </cell>
          <cell r="BA365">
            <v>4224850</v>
          </cell>
          <cell r="BB365" t="str">
            <v>Late Completed</v>
          </cell>
          <cell r="BC365" t="str">
            <v>PR100009316</v>
          </cell>
        </row>
        <row r="366">
          <cell r="B366" t="str">
            <v>PR100009329 (Line 1,3,5)</v>
          </cell>
          <cell r="C366" t="str">
            <v>Termination kit Raychem ,Stock Inventory</v>
          </cell>
          <cell r="D366" t="str">
            <v>Perwira Sentra Officindo, PT
Alfa Teknik Mandiri Makmur, PT
Putera Instrumenindo, PT</v>
          </cell>
          <cell r="E366" t="str">
            <v>Perwira Sentra Officindo, PT
Alfa Teknik Mandiri Makmur, PT
Gema Industrial, PT
Vhipa Mulia Pratama, PT
Outsourcindo, PT
Putera Instrumenindo, PT
Borneo Maju Jaya, PT
Kin Kitra Kencana, PT
Elindo Mega Jaya, PT</v>
          </cell>
          <cell r="F366" t="str">
            <v/>
          </cell>
          <cell r="G366" t="str">
            <v xml:space="preserve">R0
 of 9
</v>
          </cell>
          <cell r="H366" t="str">
            <v>ARTHUR BRAMIYANA</v>
          </cell>
          <cell r="I366">
            <v>45467</v>
          </cell>
          <cell r="J366" t="str">
            <v>INV</v>
          </cell>
          <cell r="K366" t="str">
            <v>B</v>
          </cell>
          <cell r="L366" t="str">
            <v>BID</v>
          </cell>
          <cell r="M366" t="str">
            <v>0234</v>
          </cell>
          <cell r="N366" t="str">
            <v>RH</v>
          </cell>
          <cell r="O366" t="str">
            <v>robertiagus.haposan@alamtri.com</v>
          </cell>
          <cell r="P366">
            <v>1460.5585999999998</v>
          </cell>
          <cell r="Q366">
            <v>23368937.599999998</v>
          </cell>
          <cell r="R366" t="str">
            <v>Completed Sign PO</v>
          </cell>
          <cell r="T366" t="str">
            <v>MSW</v>
          </cell>
          <cell r="U366" t="str">
            <v>Perwira Sentra Officindo, PT
Alfa Teknik Mandiri Makmur, PT
Gema Industrial, PT
Vhipa Mulia Pratama, PT
Outsourcindo, PT
Putera Instrumenindo, PT
Borneo Maju Jaya, PT
Kin Kitra Kencana, PT
Elindo Mega Jaya, PT</v>
          </cell>
          <cell r="W366" t="str">
            <v>9 of 9</v>
          </cell>
          <cell r="X366" t="str">
            <v xml:space="preserve"> of 9</v>
          </cell>
          <cell r="Z366" t="str">
            <v/>
          </cell>
          <cell r="AC366" t="str">
            <v xml:space="preserve"> of </v>
          </cell>
          <cell r="AD366" t="str">
            <v xml:space="preserve"> of </v>
          </cell>
          <cell r="AF366" t="str">
            <v/>
          </cell>
          <cell r="AI366" t="str">
            <v xml:space="preserve"> of </v>
          </cell>
          <cell r="AJ366" t="str">
            <v xml:space="preserve"> of </v>
          </cell>
          <cell r="AL366" t="str">
            <v/>
          </cell>
          <cell r="AM366">
            <v>0.70833333333333304</v>
          </cell>
          <cell r="AN366" t="str">
            <v>Perwira Sentra Officindo, PT</v>
          </cell>
          <cell r="AO366" t="str">
            <v>d_santos63@yahoo.com</v>
          </cell>
          <cell r="AP366" t="str">
            <v>PO24000513</v>
          </cell>
          <cell r="AQ366">
            <v>9042000</v>
          </cell>
          <cell r="AR366">
            <v>45482</v>
          </cell>
          <cell r="AS366">
            <v>45518</v>
          </cell>
          <cell r="AT366">
            <v>45519</v>
          </cell>
          <cell r="AU366">
            <v>45555</v>
          </cell>
          <cell r="AV366">
            <v>45425</v>
          </cell>
          <cell r="AW366">
            <v>45461</v>
          </cell>
          <cell r="AX366">
            <v>5.1428571428571432</v>
          </cell>
          <cell r="AY366">
            <v>45533</v>
          </cell>
          <cell r="AZ366">
            <v>72</v>
          </cell>
          <cell r="BA366">
            <v>271260</v>
          </cell>
          <cell r="BB366" t="str">
            <v>Late Completed</v>
          </cell>
          <cell r="BC366" t="str">
            <v>PR100009329</v>
          </cell>
        </row>
        <row r="367">
          <cell r="B367" t="str">
            <v>PR100009299 (Line 2-5)</v>
          </cell>
          <cell r="C367" t="str">
            <v>Consumable Common Stock Inventory</v>
          </cell>
          <cell r="E367" t="str">
            <v>Sehati, CV
Perwira Sentra Officindo, PT
Indo Tehnik Tanjung Tabalong, PT
Sarana Prima Lestari, CV
Indoparts, CV
Alfa Teknik Mandiri Makmur, PT
Sola Anugerah Oilfield, PT
Petrocom Nusa Synergy, PT
Afghan Jaya Abadi, PT
Lima Makmur Jaya, PT</v>
          </cell>
          <cell r="F367" t="str">
            <v>Perwira Sentra Officindo, PT
Indo Tehnik Tanjung Tabalong, PT
Sarana Prima Lestari, CV
Alfa Teknik Mandiri Makmur, PT
Sola Anugerah Oilfield, PT</v>
          </cell>
          <cell r="G367" t="str">
            <v>R0
5 of 10
02 Jul 24</v>
          </cell>
          <cell r="H367" t="str">
            <v>ARTHUR BRAMIYANA</v>
          </cell>
          <cell r="I367">
            <v>45467</v>
          </cell>
          <cell r="J367" t="str">
            <v>INV</v>
          </cell>
          <cell r="K367" t="str">
            <v>B</v>
          </cell>
          <cell r="L367" t="str">
            <v>BID</v>
          </cell>
          <cell r="M367" t="str">
            <v>0199</v>
          </cell>
          <cell r="N367" t="str">
            <v>RH</v>
          </cell>
          <cell r="O367" t="str">
            <v>robertiagus.haposan@alamtri.com</v>
          </cell>
          <cell r="P367">
            <v>20.384</v>
          </cell>
          <cell r="Q367">
            <v>326144</v>
          </cell>
          <cell r="R367" t="str">
            <v>Completed Sign PO</v>
          </cell>
          <cell r="T367" t="str">
            <v>MSW</v>
          </cell>
          <cell r="U367" t="str">
            <v>Sehati, CV
Perwira Sentra Officindo, PT
Indo Tehnik Tanjung Tabalong, PT
Sarana Prima Lestari, CV
Indoparts, CV
Alfa Teknik Mandiri Makmur, PT
Sola Anugerah Oilfield, PT
Petrocom Nusa Synergy, PT
Afghan Jaya Abadi, PT
Lima Makmur Jaya, PT</v>
          </cell>
          <cell r="V367" t="str">
            <v>Perwira Sentra Officindo, PT
Indo Tehnik Tanjung Tabalong, PT
Sarana Prima Lestari, CV
Alfa Teknik Mandiri Makmur, PT
Sola Anugerah Oilfield, PT</v>
          </cell>
          <cell r="W367" t="str">
            <v>10 of 10</v>
          </cell>
          <cell r="X367" t="str">
            <v>5 of 10</v>
          </cell>
          <cell r="Y367">
            <v>45468</v>
          </cell>
          <cell r="Z367">
            <v>45475</v>
          </cell>
          <cell r="AC367" t="str">
            <v xml:space="preserve"> of </v>
          </cell>
          <cell r="AD367" t="str">
            <v xml:space="preserve"> of </v>
          </cell>
          <cell r="AF367" t="str">
            <v/>
          </cell>
          <cell r="AI367" t="str">
            <v xml:space="preserve"> of </v>
          </cell>
          <cell r="AJ367" t="str">
            <v xml:space="preserve"> of </v>
          </cell>
          <cell r="AL367" t="str">
            <v/>
          </cell>
          <cell r="AM367">
            <v>0.70833333333333304</v>
          </cell>
          <cell r="AN367" t="str">
            <v>Indo Tehnik Tanjung Tabalong, PT</v>
          </cell>
          <cell r="AO367" t="str">
            <v>indotehnik_tjg@yahoo.co.id</v>
          </cell>
          <cell r="AP367" t="str">
            <v>PO24000510</v>
          </cell>
          <cell r="AQ367">
            <v>320000</v>
          </cell>
          <cell r="AR367">
            <v>45476</v>
          </cell>
          <cell r="AS367">
            <v>45518</v>
          </cell>
          <cell r="AT367">
            <v>45519</v>
          </cell>
          <cell r="AU367">
            <v>45541</v>
          </cell>
          <cell r="AV367">
            <v>45425</v>
          </cell>
          <cell r="AW367">
            <v>45447</v>
          </cell>
          <cell r="AX367">
            <v>3.1428571428571428</v>
          </cell>
          <cell r="AY367">
            <v>45535</v>
          </cell>
          <cell r="AZ367">
            <v>88</v>
          </cell>
          <cell r="BA367">
            <v>9600</v>
          </cell>
          <cell r="BB367" t="str">
            <v>Late Completed</v>
          </cell>
          <cell r="BC367" t="str">
            <v>PR100009299</v>
          </cell>
        </row>
        <row r="368">
          <cell r="B368" t="str">
            <v>PR100009299 (Line 6,8-10)</v>
          </cell>
          <cell r="C368" t="str">
            <v>Consumable Common Stock Inventory</v>
          </cell>
          <cell r="E368" t="str">
            <v>Sehati, CV
Perwira Sentra Officindo, PT
Indo Tehnik Tanjung Tabalong, PT
Sarana Prima Lestari, CV
Indoparts, CV
Alfa Teknik Mandiri Makmur, PT
Sola Anugerah Oilfield, PT
Petrocom Nusa Synergy, PT
Afghan Jaya Abadi, PT
Lima Makmur Jaya, PT</v>
          </cell>
          <cell r="F368" t="str">
            <v>Perwira Sentra Officindo, PT
Indo Tehnik Tanjung Tabalong, PT
Sarana Prima Lestari, CV
Alfa Teknik Mandiri Makmur, PT
Sola Anugerah Oilfield, PT</v>
          </cell>
          <cell r="G368" t="str">
            <v>R0
5 of 10
02 Jul 24</v>
          </cell>
          <cell r="H368" t="str">
            <v>ARTHUR BRAMIYANA</v>
          </cell>
          <cell r="I368">
            <v>45467</v>
          </cell>
          <cell r="J368" t="str">
            <v>INV</v>
          </cell>
          <cell r="K368" t="str">
            <v>B</v>
          </cell>
          <cell r="L368" t="str">
            <v>BID</v>
          </cell>
          <cell r="M368" t="str">
            <v>0199</v>
          </cell>
          <cell r="N368" t="str">
            <v>RH</v>
          </cell>
          <cell r="O368" t="str">
            <v>robertiagus.haposan@alamtri.com</v>
          </cell>
          <cell r="P368">
            <v>417.6628</v>
          </cell>
          <cell r="Q368">
            <v>6682604.7999999998</v>
          </cell>
          <cell r="R368" t="str">
            <v>Completed Sign PO</v>
          </cell>
          <cell r="T368" t="str">
            <v>MSW</v>
          </cell>
          <cell r="U368" t="str">
            <v>Sehati, CV
Perwira Sentra Officindo, PT
Indo Tehnik Tanjung Tabalong, PT
Sarana Prima Lestari, CV
Indoparts, CV
Alfa Teknik Mandiri Makmur, PT
Sola Anugerah Oilfield, PT
Petrocom Nusa Synergy, PT
Afghan Jaya Abadi, PT
Lima Makmur Jaya, PT</v>
          </cell>
          <cell r="V368" t="str">
            <v>Perwira Sentra Officindo, PT
Indo Tehnik Tanjung Tabalong, PT
Sarana Prima Lestari, CV
Alfa Teknik Mandiri Makmur, PT
Sola Anugerah Oilfield, PT</v>
          </cell>
          <cell r="W368" t="str">
            <v>10 of 10</v>
          </cell>
          <cell r="X368" t="str">
            <v>5 of 10</v>
          </cell>
          <cell r="Y368">
            <v>45468</v>
          </cell>
          <cell r="Z368">
            <v>45475</v>
          </cell>
          <cell r="AC368" t="str">
            <v xml:space="preserve"> of </v>
          </cell>
          <cell r="AD368" t="str">
            <v xml:space="preserve"> of </v>
          </cell>
          <cell r="AF368" t="str">
            <v/>
          </cell>
          <cell r="AI368" t="str">
            <v xml:space="preserve"> of </v>
          </cell>
          <cell r="AJ368" t="str">
            <v xml:space="preserve"> of </v>
          </cell>
          <cell r="AL368" t="str">
            <v/>
          </cell>
          <cell r="AM368">
            <v>0.70833333333333304</v>
          </cell>
          <cell r="AN368" t="str">
            <v>Alfa Teknik Mandiri Makmur, PT</v>
          </cell>
          <cell r="AO368" t="str">
            <v>sales.atmm@gmail.com; alex_atmm@yahoo.com</v>
          </cell>
          <cell r="AP368" t="str">
            <v>PO24000509</v>
          </cell>
          <cell r="AQ368">
            <v>6350000</v>
          </cell>
          <cell r="AR368">
            <v>45476</v>
          </cell>
          <cell r="AS368">
            <v>45518</v>
          </cell>
          <cell r="AT368">
            <v>45519</v>
          </cell>
          <cell r="AU368">
            <v>45548</v>
          </cell>
          <cell r="AV368">
            <v>45425</v>
          </cell>
          <cell r="AW368">
            <v>45454</v>
          </cell>
          <cell r="AX368">
            <v>4.1428571428571432</v>
          </cell>
          <cell r="AY368">
            <v>45546</v>
          </cell>
          <cell r="AZ368">
            <v>92</v>
          </cell>
          <cell r="BA368">
            <v>190500</v>
          </cell>
          <cell r="BB368" t="str">
            <v>Late Completed</v>
          </cell>
          <cell r="BC368" t="str">
            <v>PR100009299</v>
          </cell>
        </row>
        <row r="369">
          <cell r="B369" t="str">
            <v>PR100009299 (Line 7)</v>
          </cell>
          <cell r="C369" t="str">
            <v>Consumable Common Stock Inventory</v>
          </cell>
          <cell r="E369" t="str">
            <v>Sehati, CV
Perwira Sentra Officindo, PT
Indo Tehnik Tanjung Tabalong, PT
Sarana Prima Lestari, CV
Indoparts, CV
Alfa Teknik Mandiri Makmur, PT
Sola Anugerah Oilfield, PT
Petrocom Nusa Synergy, PT
Afghan Jaya Abadi, PT
Lima Makmur Jaya, PT</v>
          </cell>
          <cell r="F369" t="str">
            <v>Perwira Sentra Officindo, PT
Indo Tehnik Tanjung Tabalong, PT
Sarana Prima Lestari, CV
Alfa Teknik Mandiri Makmur, PT
Sola Anugerah Oilfield, PT</v>
          </cell>
          <cell r="G369" t="str">
            <v>R0
5 of 10
02 Jul 24</v>
          </cell>
          <cell r="H369" t="str">
            <v>ARTHUR BRAMIYANA</v>
          </cell>
          <cell r="I369">
            <v>45467</v>
          </cell>
          <cell r="J369" t="str">
            <v>INV</v>
          </cell>
          <cell r="K369" t="str">
            <v>B</v>
          </cell>
          <cell r="L369" t="str">
            <v>BID</v>
          </cell>
          <cell r="M369" t="str">
            <v>0199</v>
          </cell>
          <cell r="N369" t="str">
            <v>RH</v>
          </cell>
          <cell r="O369" t="str">
            <v>robertiagus.haposan@alamtri.com</v>
          </cell>
          <cell r="P369">
            <v>326.81220000000002</v>
          </cell>
          <cell r="Q369">
            <v>5228995.2</v>
          </cell>
          <cell r="R369" t="str">
            <v>Completed Sign PO</v>
          </cell>
          <cell r="T369" t="str">
            <v>MSW</v>
          </cell>
          <cell r="U369" t="str">
            <v>Sehati, CV
Perwira Sentra Officindo, PT
Indo Tehnik Tanjung Tabalong, PT
Sarana Prima Lestari, CV
Indoparts, CV
Alfa Teknik Mandiri Makmur, PT
Sola Anugerah Oilfield, PT
Petrocom Nusa Synergy, PT
Afghan Jaya Abadi, PT
Lima Makmur Jaya, PT</v>
          </cell>
          <cell r="V369" t="str">
            <v>Perwira Sentra Officindo, PT
Indo Tehnik Tanjung Tabalong, PT
Sarana Prima Lestari, CV
Alfa Teknik Mandiri Makmur, PT
Sola Anugerah Oilfield, PT</v>
          </cell>
          <cell r="W369" t="str">
            <v>10 of 10</v>
          </cell>
          <cell r="X369" t="str">
            <v>5 of 10</v>
          </cell>
          <cell r="Y369">
            <v>45468</v>
          </cell>
          <cell r="Z369">
            <v>45475</v>
          </cell>
          <cell r="AC369" t="str">
            <v xml:space="preserve"> of </v>
          </cell>
          <cell r="AD369" t="str">
            <v xml:space="preserve"> of </v>
          </cell>
          <cell r="AF369" t="str">
            <v/>
          </cell>
          <cell r="AI369" t="str">
            <v xml:space="preserve"> of </v>
          </cell>
          <cell r="AJ369" t="str">
            <v xml:space="preserve"> of </v>
          </cell>
          <cell r="AL369" t="str">
            <v/>
          </cell>
          <cell r="AM369">
            <v>0.70833333333333304</v>
          </cell>
          <cell r="AN369" t="str">
            <v>Sola Anugerah Oilfield, PT</v>
          </cell>
          <cell r="AO369" t="str">
            <v>mgr3@sola-oilfield.com;
sales3@sola-oilfield.com; admsolaanugerah@gmail.com; sales6@sola-oilfield.com</v>
          </cell>
          <cell r="AP369" t="str">
            <v>PO24000511R1</v>
          </cell>
          <cell r="AQ369">
            <v>4035000</v>
          </cell>
          <cell r="AR369">
            <v>45476</v>
          </cell>
          <cell r="AS369">
            <v>45518</v>
          </cell>
          <cell r="AT369">
            <v>45519</v>
          </cell>
          <cell r="AU369">
            <v>45583</v>
          </cell>
          <cell r="AV369">
            <v>45425</v>
          </cell>
          <cell r="AW369">
            <v>45489</v>
          </cell>
          <cell r="AX369">
            <v>9.1428571428571423</v>
          </cell>
          <cell r="AY369">
            <v>45557</v>
          </cell>
          <cell r="AZ369">
            <v>68</v>
          </cell>
          <cell r="BA369">
            <v>121050</v>
          </cell>
          <cell r="BB369" t="str">
            <v>Late Completed</v>
          </cell>
          <cell r="BC369" t="str">
            <v>PR100009299</v>
          </cell>
        </row>
        <row r="370">
          <cell r="B370" t="str">
            <v>PR100009298 (Line 7)</v>
          </cell>
          <cell r="C370" t="str">
            <v>Consumable Workshop Stock Inventory</v>
          </cell>
          <cell r="E370" t="str">
            <v>Sehati, CV
Perwira Sentra Officindo, PT
Indo Tehnik Tanjung Tabalong, PT
Sarana Prima Lestari, CV
Indoparts, CV
Alfa Teknik Mandiri Makmur, PT
Sola Anugerah Oilfield, PT
Petrocom Nusa Synergy, PT
Afghan Jaya Abadi, PT
Lima Makmur Jaya, PT</v>
          </cell>
          <cell r="F370" t="str">
            <v>Perwira Sentra Officindo, PT
Indo Tehnik Tanjung Tabalong, PT
Sarana Prima Lestari, CV
Alfa Teknik Mandiri Makmur, PT
Sola Anugerah Oilfield, PT</v>
          </cell>
          <cell r="G370" t="str">
            <v>R0
5 of 10
02 Jul 24</v>
          </cell>
          <cell r="H370" t="str">
            <v>ARTHUR BRAMIYANA</v>
          </cell>
          <cell r="I370">
            <v>45467</v>
          </cell>
          <cell r="J370" t="str">
            <v>INV</v>
          </cell>
          <cell r="K370" t="str">
            <v>B</v>
          </cell>
          <cell r="L370" t="str">
            <v>BID</v>
          </cell>
          <cell r="M370" t="str">
            <v>0199</v>
          </cell>
          <cell r="N370" t="str">
            <v>RH</v>
          </cell>
          <cell r="O370" t="str">
            <v>robertiagus.haposan@alamtri.com</v>
          </cell>
          <cell r="P370">
            <v>356.86500000000001</v>
          </cell>
          <cell r="Q370">
            <v>5709840</v>
          </cell>
          <cell r="R370" t="str">
            <v>Completed Sign PO</v>
          </cell>
          <cell r="T370" t="str">
            <v>MSW</v>
          </cell>
          <cell r="U370" t="str">
            <v>Sehati, CV
Perwira Sentra Officindo, PT
Indo Tehnik Tanjung Tabalong, PT
Sarana Prima Lestari, CV
Indoparts, CV
Alfa Teknik Mandiri Makmur, PT
Sola Anugerah Oilfield, PT
Petrocom Nusa Synergy, PT
Afghan Jaya Abadi, PT
Lima Makmur Jaya, PT</v>
          </cell>
          <cell r="V370" t="str">
            <v>Perwira Sentra Officindo, PT
Indo Tehnik Tanjung Tabalong, PT
Sarana Prima Lestari, CV
Alfa Teknik Mandiri Makmur, PT
Sola Anugerah Oilfield, PT</v>
          </cell>
          <cell r="W370" t="str">
            <v>10 of 10</v>
          </cell>
          <cell r="X370" t="str">
            <v>5 of 10</v>
          </cell>
          <cell r="Y370">
            <v>45468</v>
          </cell>
          <cell r="Z370">
            <v>45475</v>
          </cell>
          <cell r="AC370" t="str">
            <v xml:space="preserve"> of </v>
          </cell>
          <cell r="AD370" t="str">
            <v xml:space="preserve"> of </v>
          </cell>
          <cell r="AF370" t="str">
            <v/>
          </cell>
          <cell r="AI370" t="str">
            <v xml:space="preserve"> of </v>
          </cell>
          <cell r="AJ370" t="str">
            <v xml:space="preserve"> of </v>
          </cell>
          <cell r="AL370" t="str">
            <v/>
          </cell>
          <cell r="AM370">
            <v>0.70833333333333304</v>
          </cell>
          <cell r="AN370" t="str">
            <v>Indo Tehnik Tanjung Tabalong, PT</v>
          </cell>
          <cell r="AO370" t="str">
            <v>indotehnik_tjg@yahoo.co.id</v>
          </cell>
          <cell r="AP370" t="str">
            <v>PO24000510</v>
          </cell>
          <cell r="AQ370">
            <v>9000000</v>
          </cell>
          <cell r="AR370">
            <v>45476</v>
          </cell>
          <cell r="AS370">
            <v>45518</v>
          </cell>
          <cell r="AT370">
            <v>45519</v>
          </cell>
          <cell r="AU370">
            <v>45541</v>
          </cell>
          <cell r="AV370">
            <v>45425</v>
          </cell>
          <cell r="AW370">
            <v>45447</v>
          </cell>
          <cell r="AX370">
            <v>3.1428571428571428</v>
          </cell>
          <cell r="AY370">
            <v>45535</v>
          </cell>
          <cell r="AZ370">
            <v>88</v>
          </cell>
          <cell r="BA370">
            <v>270000</v>
          </cell>
          <cell r="BB370" t="str">
            <v>Late Completed</v>
          </cell>
          <cell r="BC370" t="str">
            <v>PR100009298</v>
          </cell>
        </row>
        <row r="371">
          <cell r="B371" t="str">
            <v>PR100009298 (Line 2-4,9,13)</v>
          </cell>
          <cell r="C371" t="str">
            <v>Consumable Workshop Stock Inventory</v>
          </cell>
          <cell r="E371" t="str">
            <v>Sehati, CV
Perwira Sentra Officindo, PT
Indo Tehnik Tanjung Tabalong, PT
Sarana Prima Lestari, CV
Indoparts, CV
Alfa Teknik Mandiri Makmur, PT
Sola Anugerah Oilfield, PT
Petrocom Nusa Synergy, PT
Afghan Jaya Abadi, PT
Lima Makmur Jaya, PT</v>
          </cell>
          <cell r="F371" t="str">
            <v>Perwira Sentra Officindo, PT
Indo Tehnik Tanjung Tabalong, PT
Sarana Prima Lestari, CV
Alfa Teknik Mandiri Makmur, PT
Sola Anugerah Oilfield, PT</v>
          </cell>
          <cell r="G371" t="str">
            <v>R0
5 of 10
02 Jul 24</v>
          </cell>
          <cell r="H371" t="str">
            <v>ARTHUR BRAMIYANA</v>
          </cell>
          <cell r="I371">
            <v>45467</v>
          </cell>
          <cell r="J371" t="str">
            <v>INV</v>
          </cell>
          <cell r="K371" t="str">
            <v>B</v>
          </cell>
          <cell r="L371" t="str">
            <v>BID</v>
          </cell>
          <cell r="M371" t="str">
            <v>0199</v>
          </cell>
          <cell r="N371" t="str">
            <v>RH</v>
          </cell>
          <cell r="O371" t="str">
            <v>robertiagus.haposan@alamtri.com</v>
          </cell>
          <cell r="P371">
            <v>306.65790000000004</v>
          </cell>
          <cell r="Q371">
            <v>4906526.4000000004</v>
          </cell>
          <cell r="R371" t="str">
            <v>Completed Sign PO</v>
          </cell>
          <cell r="T371" t="str">
            <v>MSW</v>
          </cell>
          <cell r="U371" t="str">
            <v>Sehati, CV
Perwira Sentra Officindo, PT
Indo Tehnik Tanjung Tabalong, PT
Sarana Prima Lestari, CV
Indoparts, CV
Alfa Teknik Mandiri Makmur, PT
Sola Anugerah Oilfield, PT
Petrocom Nusa Synergy, PT
Afghan Jaya Abadi, PT
Lima Makmur Jaya, PT</v>
          </cell>
          <cell r="V371" t="str">
            <v>Perwira Sentra Officindo, PT
Indo Tehnik Tanjung Tabalong, PT
Sarana Prima Lestari, CV
Alfa Teknik Mandiri Makmur, PT
Sola Anugerah Oilfield, PT</v>
          </cell>
          <cell r="W371" t="str">
            <v>10 of 10</v>
          </cell>
          <cell r="X371" t="str">
            <v>5 of 10</v>
          </cell>
          <cell r="Y371">
            <v>45468</v>
          </cell>
          <cell r="Z371">
            <v>45475</v>
          </cell>
          <cell r="AC371" t="str">
            <v xml:space="preserve"> of </v>
          </cell>
          <cell r="AD371" t="str">
            <v xml:space="preserve"> of </v>
          </cell>
          <cell r="AF371" t="str">
            <v/>
          </cell>
          <cell r="AI371" t="str">
            <v xml:space="preserve"> of </v>
          </cell>
          <cell r="AJ371" t="str">
            <v xml:space="preserve"> of </v>
          </cell>
          <cell r="AL371" t="str">
            <v/>
          </cell>
          <cell r="AM371">
            <v>0.70833333333333304</v>
          </cell>
          <cell r="AN371" t="str">
            <v>Sarana Prima Lestari, CV</v>
          </cell>
          <cell r="AO371" t="str">
            <v>krisma@saranaprimalestari.com; spl@indo.net.id</v>
          </cell>
          <cell r="AP371" t="str">
            <v>PO24000507</v>
          </cell>
          <cell r="AQ371">
            <v>4348000</v>
          </cell>
          <cell r="AR371">
            <v>45476</v>
          </cell>
          <cell r="AS371">
            <v>45518</v>
          </cell>
          <cell r="AT371">
            <v>45519</v>
          </cell>
          <cell r="AU371">
            <v>45541</v>
          </cell>
          <cell r="AV371">
            <v>45425</v>
          </cell>
          <cell r="AW371">
            <v>45447</v>
          </cell>
          <cell r="AX371">
            <v>3.1428571428571428</v>
          </cell>
          <cell r="AY371">
            <v>45546</v>
          </cell>
          <cell r="AZ371">
            <v>99</v>
          </cell>
          <cell r="BA371">
            <v>130440</v>
          </cell>
          <cell r="BB371" t="str">
            <v>Late Completed</v>
          </cell>
          <cell r="BC371" t="str">
            <v>PR100009298</v>
          </cell>
        </row>
        <row r="372">
          <cell r="B372" t="str">
            <v>PR100009298 (Line 11)</v>
          </cell>
          <cell r="C372" t="str">
            <v>Consumable Workshop Stock Inventory</v>
          </cell>
          <cell r="E372" t="str">
            <v>Sehati, CV
Perwira Sentra Officindo, PT
Indo Tehnik Tanjung Tabalong, PT
Sarana Prima Lestari, CV
Indoparts, CV
Alfa Teknik Mandiri Makmur, PT
Sola Anugerah Oilfield, PT
Petrocom Nusa Synergy, PT
Afghan Jaya Abadi, PT
Lima Makmur Jaya, PT</v>
          </cell>
          <cell r="F372" t="str">
            <v>Perwira Sentra Officindo, PT
Indo Tehnik Tanjung Tabalong, PT
Sarana Prima Lestari, CV
Alfa Teknik Mandiri Makmur, PT
Sola Anugerah Oilfield, PT</v>
          </cell>
          <cell r="G372" t="str">
            <v>R0
5 of 10
02 Jul 24</v>
          </cell>
          <cell r="H372" t="str">
            <v>ARTHUR BRAMIYANA</v>
          </cell>
          <cell r="I372">
            <v>45467</v>
          </cell>
          <cell r="J372" t="str">
            <v>INV</v>
          </cell>
          <cell r="K372" t="str">
            <v>B</v>
          </cell>
          <cell r="L372" t="str">
            <v>BID</v>
          </cell>
          <cell r="M372" t="str">
            <v>0199</v>
          </cell>
          <cell r="N372" t="str">
            <v>RH</v>
          </cell>
          <cell r="O372" t="str">
            <v>robertiagus.haposan@alamtri.com</v>
          </cell>
          <cell r="P372">
            <v>24</v>
          </cell>
          <cell r="Q372">
            <v>384000</v>
          </cell>
          <cell r="R372" t="str">
            <v>Completed Sign PO</v>
          </cell>
          <cell r="T372" t="str">
            <v>MSW</v>
          </cell>
          <cell r="U372" t="str">
            <v>Sehati, CV
Perwira Sentra Officindo, PT
Indo Tehnik Tanjung Tabalong, PT
Sarana Prima Lestari, CV
Indoparts, CV
Alfa Teknik Mandiri Makmur, PT
Sola Anugerah Oilfield, PT
Petrocom Nusa Synergy, PT
Afghan Jaya Abadi, PT
Lima Makmur Jaya, PT</v>
          </cell>
          <cell r="V372" t="str">
            <v>Perwira Sentra Officindo, PT
Indo Tehnik Tanjung Tabalong, PT
Sarana Prima Lestari, CV
Alfa Teknik Mandiri Makmur, PT
Sola Anugerah Oilfield, PT</v>
          </cell>
          <cell r="W372" t="str">
            <v>10 of 10</v>
          </cell>
          <cell r="X372" t="str">
            <v>5 of 10</v>
          </cell>
          <cell r="Y372">
            <v>45468</v>
          </cell>
          <cell r="Z372">
            <v>45475</v>
          </cell>
          <cell r="AC372" t="str">
            <v xml:space="preserve"> of </v>
          </cell>
          <cell r="AD372" t="str">
            <v xml:space="preserve"> of </v>
          </cell>
          <cell r="AF372" t="str">
            <v/>
          </cell>
          <cell r="AI372" t="str">
            <v xml:space="preserve"> of </v>
          </cell>
          <cell r="AJ372" t="str">
            <v xml:space="preserve"> of </v>
          </cell>
          <cell r="AL372" t="str">
            <v/>
          </cell>
          <cell r="AM372">
            <v>0.70833333333333304</v>
          </cell>
          <cell r="AN372" t="str">
            <v>Sola Anugerah Oilfield, PT</v>
          </cell>
          <cell r="AO372" t="str">
            <v>mgr3@sola-oilfield.com;
sales3@sola-oilfield.com; admsolaanugerah@gmail.com; sales6@sola-oilfield.com</v>
          </cell>
          <cell r="AP372" t="str">
            <v>PO24000511R1</v>
          </cell>
          <cell r="AQ372">
            <v>1350000</v>
          </cell>
          <cell r="AR372">
            <v>45476</v>
          </cell>
          <cell r="AS372">
            <v>45518</v>
          </cell>
          <cell r="AT372">
            <v>45519</v>
          </cell>
          <cell r="AU372">
            <v>45583</v>
          </cell>
          <cell r="AV372">
            <v>45425</v>
          </cell>
          <cell r="AW372">
            <v>45489</v>
          </cell>
          <cell r="AX372">
            <v>9.1428571428571423</v>
          </cell>
          <cell r="AY372">
            <v>45557</v>
          </cell>
          <cell r="AZ372">
            <v>68</v>
          </cell>
          <cell r="BA372">
            <v>40500</v>
          </cell>
          <cell r="BB372" t="str">
            <v>Late Completed</v>
          </cell>
          <cell r="BC372" t="str">
            <v>PR100009298</v>
          </cell>
        </row>
        <row r="373">
          <cell r="B373" t="str">
            <v>PR100009298 (Line 8)</v>
          </cell>
          <cell r="C373" t="str">
            <v>Consumable Workshop Stock Inventory</v>
          </cell>
          <cell r="E373" t="str">
            <v>Sola Anugerah Oilfield, PT
Perwira Sentra Officindo, PT
Pacific Tractor Indonesia, PT
Indoparts, CV
Alfa Teknik Mandiri Makmur, PT
Anugrah Mandiri Putra Tabalong, PT
Cahaya Murni, CV
Cominco Mitra Perkasa, PT
Sehati, CV</v>
          </cell>
          <cell r="F373" t="str">
            <v>Sola Anugerah Oilfield, PT</v>
          </cell>
          <cell r="G373" t="str">
            <v>R2
1 of 9
10 Oct 24</v>
          </cell>
          <cell r="H373" t="str">
            <v>ARTHUR BRAMIYANA</v>
          </cell>
          <cell r="I373">
            <v>45467</v>
          </cell>
          <cell r="J373" t="str">
            <v>INV</v>
          </cell>
          <cell r="K373" t="str">
            <v>B</v>
          </cell>
          <cell r="L373" t="str">
            <v>BID</v>
          </cell>
          <cell r="M373" t="str">
            <v>0309</v>
          </cell>
          <cell r="N373" t="str">
            <v>RH</v>
          </cell>
          <cell r="O373" t="str">
            <v>robertiagus.haposan@alamtri.com</v>
          </cell>
          <cell r="P373">
            <v>20.25</v>
          </cell>
          <cell r="Q373">
            <v>324000</v>
          </cell>
          <cell r="R373" t="str">
            <v>Completed Sign PO</v>
          </cell>
          <cell r="T373" t="str">
            <v>MSW</v>
          </cell>
          <cell r="U373" t="str">
            <v>Sehati, CV
Perwira Sentra Officindo, PT
Indo Tehnik Tanjung Tabalong, PT
Sarana Prima Lestari, CV
Indoparts, CV
Alfa Teknik Mandiri Makmur, PT
Sola Anugerah Oilfield, PT
Petrocom Nusa Synergy, PT
Afghan Jaya Abadi, PT
Lima Makmur Jaya, PT</v>
          </cell>
          <cell r="V373" t="str">
            <v>Perwira Sentra Officindo, PT
Indo Tehnik Tanjung Tabalong, PT
Sarana Prima Lestari, CV
Alfa Teknik Mandiri Makmur, PT
Sola Anugerah Oilfield, PT
Lima Makmur Jaya, PT</v>
          </cell>
          <cell r="W373" t="str">
            <v>10 of 10</v>
          </cell>
          <cell r="X373" t="str">
            <v>6 of 10</v>
          </cell>
          <cell r="Y373">
            <v>45468</v>
          </cell>
          <cell r="Z373">
            <v>45475</v>
          </cell>
          <cell r="AA373" t="str">
            <v>Sehati, CV
Anugrah Mandiri Putra Tabalong, PT
Perwira Sentra Officindo, PT
Greentek Elektrikal Indonesia, PT
Gema Industrial, PT
Gading Mas Utama, PT
Sola Anugerah Oilfield, PT
Berkat Pratama Teknik, CV</v>
          </cell>
          <cell r="AC373" t="str">
            <v>8 of 8</v>
          </cell>
          <cell r="AD373" t="str">
            <v xml:space="preserve"> of 8</v>
          </cell>
          <cell r="AE373">
            <v>45559</v>
          </cell>
          <cell r="AF373">
            <v>45566</v>
          </cell>
          <cell r="AG373" t="str">
            <v>Sola Anugerah Oilfield, PT
Perwira Sentra Officindo, PT
Pacific Tractor Indonesia, PT
Indoparts, CV
Alfa Teknik Mandiri Makmur, PT
Anugrah Mandiri Putra Tabalong, PT
Cahaya Murni, CV
Cominco Mitra Perkasa, PT
Sehati, CV</v>
          </cell>
          <cell r="AH373" t="str">
            <v>Sola Anugerah Oilfield, PT</v>
          </cell>
          <cell r="AI373" t="str">
            <v>9 of 9</v>
          </cell>
          <cell r="AJ373" t="str">
            <v>1 of 9</v>
          </cell>
          <cell r="AK373">
            <v>45568</v>
          </cell>
          <cell r="AL373">
            <v>45575</v>
          </cell>
          <cell r="AM373">
            <v>0.70833333333333304</v>
          </cell>
          <cell r="AN373" t="str">
            <v>Sola Anugerah Oilfield, PT</v>
          </cell>
          <cell r="AO373" t="str">
            <v>mgr3@sola-oilfield.com;
sales3@sola-oilfield.com; admsolaanugerah@gmail.com; sales6@sola-oilfield.com</v>
          </cell>
          <cell r="AP373" t="str">
            <v>PO24000508</v>
          </cell>
          <cell r="AQ373">
            <v>18660000</v>
          </cell>
          <cell r="AR373">
            <v>45576</v>
          </cell>
          <cell r="AS373">
            <v>45610</v>
          </cell>
          <cell r="AT373">
            <v>45604</v>
          </cell>
          <cell r="AU373">
            <v>45709</v>
          </cell>
          <cell r="AV373">
            <v>45425</v>
          </cell>
          <cell r="AW373">
            <v>45530</v>
          </cell>
          <cell r="AX373">
            <v>15</v>
          </cell>
          <cell r="AY373">
            <v>45533</v>
          </cell>
          <cell r="AZ373">
            <v>3</v>
          </cell>
          <cell r="BA373">
            <v>55980</v>
          </cell>
          <cell r="BB373" t="str">
            <v>Late Completed</v>
          </cell>
          <cell r="BC373" t="str">
            <v>PR100009298</v>
          </cell>
        </row>
        <row r="374">
          <cell r="B374" t="str">
            <v>PR100009329 (Line 2,4)</v>
          </cell>
          <cell r="C374" t="str">
            <v>Termination kit Raychem ,Stock Inventory</v>
          </cell>
          <cell r="D374" t="str">
            <v>Perwira Sentra Officindo, PT
Alfa Teknik Mandiri Makmur, PT
Putera Instrumenindo, PT</v>
          </cell>
          <cell r="E374" t="str">
            <v>Perwira Sentra Officindo, PT
Alfa Teknik Mandiri Makmur, PT
Gema Industrial, PT
Vhipa Mulia Pratama, PT
Outsourcindo, PT
Putera Instrumenindo, PT
Borneo Maju Jaya, PT
Kin Kitra Kencana, PT
Elindo Mega Jaya, PT</v>
          </cell>
          <cell r="F374" t="str">
            <v/>
          </cell>
          <cell r="G374" t="str">
            <v xml:space="preserve">R0
 of 9
</v>
          </cell>
          <cell r="H374" t="str">
            <v>ARTHUR BRAMIYANA</v>
          </cell>
          <cell r="I374">
            <v>45467</v>
          </cell>
          <cell r="J374" t="str">
            <v>INV</v>
          </cell>
          <cell r="K374" t="str">
            <v>B</v>
          </cell>
          <cell r="L374" t="str">
            <v>BID</v>
          </cell>
          <cell r="M374" t="str">
            <v>0234</v>
          </cell>
          <cell r="N374" t="str">
            <v>RH</v>
          </cell>
          <cell r="O374" t="str">
            <v>robertiagus.haposan@alamtri.com</v>
          </cell>
          <cell r="P374">
            <v>1106.9436000000001</v>
          </cell>
          <cell r="Q374">
            <v>17711097.600000001</v>
          </cell>
          <cell r="R374" t="str">
            <v>Completed Sign PO</v>
          </cell>
          <cell r="T374" t="str">
            <v>MSW</v>
          </cell>
          <cell r="U374" t="str">
            <v>Perwira Sentra Officindo, PT
Alfa Teknik Mandiri Makmur, PT
Gema Industrial, PT
Vhipa Mulia Pratama, PT
Outsourcindo, PT
Putera Instrumenindo, PT
Borneo Maju Jaya, PT
Kin Kitra Kencana, PT
Elindo Mega Jaya, PT</v>
          </cell>
          <cell r="W374" t="str">
            <v>9 of 9</v>
          </cell>
          <cell r="X374" t="str">
            <v xml:space="preserve"> of 9</v>
          </cell>
          <cell r="Z374" t="str">
            <v/>
          </cell>
          <cell r="AC374" t="str">
            <v xml:space="preserve"> of </v>
          </cell>
          <cell r="AD374" t="str">
            <v xml:space="preserve"> of </v>
          </cell>
          <cell r="AF374" t="str">
            <v/>
          </cell>
          <cell r="AI374" t="str">
            <v xml:space="preserve"> of </v>
          </cell>
          <cell r="AJ374" t="str">
            <v xml:space="preserve"> of </v>
          </cell>
          <cell r="AL374" t="str">
            <v/>
          </cell>
          <cell r="AM374">
            <v>0.70833333333333304</v>
          </cell>
          <cell r="AN374" t="str">
            <v>Gema Industrial, PT</v>
          </cell>
          <cell r="AO374" t="str">
            <v>marketing@gema-industrial.com</v>
          </cell>
          <cell r="AP374" t="str">
            <v>PO24000514</v>
          </cell>
          <cell r="AQ374">
            <v>20420000</v>
          </cell>
          <cell r="AR374">
            <v>45482</v>
          </cell>
          <cell r="AS374">
            <v>45518</v>
          </cell>
          <cell r="AT374">
            <v>45519</v>
          </cell>
          <cell r="AU374">
            <v>45569</v>
          </cell>
          <cell r="AV374">
            <v>45425</v>
          </cell>
          <cell r="AW374">
            <v>45475</v>
          </cell>
          <cell r="AX374">
            <v>7.1428571428571432</v>
          </cell>
          <cell r="AY374">
            <v>45537</v>
          </cell>
          <cell r="AZ374">
            <v>62</v>
          </cell>
          <cell r="BA374">
            <v>1021000</v>
          </cell>
          <cell r="BB374" t="str">
            <v>Late Completed</v>
          </cell>
          <cell r="BC374" t="str">
            <v>PR100009329</v>
          </cell>
        </row>
        <row r="375">
          <cell r="B375" t="str">
            <v>PR100009308 (Line 1)</v>
          </cell>
          <cell r="C375" t="str">
            <v>OIL Turbolube ISO VG 32 Oli PERTAMINA &amp; GREASE, Shell Gadus Stock Inventory</v>
          </cell>
          <cell r="E375" t="str">
            <v>Alfa Teknik Mandiri Makmur, PT
Cahaya Murni, CV
Berkat Pratama Teknik, CV
Gama Tritunggal Pratama, PT
Petrocom Nusa Synergy, PT
Lima Makmur Jaya, PT
Outsourcindo, PT</v>
          </cell>
          <cell r="F375" t="str">
            <v>Alfa Teknik Mandiri Makmur, PT
Cahaya Murni, CV
Berkat Pratama Teknik, CV
Gama Tritunggal Pratama, PT
Petrocom Nusa Synergy, PT
Lima Makmur Jaya, PT</v>
          </cell>
          <cell r="G375" t="str">
            <v>R0
6 of 7
22 Jul 24</v>
          </cell>
          <cell r="H375" t="str">
            <v>ARTHUR BRAMIYANA</v>
          </cell>
          <cell r="I375">
            <v>45469</v>
          </cell>
          <cell r="J375" t="str">
            <v>INV</v>
          </cell>
          <cell r="K375" t="str">
            <v>B</v>
          </cell>
          <cell r="L375" t="str">
            <v>BID</v>
          </cell>
          <cell r="M375" t="str">
            <v>0254</v>
          </cell>
          <cell r="N375" t="str">
            <v>RH</v>
          </cell>
          <cell r="O375" t="str">
            <v>robertiagus.haposan@alamtri.com</v>
          </cell>
          <cell r="P375">
            <v>167.75</v>
          </cell>
          <cell r="Q375">
            <v>2684000</v>
          </cell>
          <cell r="R375" t="str">
            <v>Completed Sign PO</v>
          </cell>
          <cell r="T375" t="str">
            <v>MSW</v>
          </cell>
          <cell r="U375" t="str">
            <v>Alfa Teknik Mandiri Makmur, PT
Cahaya Murni, CV
Berkat Pratama Teknik, CV
Gama Tritunggal Pratama, PT
Petrocom Nusa Synergy, PT
Lima Makmur Jaya, PT
Outsourcindo, PT</v>
          </cell>
          <cell r="V375" t="str">
            <v>Alfa Teknik Mandiri Makmur, PT
Cahaya Murni, CV
Berkat Pratama Teknik, CV
Gama Tritunggal Pratama, PT
Petrocom Nusa Synergy, PT
Lima Makmur Jaya, PT</v>
          </cell>
          <cell r="W375" t="str">
            <v>7 of 7</v>
          </cell>
          <cell r="X375" t="str">
            <v>6 of 7</v>
          </cell>
          <cell r="Y375">
            <v>45488</v>
          </cell>
          <cell r="Z375">
            <v>45495</v>
          </cell>
          <cell r="AC375" t="str">
            <v xml:space="preserve"> of </v>
          </cell>
          <cell r="AD375" t="str">
            <v xml:space="preserve"> of </v>
          </cell>
          <cell r="AF375" t="str">
            <v/>
          </cell>
          <cell r="AI375" t="str">
            <v xml:space="preserve"> of </v>
          </cell>
          <cell r="AJ375" t="str">
            <v xml:space="preserve"> of </v>
          </cell>
          <cell r="AL375" t="str">
            <v/>
          </cell>
          <cell r="AM375">
            <v>0.70833333333333304</v>
          </cell>
          <cell r="AN375" t="str">
            <v>Gama Tritunggal Pratama, PT</v>
          </cell>
          <cell r="AO375" t="str">
            <v>sri@gamatri.com</v>
          </cell>
          <cell r="AP375" t="str">
            <v>PO24000512</v>
          </cell>
          <cell r="AQ375">
            <v>2700000</v>
          </cell>
          <cell r="AR375">
            <v>45502</v>
          </cell>
          <cell r="AS375">
            <v>45516</v>
          </cell>
          <cell r="AT375">
            <v>45519</v>
          </cell>
          <cell r="AU375">
            <v>45597</v>
          </cell>
          <cell r="AV375">
            <v>45425</v>
          </cell>
          <cell r="AW375">
            <v>45503</v>
          </cell>
          <cell r="AX375">
            <v>11.142857142857142</v>
          </cell>
          <cell r="AY375">
            <v>45540</v>
          </cell>
          <cell r="AZ375">
            <v>37</v>
          </cell>
          <cell r="BA375">
            <v>81000</v>
          </cell>
          <cell r="BB375" t="str">
            <v>Late Completed</v>
          </cell>
          <cell r="BC375" t="str">
            <v>PR100009308</v>
          </cell>
        </row>
        <row r="376">
          <cell r="B376" t="str">
            <v>PR100009332 (Line 1)</v>
          </cell>
          <cell r="C376" t="str">
            <v>Spare Part Consumable Mechanical,Stock Inventory</v>
          </cell>
          <cell r="E376" t="str">
            <v>Suprabakti Mandiri, PT
Vhipa Mulia Pratama, PT
Petrocom Nusa Synergy, PT
Indo Tehnik Tanjung Tabalong, PT
Gema Industrial, PT
Perwira Sentra Officindo, PT
Trimitra Wahana Sukses, PT
Elang Mas Indoasia, PT
Outsourcindo, PT
Kin Kitra Kencana, PT
Trimitra Wahana Sukses, PT
Mitra Sinar Bintang, PT</v>
          </cell>
          <cell r="F376" t="str">
            <v/>
          </cell>
          <cell r="G376" t="str">
            <v xml:space="preserve">R0
 of 12
</v>
          </cell>
          <cell r="H376" t="str">
            <v>ARTHUR BRAMIYANA</v>
          </cell>
          <cell r="I376">
            <v>45469</v>
          </cell>
          <cell r="J376" t="str">
            <v>INV</v>
          </cell>
          <cell r="K376" t="str">
            <v>B</v>
          </cell>
          <cell r="L376" t="str">
            <v>BID</v>
          </cell>
          <cell r="M376" t="str">
            <v>0231</v>
          </cell>
          <cell r="N376" t="str">
            <v>RH</v>
          </cell>
          <cell r="O376" t="str">
            <v>robertiagus.haposan@alamtri.com</v>
          </cell>
          <cell r="P376">
            <v>50.623199999999997</v>
          </cell>
          <cell r="Q376">
            <v>809971.19999999995</v>
          </cell>
          <cell r="R376" t="str">
            <v>Completed Sign PO</v>
          </cell>
          <cell r="T376" t="str">
            <v>MSW</v>
          </cell>
          <cell r="U376" t="str">
            <v>Suprabakti Mandiri, PT
Vhipa Mulia Pratama, PT
Petrocom Nusa Synergy, PT
Indo Tehnik Tanjung Tabalong, PT
Gema Industrial, PT
Perwira Sentra Officindo, PT
Trimitra Wahana Sukses, PT
Elang Mas Indoasia, PT
Outsourcindo, PT
Kin Kitra Kencana, PT
Trimitra Wahana Sukses, PT
Mitra Sinar Bintang, PT</v>
          </cell>
          <cell r="W376" t="str">
            <v>12 of 12</v>
          </cell>
          <cell r="X376" t="str">
            <v xml:space="preserve"> of 12</v>
          </cell>
          <cell r="Z376" t="str">
            <v/>
          </cell>
          <cell r="AC376" t="str">
            <v xml:space="preserve"> of </v>
          </cell>
          <cell r="AD376" t="str">
            <v xml:space="preserve"> of </v>
          </cell>
          <cell r="AF376" t="str">
            <v/>
          </cell>
          <cell r="AI376" t="str">
            <v xml:space="preserve"> of </v>
          </cell>
          <cell r="AJ376" t="str">
            <v xml:space="preserve"> of </v>
          </cell>
          <cell r="AL376" t="str">
            <v/>
          </cell>
          <cell r="AM376">
            <v>0.70833333333333304</v>
          </cell>
          <cell r="AN376" t="str">
            <v>Gema Industrial, PT</v>
          </cell>
          <cell r="AO376" t="str">
            <v>marketing@gema-industrial.com</v>
          </cell>
          <cell r="AP376" t="str">
            <v>PO24000407</v>
          </cell>
          <cell r="AQ376">
            <v>935000</v>
          </cell>
          <cell r="AR376">
            <v>45482</v>
          </cell>
          <cell r="AS376">
            <v>45489</v>
          </cell>
          <cell r="AT376">
            <v>45490</v>
          </cell>
          <cell r="AU376">
            <v>45520</v>
          </cell>
          <cell r="AV376">
            <v>45425</v>
          </cell>
          <cell r="AW376">
            <v>45455</v>
          </cell>
          <cell r="AX376">
            <v>4.2857142857142856</v>
          </cell>
          <cell r="AY376">
            <v>45508</v>
          </cell>
          <cell r="AZ376">
            <v>53</v>
          </cell>
          <cell r="BA376">
            <v>28050</v>
          </cell>
          <cell r="BB376" t="str">
            <v>Completed</v>
          </cell>
          <cell r="BC376" t="str">
            <v>PR100009332</v>
          </cell>
        </row>
        <row r="377">
          <cell r="B377" t="str">
            <v>PR100009331</v>
          </cell>
          <cell r="C377" t="str">
            <v>Fabric reinforced  Rubber Cover Strip, For belt conveyor,Stock Inventory</v>
          </cell>
          <cell r="E377" t="str">
            <v>Perwira Sentra Officindo, PT
Venturer Shinta Success, PT
Vhipa Mulia Pratama, PT
Petrocom Nusa Synergy, PT
Cominco Mitra Perkasa, PT
Suprabakti Mandiri, PT
Andalan Tiga Berlian, PT
Antares Jaya Gemilang Prima, PT</v>
          </cell>
          <cell r="F377" t="str">
            <v>Perwira Sentra Officindo, PT
Venturer Shinta Success, PT
Suprabakti Mandiri, PT
Andalan Tiga Berlian, PT</v>
          </cell>
          <cell r="G377" t="str">
            <v>R1
4 of 8
17 Jul 24</v>
          </cell>
          <cell r="H377" t="str">
            <v>ARTHUR BRAMIYANA</v>
          </cell>
          <cell r="I377">
            <v>45469</v>
          </cell>
          <cell r="J377" t="str">
            <v>INV</v>
          </cell>
          <cell r="K377" t="str">
            <v>B</v>
          </cell>
          <cell r="L377" t="str">
            <v>BID</v>
          </cell>
          <cell r="M377" t="str">
            <v>0232</v>
          </cell>
          <cell r="N377" t="str">
            <v>RH</v>
          </cell>
          <cell r="O377" t="str">
            <v>robertiagus.haposan@alamtri.com</v>
          </cell>
          <cell r="P377">
            <v>350.596</v>
          </cell>
          <cell r="Q377">
            <v>5609536</v>
          </cell>
          <cell r="R377" t="str">
            <v>Completed Sign PO</v>
          </cell>
          <cell r="T377" t="str">
            <v>MSW</v>
          </cell>
          <cell r="U377" t="str">
            <v>Suprabakti Mandiri, PT
Perwira Sentra Officindo, PT
Andalan Tiga Berlian, PT
Antares Jaya Gemilang Prima, PT
Venturer Shinta Success, PT
Vhipa Mulia Pratama, PT
Petrocom Nusa Synergy, PT</v>
          </cell>
          <cell r="V377" t="str">
            <v>Perwira Sentra Officindo, PT
Venturer Shinta Success, PT
Vhipa Mulia Pratama, PT
Petrocom Nusa Synergy, PT-x</v>
          </cell>
          <cell r="W377" t="str">
            <v>7 of 7</v>
          </cell>
          <cell r="X377" t="str">
            <v>4 of 7</v>
          </cell>
          <cell r="Y377">
            <v>45471</v>
          </cell>
          <cell r="Z377">
            <v>45478</v>
          </cell>
          <cell r="AA377" t="str">
            <v>Perwira Sentra Officindo, PT
Venturer Shinta Success, PT
Vhipa Mulia Pratama, PT
Petrocom Nusa Synergy, PT
Cominco Mitra Perkasa, PT
Suprabakti Mandiri, PT
Andalan Tiga Berlian, PT
Antares Jaya Gemilang Prima, PT</v>
          </cell>
          <cell r="AB377" t="str">
            <v>Perwira Sentra Officindo, PT
Venturer Shinta Success, PT
Suprabakti Mandiri, PT
Andalan Tiga Berlian, PT</v>
          </cell>
          <cell r="AC377" t="str">
            <v>8 of 8</v>
          </cell>
          <cell r="AD377" t="str">
            <v>4 of 8</v>
          </cell>
          <cell r="AE377">
            <v>45483</v>
          </cell>
          <cell r="AF377">
            <v>45490</v>
          </cell>
          <cell r="AI377" t="str">
            <v xml:space="preserve"> of </v>
          </cell>
          <cell r="AJ377" t="str">
            <v xml:space="preserve"> of </v>
          </cell>
          <cell r="AL377" t="str">
            <v/>
          </cell>
          <cell r="AM377">
            <v>0.70833333333333304</v>
          </cell>
          <cell r="AN377" t="str">
            <v>Suprabakti Mandiri, PT</v>
          </cell>
          <cell r="AO377" t="str">
            <v>han@beltcare.com; sucinto@beltcare.com</v>
          </cell>
          <cell r="AP377" t="str">
            <v>PO24000488</v>
          </cell>
          <cell r="AQ377">
            <v>57290000</v>
          </cell>
          <cell r="AR377">
            <v>45482</v>
          </cell>
          <cell r="AS377">
            <v>45510</v>
          </cell>
          <cell r="AT377">
            <v>45511</v>
          </cell>
          <cell r="AU377">
            <v>45645</v>
          </cell>
          <cell r="AV377">
            <v>45425</v>
          </cell>
          <cell r="AW377">
            <v>45559</v>
          </cell>
          <cell r="AX377">
            <v>19.142857142857142</v>
          </cell>
          <cell r="AY377">
            <v>45574</v>
          </cell>
          <cell r="AZ377">
            <v>15</v>
          </cell>
          <cell r="BA377">
            <v>859350</v>
          </cell>
          <cell r="BB377" t="str">
            <v>Late Completed</v>
          </cell>
          <cell r="BC377" t="str">
            <v>PR100009331</v>
          </cell>
        </row>
        <row r="378">
          <cell r="B378" t="str">
            <v>PR100009336</v>
          </cell>
          <cell r="C378" t="str">
            <v>Safety Shoes For Keperluan Karyawan di Site</v>
          </cell>
          <cell r="E378" t="str">
            <v>Bhakti Ratutama Jaya, PT
Sentra Tanjung Jaya, CV
Berkat Keselamatan Dunia, PT
Sarana Prima Lestari, CV
Wahana Safety Indonesia, PT
Dunia Saftindo, PT
Prima Safety, CV
Vhipa Mulia Pratama, PT
Sentra Tanjung Jaya, CV</v>
          </cell>
          <cell r="F378" t="str">
            <v/>
          </cell>
          <cell r="G378" t="str">
            <v xml:space="preserve">R0
 of 9
</v>
          </cell>
          <cell r="H378" t="str">
            <v>ARTHUR BRAMIYANA</v>
          </cell>
          <cell r="I378">
            <v>45469</v>
          </cell>
          <cell r="J378" t="str">
            <v>INV</v>
          </cell>
          <cell r="K378" t="str">
            <v>B</v>
          </cell>
          <cell r="L378" t="str">
            <v>BID</v>
          </cell>
          <cell r="M378" t="str">
            <v>0233</v>
          </cell>
          <cell r="N378" t="str">
            <v>RH</v>
          </cell>
          <cell r="O378" t="str">
            <v>robertiagus.haposan@alamtri.com</v>
          </cell>
          <cell r="P378">
            <v>185.64</v>
          </cell>
          <cell r="Q378">
            <v>2970240</v>
          </cell>
          <cell r="R378" t="str">
            <v>Completed Sign PO</v>
          </cell>
          <cell r="T378" t="str">
            <v>MSW</v>
          </cell>
          <cell r="U378" t="str">
            <v>Bhakti Ratutama Jaya, PT
Sentra Tanjung Jaya, CV
Berkat Keselamatan Dunia, PT
Sarana Prima Lestari, CV
Wahana Safety Indonesia, PT
Dunia Saftindo, PT
Prima Safety, CV
Vhipa Mulia Pratama, PT
Sentra Tanjung Jaya, CV</v>
          </cell>
          <cell r="W378" t="str">
            <v>9 of 9</v>
          </cell>
          <cell r="X378" t="str">
            <v xml:space="preserve"> of 9</v>
          </cell>
          <cell r="Z378" t="str">
            <v/>
          </cell>
          <cell r="AC378" t="str">
            <v xml:space="preserve"> of </v>
          </cell>
          <cell r="AD378" t="str">
            <v xml:space="preserve"> of </v>
          </cell>
          <cell r="AF378" t="str">
            <v/>
          </cell>
          <cell r="AI378" t="str">
            <v xml:space="preserve"> of </v>
          </cell>
          <cell r="AJ378" t="str">
            <v xml:space="preserve"> of </v>
          </cell>
          <cell r="AL378" t="str">
            <v/>
          </cell>
          <cell r="AM378">
            <v>0.70833333333333304</v>
          </cell>
          <cell r="AN378" t="str">
            <v>Prima Safety, CV</v>
          </cell>
          <cell r="AO378" t="str">
            <v>primasafety@yahoo.com</v>
          </cell>
          <cell r="AP378" t="str">
            <v>PO24000408R1</v>
          </cell>
          <cell r="AQ378">
            <v>2940000</v>
          </cell>
          <cell r="AR378">
            <v>45482</v>
          </cell>
          <cell r="AS378">
            <v>45489</v>
          </cell>
          <cell r="AT378">
            <v>45490</v>
          </cell>
          <cell r="AU378">
            <v>45513</v>
          </cell>
          <cell r="AV378">
            <v>45425</v>
          </cell>
          <cell r="AW378">
            <v>45448</v>
          </cell>
          <cell r="AX378">
            <v>3.2857142857142856</v>
          </cell>
          <cell r="AY378">
            <v>45498</v>
          </cell>
          <cell r="AZ378">
            <v>50</v>
          </cell>
          <cell r="BA378">
            <v>88200</v>
          </cell>
          <cell r="BB378" t="str">
            <v>Completed</v>
          </cell>
          <cell r="BC378" t="str">
            <v>PR100009336</v>
          </cell>
        </row>
        <row r="379">
          <cell r="B379" t="str">
            <v>PR100009006</v>
          </cell>
          <cell r="C379" t="str">
            <v>Pengadaan APD Tambahan Operasional Tahun 2024</v>
          </cell>
          <cell r="E379" t="str">
            <v>Bhakti Ratutama Jaya, PT
Sentra Tanjung Jaya, CV
Berkat Keselamatan Dunia, PT
Sarana Prima Lestari, CV
Wahana Safety Indonesia, PT
Dunia Saftindo, PT
Prima Safety, CV
Vhipa Mulia Pratama, PT
Sentra Tanjung Jaya, CV</v>
          </cell>
          <cell r="F379" t="str">
            <v/>
          </cell>
          <cell r="G379" t="str">
            <v xml:space="preserve">R0
 of 9
</v>
          </cell>
          <cell r="H379" t="str">
            <v>ARIES KURNIAWAN</v>
          </cell>
          <cell r="I379">
            <v>45469</v>
          </cell>
          <cell r="J379" t="str">
            <v>INV</v>
          </cell>
          <cell r="K379" t="str">
            <v>B</v>
          </cell>
          <cell r="L379" t="str">
            <v>BID</v>
          </cell>
          <cell r="M379" t="str">
            <v>0233</v>
          </cell>
          <cell r="N379" t="str">
            <v>RH</v>
          </cell>
          <cell r="O379" t="str">
            <v>robertiagus.haposan@alamtri.com</v>
          </cell>
          <cell r="P379">
            <v>769.23</v>
          </cell>
          <cell r="Q379">
            <v>12307680</v>
          </cell>
          <cell r="R379" t="str">
            <v>Completed Sign PO</v>
          </cell>
          <cell r="T379" t="str">
            <v>MSW</v>
          </cell>
          <cell r="U379" t="str">
            <v>Bhakti Ratutama Jaya, PT
Sentra Tanjung Jaya, CV
Berkat Keselamatan Dunia, PT
Sarana Prima Lestari, CV
Wahana Safety Indonesia, PT
Dunia Saftindo, PT
Prima Safety, CV
Vhipa Mulia Pratama, PT
Sentra Tanjung Jaya, CV</v>
          </cell>
          <cell r="W379" t="str">
            <v>9 of 9</v>
          </cell>
          <cell r="X379" t="str">
            <v xml:space="preserve"> of 9</v>
          </cell>
          <cell r="Z379" t="str">
            <v/>
          </cell>
          <cell r="AC379" t="str">
            <v xml:space="preserve"> of </v>
          </cell>
          <cell r="AD379" t="str">
            <v xml:space="preserve"> of </v>
          </cell>
          <cell r="AF379" t="str">
            <v/>
          </cell>
          <cell r="AI379" t="str">
            <v xml:space="preserve"> of </v>
          </cell>
          <cell r="AJ379" t="str">
            <v xml:space="preserve"> of </v>
          </cell>
          <cell r="AL379" t="str">
            <v/>
          </cell>
          <cell r="AM379">
            <v>0.70833333333333304</v>
          </cell>
          <cell r="AN379" t="str">
            <v>Bhakti Ratutama Jaya, PT</v>
          </cell>
          <cell r="AO379" t="str">
            <v>bhaktiratutama2005@gmail.com</v>
          </cell>
          <cell r="AP379" t="str">
            <v>PO24000409</v>
          </cell>
          <cell r="AQ379">
            <v>8700000</v>
          </cell>
          <cell r="AR379">
            <v>45482</v>
          </cell>
          <cell r="AS379">
            <v>45489</v>
          </cell>
          <cell r="AT379">
            <v>45490</v>
          </cell>
          <cell r="AU379">
            <v>45506</v>
          </cell>
          <cell r="AV379">
            <v>45425</v>
          </cell>
          <cell r="AW379">
            <v>45441</v>
          </cell>
          <cell r="AX379">
            <v>2.2857142857142856</v>
          </cell>
          <cell r="AY379">
            <v>45497</v>
          </cell>
          <cell r="AZ379">
            <v>56</v>
          </cell>
          <cell r="BA379">
            <v>261000</v>
          </cell>
          <cell r="BB379" t="str">
            <v>Completed</v>
          </cell>
          <cell r="BC379" t="str">
            <v>PR100009006</v>
          </cell>
        </row>
        <row r="380">
          <cell r="B380" t="str">
            <v>PR100009332 (Line 2,4)</v>
          </cell>
          <cell r="C380" t="str">
            <v>Spare Part Consumable Mechanical,Stock Inventory</v>
          </cell>
          <cell r="E380" t="str">
            <v>Suprabakti Mandiri, PT
Vhipa Mulia Pratama, PT
Petrocom Nusa Synergy, PT
Indo Tehnik Tanjung Tabalong, PT
Gema Industrial, PT
Perwira Sentra Officindo, PT
Trimitra Wahana Sukses, PT
Elang Mas Indoasia, PT
Outsourcindo, PT
Kin Kitra Kencana, PT
Trimitra Wahana Sukses, PT
Mitra Sinar Bintang, PT</v>
          </cell>
          <cell r="F380" t="str">
            <v/>
          </cell>
          <cell r="G380" t="str">
            <v xml:space="preserve">R0
 of 12
</v>
          </cell>
          <cell r="H380" t="str">
            <v>ARTHUR BRAMIYANA</v>
          </cell>
          <cell r="I380">
            <v>45469</v>
          </cell>
          <cell r="J380" t="str">
            <v>INV</v>
          </cell>
          <cell r="K380" t="str">
            <v>B</v>
          </cell>
          <cell r="L380" t="str">
            <v>BID</v>
          </cell>
          <cell r="M380" t="str">
            <v>0231</v>
          </cell>
          <cell r="N380" t="str">
            <v>RH</v>
          </cell>
          <cell r="O380" t="str">
            <v>robertiagus.haposan@alamtri.com</v>
          </cell>
          <cell r="P380">
            <v>414.72449999999998</v>
          </cell>
          <cell r="Q380">
            <v>6635592</v>
          </cell>
          <cell r="R380" t="str">
            <v>Completed Sign PO</v>
          </cell>
          <cell r="T380" t="str">
            <v>MSW</v>
          </cell>
          <cell r="U380" t="str">
            <v>Suprabakti Mandiri, PT
Vhipa Mulia Pratama, PT
Petrocom Nusa Synergy, PT
Indo Tehnik Tanjung Tabalong, PT
Gema Industrial, PT
Perwira Sentra Officindo, PT
Trimitra Wahana Sukses, PT
Elang Mas Indoasia, PT
Outsourcindo, PT
Kin Kitra Kencana, PT
Trimitra Wahana Sukses, PT
Mitra Sinar Bintang, PT</v>
          </cell>
          <cell r="W380" t="str">
            <v>12 of 12</v>
          </cell>
          <cell r="X380" t="str">
            <v xml:space="preserve"> of 12</v>
          </cell>
          <cell r="Z380" t="str">
            <v/>
          </cell>
          <cell r="AC380" t="str">
            <v xml:space="preserve"> of </v>
          </cell>
          <cell r="AD380" t="str">
            <v xml:space="preserve"> of </v>
          </cell>
          <cell r="AF380" t="str">
            <v/>
          </cell>
          <cell r="AI380" t="str">
            <v xml:space="preserve"> of </v>
          </cell>
          <cell r="AJ380" t="str">
            <v xml:space="preserve"> of </v>
          </cell>
          <cell r="AL380" t="str">
            <v/>
          </cell>
          <cell r="AM380">
            <v>0.70833333333333304</v>
          </cell>
          <cell r="AN380" t="str">
            <v>Vhipa Mulia Pratama, PT</v>
          </cell>
          <cell r="AO380" t="str">
            <v>Feby@ptvmp.co.id</v>
          </cell>
          <cell r="AP380" t="str">
            <v>PO24000405</v>
          </cell>
          <cell r="AQ380">
            <v>7720000</v>
          </cell>
          <cell r="AR380">
            <v>45482</v>
          </cell>
          <cell r="AS380">
            <v>45489</v>
          </cell>
          <cell r="AT380">
            <v>45490</v>
          </cell>
          <cell r="AU380">
            <v>45541</v>
          </cell>
          <cell r="AV380">
            <v>45425</v>
          </cell>
          <cell r="AW380">
            <v>45476</v>
          </cell>
          <cell r="AX380">
            <v>7.2857142857142856</v>
          </cell>
          <cell r="AY380">
            <v>45519</v>
          </cell>
          <cell r="AZ380">
            <v>43</v>
          </cell>
          <cell r="BA380">
            <v>231600</v>
          </cell>
          <cell r="BB380" t="str">
            <v>Completed</v>
          </cell>
          <cell r="BC380" t="str">
            <v>PR100009332</v>
          </cell>
        </row>
        <row r="381">
          <cell r="B381" t="str">
            <v>PR100009332 (Line 3)</v>
          </cell>
          <cell r="C381" t="str">
            <v>Spare Part Consumable Mechanical,Stock Inventory</v>
          </cell>
          <cell r="E381" t="str">
            <v>Suprabakti Mandiri, PT
Vhipa Mulia Pratama, PT
Petrocom Nusa Synergy, PT
Indo Tehnik Tanjung Tabalong, PT
Gema Industrial, PT
Perwira Sentra Officindo, PT
Trimitra Wahana Sukses, PT
Elang Mas Indoasia, PT
Outsourcindo, PT
Kin Kitra Kencana, PT
Trimitra Wahana Sukses, PT
Mitra Sinar Bintang, PT</v>
          </cell>
          <cell r="F381" t="str">
            <v/>
          </cell>
          <cell r="G381" t="str">
            <v xml:space="preserve">R0
 of 12
</v>
          </cell>
          <cell r="H381" t="str">
            <v>ARTHUR BRAMIYANA</v>
          </cell>
          <cell r="I381">
            <v>45469</v>
          </cell>
          <cell r="J381" t="str">
            <v>INV</v>
          </cell>
          <cell r="K381" t="str">
            <v>B</v>
          </cell>
          <cell r="L381" t="str">
            <v>BID</v>
          </cell>
          <cell r="M381" t="str">
            <v>0231</v>
          </cell>
          <cell r="N381" t="str">
            <v>RH</v>
          </cell>
          <cell r="O381" t="str">
            <v>robertiagus.haposan@alamtri.com</v>
          </cell>
          <cell r="P381">
            <v>35.3675</v>
          </cell>
          <cell r="Q381">
            <v>565880</v>
          </cell>
          <cell r="R381" t="str">
            <v>Completed Sign PO</v>
          </cell>
          <cell r="T381" t="str">
            <v>MSW</v>
          </cell>
          <cell r="U381" t="str">
            <v>Suprabakti Mandiri, PT
Vhipa Mulia Pratama, PT
Petrocom Nusa Synergy, PT
Indo Tehnik Tanjung Tabalong, PT
Gema Industrial, PT
Perwira Sentra Officindo, PT
Trimitra Wahana Sukses, PT
Elang Mas Indoasia, PT
Outsourcindo, PT
Kin Kitra Kencana, PT
Trimitra Wahana Sukses, PT
Mitra Sinar Bintang, PT</v>
          </cell>
          <cell r="W381" t="str">
            <v>12 of 12</v>
          </cell>
          <cell r="X381" t="str">
            <v xml:space="preserve"> of 12</v>
          </cell>
          <cell r="Z381" t="str">
            <v/>
          </cell>
          <cell r="AC381" t="str">
            <v xml:space="preserve"> of </v>
          </cell>
          <cell r="AD381" t="str">
            <v xml:space="preserve"> of </v>
          </cell>
          <cell r="AF381" t="str">
            <v/>
          </cell>
          <cell r="AI381" t="str">
            <v xml:space="preserve"> of </v>
          </cell>
          <cell r="AJ381" t="str">
            <v xml:space="preserve"> of </v>
          </cell>
          <cell r="AL381" t="str">
            <v/>
          </cell>
          <cell r="AM381">
            <v>0.70833333333333304</v>
          </cell>
          <cell r="AN381" t="str">
            <v>Indo Tehnik Tanjung Tabalong, PT</v>
          </cell>
          <cell r="AO381" t="str">
            <v>indotehnik_tjg@yahoo.co.id</v>
          </cell>
          <cell r="AP381" t="str">
            <v>PO24000406</v>
          </cell>
          <cell r="AQ381">
            <v>475000</v>
          </cell>
          <cell r="AR381">
            <v>45482</v>
          </cell>
          <cell r="AS381">
            <v>45489</v>
          </cell>
          <cell r="AT381">
            <v>45490</v>
          </cell>
          <cell r="AU381">
            <v>45507</v>
          </cell>
          <cell r="AV381">
            <v>45425</v>
          </cell>
          <cell r="AW381">
            <v>45442</v>
          </cell>
          <cell r="AX381">
            <v>2.4285714285714284</v>
          </cell>
          <cell r="AY381">
            <v>45518</v>
          </cell>
          <cell r="AZ381">
            <v>76</v>
          </cell>
          <cell r="BA381">
            <v>14250</v>
          </cell>
          <cell r="BB381" t="str">
            <v>Completed</v>
          </cell>
          <cell r="BC381" t="str">
            <v>PR100009332</v>
          </cell>
        </row>
        <row r="382">
          <cell r="B382" t="str">
            <v>PR100009355 (Line 3)</v>
          </cell>
          <cell r="C382" t="str">
            <v>Material (part) Generator  untuk Genset 3G4 dan 3G3 IBT (barang langsung kirim ke IBT)</v>
          </cell>
          <cell r="E382" t="str">
            <v>Radian Fokus Mandiri, CV
Greentek Elektrikal Indonesia, PT
Siwali Swantika, PT
Perwira Sentra Officindo, PT
Narmada Setia, PT
Elang Mas Indoasia, PT
Kin Kitra Kencana, PT
Gema Industrial, PT
Pacific Tractor Indonesia, PT
Berkat Pratama Teknik, CV</v>
          </cell>
          <cell r="F382" t="str">
            <v/>
          </cell>
          <cell r="G382" t="str">
            <v xml:space="preserve">R0
 of 10
</v>
          </cell>
          <cell r="H382" t="str">
            <v>SLAMET</v>
          </cell>
          <cell r="I382">
            <v>45477</v>
          </cell>
          <cell r="J382" t="str">
            <v>Tech Main</v>
          </cell>
          <cell r="K382" t="str">
            <v>B</v>
          </cell>
          <cell r="L382" t="str">
            <v>BID</v>
          </cell>
          <cell r="M382" t="str">
            <v>0239</v>
          </cell>
          <cell r="N382" t="str">
            <v>RH</v>
          </cell>
          <cell r="O382" t="str">
            <v>robertiagus.haposan@alamtri.com</v>
          </cell>
          <cell r="P382">
            <v>466</v>
          </cell>
          <cell r="Q382">
            <v>7456000</v>
          </cell>
          <cell r="R382" t="str">
            <v>Completed Sign PO</v>
          </cell>
          <cell r="T382" t="str">
            <v>MSW</v>
          </cell>
          <cell r="U382" t="str">
            <v>Radian Fokus Mandiri, CV
Greentek Elektrikal Indonesia, PT
Siwali Swantika, PT
Perwira Sentra Officindo, PT
Narmada Setia, PT
Elang Mas Indoasia, PT
Kin Kitra Kencana, PT
Gema Industrial, PT
Pacific Tractor Indonesia, PT
Berkat Pratama Teknik, CV</v>
          </cell>
          <cell r="W382" t="str">
            <v>10 of 10</v>
          </cell>
          <cell r="X382" t="str">
            <v xml:space="preserve"> of 10</v>
          </cell>
          <cell r="Z382" t="str">
            <v/>
          </cell>
          <cell r="AC382" t="str">
            <v xml:space="preserve"> of </v>
          </cell>
          <cell r="AD382" t="str">
            <v xml:space="preserve"> of </v>
          </cell>
          <cell r="AF382" t="str">
            <v/>
          </cell>
          <cell r="AI382" t="str">
            <v xml:space="preserve"> of </v>
          </cell>
          <cell r="AJ382" t="str">
            <v xml:space="preserve"> of </v>
          </cell>
          <cell r="AL382" t="str">
            <v/>
          </cell>
          <cell r="AM382">
            <v>0.70833333333333304</v>
          </cell>
          <cell r="AN382" t="str">
            <v>Narmada Setia, PT</v>
          </cell>
          <cell r="AO382" t="str">
            <v>narmadasetia.bekasi@nrs.co.id; office@nrs.co.id; marketingnatasyanarma@gmail.com; anita.grafitra@nsetia.id</v>
          </cell>
          <cell r="AP382" t="str">
            <v>PO24000490</v>
          </cell>
          <cell r="AQ382">
            <v>10180000</v>
          </cell>
          <cell r="AR382">
            <v>45488</v>
          </cell>
          <cell r="AS382">
            <v>45505</v>
          </cell>
          <cell r="AT382">
            <v>45512</v>
          </cell>
          <cell r="AU382">
            <v>45604</v>
          </cell>
          <cell r="AV382">
            <v>45425</v>
          </cell>
          <cell r="AW382">
            <v>45517</v>
          </cell>
          <cell r="AX382">
            <v>13.142857142857142</v>
          </cell>
          <cell r="AY382">
            <v>45601</v>
          </cell>
          <cell r="AZ382">
            <v>84</v>
          </cell>
          <cell r="BA382">
            <v>509000</v>
          </cell>
          <cell r="BB382" t="str">
            <v>Late Completed</v>
          </cell>
          <cell r="BC382" t="str">
            <v>PR100009355</v>
          </cell>
        </row>
        <row r="383">
          <cell r="B383" t="str">
            <v>PR100009343</v>
          </cell>
          <cell r="C383" t="str">
            <v>Gate Valve</v>
          </cell>
          <cell r="E383" t="str">
            <v>KSB Sales Indonesia, PT
Haitek Cipta Berlian, PT
Adijaya Mitra Perkasa, PT
Tomoe Valve Batama, PT
Arita Prima Indonesia Tbk, PT
Mitra Sinar Bintang, PT
Sehati, CV
Hikmah Jaya Sentosa, PT
Federal Trada Utama, PT
Indo Tehnik Tanjung Tabalong, PT
Afghan Jaya Abadi, PT
Dwijaya Sentral Sarana, PT
Maju Langgeng Mandiri, PT</v>
          </cell>
          <cell r="F383" t="str">
            <v>Tomoe Valve Batama, PT
Arita Prima Indonesia Tbk, PT
Afghan Jaya Abadi, PT
Dwijaya Sentral Sarana, PT</v>
          </cell>
          <cell r="G383" t="str">
            <v>R1
4 of 13
26 Jul 24</v>
          </cell>
          <cell r="H383" t="str">
            <v>ARTHUR BRAMIYANA</v>
          </cell>
          <cell r="I383">
            <v>45476</v>
          </cell>
          <cell r="J383" t="str">
            <v>INV</v>
          </cell>
          <cell r="K383" t="str">
            <v>B</v>
          </cell>
          <cell r="L383" t="str">
            <v>BID</v>
          </cell>
          <cell r="M383" t="str">
            <v>0245</v>
          </cell>
          <cell r="N383" t="str">
            <v>RH</v>
          </cell>
          <cell r="O383" t="str">
            <v>robertiagus.haposan@alamtri.com</v>
          </cell>
          <cell r="P383">
            <v>203.126</v>
          </cell>
          <cell r="Q383">
            <v>3250016</v>
          </cell>
          <cell r="R383" t="str">
            <v>Completed Sign PO</v>
          </cell>
          <cell r="T383" t="str">
            <v>MSW</v>
          </cell>
          <cell r="U383" t="str">
            <v>General Supply &amp; Services Indonesia, PT
Afghan Jaya Abadi, PT
Berkat Pratama Teknik, CV
Indo Tehnik Tanjung Tabalong, PT
Alfa Teknik Mandiri Makmur, PT
Petrocom Nusa Synergy, PT
Sehati, CV
Multitech Industrial Indonesia, PT
YO Engineering, CV
Cakra Perkasa Jayamulia, PT</v>
          </cell>
          <cell r="V383" t="str">
            <v>Multitech Industrial Indonesia, PT</v>
          </cell>
          <cell r="W383" t="str">
            <v>10 of 10</v>
          </cell>
          <cell r="X383" t="str">
            <v>1 of 10</v>
          </cell>
          <cell r="Y383">
            <v>45481</v>
          </cell>
          <cell r="Z383">
            <v>45488</v>
          </cell>
          <cell r="AA383" t="str">
            <v>KSB Sales Indonesia, PT
Haitek Cipta Berlian, PT
Adijaya Mitra Perkasa, PT
Tomoe Valve Batama, PT
Arita Prima Indonesia Tbk, PT
Mitra Sinar Bintang, PT
Sehati, CV
Hikmah Jaya Sentosa, PT
Federal Trada Utama, PT
Indo Tehnik Tanjung Tabalong, PT
Afghan Jaya Abadi, PT
Dwijaya Sentral Sarana, PT
Maju Langgeng Mandiri, PT</v>
          </cell>
          <cell r="AB383" t="str">
            <v>Tomoe Valve Batama, PT
Arita Prima Indonesia Tbk, PT
Afghan Jaya Abadi, PT
Dwijaya Sentral Sarana, PT</v>
          </cell>
          <cell r="AC383" t="str">
            <v>13 of 13</v>
          </cell>
          <cell r="AD383" t="str">
            <v>4 of 13</v>
          </cell>
          <cell r="AE383">
            <v>45492</v>
          </cell>
          <cell r="AF383">
            <v>45499</v>
          </cell>
          <cell r="AI383" t="str">
            <v xml:space="preserve"> of </v>
          </cell>
          <cell r="AJ383" t="str">
            <v xml:space="preserve"> of </v>
          </cell>
          <cell r="AL383" t="str">
            <v/>
          </cell>
          <cell r="AM383">
            <v>0.70833333333333304</v>
          </cell>
          <cell r="AN383" t="str">
            <v>Afghan Jaya Abadi, PT</v>
          </cell>
          <cell r="AO383" t="str">
            <v>renny.puspita78@gmail.com</v>
          </cell>
          <cell r="AP383" t="str">
            <v>PO24000625</v>
          </cell>
          <cell r="AQ383">
            <v>5000000</v>
          </cell>
          <cell r="AR383">
            <v>45532</v>
          </cell>
          <cell r="AS383">
            <v>45552</v>
          </cell>
          <cell r="AT383">
            <v>45553</v>
          </cell>
          <cell r="AU383">
            <v>45576</v>
          </cell>
          <cell r="AV383">
            <v>45425</v>
          </cell>
          <cell r="AW383">
            <v>45448</v>
          </cell>
          <cell r="AX383">
            <v>3.2857142857142856</v>
          </cell>
          <cell r="AY383">
            <v>45565</v>
          </cell>
          <cell r="AZ383">
            <v>117</v>
          </cell>
          <cell r="BA383">
            <v>150000</v>
          </cell>
          <cell r="BB383" t="str">
            <v>Late Completed</v>
          </cell>
          <cell r="BC383" t="str">
            <v>PR100009343</v>
          </cell>
        </row>
        <row r="384">
          <cell r="B384" t="str">
            <v>PR100009353</v>
          </cell>
          <cell r="C384" t="str">
            <v>Gear &amp; Bearing Oils, Shell Omala S2 GX 220 dan S2 GX 320 stock Inventory</v>
          </cell>
          <cell r="E384" t="str">
            <v>Sefas Pelindotama, PT
Sejahtera Oil Internasional, PT
Riodi Jaya, PT
Cahaya Pengajaran Abadi, PT
Tribina Panutan, PT</v>
          </cell>
          <cell r="F384" t="str">
            <v>Sefas Pelindotama, PT
Sejahtera Oil Internasional, PT
Cahaya Pengajaran Abadi, PT</v>
          </cell>
          <cell r="G384" t="str">
            <v>R1
3 of 5
31 Jul 24</v>
          </cell>
          <cell r="H384" t="str">
            <v>ARTHUR BRAMIYANA</v>
          </cell>
          <cell r="I384">
            <v>45476</v>
          </cell>
          <cell r="J384" t="str">
            <v>INV</v>
          </cell>
          <cell r="K384" t="str">
            <v>B</v>
          </cell>
          <cell r="L384" t="str">
            <v>BID</v>
          </cell>
          <cell r="M384" t="str">
            <v>0244</v>
          </cell>
          <cell r="N384" t="str">
            <v>RH</v>
          </cell>
          <cell r="O384" t="str">
            <v>robertiagus.haposan@alamtri.com</v>
          </cell>
          <cell r="P384">
            <v>10.138299999999999</v>
          </cell>
          <cell r="Q384">
            <v>162212.79999999999</v>
          </cell>
          <cell r="R384" t="str">
            <v>Completed Sign PO</v>
          </cell>
          <cell r="T384" t="str">
            <v>MSW</v>
          </cell>
          <cell r="U384" t="str">
            <v>Sefas Pelindotama, PT
Cahaya Pengajaran Abadi, PT
Sejahtera Oil Internasional, PT
Riodi Kalbar, PT
Artha Bina Intisrijaya, PT</v>
          </cell>
          <cell r="V384" t="str">
            <v>Sefas Pelindotama, PT
Sejahtera Oil Internasional, PT</v>
          </cell>
          <cell r="W384" t="str">
            <v>5 of 5</v>
          </cell>
          <cell r="X384" t="str">
            <v>2 of 5</v>
          </cell>
          <cell r="Y384">
            <v>45481</v>
          </cell>
          <cell r="Z384">
            <v>45488</v>
          </cell>
          <cell r="AA384" t="str">
            <v>Sefas Pelindotama, PT
Sejahtera Oil Internasional, PT
Riodi Jaya, PT
Cahaya Pengajaran Abadi, PT
Tribina Panutan, PT</v>
          </cell>
          <cell r="AB384" t="str">
            <v>Sefas Pelindotama, PT
Sejahtera Oil Internasional, PT
Cahaya Pengajaran Abadi, PT</v>
          </cell>
          <cell r="AC384" t="str">
            <v>5 of 5</v>
          </cell>
          <cell r="AD384" t="str">
            <v>3 of 5</v>
          </cell>
          <cell r="AE384">
            <v>45497</v>
          </cell>
          <cell r="AF384">
            <v>45504</v>
          </cell>
          <cell r="AI384" t="str">
            <v xml:space="preserve"> of </v>
          </cell>
          <cell r="AJ384" t="str">
            <v xml:space="preserve"> of </v>
          </cell>
          <cell r="AL384" t="str">
            <v/>
          </cell>
          <cell r="AM384">
            <v>0.70833333333333304</v>
          </cell>
          <cell r="AN384" t="str">
            <v>Sefas Pelindotama, PT</v>
          </cell>
          <cell r="AO384" t="str">
            <v>salesbjm@sefasgroup.com; reda.ilhami@sefasgroup.com</v>
          </cell>
          <cell r="AP384" t="str">
            <v>PO24000590</v>
          </cell>
          <cell r="AQ384">
            <v>29657000</v>
          </cell>
          <cell r="AR384">
            <v>45506</v>
          </cell>
          <cell r="AS384">
            <v>45538</v>
          </cell>
          <cell r="AT384">
            <v>45540</v>
          </cell>
          <cell r="AU384">
            <v>45555</v>
          </cell>
          <cell r="AV384">
            <v>45425</v>
          </cell>
          <cell r="AW384">
            <v>45440</v>
          </cell>
          <cell r="AX384">
            <v>2.1428571428571428</v>
          </cell>
          <cell r="AY384">
            <v>45553</v>
          </cell>
          <cell r="AZ384">
            <v>113</v>
          </cell>
          <cell r="BA384">
            <v>1482850</v>
          </cell>
          <cell r="BB384" t="str">
            <v>Late Completed</v>
          </cell>
          <cell r="BC384" t="str">
            <v>PR100009353</v>
          </cell>
        </row>
        <row r="385">
          <cell r="B385" t="str">
            <v>PR100009340</v>
          </cell>
          <cell r="C385" t="str">
            <v>INFLATABLE SEAL For Dome Valve,stock Inventory</v>
          </cell>
          <cell r="E385" t="str">
            <v>Multitech Industrial Indonesia, PT
Proweldindo, PT
Perwira Sentra Officindo, PT
Haitek Cipta Berlian, PT
Antares Jaya Gemilang Prima, PT
Ekatama Putra Perkasa, PT
Total Prime Engineering, PT
Outsourcindo, PT</v>
          </cell>
          <cell r="F385" t="str">
            <v>Multitech Industrial Indonesia, PT
Proweldindo, PT
Perwira Sentra Officindo, PT
Haitek Cipta Berlian, PT
Outsourcindo, PT</v>
          </cell>
          <cell r="G385" t="str">
            <v>R2
5 of 8
09 Aug 24</v>
          </cell>
          <cell r="H385" t="str">
            <v>ARTHUR BRAMIYANA</v>
          </cell>
          <cell r="I385">
            <v>45476</v>
          </cell>
          <cell r="J385" t="str">
            <v>INV</v>
          </cell>
          <cell r="K385" t="str">
            <v>B</v>
          </cell>
          <cell r="L385" t="str">
            <v>BID</v>
          </cell>
          <cell r="M385" t="str">
            <v>0245</v>
          </cell>
          <cell r="N385" t="str">
            <v>RH</v>
          </cell>
          <cell r="O385" t="str">
            <v>robertiagus.haposan@alamtri.com</v>
          </cell>
          <cell r="P385">
            <v>789.22500000000002</v>
          </cell>
          <cell r="Q385">
            <v>12627600</v>
          </cell>
          <cell r="R385" t="str">
            <v>Completed Sign PO</v>
          </cell>
          <cell r="T385" t="str">
            <v>MSW</v>
          </cell>
          <cell r="U385" t="str">
            <v>General Supply &amp; Services Indonesia, PT
Afghan Jaya Abadi, PT
Berkat Pratama Teknik, CV
Indo Tehnik Tanjung Tabalong, PT
Alfa Teknik Mandiri Makmur, PT
Petrocom Nusa Synergy, PT
Sehati, CV
Multitech Industrial Indonesia, PT
YO Engineering, CV
Cakra Perkasa Jayamulia, PT</v>
          </cell>
          <cell r="V385" t="str">
            <v>Multitech Industrial Indonesia, PT</v>
          </cell>
          <cell r="W385" t="str">
            <v>10 of 10</v>
          </cell>
          <cell r="X385" t="str">
            <v>1 of 10</v>
          </cell>
          <cell r="Y385">
            <v>46576</v>
          </cell>
          <cell r="Z385">
            <v>46583</v>
          </cell>
          <cell r="AA385" t="str">
            <v>Multitech Industrial Indonesia, PT
YO Engineering, CV
Haitek Cipta Berlian, PT
Perwira Sentra Officindo, PT
Berkat Pratama Teknik, CV
Petrocom Nusa Synergy, PT</v>
          </cell>
          <cell r="AB385" t="str">
            <v>Perwira Sentra Officindo, PT</v>
          </cell>
          <cell r="AC385" t="str">
            <v>6 of 6</v>
          </cell>
          <cell r="AD385" t="str">
            <v>1 of 6</v>
          </cell>
          <cell r="AE385">
            <v>45497</v>
          </cell>
          <cell r="AF385">
            <v>45504</v>
          </cell>
          <cell r="AG385" t="str">
            <v>Multitech Industrial Indonesia, PT
Proweldindo, PT
Perwira Sentra Officindo, PT
Haitek Cipta Berlian, PT
Antares Jaya Gemilang Prima, PT
Ekatama Putra Perkasa, PT
Total Prime Engineering, PT
Outsourcindo, PT</v>
          </cell>
          <cell r="AH385" t="str">
            <v>Multitech Industrial Indonesia, PT
Proweldindo, PT
Perwira Sentra Officindo, PT
Haitek Cipta Berlian, PT
Outsourcindo, PT</v>
          </cell>
          <cell r="AI385" t="str">
            <v>8 of 8</v>
          </cell>
          <cell r="AJ385" t="str">
            <v>5 of 8</v>
          </cell>
          <cell r="AK385">
            <v>45510</v>
          </cell>
          <cell r="AL385">
            <v>45513</v>
          </cell>
          <cell r="AM385">
            <v>0.70833333333333304</v>
          </cell>
          <cell r="AN385" t="str">
            <v>Perwira Sentra Officindo, PT</v>
          </cell>
          <cell r="AO385" t="str">
            <v>d_santos63@yahoo.com</v>
          </cell>
          <cell r="AP385" t="str">
            <v>PO24000631</v>
          </cell>
          <cell r="AQ385">
            <v>8730000</v>
          </cell>
          <cell r="AR385">
            <v>45517</v>
          </cell>
          <cell r="AS385">
            <v>45552</v>
          </cell>
          <cell r="AT385">
            <v>45553</v>
          </cell>
          <cell r="AU385">
            <v>45583</v>
          </cell>
          <cell r="AV385">
            <v>45425</v>
          </cell>
          <cell r="AW385">
            <v>45455</v>
          </cell>
          <cell r="AX385">
            <v>4.2857142857142856</v>
          </cell>
          <cell r="AY385">
            <v>45629</v>
          </cell>
          <cell r="AZ385">
            <v>174</v>
          </cell>
          <cell r="BA385">
            <v>261900</v>
          </cell>
          <cell r="BB385" t="str">
            <v>Late Completed</v>
          </cell>
          <cell r="BC385" t="str">
            <v>PR100009340</v>
          </cell>
        </row>
        <row r="386">
          <cell r="B386" t="str">
            <v>PR100009366</v>
          </cell>
          <cell r="C386" t="str">
            <v>Analisa Unburn Carbon Pada Bottom Ash &amp; Fly Ash</v>
          </cell>
          <cell r="E386" t="str">
            <v>ALS Indonesia, PT
Carsurin, PT
Tribhakti Inspektama, PT</v>
          </cell>
          <cell r="F386" t="str">
            <v>ALS Indonesia, PT
Carsurin, PT
Tribhakti Inspektama, PT</v>
          </cell>
          <cell r="G386" t="str">
            <v>R2
3 of 3
29 Jul 25</v>
          </cell>
          <cell r="H386" t="str">
            <v>ARIES KURNIAWAN</v>
          </cell>
          <cell r="I386">
            <v>45476</v>
          </cell>
          <cell r="J386" t="str">
            <v>Tech OP</v>
          </cell>
          <cell r="K386" t="str">
            <v>J</v>
          </cell>
          <cell r="L386" t="str">
            <v>BID</v>
          </cell>
          <cell r="M386" t="str">
            <v>0240</v>
          </cell>
          <cell r="N386" t="str">
            <v>RH</v>
          </cell>
          <cell r="O386" t="str">
            <v>robertiagus.haposan@alamtri.com</v>
          </cell>
          <cell r="P386">
            <v>650</v>
          </cell>
          <cell r="Q386">
            <v>10400000</v>
          </cell>
          <cell r="R386" t="str">
            <v>Completed Sign PO</v>
          </cell>
          <cell r="T386" t="str">
            <v>MSW</v>
          </cell>
          <cell r="U386" t="str">
            <v>Carsurin, PT
Dankha Dian Kurnia, PT
Surveyor Indonesia, PT
Sucofindo, PT
Envilab Indonesia, PT
Tehnik Bauran Energi Nusa Indah, PT
ALS Indonesia, PT
Kehatilab Indonesia, PT
Anugrah Analisis Sempurna, PT
Adhikarilab Indonesia, PT</v>
          </cell>
          <cell r="W386" t="str">
            <v>10 of 10</v>
          </cell>
          <cell r="X386" t="str">
            <v xml:space="preserve"> of 10</v>
          </cell>
          <cell r="Y386">
            <v>45477</v>
          </cell>
          <cell r="Z386">
            <v>45484</v>
          </cell>
          <cell r="AA386" t="str">
            <v>ALS Indonesia, PT
Intertek Utama Services, PT
Petrolab Services, PT
Carsurin, PT
Anugrah Analisis Sempurna, PT
Indra Karya, PT</v>
          </cell>
          <cell r="AB386" t="str">
            <v>ALS Indonesia, PT
Carsurin, PT</v>
          </cell>
          <cell r="AC386" t="str">
            <v>6 of 6</v>
          </cell>
          <cell r="AD386" t="str">
            <v>2 of 6</v>
          </cell>
          <cell r="AE386">
            <v>45488</v>
          </cell>
          <cell r="AF386">
            <v>45495</v>
          </cell>
          <cell r="AG386" t="str">
            <v>ALS Indonesia, PT
Carsurin, PT
Tribhakti Inspektama, PT</v>
          </cell>
          <cell r="AH386" t="str">
            <v>ALS Indonesia, PT
Carsurin, PT
Tribhakti Inspektama, PT</v>
          </cell>
          <cell r="AI386" t="str">
            <v>3 of 3</v>
          </cell>
          <cell r="AJ386" t="str">
            <v>3 of 3</v>
          </cell>
          <cell r="AK386">
            <v>45498</v>
          </cell>
          <cell r="AL386">
            <v>45867</v>
          </cell>
          <cell r="AM386">
            <v>0.70833333333333304</v>
          </cell>
          <cell r="AN386" t="str">
            <v>Carsurin, PT</v>
          </cell>
          <cell r="AO386" t="str">
            <v>sales.coal12@carsurin.com; info@carsurin.com; kastalani@carsurin.com; irwin.pardosi@carsurin.com; horegional1@carsurin.com</v>
          </cell>
          <cell r="AP386" t="str">
            <v>PO24000502R1</v>
          </cell>
          <cell r="AQ386">
            <v>1155200</v>
          </cell>
          <cell r="AR386">
            <v>45505</v>
          </cell>
          <cell r="AS386">
            <v>45513</v>
          </cell>
          <cell r="AT386">
            <v>45517</v>
          </cell>
          <cell r="AU386">
            <v>45541</v>
          </cell>
          <cell r="AV386">
            <v>45425</v>
          </cell>
          <cell r="AW386">
            <v>45449</v>
          </cell>
          <cell r="AX386">
            <v>3.4285714285714284</v>
          </cell>
          <cell r="AY386">
            <v>45679</v>
          </cell>
          <cell r="AZ386">
            <v>230</v>
          </cell>
          <cell r="BA386">
            <v>34656</v>
          </cell>
          <cell r="BB386" t="str">
            <v>Late Completed</v>
          </cell>
          <cell r="BC386" t="str">
            <v>PR100009366</v>
          </cell>
        </row>
        <row r="387">
          <cell r="B387" t="str">
            <v>PR100009355
(Line 1-2)</v>
          </cell>
          <cell r="C387" t="str">
            <v>Material (part) Generator  untuk Genset 3G4 dan 3G3 IBT (barang langsung kirim ke IBT)</v>
          </cell>
          <cell r="E387" t="str">
            <v>Berkat Pratama Teknik, CV
Trakindo Utama, PT (Tanjung)
Bima Kaltim Utama, PT
Cipta Dua Power Frans Diesel, PT
Sentrapart Niaga Utama, PT
Gardamas Surya Lestari, PT</v>
          </cell>
          <cell r="F387" t="str">
            <v>Berkat Pratama Teknik, CV
Trakindo Utama, PT (Tanjung)
Bima Kaltim Utama, PT</v>
          </cell>
          <cell r="G387" t="str">
            <v>R2
3 of 6
01 Aug 24</v>
          </cell>
          <cell r="H387" t="str">
            <v>SLAMET</v>
          </cell>
          <cell r="I387">
            <v>45476</v>
          </cell>
          <cell r="J387" t="str">
            <v>Tech Main</v>
          </cell>
          <cell r="K387" t="str">
            <v>B</v>
          </cell>
          <cell r="L387" t="str">
            <v>BID</v>
          </cell>
          <cell r="M387" t="str">
            <v>0239</v>
          </cell>
          <cell r="N387" t="str">
            <v>RH</v>
          </cell>
          <cell r="O387" t="str">
            <v>robertiagus.haposan@alamtri.com</v>
          </cell>
          <cell r="P387">
            <v>3338</v>
          </cell>
          <cell r="Q387">
            <v>53408000</v>
          </cell>
          <cell r="R387" t="str">
            <v>Completed Sign PO</v>
          </cell>
          <cell r="T387" t="str">
            <v>MSW</v>
          </cell>
          <cell r="U387" t="str">
            <v>Radian Fokus Mandiri, CV
Greentek Elektrikal Indonesia, PT
Siwali Swantika, PT
Perwira Sentra Officindo, PT
Narmada Setia, PT
Elang Mas Indoasia, PT
Kin Kitra Kencana, PT
Gema Industrial, PT
Pacific Tractor Indonesia, PT
Berkat Pratama Teknik, CV</v>
          </cell>
          <cell r="V387" t="str">
            <v>Siwali Swantika, PT
Perwira Sentra Officindo, PT
Narmada Setia, PT
Elang Mas Indoasia, PT-x
Berkat Pratama Teknik, CV</v>
          </cell>
          <cell r="W387" t="str">
            <v>10 of 10</v>
          </cell>
          <cell r="X387" t="str">
            <v>5 of 10</v>
          </cell>
          <cell r="Y387">
            <v>45477</v>
          </cell>
          <cell r="Z387">
            <v>45484</v>
          </cell>
          <cell r="AA387" t="str">
            <v>Perwira Sentra Officindo, PT
Indo Makmur Mandiri, PT
Lima Makmur Jaya, PT
Panca Gemilang Teknindo
Indo Tehnik Tanjung Tabalong, PT
Panca Global Solusindo, PT
Gridtech Indonesia, PT
Alfa Teknik Mandiri Makmur, PT
Berkat Pratama Teknik, CV
Trakindo Utama, PT (Tanjung)
Bima Kaltim Utama, PT</v>
          </cell>
          <cell r="AB387" t="str">
            <v>Berkat Pratama Teknik, CV
Trakindo Utama, PT (Tanjung)
Bima Kaltim Utama, PT</v>
          </cell>
          <cell r="AC387" t="str">
            <v>11 of 11</v>
          </cell>
          <cell r="AD387" t="str">
            <v>3 of 11</v>
          </cell>
          <cell r="AE387">
            <v>45489</v>
          </cell>
          <cell r="AF387">
            <v>45496</v>
          </cell>
          <cell r="AG387" t="str">
            <v>Berkat Pratama Teknik, CV
Trakindo Utama, PT (Tanjung)
Bima Kaltim Utama, PT
Cipta Dua Power Frans Diesel, PT
Sentrapart Niaga Utama, PT
Gardamas Surya Lestari, PT</v>
          </cell>
          <cell r="AH387" t="str">
            <v>Berkat Pratama Teknik, CV
Trakindo Utama, PT (Tanjung)
Bima Kaltim Utama, PT</v>
          </cell>
          <cell r="AI387" t="str">
            <v>6 of 6</v>
          </cell>
          <cell r="AJ387" t="str">
            <v>3 of 6</v>
          </cell>
          <cell r="AK387">
            <v>45502</v>
          </cell>
          <cell r="AL387">
            <v>45505</v>
          </cell>
          <cell r="AM387">
            <v>0.70833333333333304</v>
          </cell>
          <cell r="AN387" t="str">
            <v>Trakindo Utama, PT</v>
          </cell>
          <cell r="AO387" t="str">
            <v>hjuniater.sidauruk@trakindo.co.id</v>
          </cell>
          <cell r="AP387" t="str">
            <v>PO24000566</v>
          </cell>
          <cell r="AQ387">
            <v>119562182</v>
          </cell>
          <cell r="AR387">
            <v>45510</v>
          </cell>
          <cell r="AS387">
            <v>45530</v>
          </cell>
          <cell r="AT387">
            <v>45532</v>
          </cell>
          <cell r="AU387">
            <v>45548</v>
          </cell>
          <cell r="AV387">
            <v>45425</v>
          </cell>
          <cell r="AW387">
            <v>45441</v>
          </cell>
          <cell r="AX387">
            <v>2.2857142857142856</v>
          </cell>
          <cell r="AY387">
            <v>45590</v>
          </cell>
          <cell r="AZ387">
            <v>149</v>
          </cell>
          <cell r="BA387">
            <v>5978109.1000000006</v>
          </cell>
          <cell r="BB387" t="str">
            <v>Late Completed</v>
          </cell>
          <cell r="BC387" t="str">
            <v>PR100009355</v>
          </cell>
        </row>
        <row r="388">
          <cell r="B388" t="str">
            <v>PR100009378</v>
          </cell>
          <cell r="C388" t="str">
            <v>BRONZE GATE VALVE Nom Size 2 Inchi Class 150 Stock Inventory</v>
          </cell>
          <cell r="E388" t="str">
            <v>Sehati, CV
Andalan Tiga Berlian, PT
Alfa Teknik Mandiri Makmur, PT
Arita Prima Indonesia Tbk, PT
Trimitra Wahana Sukses, PT
Berkat Pratama Teknik, CV
Perwira Sentra Officindo, PT</v>
          </cell>
          <cell r="F388" t="str">
            <v/>
          </cell>
          <cell r="G388" t="str">
            <v xml:space="preserve">R0
 of 7
</v>
          </cell>
          <cell r="H388" t="str">
            <v>ARTHUR BRAMIYANA</v>
          </cell>
          <cell r="I388">
            <v>45478</v>
          </cell>
          <cell r="J388" t="str">
            <v>INV</v>
          </cell>
          <cell r="K388" t="str">
            <v>B</v>
          </cell>
          <cell r="L388" t="str">
            <v>BID</v>
          </cell>
          <cell r="M388" t="str">
            <v>0249</v>
          </cell>
          <cell r="N388" t="str">
            <v>RH</v>
          </cell>
          <cell r="O388" t="str">
            <v>robertiagus.haposan@alamtri.com</v>
          </cell>
          <cell r="P388">
            <v>245.2312</v>
          </cell>
          <cell r="Q388">
            <v>3923699.2</v>
          </cell>
          <cell r="R388" t="str">
            <v>Completed Sign PO</v>
          </cell>
          <cell r="T388" t="str">
            <v>MSW</v>
          </cell>
          <cell r="U388" t="str">
            <v>Sehati, CV
Andalan Tiga Berlian, PT
Alfa Teknik Mandiri Makmur, PT
Arita Prima Indonesia Tbk, PT
Trimitra Wahana Sukses, PT
Berkat Pratama Teknik, CV
Perwira Sentra Officindo, PT</v>
          </cell>
          <cell r="W388" t="str">
            <v>7 of 7</v>
          </cell>
          <cell r="X388" t="str">
            <v xml:space="preserve"> of 7</v>
          </cell>
          <cell r="Z388" t="str">
            <v/>
          </cell>
          <cell r="AC388" t="str">
            <v xml:space="preserve"> of </v>
          </cell>
          <cell r="AD388" t="str">
            <v xml:space="preserve"> of </v>
          </cell>
          <cell r="AF388" t="str">
            <v/>
          </cell>
          <cell r="AI388" t="str">
            <v xml:space="preserve"> of </v>
          </cell>
          <cell r="AJ388" t="str">
            <v xml:space="preserve"> of </v>
          </cell>
          <cell r="AL388" t="str">
            <v/>
          </cell>
          <cell r="AM388">
            <v>0.70833333333333304</v>
          </cell>
          <cell r="AN388" t="str">
            <v>Perwira Sentra Officindo, PT</v>
          </cell>
          <cell r="AO388" t="str">
            <v>d_santos63@yahoo.com</v>
          </cell>
          <cell r="AP388" t="str">
            <v>PO24000489</v>
          </cell>
          <cell r="AQ388">
            <v>1848000</v>
          </cell>
          <cell r="AR388">
            <v>45492</v>
          </cell>
          <cell r="AS388">
            <v>45502</v>
          </cell>
          <cell r="AT388">
            <v>45512</v>
          </cell>
          <cell r="AU388">
            <v>45576</v>
          </cell>
          <cell r="AV388">
            <v>45425</v>
          </cell>
          <cell r="AW388">
            <v>45489</v>
          </cell>
          <cell r="AX388">
            <v>9.1428571428571423</v>
          </cell>
          <cell r="AY388">
            <v>45552</v>
          </cell>
          <cell r="AZ388">
            <v>63</v>
          </cell>
          <cell r="BA388">
            <v>55440</v>
          </cell>
          <cell r="BB388" t="str">
            <v>Late Completed</v>
          </cell>
          <cell r="BC388" t="str">
            <v>PR100009378</v>
          </cell>
        </row>
        <row r="389">
          <cell r="B389" t="str">
            <v>PR100009345</v>
          </cell>
          <cell r="C389" t="str">
            <v>Deep Groove Ball Bearing 6204 2Z-C3,Stock Inventory</v>
          </cell>
          <cell r="E389" t="str">
            <v>Perwira Sentra Officindo, PT
Banjar Bearing Sentosa, PT
SLS Bearindo, PT
Gema Industrial, PT
Fortuna Anekamulti Gemilang, PT
Borneo Statewide Bearing, PT
Afghan Jaya Abadi, PT</v>
          </cell>
          <cell r="F389" t="str">
            <v/>
          </cell>
          <cell r="G389" t="str">
            <v xml:space="preserve">R0
 of 7
</v>
          </cell>
          <cell r="H389" t="str">
            <v>ARTHUR BRAMIYANA</v>
          </cell>
          <cell r="I389">
            <v>45481</v>
          </cell>
          <cell r="J389" t="str">
            <v>INV</v>
          </cell>
          <cell r="K389" t="str">
            <v>B</v>
          </cell>
          <cell r="L389" t="str">
            <v>BID</v>
          </cell>
          <cell r="M389" t="str">
            <v>0248</v>
          </cell>
          <cell r="N389" t="str">
            <v>RH</v>
          </cell>
          <cell r="O389" t="str">
            <v>robertiagus.haposan@alamtri.com</v>
          </cell>
          <cell r="P389">
            <v>22.108799999999999</v>
          </cell>
          <cell r="Q389">
            <v>353740.79999999999</v>
          </cell>
          <cell r="R389" t="str">
            <v>Completed Sign PO</v>
          </cell>
          <cell r="T389" t="str">
            <v>MSW</v>
          </cell>
          <cell r="U389" t="str">
            <v>Perwira Sentra Officindo, PT
Banjar Bearing Sentosa, PT
SLS Bearindo, PT
Gema Industrial, PT
Fortuna Anekamulti Gemilang, PT
Borneo Statewide Bearing, PT
Afghan Jaya Abadi, PT</v>
          </cell>
          <cell r="W389" t="str">
            <v>7 of 7</v>
          </cell>
          <cell r="X389" t="str">
            <v xml:space="preserve"> of 7</v>
          </cell>
          <cell r="Z389" t="str">
            <v/>
          </cell>
          <cell r="AC389" t="str">
            <v xml:space="preserve"> of </v>
          </cell>
          <cell r="AD389" t="str">
            <v xml:space="preserve"> of </v>
          </cell>
          <cell r="AF389" t="str">
            <v/>
          </cell>
          <cell r="AI389" t="str">
            <v xml:space="preserve"> of </v>
          </cell>
          <cell r="AJ389" t="str">
            <v xml:space="preserve"> of </v>
          </cell>
          <cell r="AL389" t="str">
            <v/>
          </cell>
          <cell r="AM389">
            <v>0.70833333333333304</v>
          </cell>
          <cell r="AN389" t="str">
            <v>SLS Bearindo, PT</v>
          </cell>
          <cell r="AO389" t="str">
            <v>slsbpn@slsbearindo.com</v>
          </cell>
          <cell r="AP389" t="str">
            <v>PO24000503</v>
          </cell>
          <cell r="AQ389">
            <v>200000</v>
          </cell>
          <cell r="AR389">
            <v>45492</v>
          </cell>
          <cell r="AS389">
            <v>45510</v>
          </cell>
          <cell r="AT389">
            <v>45517</v>
          </cell>
          <cell r="AU389">
            <v>45537</v>
          </cell>
          <cell r="AV389">
            <v>45425</v>
          </cell>
          <cell r="AW389">
            <v>45445</v>
          </cell>
          <cell r="AX389">
            <v>2.8571428571428572</v>
          </cell>
          <cell r="AY389">
            <v>45520</v>
          </cell>
          <cell r="AZ389">
            <v>75</v>
          </cell>
          <cell r="BA389">
            <v>6000</v>
          </cell>
          <cell r="BB389" t="str">
            <v>Late Completed</v>
          </cell>
          <cell r="BC389" t="str">
            <v>PR100009345</v>
          </cell>
        </row>
        <row r="390">
          <cell r="B390" t="str">
            <v>PR100009346 (Line 1)</v>
          </cell>
          <cell r="C390" t="str">
            <v>Solenoid Valve Stock Inventory</v>
          </cell>
          <cell r="D390" t="str">
            <v>Sahara Persada, PT
Kin Kitra Kencana, PT</v>
          </cell>
          <cell r="E390" t="str">
            <v>Gema Industrial, PT
Kin Kitra Kencana, PT
Endress+Hauser Indonesia, PT
ANP Engineering, PT
Antares Jaya Gemilang Prima, PT
Gading Mas Utama, PT
Alfa Teknik Mandiri Makmur, PT
Greentek Elektrikal Indonesia, PT
Putera Instrumenindo, PT</v>
          </cell>
          <cell r="F390" t="str">
            <v/>
          </cell>
          <cell r="G390" t="str">
            <v xml:space="preserve">R0
 of 9
</v>
          </cell>
          <cell r="H390" t="str">
            <v>ARTHUR BRAMIYANA</v>
          </cell>
          <cell r="I390">
            <v>45482</v>
          </cell>
          <cell r="J390" t="str">
            <v>INV</v>
          </cell>
          <cell r="K390" t="str">
            <v>B</v>
          </cell>
          <cell r="L390" t="str">
            <v>BID</v>
          </cell>
          <cell r="M390" t="str">
            <v>0250</v>
          </cell>
          <cell r="N390" t="str">
            <v>RH</v>
          </cell>
          <cell r="O390" t="str">
            <v>robertiagus.haposan@alamtri.com</v>
          </cell>
          <cell r="P390">
            <v>517.73180000000002</v>
          </cell>
          <cell r="Q390">
            <v>8283708.8000000007</v>
          </cell>
          <cell r="R390" t="str">
            <v>Completed Sign PO</v>
          </cell>
          <cell r="T390" t="str">
            <v>MSW</v>
          </cell>
          <cell r="U390" t="str">
            <v>Gema Industrial, PT
Kin Kitra Kencana, PT
Endress+Hauser Indonesia, PT
ANP Engineering, PT
Antares Jaya Gemilang Prima, PT
Gading Mas Utama, PT
Alfa Teknik Mandiri Makmur, PT
Greentek Elektrikal Indonesia, PT
Putera Instrumenindo, PT</v>
          </cell>
          <cell r="W390" t="str">
            <v>9 of 9</v>
          </cell>
          <cell r="X390" t="str">
            <v xml:space="preserve"> of 9</v>
          </cell>
          <cell r="Z390" t="str">
            <v/>
          </cell>
          <cell r="AC390" t="str">
            <v xml:space="preserve"> of </v>
          </cell>
          <cell r="AD390" t="str">
            <v xml:space="preserve"> of </v>
          </cell>
          <cell r="AF390" t="str">
            <v/>
          </cell>
          <cell r="AI390" t="str">
            <v xml:space="preserve"> of </v>
          </cell>
          <cell r="AJ390" t="str">
            <v xml:space="preserve"> of </v>
          </cell>
          <cell r="AL390" t="str">
            <v/>
          </cell>
          <cell r="AM390">
            <v>0.70833333333333304</v>
          </cell>
          <cell r="AN390" t="str">
            <v>Antares Jaya Gemilang Prima, PT</v>
          </cell>
          <cell r="AO390" t="str">
            <v>info@pt-antares.com; antares.jgp@gmail.com</v>
          </cell>
          <cell r="AP390" t="str">
            <v>PO24000524</v>
          </cell>
          <cell r="AQ390">
            <v>1210000</v>
          </cell>
          <cell r="AR390">
            <v>45492</v>
          </cell>
          <cell r="AS390">
            <v>45523</v>
          </cell>
          <cell r="AT390">
            <v>45524</v>
          </cell>
          <cell r="AU390">
            <v>45576</v>
          </cell>
          <cell r="AV390">
            <v>45425</v>
          </cell>
          <cell r="AW390">
            <v>45477</v>
          </cell>
          <cell r="AX390">
            <v>7.4285714285714288</v>
          </cell>
          <cell r="AY390">
            <v>45565</v>
          </cell>
          <cell r="AZ390">
            <v>88</v>
          </cell>
          <cell r="BA390">
            <v>36300</v>
          </cell>
          <cell r="BB390" t="str">
            <v>Late Completed</v>
          </cell>
          <cell r="BC390" t="str">
            <v>PR100009346</v>
          </cell>
        </row>
        <row r="391">
          <cell r="B391" t="str">
            <v>PR100009346 (Line 2)</v>
          </cell>
          <cell r="C391" t="str">
            <v>Solenoid Valve Stock Inventory</v>
          </cell>
          <cell r="E391" t="str">
            <v>Gema Industrial, PT
Kin Kitra Kencana, PT
Endress+Hauser Indonesia, PT
ANP Engineering, PT
Antares Jaya Gemilang Prima, PT
Gading Mas Utama, PT
Alfa Teknik Mandiri Makmur, PT
Greentek Elektrikal Indonesia, PT
Putera Instrumenindo, PT</v>
          </cell>
          <cell r="F391" t="str">
            <v/>
          </cell>
          <cell r="G391" t="str">
            <v xml:space="preserve">R0
 of 9
</v>
          </cell>
          <cell r="H391" t="str">
            <v>ARTHUR BRAMIYANA</v>
          </cell>
          <cell r="I391">
            <v>45482</v>
          </cell>
          <cell r="J391" t="str">
            <v>INV</v>
          </cell>
          <cell r="K391" t="str">
            <v>B</v>
          </cell>
          <cell r="L391" t="str">
            <v>BID</v>
          </cell>
          <cell r="M391" t="str">
            <v>0250</v>
          </cell>
          <cell r="N391" t="str">
            <v>RH</v>
          </cell>
          <cell r="O391" t="str">
            <v>robertiagus.haposan@alamtri.com</v>
          </cell>
          <cell r="P391">
            <v>281.63499999999999</v>
          </cell>
          <cell r="Q391">
            <v>4506160</v>
          </cell>
          <cell r="R391" t="str">
            <v>Completed Sign PO</v>
          </cell>
          <cell r="T391" t="str">
            <v>MSW</v>
          </cell>
          <cell r="U391" t="str">
            <v>Gema Industrial, PT
Kin Kitra Kencana, PT
Endress+Hauser Indonesia, PT
ANP Engineering, PT
Antares Jaya Gemilang Prima, PT
Gading Mas Utama, PT
Alfa Teknik Mandiri Makmur, PT
Greentek Elektrikal Indonesia, PT
Putera Instrumenindo, PT</v>
          </cell>
          <cell r="W391" t="str">
            <v>9 of 9</v>
          </cell>
          <cell r="X391" t="str">
            <v xml:space="preserve"> of 9</v>
          </cell>
          <cell r="Z391" t="str">
            <v/>
          </cell>
          <cell r="AC391" t="str">
            <v xml:space="preserve"> of </v>
          </cell>
          <cell r="AD391" t="str">
            <v xml:space="preserve"> of </v>
          </cell>
          <cell r="AF391" t="str">
            <v/>
          </cell>
          <cell r="AI391" t="str">
            <v xml:space="preserve"> of </v>
          </cell>
          <cell r="AJ391" t="str">
            <v xml:space="preserve"> of </v>
          </cell>
          <cell r="AL391" t="str">
            <v/>
          </cell>
          <cell r="AM391">
            <v>0.70833333333333304</v>
          </cell>
          <cell r="AN391" t="str">
            <v>Gading Mas Utama, PT</v>
          </cell>
          <cell r="AO391" t="str">
            <v>sales@gmu.co.id; marta.l@cbn.net.id</v>
          </cell>
          <cell r="AP391" t="str">
            <v>PO24000525</v>
          </cell>
          <cell r="AQ391">
            <v>2520000</v>
          </cell>
          <cell r="AR391">
            <v>45492</v>
          </cell>
          <cell r="AS391">
            <v>45523</v>
          </cell>
          <cell r="AT391">
            <v>45524</v>
          </cell>
          <cell r="AU391">
            <v>45611</v>
          </cell>
          <cell r="AV391">
            <v>45425</v>
          </cell>
          <cell r="AW391">
            <v>45512</v>
          </cell>
          <cell r="AX391">
            <v>12.428571428571429</v>
          </cell>
          <cell r="AY391">
            <v>45571</v>
          </cell>
          <cell r="AZ391">
            <v>59</v>
          </cell>
          <cell r="BA391">
            <v>75600</v>
          </cell>
          <cell r="BB391" t="str">
            <v>Late Completed</v>
          </cell>
          <cell r="BC391" t="str">
            <v>PR100009346</v>
          </cell>
        </row>
        <row r="392">
          <cell r="B392" t="str">
            <v>PR100009403</v>
          </cell>
          <cell r="C392" t="str">
            <v>Genzet Perkins 80 kva GEP88 Air Filter,Element Inner &amp; Outer Stock Inventory</v>
          </cell>
          <cell r="E392" t="str">
            <v>Perwira Sentra Officindo, PT
Satu Power Indonesia, PT
Gevana, PT
Cipta Dua Power Frans Diesel, PT
Outsourcindo, PT
Hartekprima Listrindo, PT
Sentrapart Niaga Utama, PT
Aneka Mitra Cipta, PT
Lima Makmur Jaya, PT</v>
          </cell>
          <cell r="F392" t="str">
            <v/>
          </cell>
          <cell r="G392" t="str">
            <v xml:space="preserve">R0
 of 9
</v>
          </cell>
          <cell r="H392" t="str">
            <v>ARTHUR BRAMIYANA</v>
          </cell>
          <cell r="I392">
            <v>45489</v>
          </cell>
          <cell r="J392" t="str">
            <v>INV</v>
          </cell>
          <cell r="K392" t="str">
            <v>B</v>
          </cell>
          <cell r="L392" t="str">
            <v>BID</v>
          </cell>
          <cell r="M392" t="str">
            <v>0258</v>
          </cell>
          <cell r="N392" t="str">
            <v>RH</v>
          </cell>
          <cell r="O392" t="str">
            <v>robertiagus.haposan@alamtri.com</v>
          </cell>
          <cell r="P392">
            <v>250.68450000000001</v>
          </cell>
          <cell r="Q392">
            <v>4010952</v>
          </cell>
          <cell r="R392" t="str">
            <v>Completed Sign PO</v>
          </cell>
          <cell r="T392" t="str">
            <v>MSW</v>
          </cell>
          <cell r="U392" t="str">
            <v>Perwira Sentra Officindo, PT
Satu Power Indonesia, PT
Gevana, PT
Cipta Dua Power Frans Diesel, PT
Outsourcindo, PT
Hartekprima Listrindo, PT
Sentrapart Niaga Utama, PT
Aneka Mitra Cipta, PT
Lima Makmur Jaya, PT</v>
          </cell>
          <cell r="W392" t="str">
            <v>9 of 9</v>
          </cell>
          <cell r="X392" t="str">
            <v xml:space="preserve"> of 9</v>
          </cell>
          <cell r="Z392" t="str">
            <v/>
          </cell>
          <cell r="AC392" t="str">
            <v xml:space="preserve"> of </v>
          </cell>
          <cell r="AD392" t="str">
            <v xml:space="preserve"> of </v>
          </cell>
          <cell r="AF392" t="str">
            <v/>
          </cell>
          <cell r="AI392" t="str">
            <v xml:space="preserve"> of </v>
          </cell>
          <cell r="AJ392" t="str">
            <v xml:space="preserve"> of </v>
          </cell>
          <cell r="AL392" t="str">
            <v/>
          </cell>
          <cell r="AM392">
            <v>0.70833333333333304</v>
          </cell>
          <cell r="AN392" t="str">
            <v>Cipta Dua Power Frans Diesel, PT</v>
          </cell>
          <cell r="AO392" t="str">
            <v>fdiesel@indo.net.id; franssugandi.johannes@gmail.com; fdiesel.logistic@gmail.com</v>
          </cell>
          <cell r="AP392" t="str">
            <v>PO24000528</v>
          </cell>
          <cell r="AQ392">
            <v>3330000</v>
          </cell>
          <cell r="AR392">
            <v>45499</v>
          </cell>
          <cell r="AS392">
            <v>45523</v>
          </cell>
          <cell r="AT392">
            <v>45524</v>
          </cell>
          <cell r="AU392">
            <v>45541</v>
          </cell>
          <cell r="AV392">
            <v>45425</v>
          </cell>
          <cell r="AW392">
            <v>45442</v>
          </cell>
          <cell r="AX392">
            <v>2.4285714285714284</v>
          </cell>
          <cell r="AY392">
            <v>45536</v>
          </cell>
          <cell r="AZ392">
            <v>94</v>
          </cell>
          <cell r="BA392">
            <v>99900</v>
          </cell>
          <cell r="BB392" t="str">
            <v>Late Completed</v>
          </cell>
          <cell r="BC392" t="str">
            <v>PR100009403</v>
          </cell>
        </row>
        <row r="393">
          <cell r="B393" t="str">
            <v>PR100009380</v>
          </cell>
          <cell r="C393" t="str">
            <v xml:space="preserve">Fuel Filter Part 901-249 Perkins, Perkins  165 KVA Stock Inventory </v>
          </cell>
          <cell r="E393" t="str">
            <v>Bima Kaltim Utama, PT
Aneka Mitra Cipta, PT
Sentrapart Niaga Utama, PT
Lotus Inti Pratama, PT
Outsourcindo, PT
Berkat Pratama Teknik, CV
Perwira Sentra Officindo, PT
Petrocom Nusa Synergy, PT</v>
          </cell>
          <cell r="F393" t="str">
            <v/>
          </cell>
          <cell r="G393" t="str">
            <v xml:space="preserve">R0
 of 8
</v>
          </cell>
          <cell r="H393" t="str">
            <v>ARTHUR BRAMIYANA</v>
          </cell>
          <cell r="I393">
            <v>45489</v>
          </cell>
          <cell r="J393" t="str">
            <v>INV</v>
          </cell>
          <cell r="K393" t="str">
            <v>B</v>
          </cell>
          <cell r="L393" t="str">
            <v>BID</v>
          </cell>
          <cell r="M393" t="str">
            <v>0257</v>
          </cell>
          <cell r="N393" t="str">
            <v>RH</v>
          </cell>
          <cell r="O393" t="str">
            <v>robertiagus.haposan@alamtri.com</v>
          </cell>
          <cell r="P393">
            <v>247.37700000000001</v>
          </cell>
          <cell r="Q393">
            <v>3958032</v>
          </cell>
          <cell r="R393" t="str">
            <v>Completed Sign PO</v>
          </cell>
          <cell r="T393" t="str">
            <v>MSW</v>
          </cell>
          <cell r="U393" t="str">
            <v>Bima Kaltim Utama, PT
Aneka Mitra Cipta, PT
Sentrapart Niaga Utama, PT
Lotus Inti Pratama, PT
Outsourcindo, PT
Berkat Pratama Teknik, CV
Perwira Sentra Officindo, PT
Petrocom Nusa Synergy, PT</v>
          </cell>
          <cell r="W393" t="str">
            <v>8 of 8</v>
          </cell>
          <cell r="X393" t="str">
            <v xml:space="preserve"> of 8</v>
          </cell>
          <cell r="Z393" t="str">
            <v/>
          </cell>
          <cell r="AC393" t="str">
            <v xml:space="preserve"> of </v>
          </cell>
          <cell r="AD393" t="str">
            <v xml:space="preserve"> of </v>
          </cell>
          <cell r="AF393" t="str">
            <v/>
          </cell>
          <cell r="AI393" t="str">
            <v xml:space="preserve"> of </v>
          </cell>
          <cell r="AJ393" t="str">
            <v xml:space="preserve"> of </v>
          </cell>
          <cell r="AL393" t="str">
            <v/>
          </cell>
          <cell r="AM393">
            <v>0.70833333333333304</v>
          </cell>
          <cell r="AN393" t="str">
            <v>Bima Kaltim Utama, PT</v>
          </cell>
          <cell r="AO393" t="str">
            <v>rera.bimakaltim@yahoo.com; albert.bimautama@yahoo.com; rya_bimakaltim@yahoo.com</v>
          </cell>
          <cell r="AP393" t="str">
            <v>PO24000632</v>
          </cell>
          <cell r="AQ393">
            <v>2500000</v>
          </cell>
          <cell r="AR393">
            <v>45499</v>
          </cell>
          <cell r="AS393">
            <v>45545</v>
          </cell>
          <cell r="AT393">
            <v>45554</v>
          </cell>
          <cell r="AU393">
            <v>45569</v>
          </cell>
          <cell r="AV393">
            <v>45425</v>
          </cell>
          <cell r="AW393">
            <v>45440</v>
          </cell>
          <cell r="AX393">
            <v>2.1428571428571428</v>
          </cell>
          <cell r="AY393">
            <v>45571</v>
          </cell>
          <cell r="AZ393">
            <v>131</v>
          </cell>
          <cell r="BA393">
            <v>75000</v>
          </cell>
          <cell r="BB393" t="str">
            <v>Late Completed</v>
          </cell>
          <cell r="BC393" t="str">
            <v>PR100009380</v>
          </cell>
        </row>
        <row r="394">
          <cell r="B394" t="str">
            <v>PR100009414</v>
          </cell>
          <cell r="C394" t="str">
            <v>Part COMPRESSURE ELGI  Stock Inventory</v>
          </cell>
          <cell r="E394" t="str">
            <v>Maju Langgeng Mandiri, PT
Petrocom Nusa Synergy, PT
Gama Tritunggal Pratama, PT
Sukses Mulia Raya, PT
Reftech Jaya Optima, PT
Elgi Equipment Indonesia, PT
Putera Instrumenindo, PT
Gading Mas Utama, PT
Triguna Karya Nusantara, PT</v>
          </cell>
          <cell r="F394" t="str">
            <v/>
          </cell>
          <cell r="G394" t="str">
            <v xml:space="preserve">R0
 of 9
</v>
          </cell>
          <cell r="H394" t="str">
            <v>ARTHUR BRAMIYANA</v>
          </cell>
          <cell r="I394">
            <v>45491</v>
          </cell>
          <cell r="J394" t="str">
            <v>INV</v>
          </cell>
          <cell r="K394" t="str">
            <v>B</v>
          </cell>
          <cell r="L394" t="str">
            <v>BID</v>
          </cell>
          <cell r="M394" t="str">
            <v>0260</v>
          </cell>
          <cell r="N394" t="str">
            <v>RH</v>
          </cell>
          <cell r="O394" t="str">
            <v>robertiagus.haposan@alamtri.com</v>
          </cell>
          <cell r="P394">
            <v>164.97139999999999</v>
          </cell>
          <cell r="Q394">
            <v>2639542.4</v>
          </cell>
          <cell r="R394" t="str">
            <v>Completed Sign PO</v>
          </cell>
          <cell r="T394" t="str">
            <v>MSW</v>
          </cell>
          <cell r="U394" t="str">
            <v>Maju Langgeng Mandiri, PT
Petrocom Nusa Synergy, PT
Gama Tritunggal Pratama, PT
Sukses Mulia Raya, PT
Reftech Jaya Optima, PT
Elgi Equipment Indonesia, PT
Putera Instrumenindo, PT
Gading Mas Utama, PT
Triguna Karya Nusantara, PT</v>
          </cell>
          <cell r="W394" t="str">
            <v>9 of 9</v>
          </cell>
          <cell r="X394" t="str">
            <v xml:space="preserve"> of 9</v>
          </cell>
          <cell r="Z394" t="str">
            <v/>
          </cell>
          <cell r="AC394" t="str">
            <v xml:space="preserve"> of </v>
          </cell>
          <cell r="AD394" t="str">
            <v xml:space="preserve"> of </v>
          </cell>
          <cell r="AF394" t="str">
            <v/>
          </cell>
          <cell r="AI394" t="str">
            <v xml:space="preserve"> of </v>
          </cell>
          <cell r="AJ394" t="str">
            <v xml:space="preserve"> of </v>
          </cell>
          <cell r="AL394" t="str">
            <v/>
          </cell>
          <cell r="AM394">
            <v>0.70833333333333304</v>
          </cell>
          <cell r="AN394" t="str">
            <v>Putera Instrumenindo, PT</v>
          </cell>
          <cell r="AO394" t="str">
            <v>vergi@pinst.co.id; linda@pinst.co.id; putri@pinst.co.id</v>
          </cell>
          <cell r="AP394" t="str">
            <v>PO24000504</v>
          </cell>
          <cell r="AQ394">
            <v>2074000</v>
          </cell>
          <cell r="AR394">
            <v>45505</v>
          </cell>
          <cell r="AS394">
            <v>45512</v>
          </cell>
          <cell r="AT394">
            <v>45517</v>
          </cell>
          <cell r="AU394">
            <v>45555</v>
          </cell>
          <cell r="AV394">
            <v>45425</v>
          </cell>
          <cell r="AW394">
            <v>45463</v>
          </cell>
          <cell r="AX394">
            <v>5.4285714285714288</v>
          </cell>
          <cell r="AY394">
            <v>45600</v>
          </cell>
          <cell r="AZ394">
            <v>137</v>
          </cell>
          <cell r="BA394">
            <v>62220</v>
          </cell>
          <cell r="BB394" t="str">
            <v>Completed</v>
          </cell>
          <cell r="BC394" t="str">
            <v>PR100009414</v>
          </cell>
        </row>
        <row r="395">
          <cell r="B395" t="str">
            <v>PR100009434</v>
          </cell>
          <cell r="C395" t="str">
            <v>Elgi Airlube UT Synthetic Compressor,Stock Inventory</v>
          </cell>
          <cell r="E395" t="str">
            <v>Maju Langgeng Mandiri, PT
Petrocom Nusa Synergy, PT
Gama Tritunggal Pratama, PT
Sukses Mulia Raya, PT
Reftech Jaya Optima, PT
Elgi Equipment Indonesia, PT
Putera Instrumenindo, PT
Gading Mas Utama, PT
Triguna Karya Nusantara, PT</v>
          </cell>
          <cell r="F395" t="str">
            <v/>
          </cell>
          <cell r="G395" t="str">
            <v xml:space="preserve">R0
 of 9
</v>
          </cell>
          <cell r="H395" t="str">
            <v>ARTHUR BRAMIYANA</v>
          </cell>
          <cell r="I395">
            <v>45491</v>
          </cell>
          <cell r="J395" t="str">
            <v>INV</v>
          </cell>
          <cell r="K395" t="str">
            <v>B</v>
          </cell>
          <cell r="L395" t="str">
            <v>BID</v>
          </cell>
          <cell r="M395" t="str">
            <v>0260</v>
          </cell>
          <cell r="N395" t="str">
            <v>RH</v>
          </cell>
          <cell r="O395" t="str">
            <v>robertiagus.haposan@alamtri.com</v>
          </cell>
          <cell r="P395">
            <v>2549.8000000000002</v>
          </cell>
          <cell r="Q395">
            <v>40796800</v>
          </cell>
          <cell r="R395" t="str">
            <v>Completed Sign PO</v>
          </cell>
          <cell r="T395" t="str">
            <v>MSW</v>
          </cell>
          <cell r="U395" t="str">
            <v>Maju Langgeng Mandiri, PT
Petrocom Nusa Synergy, PT
Gama Tritunggal Pratama, PT
Sukses Mulia Raya, PT
Reftech Jaya Optima, PT
Elgi Equipment Indonesia, PT
Putera Instrumenindo, PT
Gading Mas Utama, PT
Triguna Karya Nusantara, PT</v>
          </cell>
          <cell r="W395" t="str">
            <v>9 of 9</v>
          </cell>
          <cell r="X395" t="str">
            <v xml:space="preserve"> of 9</v>
          </cell>
          <cell r="Z395" t="str">
            <v/>
          </cell>
          <cell r="AC395" t="str">
            <v xml:space="preserve"> of </v>
          </cell>
          <cell r="AD395" t="str">
            <v xml:space="preserve"> of </v>
          </cell>
          <cell r="AF395" t="str">
            <v/>
          </cell>
          <cell r="AI395" t="str">
            <v xml:space="preserve"> of </v>
          </cell>
          <cell r="AJ395" t="str">
            <v xml:space="preserve"> of </v>
          </cell>
          <cell r="AL395" t="str">
            <v/>
          </cell>
          <cell r="AM395">
            <v>0.70833333333333304</v>
          </cell>
          <cell r="AN395" t="str">
            <v>Putera Instrumenindo, PT</v>
          </cell>
          <cell r="AO395" t="str">
            <v>vergi@pinst.co.id; linda@pinst.co.id; putri@pinst.co.id</v>
          </cell>
          <cell r="AP395" t="str">
            <v>PO24000504</v>
          </cell>
          <cell r="AQ395">
            <v>37515125</v>
          </cell>
          <cell r="AR395">
            <v>45505</v>
          </cell>
          <cell r="AS395">
            <v>45512</v>
          </cell>
          <cell r="AT395">
            <v>45517</v>
          </cell>
          <cell r="AU395">
            <v>45555</v>
          </cell>
          <cell r="AV395">
            <v>45425</v>
          </cell>
          <cell r="AW395">
            <v>45463</v>
          </cell>
          <cell r="AX395">
            <v>5.4285714285714288</v>
          </cell>
          <cell r="AY395">
            <v>45600</v>
          </cell>
          <cell r="AZ395">
            <v>137</v>
          </cell>
          <cell r="BA395">
            <v>1875756.25</v>
          </cell>
          <cell r="BB395" t="str">
            <v>Completed</v>
          </cell>
          <cell r="BC395" t="str">
            <v>PR100009434</v>
          </cell>
        </row>
        <row r="396">
          <cell r="B396" t="str">
            <v>PR100009442</v>
          </cell>
          <cell r="C396" t="str">
            <v>SMART POSITIONER VALVE ABB, 3 - 15 Psi, Make ABB,Stock Inventory</v>
          </cell>
          <cell r="E396" t="str">
            <v>Permintex Sinergi Indonesia, PT
Gading Mas Utama, PT
Adi Raya Mandiri, PT
Trimitra Bangun Karyatama, PT
Axel Jaya Cakraniaga, PT
Hidayadh Makmur Sukses, PT</v>
          </cell>
          <cell r="F396" t="str">
            <v>Permintex Sinergi Indonesia, PT
Gading Mas Utama, PT
Trimitra Bangun Karyatama, PT</v>
          </cell>
          <cell r="G396" t="str">
            <v>R2
3 of 6
21 Aug 24</v>
          </cell>
          <cell r="H396" t="str">
            <v>ARTHUR BRAMIYANA</v>
          </cell>
          <cell r="I396">
            <v>45491</v>
          </cell>
          <cell r="J396" t="str">
            <v>INV</v>
          </cell>
          <cell r="K396" t="str">
            <v>B</v>
          </cell>
          <cell r="L396" t="str">
            <v>BID</v>
          </cell>
          <cell r="M396" t="str">
            <v>0261</v>
          </cell>
          <cell r="N396" t="str">
            <v>RH</v>
          </cell>
          <cell r="O396" t="str">
            <v>robertiagus.haposan@alamtri.com</v>
          </cell>
          <cell r="P396">
            <v>3036.54</v>
          </cell>
          <cell r="Q396">
            <v>48584640</v>
          </cell>
          <cell r="R396" t="str">
            <v>Completed Sign PO</v>
          </cell>
          <cell r="T396" t="str">
            <v>MSW</v>
          </cell>
          <cell r="U396" t="str">
            <v>Kin Kitra Kencana, PT
Gading Mas Utama, PT
Permintex Sinergi Indonesia, PT
ABB Sakti Industri, PT
Stanindo Artha Langgeng, PT
Boveri Indonesia, PT
Suryamas Elsindo Primatara, PT
Putera Instrumenindo, PT
ANP Engineering, PT
Gema Industrial, PT</v>
          </cell>
          <cell r="W396" t="str">
            <v>10 of 10</v>
          </cell>
          <cell r="X396" t="str">
            <v xml:space="preserve"> of 10</v>
          </cell>
          <cell r="Y396">
            <v>45497</v>
          </cell>
          <cell r="Z396">
            <v>45504</v>
          </cell>
          <cell r="AA396" t="str">
            <v>Permintex Sinergi Indonesia, PT
Gading Mas Utama, PT
Kin Kitra Kencana, PT
Total Abadi Solusindo, PT
Adi Raya Mandiri, PT
ABB Power Grids Indonesia, PT
ABB Sakti Industri, PT</v>
          </cell>
          <cell r="AC396" t="str">
            <v>7 of 7</v>
          </cell>
          <cell r="AD396" t="str">
            <v xml:space="preserve"> of 7</v>
          </cell>
          <cell r="AE396">
            <v>45510</v>
          </cell>
          <cell r="AF396">
            <v>45517</v>
          </cell>
          <cell r="AG396" t="str">
            <v>Permintex Sinergi Indonesia, PT
Gading Mas Utama, PT
Adi Raya Mandiri, PT
Trimitra Bangun Karyatama, PT
Axel Jaya Cakraniaga, PT
Hidayadh Makmur Sukses, PT</v>
          </cell>
          <cell r="AH396" t="str">
            <v>Permintex Sinergi Indonesia, PT
Gading Mas Utama, PT
Trimitra Bangun Karyatama, PT</v>
          </cell>
          <cell r="AI396" t="str">
            <v>6 of 6</v>
          </cell>
          <cell r="AJ396" t="str">
            <v>3 of 6</v>
          </cell>
          <cell r="AK396">
            <v>45518</v>
          </cell>
          <cell r="AL396">
            <v>45525</v>
          </cell>
          <cell r="AM396">
            <v>0.70833333333333304</v>
          </cell>
          <cell r="AN396" t="str">
            <v>Trimitra Bangun Karyatama, PT</v>
          </cell>
          <cell r="AO396" t="str">
            <v>devid@tribama.com; lusiana@tribama.com</v>
          </cell>
          <cell r="AP396" t="str">
            <v>PO24000597</v>
          </cell>
          <cell r="AQ396">
            <v>40000000</v>
          </cell>
          <cell r="AR396">
            <v>45527</v>
          </cell>
          <cell r="AS396">
            <v>45537</v>
          </cell>
          <cell r="AT396">
            <v>45541</v>
          </cell>
          <cell r="AU396">
            <v>45616</v>
          </cell>
          <cell r="AV396">
            <v>45425</v>
          </cell>
          <cell r="AW396">
            <v>45500</v>
          </cell>
          <cell r="AX396">
            <v>10.714285714285714</v>
          </cell>
          <cell r="AY396">
            <v>45616</v>
          </cell>
          <cell r="AZ396">
            <v>116</v>
          </cell>
          <cell r="BA396">
            <v>2000000</v>
          </cell>
          <cell r="BB396" t="str">
            <v>Late Completed</v>
          </cell>
          <cell r="BC396" t="str">
            <v>PR100009442</v>
          </cell>
        </row>
        <row r="397">
          <cell r="B397" t="str">
            <v>PR100009473</v>
          </cell>
          <cell r="C397" t="str">
            <v>PRESSURE GAUGE Stock Inventory</v>
          </cell>
          <cell r="E397" t="str">
            <v>Perwira Sentra Officindo, PT
Kin Kitra Kencana, PT
Antares Jaya Gemilang Prima, PT
Alfa Teknik Mandiri Makmur, PT
Petrocom Nusa Synergy, PT
Joelco Dunamos Solusindo, PT
Gading Mas Utama, PT
Gema Industrial, PT</v>
          </cell>
          <cell r="F397" t="str">
            <v/>
          </cell>
          <cell r="G397" t="str">
            <v xml:space="preserve">R0
 of 8
</v>
          </cell>
          <cell r="H397" t="str">
            <v>ARTHUR BRAMIYANA</v>
          </cell>
          <cell r="I397">
            <v>45496</v>
          </cell>
          <cell r="J397" t="str">
            <v>INV</v>
          </cell>
          <cell r="K397" t="str">
            <v>B</v>
          </cell>
          <cell r="L397" t="str">
            <v>BID</v>
          </cell>
          <cell r="M397" t="str">
            <v>0278</v>
          </cell>
          <cell r="N397" t="str">
            <v>RH</v>
          </cell>
          <cell r="O397" t="str">
            <v>robertiagus.haposan@alamtri.com</v>
          </cell>
          <cell r="P397">
            <v>269.2</v>
          </cell>
          <cell r="Q397">
            <v>4307200</v>
          </cell>
          <cell r="R397" t="str">
            <v>Completed Sign PO</v>
          </cell>
          <cell r="T397" t="str">
            <v>MSW</v>
          </cell>
          <cell r="U397" t="str">
            <v>Perwira Sentra Officindo, PT
Kin Kitra Kencana, PT
Antares Jaya Gemilang Prima, PT
Alfa Teknik Mandiri Makmur, PT
Petrocom Nusa Synergy, PT
Joelco Dunamos Solusindo, PT
Gading Mas Utama, PT
Gema Industrial, PT</v>
          </cell>
          <cell r="W397" t="str">
            <v>8 of 8</v>
          </cell>
          <cell r="X397" t="str">
            <v xml:space="preserve"> of 8</v>
          </cell>
          <cell r="Z397" t="str">
            <v/>
          </cell>
          <cell r="AC397" t="str">
            <v xml:space="preserve"> of </v>
          </cell>
          <cell r="AD397" t="str">
            <v xml:space="preserve"> of </v>
          </cell>
          <cell r="AF397" t="str">
            <v/>
          </cell>
          <cell r="AI397" t="str">
            <v xml:space="preserve"> of </v>
          </cell>
          <cell r="AJ397" t="str">
            <v xml:space="preserve"> of </v>
          </cell>
          <cell r="AL397" t="str">
            <v/>
          </cell>
          <cell r="AM397">
            <v>0.70833333333333304</v>
          </cell>
          <cell r="AN397" t="str">
            <v>Gading Mas Utama, PT</v>
          </cell>
          <cell r="AO397" t="str">
            <v>sales@gmu.co.id; marta.l@cbn.net.id</v>
          </cell>
          <cell r="AP397" t="str">
            <v>PO24000515</v>
          </cell>
          <cell r="AQ397">
            <v>4080000</v>
          </cell>
          <cell r="AR397">
            <v>45510</v>
          </cell>
          <cell r="AS397">
            <v>45518</v>
          </cell>
          <cell r="AT397">
            <v>45519</v>
          </cell>
          <cell r="AU397">
            <v>45597</v>
          </cell>
          <cell r="AV397">
            <v>45425</v>
          </cell>
          <cell r="AW397">
            <v>45503</v>
          </cell>
          <cell r="AX397">
            <v>11.142857142857142</v>
          </cell>
          <cell r="AY397">
            <v>45562</v>
          </cell>
          <cell r="AZ397">
            <v>59</v>
          </cell>
          <cell r="BA397">
            <v>122400</v>
          </cell>
          <cell r="BB397" t="str">
            <v>Completed</v>
          </cell>
          <cell r="BC397" t="str">
            <v>PR100009473</v>
          </cell>
        </row>
        <row r="398">
          <cell r="B398" t="str">
            <v>PR100009469</v>
          </cell>
          <cell r="C398" t="str">
            <v>Streetlight Philips Init Core Color Temperature 4000 K LED 280 NW 200W Stock Inventory</v>
          </cell>
          <cell r="E398" t="str">
            <v>Sola Anugerah Oilfield, PT
Sarana Prima Lestari, CV
Perwira Sentra Officindo, PT
Greentek Elektrikal Indonesia, PT
Gema Industrial, PT
Borneo Maju Jaya, PT
Vhipa Mulia Pratama, PT
Outsourcindo, PT
Ellight Prima Indonesia, PT</v>
          </cell>
          <cell r="F398" t="str">
            <v/>
          </cell>
          <cell r="G398" t="str">
            <v xml:space="preserve">R0
 of 9
</v>
          </cell>
          <cell r="H398" t="str">
            <v>ARTHUR BRAMIYANA</v>
          </cell>
          <cell r="I398">
            <v>45496</v>
          </cell>
          <cell r="J398" t="str">
            <v>INV</v>
          </cell>
          <cell r="K398" t="str">
            <v>B</v>
          </cell>
          <cell r="L398" t="str">
            <v>BID</v>
          </cell>
          <cell r="M398" t="str">
            <v>0263</v>
          </cell>
          <cell r="N398" t="str">
            <v>RH</v>
          </cell>
          <cell r="O398" t="str">
            <v>robertiagus.haposan@alamtri.com</v>
          </cell>
          <cell r="P398">
            <v>1016.7768</v>
          </cell>
          <cell r="Q398">
            <v>16268428.799999999</v>
          </cell>
          <cell r="R398" t="str">
            <v>Completed Sign PO</v>
          </cell>
          <cell r="T398" t="str">
            <v>MSW</v>
          </cell>
          <cell r="U398" t="str">
            <v>Sola Anugerah Oilfield, PT
Sarana Prima Lestari, CV
Perwira Sentra Officindo, PT
Greentek Elektrikal Indonesia, PT
Gema Industrial, PT
Borneo Maju Jaya, PT
Vhipa Mulia Pratama, PT
Outsourcindo, PT
Ellight Prima Indonesia, PT</v>
          </cell>
          <cell r="W398" t="str">
            <v>9 of 9</v>
          </cell>
          <cell r="X398" t="str">
            <v xml:space="preserve"> of 9</v>
          </cell>
          <cell r="Z398" t="str">
            <v/>
          </cell>
          <cell r="AC398" t="str">
            <v xml:space="preserve"> of </v>
          </cell>
          <cell r="AD398" t="str">
            <v xml:space="preserve"> of </v>
          </cell>
          <cell r="AF398" t="str">
            <v/>
          </cell>
          <cell r="AI398" t="str">
            <v xml:space="preserve"> of </v>
          </cell>
          <cell r="AJ398" t="str">
            <v xml:space="preserve"> of </v>
          </cell>
          <cell r="AL398" t="str">
            <v/>
          </cell>
          <cell r="AM398">
            <v>0.70833333333333304</v>
          </cell>
          <cell r="AN398" t="str">
            <v>Borneo Maju Jaya, PT</v>
          </cell>
          <cell r="AO398" t="str">
            <v>welas@borneomajujaya.com</v>
          </cell>
          <cell r="AP398" t="str">
            <v>PO24000518</v>
          </cell>
          <cell r="AQ398">
            <v>15868000</v>
          </cell>
          <cell r="AR398">
            <v>45511</v>
          </cell>
          <cell r="AS398">
            <v>45518</v>
          </cell>
          <cell r="AT398">
            <v>45520</v>
          </cell>
          <cell r="AU398">
            <v>45632</v>
          </cell>
          <cell r="AV398">
            <v>45425</v>
          </cell>
          <cell r="AW398">
            <v>45537</v>
          </cell>
          <cell r="AX398">
            <v>16</v>
          </cell>
          <cell r="AY398">
            <v>45608</v>
          </cell>
          <cell r="AZ398">
            <v>71</v>
          </cell>
          <cell r="BA398">
            <v>793400</v>
          </cell>
          <cell r="BB398" t="str">
            <v>Completed</v>
          </cell>
          <cell r="BC398" t="str">
            <v>PR100009469</v>
          </cell>
        </row>
        <row r="399">
          <cell r="B399" t="str">
            <v>PR100009449</v>
          </cell>
          <cell r="C399" t="str">
            <v>Service Kit dan SILINCER Parker, for Air Dryer Stock Inventory</v>
          </cell>
          <cell r="E399" t="str">
            <v>Bem-Vindo Jaya, PT
Putra Andalan Perkasa, PT
Parker Hannifin Indonesia, PT
Outsourcindo, PT
Pusaka Tandi, PT</v>
          </cell>
          <cell r="F399" t="str">
            <v>Bem-Vindo Jaya, PT
Putra Andalan Perkasa, PT
Parker Hannifin Indonesia, PT
Outsourcindo, PT</v>
          </cell>
          <cell r="G399" t="str">
            <v>R2
4 of 5
20 Aug 24</v>
          </cell>
          <cell r="H399" t="str">
            <v>ARTHUR BRAMIYANA</v>
          </cell>
          <cell r="I399">
            <v>45496</v>
          </cell>
          <cell r="J399" t="str">
            <v>INV</v>
          </cell>
          <cell r="K399" t="str">
            <v>B</v>
          </cell>
          <cell r="L399" t="str">
            <v>BID</v>
          </cell>
          <cell r="M399" t="str">
            <v>0264</v>
          </cell>
          <cell r="N399" t="str">
            <v>RH</v>
          </cell>
          <cell r="O399" t="str">
            <v>robertiagus.haposan@alamtri.com</v>
          </cell>
          <cell r="P399">
            <v>5981.6</v>
          </cell>
          <cell r="Q399">
            <v>95705600</v>
          </cell>
          <cell r="R399" t="str">
            <v>Completed Sign PO</v>
          </cell>
          <cell r="T399" t="str">
            <v>MSW</v>
          </cell>
          <cell r="U399" t="str">
            <v>Bem-Vindo Jaya, PT
Petrocom Nusa Synergy, PT
Vhipa Mulia Pratama, PT
Sola Anugerah Oilfield, PT
Putra Andalan Perkasa, PT
Parker Hannifin Indonesia, PT
Hikmah Jaya Sentosa, PT
Lotus Inti Pratama, PT</v>
          </cell>
          <cell r="V399" t="str">
            <v>Bem-Vindo Jaya, PT
Sola Anugerah Oilfield, PT-x</v>
          </cell>
          <cell r="W399" t="str">
            <v>8 of 8</v>
          </cell>
          <cell r="X399" t="str">
            <v>2 of 8</v>
          </cell>
          <cell r="Y399">
            <v>45498</v>
          </cell>
          <cell r="Z399">
            <v>45505</v>
          </cell>
          <cell r="AA399" t="str">
            <v>Bem-Vindo Jaya, PT
Sola Anugerah Oilfield, PT
Pusaka Tandi, PT
Vhipa Mulia Pratama, PT
Sakata Prima Teknika, PT
SAMN Satya Wijaya, PT
Parker Indonesia, PT
Putra Andalan Perkasa, PT</v>
          </cell>
          <cell r="AB399" t="str">
            <v>Sola Anugerah Oilfield, PT
Putra Andalan Perkasa, PT</v>
          </cell>
          <cell r="AC399" t="str">
            <v>8 of 8</v>
          </cell>
          <cell r="AD399" t="str">
            <v>2 of 8</v>
          </cell>
          <cell r="AE399">
            <v>45512</v>
          </cell>
          <cell r="AF399">
            <v>45519</v>
          </cell>
          <cell r="AG399" t="str">
            <v>Bem-Vindo Jaya, PT
Putra Andalan Perkasa, PT
Parker Hannifin Indonesia, PT
Outsourcindo, PT
Pusaka Tandi, PT</v>
          </cell>
          <cell r="AH399" t="str">
            <v>Bem-Vindo Jaya, PT
Putra Andalan Perkasa, PT
Parker Hannifin Indonesia, PT
Outsourcindo, PT</v>
          </cell>
          <cell r="AI399" t="str">
            <v>5 of 5</v>
          </cell>
          <cell r="AJ399" t="str">
            <v>4 of 5</v>
          </cell>
          <cell r="AK399">
            <v>45520</v>
          </cell>
          <cell r="AL399">
            <v>45524</v>
          </cell>
          <cell r="AM399">
            <v>0.70833333333333304</v>
          </cell>
          <cell r="AN399" t="str">
            <v>Bem-Vindo Jaya, PT</v>
          </cell>
          <cell r="AO399" t="str">
            <v>sularto@bem-vindojaya.com</v>
          </cell>
          <cell r="AP399" t="str">
            <v>PO24000647</v>
          </cell>
          <cell r="AQ399">
            <v>96000000</v>
          </cell>
          <cell r="AR399">
            <v>45526</v>
          </cell>
          <cell r="AS399">
            <v>45554</v>
          </cell>
          <cell r="AT399">
            <v>45558</v>
          </cell>
          <cell r="AU399">
            <v>45674</v>
          </cell>
          <cell r="AV399">
            <v>45425</v>
          </cell>
          <cell r="AW399">
            <v>45541</v>
          </cell>
          <cell r="AX399">
            <v>16.571428571428573</v>
          </cell>
          <cell r="AY399">
            <v>45640</v>
          </cell>
          <cell r="AZ399">
            <v>99</v>
          </cell>
          <cell r="BA399">
            <v>4800000</v>
          </cell>
          <cell r="BB399" t="str">
            <v>Late Completed</v>
          </cell>
          <cell r="BC399" t="str">
            <v>PR100009449</v>
          </cell>
        </row>
        <row r="400">
          <cell r="B400" t="str">
            <v>PR100009437</v>
          </cell>
          <cell r="C400" t="str">
            <v>Emergency Stop LOTTO dan Switch ON OFF,Stock Inventory</v>
          </cell>
          <cell r="D400" t="str">
            <v>Borneo Maju Jaya, PT
Haji Usnan, CV</v>
          </cell>
          <cell r="E400" t="str">
            <v>Borneo Maju Jaya, PT
Greentek Elektrikal Indonesia, PT
Kin Kitra Kencana, PT
Gema Industrial, PT
Alfa Teknik Mandiri Makmur, PT
Vhipa Mulia Pratama, PT
Berlian Sejahtera Teknik, PT
Lima Makmur Jaya, PT
Petrocom Nusa Synergy, PT
Haji Usnan, CV
Outsourcindo, PT</v>
          </cell>
          <cell r="F400" t="str">
            <v>Borneo Maju Jaya, PT
Greentek Elektrikal Indonesia, PT
Gema Industrial, PT
Alfa Teknik Mandiri Makmur, PT
Vhipa Mulia Pratama, PT
Lima Makmur Jaya, PT
Petrocom Nusa Synergy, PT
Haji Usnan, CV
Outsourcindo, PT</v>
          </cell>
          <cell r="G400" t="str">
            <v>R0
9 of 11
02 Aug 24</v>
          </cell>
          <cell r="H400" t="str">
            <v>ARTHUR BRAMIYANA</v>
          </cell>
          <cell r="I400">
            <v>45496</v>
          </cell>
          <cell r="J400" t="str">
            <v>INV</v>
          </cell>
          <cell r="K400" t="str">
            <v>B</v>
          </cell>
          <cell r="L400" t="str">
            <v>BID</v>
          </cell>
          <cell r="M400" t="str">
            <v>0266</v>
          </cell>
          <cell r="N400" t="str">
            <v>RH</v>
          </cell>
          <cell r="O400" t="str">
            <v>robertiagus.haposan@alamtri.com</v>
          </cell>
          <cell r="P400">
            <v>171.54</v>
          </cell>
          <cell r="Q400">
            <v>2744640</v>
          </cell>
          <cell r="R400" t="str">
            <v>Completed Sign PO</v>
          </cell>
          <cell r="T400" t="str">
            <v>MSW</v>
          </cell>
          <cell r="U400" t="str">
            <v>Borneo Maju Jaya, PT
Greentek Elektrikal Indonesia, PT
Kin Kitra Kencana, PT
Gema Industrial, PT
Alfa Teknik Mandiri Makmur, PT
Vhipa Mulia Pratama, PT
Berlian Sejahtera Teknik, PT
Lima Makmur Jaya, PT
Petrocom Nusa Synergy, PT
Haji Usnan, CV
Outsourcindo, PT</v>
          </cell>
          <cell r="V400" t="str">
            <v>Borneo Maju Jaya, PT
Greentek Elektrikal Indonesia, PT
Gema Industrial, PT
Alfa Teknik Mandiri Makmur, PT
Vhipa Mulia Pratama, PT
Lima Makmur Jaya, PT
Petrocom Nusa Synergy, PT
Haji Usnan, CV
Outsourcindo, PT</v>
          </cell>
          <cell r="W400" t="str">
            <v>11 of 11</v>
          </cell>
          <cell r="X400" t="str">
            <v>9 of 11</v>
          </cell>
          <cell r="Y400">
            <v>45499</v>
          </cell>
          <cell r="Z400">
            <v>45506</v>
          </cell>
          <cell r="AC400" t="str">
            <v xml:space="preserve"> of </v>
          </cell>
          <cell r="AD400" t="str">
            <v xml:space="preserve"> of </v>
          </cell>
          <cell r="AF400" t="str">
            <v/>
          </cell>
          <cell r="AI400" t="str">
            <v xml:space="preserve"> of </v>
          </cell>
          <cell r="AJ400" t="str">
            <v xml:space="preserve"> of </v>
          </cell>
          <cell r="AL400" t="str">
            <v/>
          </cell>
          <cell r="AM400">
            <v>0.70833333333333304</v>
          </cell>
          <cell r="AN400" t="str">
            <v>Borneo Maju Jaya, PT</v>
          </cell>
          <cell r="AO400" t="str">
            <v>welas@borneomajujaya.com</v>
          </cell>
          <cell r="AP400" t="str">
            <v>PO24000529</v>
          </cell>
          <cell r="AQ400">
            <v>2660800</v>
          </cell>
          <cell r="AR400">
            <v>45511</v>
          </cell>
          <cell r="AS400">
            <v>45523</v>
          </cell>
          <cell r="AT400">
            <v>45526</v>
          </cell>
          <cell r="AU400">
            <v>45548</v>
          </cell>
          <cell r="AV400">
            <v>45425</v>
          </cell>
          <cell r="AW400">
            <v>45447</v>
          </cell>
          <cell r="AX400">
            <v>3.1428571428571428</v>
          </cell>
          <cell r="AY400">
            <v>45541</v>
          </cell>
          <cell r="AZ400">
            <v>94</v>
          </cell>
          <cell r="BA400">
            <v>79824</v>
          </cell>
          <cell r="BB400" t="str">
            <v>Completed</v>
          </cell>
          <cell r="BC400" t="str">
            <v>PR100009437</v>
          </cell>
        </row>
        <row r="401">
          <cell r="B401" t="str">
            <v>PR100009452</v>
          </cell>
          <cell r="C401" t="str">
            <v>Heat Shrink Wrap,CRS,PE,crose linked poliolefin 35 kv</v>
          </cell>
          <cell r="E401" t="str">
            <v>Sola Anugerah Oilfield, PT
Perwira Sentra Officindo, PT
Pacific Tractor Indonesia, PT
Indoparts, CV
Alfa Teknik Mandiri Makmur, PT
Anugrah Mandiri Putra Tabalong, PT
Cahaya Murni, CV
Cominco Mitra Perkasa, PT
Sehati, CV</v>
          </cell>
          <cell r="F401" t="str">
            <v>Sola Anugerah Oilfield, PT</v>
          </cell>
          <cell r="G401" t="str">
            <v>R2
1 of 9
10 Oct 24</v>
          </cell>
          <cell r="H401" t="str">
            <v>ARTHUR BRAMIYANA</v>
          </cell>
          <cell r="I401">
            <v>45496</v>
          </cell>
          <cell r="J401" t="str">
            <v>INV</v>
          </cell>
          <cell r="K401" t="str">
            <v>B</v>
          </cell>
          <cell r="L401" t="str">
            <v>BID</v>
          </cell>
          <cell r="M401" t="str">
            <v>0266</v>
          </cell>
          <cell r="N401" t="str">
            <v>RH</v>
          </cell>
          <cell r="O401" t="str">
            <v>robertiagus.haposan@alamtri.com</v>
          </cell>
          <cell r="P401">
            <v>68.949799999999996</v>
          </cell>
          <cell r="Q401">
            <v>1103196.8</v>
          </cell>
          <cell r="R401" t="str">
            <v>Completed Sign PO</v>
          </cell>
          <cell r="T401" t="str">
            <v>MSW</v>
          </cell>
          <cell r="U401" t="str">
            <v>Sehati, CV
Berkat Pratama Teknik, CV
Cahaya Murni, CV
Century, CV
Indo Tehnik Tanjung Tabalong, PT
Indoparts, CV
Sarana Prima Lestari, CV</v>
          </cell>
          <cell r="W401" t="str">
            <v>7 of 7</v>
          </cell>
          <cell r="X401" t="str">
            <v xml:space="preserve"> of 7</v>
          </cell>
          <cell r="Y401">
            <v>45523</v>
          </cell>
          <cell r="Z401">
            <v>45530</v>
          </cell>
          <cell r="AA401" t="str">
            <v>Antares Jaya Gemilang Prima, PT
Borneo Maju Jaya, PT
Perwira Sentra Officindo, PT
Alfa Teknik Mandiri Makmur, PT
Lima Makmur Jaya, PT
Outsourcindo, PT
Berkat Pratama Teknik, CV
Sarana Prima Lestari, CV</v>
          </cell>
          <cell r="AC401" t="str">
            <v>8 of 8</v>
          </cell>
          <cell r="AD401" t="str">
            <v xml:space="preserve"> of 8</v>
          </cell>
          <cell r="AE401">
            <v>45533</v>
          </cell>
          <cell r="AF401">
            <v>45540</v>
          </cell>
          <cell r="AG401" t="str">
            <v>Sola Anugerah Oilfield, PT
Perwira Sentra Officindo, PT
Pacific Tractor Indonesia, PT
Indoparts, CV
Alfa Teknik Mandiri Makmur, PT
Anugrah Mandiri Putra Tabalong, PT
Cahaya Murni, CV
Cominco Mitra Perkasa, PT
Sehati, CV</v>
          </cell>
          <cell r="AH401" t="str">
            <v>Sola Anugerah Oilfield, PT</v>
          </cell>
          <cell r="AI401" t="str">
            <v>9 of 9</v>
          </cell>
          <cell r="AJ401" t="str">
            <v>1 of 9</v>
          </cell>
          <cell r="AK401">
            <v>45568</v>
          </cell>
          <cell r="AL401">
            <v>45575</v>
          </cell>
          <cell r="AM401">
            <v>0.70833333333333304</v>
          </cell>
          <cell r="AN401" t="str">
            <v>Sola Anugerah Oilfield, PT</v>
          </cell>
          <cell r="AO401" t="str">
            <v>mgr3@sola-oilfield.com;
sales3@sola-oilfield.com; admsolaanugerah@gmail.com; sales6@sola-oilfield.com</v>
          </cell>
          <cell r="AP401" t="str">
            <v>PO24000809</v>
          </cell>
          <cell r="AQ401">
            <v>3233000</v>
          </cell>
          <cell r="AR401">
            <v>45576</v>
          </cell>
          <cell r="AS401">
            <v>45600</v>
          </cell>
          <cell r="AT401">
            <v>45604</v>
          </cell>
          <cell r="AU401">
            <v>45709</v>
          </cell>
          <cell r="AV401">
            <v>45425</v>
          </cell>
          <cell r="AW401">
            <v>45530</v>
          </cell>
          <cell r="AX401">
            <v>15</v>
          </cell>
          <cell r="AY401">
            <v>45681</v>
          </cell>
          <cell r="AZ401">
            <v>151</v>
          </cell>
          <cell r="BA401">
            <v>96990</v>
          </cell>
          <cell r="BB401" t="str">
            <v>Late Completed</v>
          </cell>
          <cell r="BC401" t="str">
            <v>PR100009452</v>
          </cell>
        </row>
        <row r="402">
          <cell r="B402" t="str">
            <v>PR100009400</v>
          </cell>
          <cell r="C402" t="str">
            <v>DISC, Valve seat pressure,SAFETY VALVE MODEL 1728 WD Stock Inventory</v>
          </cell>
          <cell r="E402" t="str">
            <v>Kin Kitra Kencana, PT
Putera Instrumenindo, PT
Vhipa Mulia Pratama, PT
Outsourcindo, PT
Alfa Teknik Mandiri Makmur, PT
Valvindo Megah, PT</v>
          </cell>
          <cell r="F402" t="str">
            <v>Kin Kitra Kencana, PT
Putera Instrumenindo, PT</v>
          </cell>
          <cell r="G402" t="str">
            <v>R2
2 of 6
23 Aug 24</v>
          </cell>
          <cell r="H402" t="str">
            <v>ARTHUR BRAMIYANA</v>
          </cell>
          <cell r="I402">
            <v>45496</v>
          </cell>
          <cell r="J402" t="str">
            <v>INV</v>
          </cell>
          <cell r="K402" t="str">
            <v>B</v>
          </cell>
          <cell r="L402" t="str">
            <v>BID</v>
          </cell>
          <cell r="M402" t="str">
            <v>0267</v>
          </cell>
          <cell r="N402" t="str">
            <v>RH</v>
          </cell>
          <cell r="O402" t="str">
            <v>robertiagus.haposan@alamtri.com</v>
          </cell>
          <cell r="P402">
            <v>2735.28</v>
          </cell>
          <cell r="Q402">
            <v>43764480</v>
          </cell>
          <cell r="R402" t="str">
            <v>Completed Sign PO</v>
          </cell>
          <cell r="T402" t="str">
            <v>MSW</v>
          </cell>
          <cell r="U402" t="str">
            <v>Outsourcindo, PT
Sola Anugerah Oilfield, PT
Kin Kitra Kencana, PT
Mandiri Teknik Perkasa, PT
Putera Instrumenindo, PT
Alfa Teknik Mandiri Makmur, PT
Tomoe Valve Batama, PT
Mitra Sinar Bintang, PT
Hikmah Jaya Sentosa, PT
Inako Pratama Indonesia, PT
Sulindo Jaya Abadi, PT
Trimitra Wahana Sukses, PT
Golden Pratama Engineering, PT</v>
          </cell>
          <cell r="V402" t="str">
            <v>Kin Kitra Kencana, PT
Putera Instrumenindo, PT</v>
          </cell>
          <cell r="W402" t="str">
            <v>13 of 13</v>
          </cell>
          <cell r="X402" t="str">
            <v>2 of 13</v>
          </cell>
          <cell r="Y402">
            <v>45499</v>
          </cell>
          <cell r="Z402">
            <v>45506</v>
          </cell>
          <cell r="AA402" t="str">
            <v>Kin Kitra Kencana, PT
Putera Instrumenindo, PT
Sola Anugerah Oilfield, PT
Outsourcindo, PT
Alfa Teknik Mandiri Makmur, PT
Mandiri Teknik Perkasa, PT</v>
          </cell>
          <cell r="AB402" t="str">
            <v>Kin Kitra Kencana, PT
Putera Instrumenindo, PT</v>
          </cell>
          <cell r="AC402" t="str">
            <v>6 of 6</v>
          </cell>
          <cell r="AD402" t="str">
            <v>2 of 6</v>
          </cell>
          <cell r="AE402">
            <v>45512</v>
          </cell>
          <cell r="AF402">
            <v>45519</v>
          </cell>
          <cell r="AG402" t="str">
            <v>Kin Kitra Kencana, PT
Putera Instrumenindo, PT
Vhipa Mulia Pratama, PT
Outsourcindo, PT
Alfa Teknik Mandiri Makmur, PT
Valvindo Megah, PT</v>
          </cell>
          <cell r="AH402" t="str">
            <v>Kin Kitra Kencana, PT
Putera Instrumenindo, PT</v>
          </cell>
          <cell r="AI402" t="str">
            <v>6 of 6</v>
          </cell>
          <cell r="AJ402" t="str">
            <v>2 of 6</v>
          </cell>
          <cell r="AK402">
            <v>45524</v>
          </cell>
          <cell r="AL402">
            <v>45527</v>
          </cell>
          <cell r="AM402">
            <v>0.70833333333333304</v>
          </cell>
          <cell r="AN402" t="str">
            <v>Kin Kitra Kencana, PT</v>
          </cell>
          <cell r="AO402" t="str">
            <v>ptkinkitrakencana@gmail.com; teguhkin999@gmail.com</v>
          </cell>
          <cell r="AP402" t="str">
            <v>PO24000622</v>
          </cell>
          <cell r="AQ402">
            <v>87400000</v>
          </cell>
          <cell r="AR402">
            <v>45533</v>
          </cell>
          <cell r="AS402">
            <v>45546</v>
          </cell>
          <cell r="AT402">
            <v>45553</v>
          </cell>
          <cell r="AU402">
            <v>45814</v>
          </cell>
          <cell r="AV402">
            <v>45425</v>
          </cell>
          <cell r="AW402">
            <v>45686</v>
          </cell>
          <cell r="AX402">
            <v>37.285714285714285</v>
          </cell>
          <cell r="AZ402" t="str">
            <v/>
          </cell>
          <cell r="BA402" t="str">
            <v/>
          </cell>
          <cell r="BB402" t="str">
            <v>Late Completed</v>
          </cell>
          <cell r="BC402" t="str">
            <v>PR100009400</v>
          </cell>
        </row>
        <row r="403">
          <cell r="B403" t="str">
            <v>PR100009438</v>
          </cell>
          <cell r="C403" t="str">
            <v>Globe Valve KSB, Stock Inventory</v>
          </cell>
          <cell r="E403" t="str">
            <v>KSB Sales Indonesia, PT
Artam Borneo Automatika, PT
Andalan Tiga Berlian, PT
Petrocom Nusa Synergy, PT
Global Energitama, PT
Gevana, PT
Outsourcindo, PT
Bima Kaltim Utama, PT
Pacific Tractor Indonesia, PT</v>
          </cell>
          <cell r="F403" t="str">
            <v>Artam Borneo Automatika, PT
Gevana, PT</v>
          </cell>
          <cell r="G403" t="str">
            <v xml:space="preserve">R2
2 of 9
</v>
          </cell>
          <cell r="H403" t="str">
            <v>ARTHUR BRAMIYANA</v>
          </cell>
          <cell r="I403">
            <v>45499</v>
          </cell>
          <cell r="J403" t="str">
            <v>INV</v>
          </cell>
          <cell r="K403" t="str">
            <v>B</v>
          </cell>
          <cell r="L403" t="str">
            <v>BID</v>
          </cell>
          <cell r="M403" t="str">
            <v>0279</v>
          </cell>
          <cell r="N403" t="str">
            <v>RH</v>
          </cell>
          <cell r="O403" t="str">
            <v>robertiagus.haposan@alamtri.com</v>
          </cell>
          <cell r="P403">
            <v>2247.3694999999998</v>
          </cell>
          <cell r="Q403">
            <v>35957912</v>
          </cell>
          <cell r="R403" t="str">
            <v>Completed Sign PO</v>
          </cell>
          <cell r="T403" t="str">
            <v>MSW</v>
          </cell>
          <cell r="U403" t="str">
            <v>KSB Sales Indonesia, PT
Gamma Energi Pratama, PT
Arita Prima Indonesia Tbk, PT
Stanindo Artha Langgeng, PT
Andalan Tiga Berlian, PT
Afghan Jaya Abadi, PT
Maju Langgeng Mandiri, PT
Trimitra Wahana Sukses, PT
Alfa Teknik Mandiri Makmur, PT
Andalan Tiga Berlian, PT
Indo Makmur Mandiri, PT
Artam Borneo Automatika, PT</v>
          </cell>
          <cell r="V403" t="str">
            <v>KSB Sales Indonesia, PT</v>
          </cell>
          <cell r="W403" t="str">
            <v>12 of 12</v>
          </cell>
          <cell r="X403" t="str">
            <v>1 of 12</v>
          </cell>
          <cell r="Y403">
            <v>45453</v>
          </cell>
          <cell r="Z403">
            <v>45463</v>
          </cell>
          <cell r="AA403" t="str">
            <v>KSB Sales Indonesia, PT
Artam Borneo Automatika, PT
Andalan Tiga Berlian, PT
Adijaya Mitra Perkasa, PT
Pohon Mas Sejahtera, PT
Alfa Teknik Mandiri Makmur, PT
Petrocom Nusa Synergy, PT
Outsourcindo, PT
Indira Mitra Boiler, PT
Proweldindo, PT</v>
          </cell>
          <cell r="AC403" t="str">
            <v>10 of 10</v>
          </cell>
          <cell r="AD403" t="str">
            <v xml:space="preserve"> of 10</v>
          </cell>
          <cell r="AE403">
            <v>45516</v>
          </cell>
          <cell r="AF403">
            <v>45523</v>
          </cell>
          <cell r="AG403" t="str">
            <v>KSB Sales Indonesia, PT
Artam Borneo Automatika, PT
Andalan Tiga Berlian, PT
Petrocom Nusa Synergy, PT
Global Energitama, PT
Gevana, PT
Outsourcindo, PT
Bima Kaltim Utama, PT
Pacific Tractor Indonesia, PT</v>
          </cell>
          <cell r="AH403" t="str">
            <v>Artam Borneo Automatika, PT
Gevana, PT</v>
          </cell>
          <cell r="AI403" t="str">
            <v>9 of 9</v>
          </cell>
          <cell r="AJ403" t="str">
            <v>2 of 9</v>
          </cell>
          <cell r="AL403" t="str">
            <v/>
          </cell>
          <cell r="AM403">
            <v>0.70833333333333304</v>
          </cell>
          <cell r="AN403" t="str">
            <v>Artam Borneo Automatika, PT</v>
          </cell>
          <cell r="AO403" t="str">
            <v>sales@artam.co.id; arie@artam.co.id; inquiry@artam.co.id; artamborneo@gmail.com; alfian.hambali@artam.co.id; sales.bpn@artam.co.id</v>
          </cell>
          <cell r="AP403" t="str">
            <v>PO24000601R1</v>
          </cell>
          <cell r="AQ403">
            <v>28712000</v>
          </cell>
          <cell r="AR403">
            <v>45534</v>
          </cell>
          <cell r="AS403">
            <v>45544</v>
          </cell>
          <cell r="AT403">
            <v>45544</v>
          </cell>
          <cell r="AU403">
            <v>45730</v>
          </cell>
          <cell r="AV403">
            <v>45425</v>
          </cell>
          <cell r="AW403">
            <v>45611</v>
          </cell>
          <cell r="AX403">
            <v>26.571428571428573</v>
          </cell>
          <cell r="AY403">
            <v>45752</v>
          </cell>
          <cell r="AZ403">
            <v>141</v>
          </cell>
          <cell r="BA403">
            <v>1435600</v>
          </cell>
          <cell r="BB403" t="str">
            <v>Late Completed</v>
          </cell>
          <cell r="BC403" t="str">
            <v>PR100009438</v>
          </cell>
        </row>
        <row r="404">
          <cell r="B404" t="str">
            <v>PR100009397</v>
          </cell>
          <cell r="C404" t="str">
            <v>Timer (uninterruptable), 24 hours with battery,Stock Inventory</v>
          </cell>
          <cell r="E404" t="str">
            <v>Borneo Maju Jaya, PT
Perwira Sentra Officindo, PT
Antares Jaya Gemilang Prima, PT
Greentek Elektrikal Indonesia, PT
Gading Mas Utama, PT
Ganesha Wirya Pratama, PT
Gema Industrial, PT
Indoparts, CV
Vhipa Mulia Pratama, PT</v>
          </cell>
          <cell r="F404" t="str">
            <v/>
          </cell>
          <cell r="G404" t="str">
            <v xml:space="preserve">R0
 of 9
</v>
          </cell>
          <cell r="H404" t="str">
            <v>ARTHUR BRAMIYANA</v>
          </cell>
          <cell r="I404">
            <v>45499</v>
          </cell>
          <cell r="J404" t="str">
            <v>INV</v>
          </cell>
          <cell r="K404" t="str">
            <v>B</v>
          </cell>
          <cell r="L404" t="str">
            <v>BID</v>
          </cell>
          <cell r="M404" t="str">
            <v>0280</v>
          </cell>
          <cell r="N404" t="str">
            <v>RH</v>
          </cell>
          <cell r="O404" t="str">
            <v>robertiagus.haposan@alamtri.com</v>
          </cell>
          <cell r="P404">
            <v>292.08199999999999</v>
          </cell>
          <cell r="Q404">
            <v>4673312</v>
          </cell>
          <cell r="R404" t="str">
            <v>Completed Sign PO</v>
          </cell>
          <cell r="T404" t="str">
            <v>MSW</v>
          </cell>
          <cell r="U404" t="str">
            <v>Borneo Maju Jaya, PT
Perwira Sentra Officindo, PT
Antares Jaya Gemilang Prima, PT
Greentek Elektrikal Indonesia, PT
Gading Mas Utama, PT
Ganesha Wirya Pratama, PT
Gema Industrial, PT
Indoparts, CV
Vhipa Mulia Pratama, PT</v>
          </cell>
          <cell r="W404" t="str">
            <v>9 of 9</v>
          </cell>
          <cell r="X404" t="str">
            <v xml:space="preserve"> of 9</v>
          </cell>
          <cell r="Z404" t="str">
            <v/>
          </cell>
          <cell r="AC404" t="str">
            <v xml:space="preserve"> of </v>
          </cell>
          <cell r="AD404" t="str">
            <v xml:space="preserve"> of </v>
          </cell>
          <cell r="AF404" t="str">
            <v/>
          </cell>
          <cell r="AI404" t="str">
            <v xml:space="preserve"> of </v>
          </cell>
          <cell r="AJ404" t="str">
            <v xml:space="preserve"> of </v>
          </cell>
          <cell r="AL404" t="str">
            <v/>
          </cell>
          <cell r="AM404">
            <v>0.70833333333333304</v>
          </cell>
          <cell r="AN404" t="str">
            <v>Borneo Maju Jaya, PT</v>
          </cell>
          <cell r="AO404" t="str">
            <v>welas@borneomajujaya.com</v>
          </cell>
          <cell r="AP404" t="str">
            <v>PO24000570</v>
          </cell>
          <cell r="AQ404">
            <v>5032000</v>
          </cell>
          <cell r="AR404">
            <v>45517</v>
          </cell>
          <cell r="AS404">
            <v>45533</v>
          </cell>
          <cell r="AT404">
            <v>45533</v>
          </cell>
          <cell r="AU404">
            <v>45548</v>
          </cell>
          <cell r="AV404">
            <v>45425</v>
          </cell>
          <cell r="AW404">
            <v>45440</v>
          </cell>
          <cell r="AX404">
            <v>2.1428571428571428</v>
          </cell>
          <cell r="AY404">
            <v>45541</v>
          </cell>
          <cell r="AZ404">
            <v>101</v>
          </cell>
          <cell r="BA404">
            <v>150960</v>
          </cell>
          <cell r="BB404" t="str">
            <v>Late Completed</v>
          </cell>
          <cell r="BC404" t="str">
            <v>PR100009397</v>
          </cell>
        </row>
        <row r="405">
          <cell r="B405" t="str">
            <v>PR100009390</v>
          </cell>
          <cell r="C405" t="str">
            <v>Y blade fan, equal to emap Y blade fan no CS90,Stock Inventory</v>
          </cell>
          <cell r="D405" t="str">
            <v>Mega Mitra Abadi, PT</v>
          </cell>
          <cell r="E405" t="str">
            <v>Perwira Sentra Officindo, PT
Majasakti Teknik, PT
Berkat Mandiri Utama, CV
Sola Anugerah Oilfield, PT
Petrocom Nusa Synergy, PT
Antares Jaya Gemilang Prima, PT
Gridtech Indonesia, PT</v>
          </cell>
          <cell r="F405" t="str">
            <v>Perwira Sentra Officindo, PT
Majasakti Teknik, PT
Antares Jaya Gemilang Prima, PT</v>
          </cell>
          <cell r="G405" t="str">
            <v>R2
3 of 7
29 Aug 24</v>
          </cell>
          <cell r="H405" t="str">
            <v>ARTHUR BRAMIYANA</v>
          </cell>
          <cell r="I405">
            <v>45499</v>
          </cell>
          <cell r="J405" t="str">
            <v>INV</v>
          </cell>
          <cell r="K405" t="str">
            <v>B</v>
          </cell>
          <cell r="L405" t="str">
            <v>BID</v>
          </cell>
          <cell r="M405" t="str">
            <v>0281</v>
          </cell>
          <cell r="N405" t="str">
            <v>RH</v>
          </cell>
          <cell r="O405" t="str">
            <v>robertiagus.haposan@alamtri.com</v>
          </cell>
          <cell r="P405">
            <v>102.959</v>
          </cell>
          <cell r="Q405">
            <v>1647344</v>
          </cell>
          <cell r="R405" t="str">
            <v>Completed Sign PO</v>
          </cell>
          <cell r="T405" t="str">
            <v>MSW</v>
          </cell>
          <cell r="U405" t="str">
            <v>Borneo Maju Jaya, PT
Mega Mitra Abadi, PT
Perwira Sentra Officindo, PT
Antares Jaya Gemilang Prima, PT
Gema Industrial, PT
Kin Kitra Kencana, PT
Smata Teknindo Karya Bersama, PT
Indo Tehnik Tanjung Tabalong, PT
Yabestindo Mitra Utama, PT</v>
          </cell>
          <cell r="V405" t="str">
            <v>Perwira Sentra Officindo, PT</v>
          </cell>
          <cell r="W405" t="str">
            <v>9 of 9</v>
          </cell>
          <cell r="X405" t="str">
            <v>1 of 9</v>
          </cell>
          <cell r="Y405">
            <v>45870</v>
          </cell>
          <cell r="Z405">
            <v>45877</v>
          </cell>
          <cell r="AA405" t="str">
            <v>Borneo Maju Jaya, PT
Mega Mitra Abadi, PT
Perwira Sentra Officindo, PT
Antares Jaya Gemilang Prima, PT
Gema Industrial, PT
Kin Kitra Kencana, PT
Smata Teknindo Karya Bersama, PT
Indo Tehnik Tanjung Tabalong, PT
Yabestindo Mitra Utama, PT</v>
          </cell>
          <cell r="AB405" t="str">
            <v>Perwira Sentra Officindo, PT</v>
          </cell>
          <cell r="AC405" t="str">
            <v>9 of 9</v>
          </cell>
          <cell r="AD405" t="str">
            <v>1 of 9</v>
          </cell>
          <cell r="AE405">
            <v>45870</v>
          </cell>
          <cell r="AF405">
            <v>45877</v>
          </cell>
          <cell r="AG405" t="str">
            <v>Perwira Sentra Officindo, PT
Majasakti Teknik, PT
Berkat Mandiri Utama, CV
Sola Anugerah Oilfield, PT
Petrocom Nusa Synergy, PT
Antares Jaya Gemilang Prima, PT
Gridtech Indonesia, PT</v>
          </cell>
          <cell r="AH405" t="str">
            <v>Perwira Sentra Officindo, PT
Majasakti Teknik, PT
Antares Jaya Gemilang Prima, PT</v>
          </cell>
          <cell r="AI405" t="str">
            <v>7 of 7</v>
          </cell>
          <cell r="AJ405" t="str">
            <v>3 of 7</v>
          </cell>
          <cell r="AK405">
            <v>45526</v>
          </cell>
          <cell r="AL405">
            <v>45533</v>
          </cell>
          <cell r="AM405">
            <v>0.70833333333333304</v>
          </cell>
          <cell r="AN405" t="str">
            <v>Perwira Sentra Officindo, PT</v>
          </cell>
          <cell r="AO405" t="str">
            <v>d_santos63@yahoo.com</v>
          </cell>
          <cell r="AP405" t="str">
            <v>PO24000589</v>
          </cell>
          <cell r="AQ405">
            <v>600000</v>
          </cell>
          <cell r="AR405">
            <v>45534</v>
          </cell>
          <cell r="AS405">
            <v>45538</v>
          </cell>
          <cell r="AT405">
            <v>45540</v>
          </cell>
          <cell r="AU405">
            <v>45569</v>
          </cell>
          <cell r="AV405">
            <v>45425</v>
          </cell>
          <cell r="AW405">
            <v>45454</v>
          </cell>
          <cell r="AX405">
            <v>4.1428571428571432</v>
          </cell>
          <cell r="AY405">
            <v>45565</v>
          </cell>
          <cell r="AZ405">
            <v>111</v>
          </cell>
          <cell r="BA405">
            <v>18000</v>
          </cell>
          <cell r="BB405" t="str">
            <v>Late Completed</v>
          </cell>
          <cell r="BC405" t="str">
            <v>PR100009390</v>
          </cell>
        </row>
        <row r="406">
          <cell r="B406" t="str">
            <v>PR100008936</v>
          </cell>
          <cell r="C406" t="str">
            <v>Pembelian Part for Pipe Line Turbine</v>
          </cell>
          <cell r="E406" t="str">
            <v>Afghan Jaya Abadi, PT
Trimitra Wahana Sukses, PT
Maju Langgeng Mandiri, PT
Mitra Wira Pratama, PT
Astha Bumi Valve, PT
Proweldindo, PT
Berkat Pratama Teknik, CV
Sola Anugerah Oilfield, PT
Petrocom Nusa Synergy, PT
Outsourcindo, PT</v>
          </cell>
          <cell r="F406" t="str">
            <v>Proweldindo, PT
Sola Anugerah Oilfield, PT
Outsourcindo, PT</v>
          </cell>
          <cell r="G406" t="str">
            <v>R0
3 of 10
12 Aug 24</v>
          </cell>
          <cell r="H406" t="str">
            <v>TOPAN BAYU PRAPTOMO</v>
          </cell>
          <cell r="I406">
            <v>45509</v>
          </cell>
          <cell r="J406" t="str">
            <v>Tech Main</v>
          </cell>
          <cell r="K406" t="str">
            <v>B</v>
          </cell>
          <cell r="L406" t="str">
            <v>BID</v>
          </cell>
          <cell r="M406" t="str">
            <v>0295</v>
          </cell>
          <cell r="N406" t="str">
            <v>RH</v>
          </cell>
          <cell r="O406" t="str">
            <v>robertiagus.haposan@alamtri.com</v>
          </cell>
          <cell r="P406">
            <v>700</v>
          </cell>
          <cell r="Q406">
            <v>11200000</v>
          </cell>
          <cell r="R406" t="str">
            <v>Completed Sign PO</v>
          </cell>
          <cell r="T406" t="str">
            <v>MSW</v>
          </cell>
          <cell r="U406" t="str">
            <v>Afghan Jaya Abadi, PT
Trimitra Wahana Sukses, PT
Maju Langgeng Mandiri, PT
Mitra Wira Pratama, PT
Astha Bumi Valve, PT
Proweldindo, PT
Berkat Pratama Teknik, CV
Sola Anugerah Oilfield, PT
Petrocom Nusa Synergy, PT
Outsourcindo, PT</v>
          </cell>
          <cell r="V406" t="str">
            <v>Proweldindo, PT
Sola Anugerah Oilfield, PT
Outsourcindo, PT</v>
          </cell>
          <cell r="W406" t="str">
            <v>10 of 10</v>
          </cell>
          <cell r="X406" t="str">
            <v>3 of 10</v>
          </cell>
          <cell r="Y406">
            <v>45509</v>
          </cell>
          <cell r="Z406">
            <v>45516</v>
          </cell>
          <cell r="AC406" t="str">
            <v xml:space="preserve"> of </v>
          </cell>
          <cell r="AD406" t="str">
            <v xml:space="preserve"> of </v>
          </cell>
          <cell r="AF406" t="str">
            <v/>
          </cell>
          <cell r="AI406" t="str">
            <v xml:space="preserve"> of </v>
          </cell>
          <cell r="AJ406" t="str">
            <v xml:space="preserve"> of </v>
          </cell>
          <cell r="AL406" t="str">
            <v/>
          </cell>
          <cell r="AM406">
            <v>0.70833333333333304</v>
          </cell>
          <cell r="AN406" t="str">
            <v>Outsourcindo, PT</v>
          </cell>
          <cell r="AO406" t="str">
            <v>outsourcindo@gmail.com; sales@outsourcindo.com</v>
          </cell>
          <cell r="AP406" t="str">
            <v>PO24000633</v>
          </cell>
          <cell r="AQ406">
            <v>19381184</v>
          </cell>
          <cell r="AR406">
            <v>45520</v>
          </cell>
          <cell r="AS406">
            <v>45548</v>
          </cell>
          <cell r="AT406">
            <v>45554</v>
          </cell>
          <cell r="AU406">
            <v>45632</v>
          </cell>
          <cell r="AV406">
            <v>45558</v>
          </cell>
          <cell r="AW406">
            <v>45636</v>
          </cell>
          <cell r="AX406">
            <v>11.142857142857142</v>
          </cell>
          <cell r="AY406">
            <v>45610</v>
          </cell>
          <cell r="AZ406" t="str">
            <v/>
          </cell>
          <cell r="BA406" t="str">
            <v/>
          </cell>
          <cell r="BB406" t="str">
            <v>Late Completed</v>
          </cell>
          <cell r="BC406" t="str">
            <v>PR100008936</v>
          </cell>
        </row>
        <row r="407">
          <cell r="B407" t="str">
            <v>PR100009455</v>
          </cell>
          <cell r="C407" t="str">
            <v>Part KSB Filter Feed Pump, Stock Inventory</v>
          </cell>
          <cell r="D407" t="str">
            <v>KSB Sales Indonesia, PT
Andalan Tiga Berlian, PT</v>
          </cell>
          <cell r="E407" t="str">
            <v>KSB Sales Indonesia, PT
Artam Borneo Automatika, PT
Andalan Tiga Berlian, PT
Petrocom Nusa Synergy, PT
Global Energitama, PT
Gevana, PT
Outsourcindo, PT
Bima Kaltim Utama, PT
Pacific Tractor Indonesia, PT</v>
          </cell>
          <cell r="F407" t="str">
            <v>Artam Borneo Automatika, PT
Gevana, PT</v>
          </cell>
          <cell r="G407" t="str">
            <v>R1
2 of 9
27 Aug 24</v>
          </cell>
          <cell r="H407" t="str">
            <v>ARTHUR BRAMIYANA</v>
          </cell>
          <cell r="I407">
            <v>45513</v>
          </cell>
          <cell r="J407" t="str">
            <v>INV</v>
          </cell>
          <cell r="K407" t="str">
            <v>B</v>
          </cell>
          <cell r="L407" t="str">
            <v>BID</v>
          </cell>
          <cell r="M407" t="str">
            <v>0279</v>
          </cell>
          <cell r="N407" t="str">
            <v>RH</v>
          </cell>
          <cell r="O407" t="str">
            <v>robertiagus.haposan@alamtri.com</v>
          </cell>
          <cell r="P407">
            <v>1824.3929000000001</v>
          </cell>
          <cell r="Q407">
            <v>29190286.400000002</v>
          </cell>
          <cell r="R407" t="str">
            <v>Completed Sign PO</v>
          </cell>
          <cell r="T407" t="str">
            <v>MSW</v>
          </cell>
          <cell r="U407" t="str">
            <v>KSB Sales Indonesia, PT
Artam Borneo Automatika, PT
Andalan Tiga Berlian, PT
Adijaya Mitra Perkasa, PT
Pohon Mas Sejahtera, PT
Alfa Teknik Mandiri Makmur, PT
Petrocom Nusa Synergy, PT
Outsourcindo, PT
Indira Mitra Boiler, PT
Proweldindo, PT</v>
          </cell>
          <cell r="V407" t="str">
            <v>None</v>
          </cell>
          <cell r="W407" t="str">
            <v>10 of 10</v>
          </cell>
          <cell r="X407" t="str">
            <v>1 of 10</v>
          </cell>
          <cell r="Y407">
            <v>45516</v>
          </cell>
          <cell r="Z407">
            <v>45523</v>
          </cell>
          <cell r="AA407" t="str">
            <v>KSB Sales Indonesia, PT
Artam Borneo Automatika, PT
Andalan Tiga Berlian, PT
Petrocom Nusa Synergy, PT
Global Energitama, PT
Gevana, PT
Outsourcindo, PT
Bima Kaltim Utama, PT
Pacific Tractor Indonesia, PT</v>
          </cell>
          <cell r="AB407" t="str">
            <v>Artam Borneo Automatika, PT
Gevana, PT</v>
          </cell>
          <cell r="AC407" t="str">
            <v>9 of 9</v>
          </cell>
          <cell r="AD407" t="str">
            <v>2 of 9</v>
          </cell>
          <cell r="AE407">
            <v>45524</v>
          </cell>
          <cell r="AF407">
            <v>45531</v>
          </cell>
          <cell r="AI407" t="str">
            <v xml:space="preserve"> of </v>
          </cell>
          <cell r="AJ407" t="str">
            <v xml:space="preserve"> of </v>
          </cell>
          <cell r="AL407" t="str">
            <v/>
          </cell>
          <cell r="AM407">
            <v>0.70833333333333304</v>
          </cell>
          <cell r="AN407" t="str">
            <v>Artam Borneo Automatika, PT</v>
          </cell>
          <cell r="AO407" t="str">
            <v>sales@artam.co.id; arie@artam.co.id; inquiry@artam.co.id; artamborneo@gmail.com; alfian.hambali@artam.co.id; sales.bpn@artam.co.id</v>
          </cell>
          <cell r="AP407" t="str">
            <v>PO24000601R1</v>
          </cell>
          <cell r="AQ407">
            <v>63800000</v>
          </cell>
          <cell r="AR407">
            <v>45534</v>
          </cell>
          <cell r="AS407">
            <v>45544</v>
          </cell>
          <cell r="AT407">
            <v>45544</v>
          </cell>
          <cell r="AU407">
            <v>45730</v>
          </cell>
          <cell r="AV407">
            <v>45545</v>
          </cell>
          <cell r="AW407">
            <v>45731</v>
          </cell>
          <cell r="AX407">
            <v>26.571428571428573</v>
          </cell>
          <cell r="AY407">
            <v>45752</v>
          </cell>
          <cell r="AZ407">
            <v>21</v>
          </cell>
          <cell r="BA407">
            <v>1339800</v>
          </cell>
          <cell r="BB407" t="str">
            <v>Late Completed</v>
          </cell>
          <cell r="BC407" t="str">
            <v>PR100009455</v>
          </cell>
        </row>
        <row r="408">
          <cell r="B408" t="str">
            <v>PR100009471</v>
          </cell>
          <cell r="C408" t="str">
            <v>Hose Hydraulic Piping (For Lift Cylnder) WA380 Loader,Stock Inventory</v>
          </cell>
          <cell r="E408" t="str">
            <v>Pacific Tractor Indonesia, PT
United Tractors, PT
Alfa Teknik Mandiri Makmur, PT
Anugrah Mandiri Putra Tabalong, PT
Vhipa Mulia Pratama, PT
Aneka Mitra Cipta, PT
Sentrapart Niaga Utama, PT
Berkat Pratama Teknik, CV
Proweldindo, PT</v>
          </cell>
          <cell r="F408" t="str">
            <v>United Tractors, PT
Alfa Teknik Mandiri Makmur, PT
Aneka Mitra Cipta, PT
Sentrapart Niaga Utama, PT</v>
          </cell>
          <cell r="G408" t="str">
            <v>R0
4 of 9
19 Aug 24</v>
          </cell>
          <cell r="H408" t="str">
            <v>ARTHUR BRAMIYANA</v>
          </cell>
          <cell r="I408">
            <v>45513</v>
          </cell>
          <cell r="J408" t="str">
            <v>INV</v>
          </cell>
          <cell r="K408" t="str">
            <v>B</v>
          </cell>
          <cell r="L408" t="str">
            <v>BID</v>
          </cell>
          <cell r="M408" t="str">
            <v>0296</v>
          </cell>
          <cell r="N408" t="str">
            <v>RH</v>
          </cell>
          <cell r="O408" t="str">
            <v>robertiagus.haposan@alamtri.com</v>
          </cell>
          <cell r="P408">
            <v>328.07299999999998</v>
          </cell>
          <cell r="Q408">
            <v>5249168</v>
          </cell>
          <cell r="R408" t="str">
            <v>Completed Sign PO</v>
          </cell>
          <cell r="T408" t="str">
            <v>MSW</v>
          </cell>
          <cell r="U408" t="str">
            <v>Pacific Tractor Indonesia, PT
United Tractors, PT
Alfa Teknik Mandiri Makmur, PT
Anugrah Mandiri Putra Tabalong, PT
Vhipa Mulia Pratama, PT
Aneka Mitra Cipta, PT
Sentrapart Niaga Utama, PT
Berkat Pratama Teknik, CV
Proweldindo, PT</v>
          </cell>
          <cell r="V408" t="str">
            <v>United Tractors, PT
Alfa Teknik Mandiri Makmur, PT
Aneka Mitra Cipta, PT
Sentrapart Niaga Utama, PT</v>
          </cell>
          <cell r="W408" t="str">
            <v>9 of 9</v>
          </cell>
          <cell r="X408" t="str">
            <v>4 of 9</v>
          </cell>
          <cell r="Y408">
            <v>45516</v>
          </cell>
          <cell r="Z408">
            <v>45523</v>
          </cell>
          <cell r="AC408" t="str">
            <v xml:space="preserve"> of </v>
          </cell>
          <cell r="AD408" t="str">
            <v xml:space="preserve"> of </v>
          </cell>
          <cell r="AF408" t="str">
            <v/>
          </cell>
          <cell r="AI408" t="str">
            <v xml:space="preserve"> of </v>
          </cell>
          <cell r="AJ408" t="str">
            <v xml:space="preserve"> of </v>
          </cell>
          <cell r="AL408" t="str">
            <v/>
          </cell>
          <cell r="AM408">
            <v>0.70833333333333304</v>
          </cell>
          <cell r="AN408" t="str">
            <v>Alfa Teknik Mandiri Makmur, PT</v>
          </cell>
          <cell r="AO408" t="str">
            <v>sales.atmm@gmail.com; alex_atmm@yahoo.com</v>
          </cell>
          <cell r="AP408" t="str">
            <v>PO24000634</v>
          </cell>
          <cell r="AQ408">
            <v>1920000</v>
          </cell>
          <cell r="AR408">
            <v>45525</v>
          </cell>
          <cell r="AS408">
            <v>45544</v>
          </cell>
          <cell r="AT408">
            <v>45554</v>
          </cell>
          <cell r="AU408">
            <v>45576</v>
          </cell>
          <cell r="AV408">
            <v>45558</v>
          </cell>
          <cell r="AW408">
            <v>45580</v>
          </cell>
          <cell r="AX408">
            <v>3.1428571428571428</v>
          </cell>
          <cell r="AY408">
            <v>45587</v>
          </cell>
          <cell r="AZ408">
            <v>7</v>
          </cell>
          <cell r="BA408">
            <v>57600</v>
          </cell>
          <cell r="BB408" t="str">
            <v>Late Completed</v>
          </cell>
          <cell r="BC408" t="str">
            <v>PR100009471</v>
          </cell>
        </row>
        <row r="409">
          <cell r="B409" t="str">
            <v>PR100009479</v>
          </cell>
          <cell r="C409" t="str">
            <v>PRESSURE GAUGE, 0-16 BAR &amp; Liquid Leak Detector Stock Inventory</v>
          </cell>
          <cell r="E409" t="str">
            <v>Kin Kitra Kencana, PT
Putera Instrumenindo, PT
Sola Anugerah Oilfield, PT
Antares Jaya Gemilang Prima, PT
Perwira Sentra Officindo, PT
Anugrah Andalan Bestindo, PT
Simenteknindo, PT
Adika Mitra Sehati, PT
Gading Mas Utama, PT
Proweldindo, PT</v>
          </cell>
          <cell r="F409" t="str">
            <v>Sola Anugerah Oilfield, PT
Antares Jaya Gemilang Prima, PT
Perwira Sentra Officindo, PT
Gading Mas Utama, PT</v>
          </cell>
          <cell r="G409" t="str">
            <v>R0
4 of 10
19 Aug 24</v>
          </cell>
          <cell r="H409" t="str">
            <v>ARTHUR BRAMIYANA</v>
          </cell>
          <cell r="I409">
            <v>45513</v>
          </cell>
          <cell r="J409" t="str">
            <v>INV</v>
          </cell>
          <cell r="K409" t="str">
            <v>B</v>
          </cell>
          <cell r="L409" t="str">
            <v>BID</v>
          </cell>
          <cell r="M409" t="str">
            <v>0297</v>
          </cell>
          <cell r="N409" t="str">
            <v>RH</v>
          </cell>
          <cell r="O409" t="str">
            <v>robertiagus.haposan@alamtri.com</v>
          </cell>
          <cell r="P409">
            <v>672.99599999999998</v>
          </cell>
          <cell r="Q409">
            <v>10767936</v>
          </cell>
          <cell r="R409" t="str">
            <v>Completed Sign PO</v>
          </cell>
          <cell r="T409" t="str">
            <v>MSW</v>
          </cell>
          <cell r="U409" t="str">
            <v>Kin Kitra Kencana, PT
Putera Instrumenindo, PT
Sola Anugerah Oilfield, PT
Antares Jaya Gemilang Prima, PT
Perwira Sentra Officindo, PT
Anugrah Andalan Bestindo, PT
Simenteknindo, PT
Adika Mitra Sehati, PT
Gading Mas Utama, PT
Proweldindo, PT</v>
          </cell>
          <cell r="V409" t="str">
            <v>Sola Anugerah Oilfield, PT
Antares Jaya Gemilang Prima, PT
Perwira Sentra Officindo, PT
Gading Mas Utama, PT</v>
          </cell>
          <cell r="W409" t="str">
            <v>10 of 10</v>
          </cell>
          <cell r="X409" t="str">
            <v>4 of 10</v>
          </cell>
          <cell r="Y409">
            <v>45516</v>
          </cell>
          <cell r="Z409">
            <v>45523</v>
          </cell>
          <cell r="AC409" t="str">
            <v xml:space="preserve"> of </v>
          </cell>
          <cell r="AD409" t="str">
            <v xml:space="preserve"> of </v>
          </cell>
          <cell r="AF409" t="str">
            <v/>
          </cell>
          <cell r="AI409" t="str">
            <v xml:space="preserve"> of </v>
          </cell>
          <cell r="AJ409" t="str">
            <v xml:space="preserve"> of </v>
          </cell>
          <cell r="AL409" t="str">
            <v/>
          </cell>
          <cell r="AM409">
            <v>0.70833333333333304</v>
          </cell>
          <cell r="AN409" t="str">
            <v>Perwira Sentra Officindo, PT</v>
          </cell>
          <cell r="AO409" t="str">
            <v>d_santos63@yahoo.com</v>
          </cell>
          <cell r="AP409" t="str">
            <v>PO24000591</v>
          </cell>
          <cell r="AQ409">
            <v>11236400</v>
          </cell>
          <cell r="AR409">
            <v>45525</v>
          </cell>
          <cell r="AS409">
            <v>45539</v>
          </cell>
          <cell r="AT409">
            <v>45540</v>
          </cell>
          <cell r="AU409">
            <v>45569</v>
          </cell>
          <cell r="AV409">
            <v>45545</v>
          </cell>
          <cell r="AW409">
            <v>45574</v>
          </cell>
          <cell r="AX409">
            <v>4.1428571428571432</v>
          </cell>
          <cell r="AY409">
            <v>45565</v>
          </cell>
          <cell r="AZ409" t="str">
            <v/>
          </cell>
          <cell r="BA409" t="str">
            <v/>
          </cell>
          <cell r="BB409" t="str">
            <v>Completed</v>
          </cell>
          <cell r="BC409" t="str">
            <v>PR100009479</v>
          </cell>
        </row>
        <row r="410">
          <cell r="B410" t="str">
            <v>PR100009105</v>
          </cell>
          <cell r="C410" t="str">
            <v>Pembelian Part Primary &amp; Secondary Crusher (CHP) (detail see attchment)</v>
          </cell>
          <cell r="E410" t="str">
            <v>Kajianlogam Persada, PT
Proweldindo, PT
Sriwijaya Teknik Utama, PT
Profesional Teknik Industri Indonesia, PT
Toyogiri Iron Steel, PT</v>
          </cell>
          <cell r="F410" t="str">
            <v>Kajianlogam Persada, PT
Proweldindo, PT</v>
          </cell>
          <cell r="G410" t="str">
            <v>R2
2 of 5
09 Sep 24</v>
          </cell>
          <cell r="H410" t="str">
            <v>TOPAN BAYU PRAPTOMO</v>
          </cell>
          <cell r="I410">
            <v>45513</v>
          </cell>
          <cell r="J410" t="str">
            <v>Tech Main</v>
          </cell>
          <cell r="K410" t="str">
            <v>B</v>
          </cell>
          <cell r="L410" t="str">
            <v>BID</v>
          </cell>
          <cell r="M410" t="str">
            <v>0306</v>
          </cell>
          <cell r="N410" t="str">
            <v>RH</v>
          </cell>
          <cell r="O410" t="str">
            <v>robertiagus.haposan@alamtri.com</v>
          </cell>
          <cell r="P410">
            <v>9232.7795999999998</v>
          </cell>
          <cell r="Q410">
            <v>147724473.59999999</v>
          </cell>
          <cell r="R410" t="str">
            <v>Completed Sign PO</v>
          </cell>
          <cell r="T410" t="str">
            <v>MSW</v>
          </cell>
          <cell r="U410" t="str">
            <v>Berkat Pratama Teknik, CV
Sola Anugerah Oilfield, PT
Kajianlogam Persada, PT
Cahaya Murni, CV
Panca Tehnik Tanjung, PT
Proweldindo, PT</v>
          </cell>
          <cell r="V410" t="str">
            <v>None</v>
          </cell>
          <cell r="W410" t="str">
            <v>6 of 6</v>
          </cell>
          <cell r="X410" t="str">
            <v>1 of 6</v>
          </cell>
          <cell r="Y410">
            <v>45517</v>
          </cell>
          <cell r="Z410">
            <v>45524</v>
          </cell>
          <cell r="AA410" t="str">
            <v>Kajianlogam Persada, PT
Proweldindo, PT
Tira Austenite Tbk, PT
Cakra Perkasa Jayamulia, PT
Mandiri Persada Banjar Baru, CV
Mff Oilfield Services and Engineering, PT</v>
          </cell>
          <cell r="AB410" t="str">
            <v>Kajianlogam Persada, PT
Proweldindo, PT</v>
          </cell>
          <cell r="AC410" t="str">
            <v>6 of 6</v>
          </cell>
          <cell r="AD410" t="str">
            <v>2 of 6</v>
          </cell>
          <cell r="AE410">
            <v>45527</v>
          </cell>
          <cell r="AF410">
            <v>45534</v>
          </cell>
          <cell r="AG410" t="str">
            <v>Kajianlogam Persada, PT
Proweldindo, PT
Sriwijaya Teknik Utama, PT
Profesional Teknik Industri Indonesia, PT
Toyogiri Iron Steel, PT</v>
          </cell>
          <cell r="AH410" t="str">
            <v>Kajianlogam Persada, PT
Proweldindo, PT</v>
          </cell>
          <cell r="AI410" t="str">
            <v>5 of 5</v>
          </cell>
          <cell r="AJ410" t="str">
            <v>2 of 5</v>
          </cell>
          <cell r="AK410">
            <v>45537</v>
          </cell>
          <cell r="AL410">
            <v>45544</v>
          </cell>
          <cell r="AM410">
            <v>0.70833333333333304</v>
          </cell>
          <cell r="AN410" t="str">
            <v>Proweldindo, PT</v>
          </cell>
          <cell r="AO410" t="str">
            <v>support@proweldindo.com</v>
          </cell>
          <cell r="AP410" t="str">
            <v>PO24000670</v>
          </cell>
          <cell r="AQ410">
            <v>139050000</v>
          </cell>
          <cell r="AR410">
            <v>45548</v>
          </cell>
          <cell r="AS410">
            <v>45565</v>
          </cell>
          <cell r="AT410">
            <v>45567</v>
          </cell>
          <cell r="AU410">
            <v>45674</v>
          </cell>
          <cell r="AV410">
            <v>45568</v>
          </cell>
          <cell r="AW410">
            <v>45675</v>
          </cell>
          <cell r="AX410">
            <v>15.285714285714286</v>
          </cell>
          <cell r="AZ410" t="str">
            <v/>
          </cell>
          <cell r="BA410" t="str">
            <v/>
          </cell>
          <cell r="BB410" t="str">
            <v>Late Completed</v>
          </cell>
          <cell r="BC410" t="str">
            <v>PR100009105</v>
          </cell>
        </row>
        <row r="411">
          <cell r="B411" t="str">
            <v>PR100009477</v>
          </cell>
          <cell r="C411" t="str">
            <v>Part For Fly Ash &amp;  Bed Material Transport</v>
          </cell>
          <cell r="E411" t="str">
            <v>General Supply &amp; Services Indonesia, PT
Alfa Teknik Mandiri Makmur, PT
Arita Prima Indonesia Tbk, PT
Andalan Tiga Berlian, PT
Pohon Mas Sejahtera, PT
Mitra Wira Pratama, PT
Proweldindo, PT
Kin Kitra Kencana, PT
Perwira Sentra Officindo, PT
Petrocom Nusa Synergy, PT
Vhipa Mulia Pratama, PT
Berkat Pratama Teknik, CV</v>
          </cell>
          <cell r="F411" t="str">
            <v>Arita Prima Indonesia Tbk, PT
Andalan Tiga Berlian, PT
Perwira Sentra Officindo, PT
Vhipa Mulia Pratama, PT</v>
          </cell>
          <cell r="G411" t="str">
            <v>R0
4 of 12
20 Aug 24</v>
          </cell>
          <cell r="H411" t="str">
            <v>TOPAN BAYU PRAPTOMO</v>
          </cell>
          <cell r="I411">
            <v>45513</v>
          </cell>
          <cell r="J411" t="str">
            <v>Tech Main</v>
          </cell>
          <cell r="K411" t="str">
            <v>B</v>
          </cell>
          <cell r="L411" t="str">
            <v>BID</v>
          </cell>
          <cell r="M411" t="str">
            <v>0308</v>
          </cell>
          <cell r="N411" t="str">
            <v>RH</v>
          </cell>
          <cell r="O411" t="str">
            <v>robertiagus.haposan@alamtri.com</v>
          </cell>
          <cell r="P411">
            <v>760</v>
          </cell>
          <cell r="Q411">
            <v>12160000</v>
          </cell>
          <cell r="R411" t="str">
            <v>Completed Sign PO</v>
          </cell>
          <cell r="T411" t="str">
            <v>MSW</v>
          </cell>
          <cell r="U411" t="str">
            <v>General Supply &amp; Services Indonesia, PT
Alfa Teknik Mandiri Makmur, PT
Arita Prima Indonesia Tbk, PT
Andalan Tiga Berlian, PT
Pohon Mas Sejahtera, PT
Mitra Wira Pratama, PT
Proweldindo, PT
Kin Kitra Kencana, PT
Perwira Sentra Officindo, PT
Petrocom Nusa Synergy, PT
Vhipa Mulia Pratama, PT
Berkat Pratama Teknik, CV</v>
          </cell>
          <cell r="V411" t="str">
            <v>Arita Prima Indonesia Tbk, PT
Andalan Tiga Berlian, PT
Perwira Sentra Officindo, PT
Vhipa Mulia Pratama, PT</v>
          </cell>
          <cell r="W411" t="str">
            <v>12 of 12</v>
          </cell>
          <cell r="X411" t="str">
            <v>4 of 12</v>
          </cell>
          <cell r="Y411">
            <v>45517</v>
          </cell>
          <cell r="Z411">
            <v>45524</v>
          </cell>
          <cell r="AC411" t="str">
            <v xml:space="preserve"> of </v>
          </cell>
          <cell r="AD411" t="str">
            <v xml:space="preserve"> of </v>
          </cell>
          <cell r="AF411" t="str">
            <v/>
          </cell>
          <cell r="AI411" t="str">
            <v xml:space="preserve"> of </v>
          </cell>
          <cell r="AJ411" t="str">
            <v xml:space="preserve"> of </v>
          </cell>
          <cell r="AL411" t="str">
            <v/>
          </cell>
          <cell r="AM411">
            <v>0.70833333333333304</v>
          </cell>
          <cell r="AN411" t="str">
            <v>Arita Prima Indonesia Tbk, PT</v>
          </cell>
          <cell r="AO411" t="str">
            <v xml:space="preserve">derisna.setiawati@arita.co.id; andreas.yudhatama@arita.co.id; arita_banjarmasin@yahoo.co.id; </v>
          </cell>
          <cell r="AP411" t="str">
            <v>PO24000609</v>
          </cell>
          <cell r="AQ411">
            <v>6800000</v>
          </cell>
          <cell r="AR411">
            <v>45526</v>
          </cell>
          <cell r="AS411">
            <v>45545</v>
          </cell>
          <cell r="AT411">
            <v>45545</v>
          </cell>
          <cell r="AU411">
            <v>45569</v>
          </cell>
          <cell r="AV411">
            <v>45546</v>
          </cell>
          <cell r="AW411">
            <v>45570</v>
          </cell>
          <cell r="AX411">
            <v>3.4285714285714284</v>
          </cell>
          <cell r="AY411">
            <v>45570</v>
          </cell>
          <cell r="AZ411" t="str">
            <v/>
          </cell>
          <cell r="BA411" t="str">
            <v/>
          </cell>
          <cell r="BB411" t="str">
            <v>Late Completed</v>
          </cell>
          <cell r="BC411" t="str">
            <v>PR100009477</v>
          </cell>
        </row>
        <row r="412">
          <cell r="B412" t="str">
            <v>PR100009531</v>
          </cell>
          <cell r="C412" t="str">
            <v>Sparepart Pullcord Wire Belt Conveyor CHP for (WO10429699)</v>
          </cell>
          <cell r="E412" t="str">
            <v>Kin Kitra Kencana, PT
Indo Tehnik Tanjung Tabalong, PT
Perwira Sentra Officindo, PT
Berkat Pratama Teknik, CV
Andalan Tiga Berlian, PT
Gema Industrial, PT
Pacific Tractor Indonesia, PT
Gading Mas Utama, PT
Antares Jaya Gemilang Prima, PT
Wonosari Jaya, PT 
Sehati, CV</v>
          </cell>
          <cell r="F412" t="str">
            <v>Perwira Sentra Officindo, PT
Pacific Tractor Indonesia, PT
Sehati, CV</v>
          </cell>
          <cell r="G412" t="str">
            <v>R0
3 of 11
26 Aug 24</v>
          </cell>
          <cell r="H412" t="str">
            <v>DEDE SUDARJI</v>
          </cell>
          <cell r="I412">
            <v>45518</v>
          </cell>
          <cell r="J412" t="str">
            <v>Tech Main</v>
          </cell>
          <cell r="K412" t="str">
            <v>B</v>
          </cell>
          <cell r="L412" t="str">
            <v>BID</v>
          </cell>
          <cell r="M412" t="str">
            <v>0309</v>
          </cell>
          <cell r="N412" t="str">
            <v>RH</v>
          </cell>
          <cell r="O412" t="str">
            <v>robertiagus.haposan@alamtri.com</v>
          </cell>
          <cell r="P412">
            <v>625</v>
          </cell>
          <cell r="Q412">
            <v>10000000</v>
          </cell>
          <cell r="R412" t="str">
            <v>Completed Sign PO</v>
          </cell>
          <cell r="T412" t="str">
            <v>MSW</v>
          </cell>
          <cell r="U412" t="str">
            <v>Kin Kitra Kencana, PT
Indo Tehnik Tanjung Tabalong, PT
Perwira Sentra Officindo, PT
Berkat Pratama Teknik, CV
Andalan Tiga Berlian, PT
Gema Industrial, PT
Pacific Tractor Indonesia, PT
Gading Mas Utama, PT
Antares Jaya Gemilang Prima, PT
Wonosari Jaya, PT 
Sehati, CV</v>
          </cell>
          <cell r="V412" t="str">
            <v>Perwira Sentra Officindo, PT
Pacific Tractor Indonesia, PT
Sehati, CV</v>
          </cell>
          <cell r="W412" t="str">
            <v>11 of 11</v>
          </cell>
          <cell r="X412" t="str">
            <v>3 of 11</v>
          </cell>
          <cell r="Y412">
            <v>45523</v>
          </cell>
          <cell r="Z412">
            <v>45530</v>
          </cell>
          <cell r="AC412" t="str">
            <v xml:space="preserve"> of </v>
          </cell>
          <cell r="AD412" t="str">
            <v xml:space="preserve"> of </v>
          </cell>
          <cell r="AF412" t="str">
            <v/>
          </cell>
          <cell r="AI412" t="str">
            <v xml:space="preserve"> of </v>
          </cell>
          <cell r="AJ412" t="str">
            <v xml:space="preserve"> of </v>
          </cell>
          <cell r="AL412" t="str">
            <v/>
          </cell>
          <cell r="AM412">
            <v>0.70833333333333304</v>
          </cell>
          <cell r="AN412" t="str">
            <v>Perwira Sentra Officindo, PT</v>
          </cell>
          <cell r="AO412" t="str">
            <v>d_santos63@yahoo.com</v>
          </cell>
          <cell r="AP412" t="str">
            <v>PO24000592</v>
          </cell>
          <cell r="AQ412">
            <v>26000000</v>
          </cell>
          <cell r="AR412">
            <v>45533</v>
          </cell>
          <cell r="AS412">
            <v>45537</v>
          </cell>
          <cell r="AT412">
            <v>45540</v>
          </cell>
          <cell r="AU412">
            <v>45569</v>
          </cell>
          <cell r="AV412">
            <v>45545</v>
          </cell>
          <cell r="AW412">
            <v>45574</v>
          </cell>
          <cell r="AX412">
            <v>4.1428571428571432</v>
          </cell>
          <cell r="AY412">
            <v>45565</v>
          </cell>
          <cell r="AZ412" t="str">
            <v/>
          </cell>
          <cell r="BA412" t="str">
            <v/>
          </cell>
          <cell r="BB412" t="str">
            <v>Completed</v>
          </cell>
          <cell r="BC412" t="str">
            <v>PR100009531</v>
          </cell>
        </row>
        <row r="413">
          <cell r="B413" t="str">
            <v>PR100009532</v>
          </cell>
          <cell r="C413" t="str">
            <v>Sparepart Auto drain Instrument Air Dryer for (WO10678162)</v>
          </cell>
          <cell r="E413" t="str">
            <v>Parker Hannifin Indonesia, PT
Comtech Global Indonesia, PT
Bem-Vindo Jaya, PT
Sola Anugerah Oilfield, PT
Kin Kitra Kencana, PT
Gema Industrial, PT
Outsourcindo, PT
Vhipa Mulia Pratama, PT
Lotus Inti Pratama, PT
Indoparts, CV</v>
          </cell>
          <cell r="F413" t="str">
            <v>Parker Hannifin Indonesia, PT
Bem-Vindo Jaya, PT
Sola Anugerah Oilfield, PT
Lotus Inti Pratama, PT</v>
          </cell>
          <cell r="G413" t="str">
            <v>R0
4 of 10
26 Aug 24</v>
          </cell>
          <cell r="H413" t="str">
            <v>DEDE SUDARJI</v>
          </cell>
          <cell r="I413">
            <v>45518</v>
          </cell>
          <cell r="J413" t="str">
            <v>Tech Main</v>
          </cell>
          <cell r="K413" t="str">
            <v>B</v>
          </cell>
          <cell r="L413" t="str">
            <v>BID</v>
          </cell>
          <cell r="M413" t="str">
            <v>0310</v>
          </cell>
          <cell r="N413" t="str">
            <v>RH</v>
          </cell>
          <cell r="O413" t="str">
            <v>robertiagus.haposan@alamtri.com</v>
          </cell>
          <cell r="P413">
            <v>650</v>
          </cell>
          <cell r="Q413">
            <v>10400000</v>
          </cell>
          <cell r="R413" t="str">
            <v>Completed Sign PO</v>
          </cell>
          <cell r="T413" t="str">
            <v>MSW</v>
          </cell>
          <cell r="U413" t="str">
            <v>Parker Hannifin Indonesia, PT
Comtech Global Indonesia, PT
Bem-Vindo Jaya, PT
Sola Anugerah Oilfield, PT
Kin Kitra Kencana, PT
Gema Industrial, PT
Outsourcindo, PT
Vhipa Mulia Pratama, PT
Lotus Inti Pratama, PT
Indoparts, CV</v>
          </cell>
          <cell r="V413" t="str">
            <v>Parker Hannifin Indonesia, PT
Bem-Vindo Jaya, PT
Sola Anugerah Oilfield, PT
Lotus Inti Pratama, PT</v>
          </cell>
          <cell r="W413" t="str">
            <v>10 of 10</v>
          </cell>
          <cell r="X413" t="str">
            <v>4 of 10</v>
          </cell>
          <cell r="Y413">
            <v>45523</v>
          </cell>
          <cell r="Z413">
            <v>45530</v>
          </cell>
          <cell r="AC413" t="str">
            <v xml:space="preserve"> of </v>
          </cell>
          <cell r="AD413" t="str">
            <v xml:space="preserve"> of </v>
          </cell>
          <cell r="AF413" t="str">
            <v/>
          </cell>
          <cell r="AI413" t="str">
            <v xml:space="preserve"> of </v>
          </cell>
          <cell r="AJ413" t="str">
            <v xml:space="preserve"> of </v>
          </cell>
          <cell r="AL413" t="str">
            <v/>
          </cell>
          <cell r="AM413">
            <v>0.70833333333333304</v>
          </cell>
          <cell r="AN413" t="str">
            <v>Bem-Vindo Jaya, PT</v>
          </cell>
          <cell r="AO413" t="str">
            <v>sularto@bem-vindojaya.com</v>
          </cell>
          <cell r="AP413" t="str">
            <v>PO24000593</v>
          </cell>
          <cell r="AQ413">
            <v>8000000</v>
          </cell>
          <cell r="AR413">
            <v>45533</v>
          </cell>
          <cell r="AS413">
            <v>45537</v>
          </cell>
          <cell r="AT413">
            <v>45540</v>
          </cell>
          <cell r="AU413">
            <v>45553</v>
          </cell>
          <cell r="AV413">
            <v>45545</v>
          </cell>
          <cell r="AW413">
            <v>45558</v>
          </cell>
          <cell r="AX413">
            <v>1.8571428571428572</v>
          </cell>
          <cell r="AY413">
            <v>45552</v>
          </cell>
          <cell r="AZ413" t="str">
            <v/>
          </cell>
          <cell r="BA413" t="str">
            <v/>
          </cell>
          <cell r="BB413" t="str">
            <v>Completed</v>
          </cell>
          <cell r="BC413" t="str">
            <v>PR100009532</v>
          </cell>
        </row>
        <row r="414">
          <cell r="B414" t="str">
            <v>PR100009559</v>
          </cell>
          <cell r="C414" t="str">
            <v>Kebutuhan Material 3G2 Sensor Oil Pressure DG IBT</v>
          </cell>
          <cell r="E414" t="str">
            <v>Trakindo Utama, PT (Tanjung)
Bima Kaltim Utama, PT
Vhipa Mulia Pratama, PT
Petrocom Nusa Synergy, PT
Outsourcindo, PT
Alfa Teknik Mandiri Makmur, PT
Berkat Pratama Teknik, CV
Lotus Inti Pratama, PT
Panca Global Solusindo, PT</v>
          </cell>
          <cell r="F414" t="str">
            <v>Trakindo Utama, PT (Tanjung)
Bima Kaltim Utama, PT
Outsourcindo, PT
Berkat Pratama Teknik, CV
Panca Global Solusindo, PT</v>
          </cell>
          <cell r="G414" t="str">
            <v>R0
5 of 9
28 Aug 24</v>
          </cell>
          <cell r="H414" t="str">
            <v>SLAMET</v>
          </cell>
          <cell r="I414">
            <v>45524</v>
          </cell>
          <cell r="J414" t="str">
            <v>Tech Main</v>
          </cell>
          <cell r="K414" t="str">
            <v>B</v>
          </cell>
          <cell r="L414" t="str">
            <v>BID</v>
          </cell>
          <cell r="M414" t="str">
            <v>0318</v>
          </cell>
          <cell r="N414" t="str">
            <v>RH</v>
          </cell>
          <cell r="O414" t="str">
            <v>robertiagus.haposan@alamtri.com</v>
          </cell>
          <cell r="P414">
            <v>400</v>
          </cell>
          <cell r="Q414">
            <v>6400000</v>
          </cell>
          <cell r="R414" t="str">
            <v>Completed Sign PO</v>
          </cell>
          <cell r="T414" t="str">
            <v>MSW</v>
          </cell>
          <cell r="U414" t="str">
            <v>Trakindo Utama, PT (Tanjung)
Bima Kaltim Utama, PT
Vhipa Mulia Pratama, PT
Petrocom Nusa Synergy, PT
Outsourcindo, PT
Alfa Teknik Mandiri Makmur, PT
Berkat Pratama Teknik, CV
Lotus Inti Pratama, PT
Panca Global Solusindo, PT</v>
          </cell>
          <cell r="V414" t="str">
            <v>Trakindo Utama, PT (Tanjung)
Bima Kaltim Utama, PT
Outsourcindo, PT
Berkat Pratama Teknik, CV
Panca Global Solusindo, PT</v>
          </cell>
          <cell r="W414" t="str">
            <v>9 of 9</v>
          </cell>
          <cell r="X414" t="str">
            <v>5 of 9</v>
          </cell>
          <cell r="Y414">
            <v>45525</v>
          </cell>
          <cell r="Z414">
            <v>45532</v>
          </cell>
          <cell r="AC414" t="str">
            <v xml:space="preserve"> of </v>
          </cell>
          <cell r="AD414" t="str">
            <v xml:space="preserve"> of </v>
          </cell>
          <cell r="AF414" t="str">
            <v/>
          </cell>
          <cell r="AI414" t="str">
            <v xml:space="preserve"> of </v>
          </cell>
          <cell r="AJ414" t="str">
            <v xml:space="preserve"> of </v>
          </cell>
          <cell r="AL414" t="str">
            <v/>
          </cell>
          <cell r="AM414">
            <v>0.70833333333333304</v>
          </cell>
          <cell r="AN414" t="str">
            <v>Trakindo Utama, PT</v>
          </cell>
          <cell r="AO414" t="str">
            <v>hjuniater.sidauruk@trakindo.co.id</v>
          </cell>
          <cell r="AP414" t="str">
            <v>PO24000594</v>
          </cell>
          <cell r="AQ414">
            <v>4176491</v>
          </cell>
          <cell r="AR414">
            <v>45533</v>
          </cell>
          <cell r="AS414">
            <v>45537</v>
          </cell>
          <cell r="AT414">
            <v>45540</v>
          </cell>
          <cell r="AU414">
            <v>45555</v>
          </cell>
          <cell r="AV414">
            <v>45545</v>
          </cell>
          <cell r="AW414">
            <v>45560</v>
          </cell>
          <cell r="AX414">
            <v>2.1428571428571428</v>
          </cell>
          <cell r="AY414">
            <v>45548</v>
          </cell>
          <cell r="AZ414" t="str">
            <v/>
          </cell>
          <cell r="BA414" t="str">
            <v/>
          </cell>
          <cell r="BB414" t="str">
            <v>Completed</v>
          </cell>
          <cell r="BC414" t="str">
            <v>PR100009559</v>
          </cell>
        </row>
        <row r="415">
          <cell r="B415" t="str">
            <v>PR100009497</v>
          </cell>
          <cell r="C415" t="str">
            <v>Counter-ring Flange, for Chemical Unloading Pump,Stock Inventory</v>
          </cell>
          <cell r="E415" t="str">
            <v>Wiya System Solution, PT
Indoparts, CV
Antares Jaya Gemilang Prima, PT
Greentek Elektrikal Indonesia, PT
Petrocom Nusa Synergy, PT
Outsourcindo, PT
Putera Instrumenindo, PT
Perwira Sentra Officindo, PT
Alfa Teknik Mandiri Makmur, PT</v>
          </cell>
          <cell r="F415" t="str">
            <v>Wiya System Solution, PT
Antares Jaya Gemilang Prima, PT
Greentek Elektrikal Indonesia, PT</v>
          </cell>
          <cell r="G415" t="str">
            <v>R0
3 of 9
29 Aug 24</v>
          </cell>
          <cell r="H415" t="str">
            <v>ARTHUR BRAMIYANA</v>
          </cell>
          <cell r="I415">
            <v>45524</v>
          </cell>
          <cell r="J415" t="str">
            <v>INV</v>
          </cell>
          <cell r="K415" t="str">
            <v>B</v>
          </cell>
          <cell r="L415" t="str">
            <v>BID</v>
          </cell>
          <cell r="M415" t="str">
            <v>0320</v>
          </cell>
          <cell r="N415" t="str">
            <v>RH</v>
          </cell>
          <cell r="O415" t="str">
            <v>robertiagus.haposan@alamtri.com</v>
          </cell>
          <cell r="P415">
            <v>168.44800000000001</v>
          </cell>
          <cell r="Q415">
            <v>2695168</v>
          </cell>
          <cell r="R415" t="str">
            <v>Completed Sign PO</v>
          </cell>
          <cell r="T415" t="str">
            <v>MSW</v>
          </cell>
          <cell r="U415" t="str">
            <v>Wiya System Solution, PT
Indoparts, CV
Antares Jaya Gemilang Prima, PT
Greentek Elektrikal Indonesia, PT
Petrocom Nusa Synergy, PT
Outsourcindo, PT
Putera Instrumenindo, PT
Perwira Sentra Officindo, PT
Alfa Teknik Mandiri Makmur, PT</v>
          </cell>
          <cell r="V415" t="str">
            <v>Wiya System Solution, PT
Antares Jaya Gemilang Prima, PT
Greentek Elektrikal Indonesia, PT</v>
          </cell>
          <cell r="W415" t="str">
            <v>9 of 9</v>
          </cell>
          <cell r="X415" t="str">
            <v>3 of 9</v>
          </cell>
          <cell r="Y415">
            <v>45526</v>
          </cell>
          <cell r="Z415">
            <v>45533</v>
          </cell>
          <cell r="AC415" t="str">
            <v xml:space="preserve"> of </v>
          </cell>
          <cell r="AD415" t="str">
            <v xml:space="preserve"> of </v>
          </cell>
          <cell r="AF415" t="str">
            <v/>
          </cell>
          <cell r="AI415" t="str">
            <v xml:space="preserve"> of </v>
          </cell>
          <cell r="AJ415" t="str">
            <v xml:space="preserve"> of </v>
          </cell>
          <cell r="AL415" t="str">
            <v/>
          </cell>
          <cell r="AM415">
            <v>0.70833333333333304</v>
          </cell>
          <cell r="AN415" t="str">
            <v>Antares Jaya Gemilang Prima, PT</v>
          </cell>
          <cell r="AO415" t="str">
            <v>info@pt-antares.com; antares.jgp@gmail.com</v>
          </cell>
          <cell r="AP415" t="str">
            <v>PO24000595</v>
          </cell>
          <cell r="AQ415">
            <v>6000000</v>
          </cell>
          <cell r="AR415">
            <v>45534</v>
          </cell>
          <cell r="AS415">
            <v>45537</v>
          </cell>
          <cell r="AT415">
            <v>45541</v>
          </cell>
          <cell r="AU415">
            <v>45632</v>
          </cell>
          <cell r="AV415">
            <v>45545</v>
          </cell>
          <cell r="AW415">
            <v>45636</v>
          </cell>
          <cell r="AX415">
            <v>13</v>
          </cell>
          <cell r="AY415">
            <v>45624</v>
          </cell>
          <cell r="AZ415" t="str">
            <v/>
          </cell>
          <cell r="BA415" t="str">
            <v/>
          </cell>
          <cell r="BB415" t="str">
            <v>Completed</v>
          </cell>
          <cell r="BC415" t="str">
            <v>PR100009497</v>
          </cell>
        </row>
        <row r="416">
          <cell r="B416" t="str">
            <v>PR100009572</v>
          </cell>
          <cell r="C416" t="str">
            <v>Pembelian bearing for ID fan dan DSS Pump</v>
          </cell>
          <cell r="D416" t="str">
            <v>Banjar Bearing Sentosa, PT (Ln 1)
SLS Bearindo, PT (Ln 2)</v>
          </cell>
          <cell r="E416" t="str">
            <v>Banjar Bearing Sentosa, PT
SLS Bearindo, PT
Fortuna Anekamulti Gemilang, PT
Satu Aneka Bering, PT
Perwira Sentra Officindo, PT
Inti Bearingindo Logamsari, PT
Garuda Bearindo Makmur, PT</v>
          </cell>
          <cell r="F416" t="str">
            <v>Banjar Bearing Sentosa, PT
SLS Bearindo, PT
Perwira Sentra Officindo, PT</v>
          </cell>
          <cell r="G416" t="str">
            <v>R1
3 of 7
09 Sep 24</v>
          </cell>
          <cell r="H416" t="str">
            <v>RIZKY AGUSTINA</v>
          </cell>
          <cell r="I416">
            <v>45526</v>
          </cell>
          <cell r="J416" t="str">
            <v>Tech Main</v>
          </cell>
          <cell r="K416" t="str">
            <v>B</v>
          </cell>
          <cell r="L416" t="str">
            <v>BID</v>
          </cell>
          <cell r="M416" t="str">
            <v>0321</v>
          </cell>
          <cell r="N416" t="str">
            <v>RH</v>
          </cell>
          <cell r="O416" t="str">
            <v>robertiagus.haposan@alamtri.com</v>
          </cell>
          <cell r="P416">
            <v>578.00279999999998</v>
          </cell>
          <cell r="Q416">
            <v>9248044.7999999989</v>
          </cell>
          <cell r="R416" t="str">
            <v>Completed Sign PO</v>
          </cell>
          <cell r="T416" t="str">
            <v>MSW</v>
          </cell>
          <cell r="U416" t="str">
            <v>Banjar Bearing Sentosa, PT
SLS Bearindo, PT
Borneo Statewide Bearing, PT
Rollent Indonesia, PT
Fortuna Anekamulti Gemilang, PT
Satu Aneka Bering, PT
Afghan Jaya Abadi, PT
Fajar Mas Murni, PT
Berkat Jaya Bearing
Anugerah Jaya Bearing</v>
          </cell>
          <cell r="V416" t="str">
            <v>Banjar Bearing Sentosa, PT
SLS Bearindo, PT</v>
          </cell>
          <cell r="W416" t="str">
            <v>10 of 10</v>
          </cell>
          <cell r="X416" t="str">
            <v>2 of 10</v>
          </cell>
          <cell r="Y416">
            <v>45527</v>
          </cell>
          <cell r="Z416">
            <v>45534</v>
          </cell>
          <cell r="AA416" t="str">
            <v>Banjar Bearing Sentosa, PT
SLS Bearindo, PT
Fortuna Anekamulti Gemilang, PT
Satu Aneka Bering, PT
Perwira Sentra Officindo, PT
Inti Bearingindo Logamsari, PT
Garuda Bearindo Makmur, PT</v>
          </cell>
          <cell r="AB416" t="str">
            <v>Banjar Bearing Sentosa, PT
SLS Bearindo, PT
Perwira Sentra Officindo, PT</v>
          </cell>
          <cell r="AC416" t="str">
            <v>7 of 7</v>
          </cell>
          <cell r="AD416" t="str">
            <v>3 of 7</v>
          </cell>
          <cell r="AE416">
            <v>45537</v>
          </cell>
          <cell r="AF416">
            <v>45544</v>
          </cell>
          <cell r="AI416" t="str">
            <v xml:space="preserve"> of </v>
          </cell>
          <cell r="AJ416" t="str">
            <v xml:space="preserve"> of </v>
          </cell>
          <cell r="AL416" t="str">
            <v/>
          </cell>
          <cell r="AM416">
            <v>0.70833333333333304</v>
          </cell>
          <cell r="AN416" t="str">
            <v>Banjar Bearing Sentosa, PT</v>
          </cell>
          <cell r="AO416" t="str">
            <v>bbsbjm@banjarbearing.com; eddy@bbs.banjarbearing.com; surya@bbs.banjarbearing.com</v>
          </cell>
          <cell r="AP416" t="str">
            <v>PO24000644</v>
          </cell>
          <cell r="AQ416">
            <v>9030000</v>
          </cell>
          <cell r="AR416">
            <v>45545</v>
          </cell>
          <cell r="AS416">
            <v>45552</v>
          </cell>
          <cell r="AT416">
            <v>45554</v>
          </cell>
          <cell r="AU416">
            <v>45576</v>
          </cell>
          <cell r="AV416">
            <v>45558</v>
          </cell>
          <cell r="AW416">
            <v>45580</v>
          </cell>
          <cell r="AX416">
            <v>3.1428571428571428</v>
          </cell>
          <cell r="AY416">
            <v>45566</v>
          </cell>
          <cell r="AZ416" t="str">
            <v/>
          </cell>
          <cell r="BA416" t="str">
            <v/>
          </cell>
          <cell r="BB416" t="str">
            <v>Completed</v>
          </cell>
          <cell r="BC416" t="str">
            <v>PR100009572</v>
          </cell>
        </row>
        <row r="417">
          <cell r="B417" t="str">
            <v>PR100009581</v>
          </cell>
          <cell r="C417" t="str">
            <v>Spare part Feedback Position Control Valve Demin Plant</v>
          </cell>
          <cell r="E417" t="str">
            <v>Gema Industrial, PT
Axel Jaya Cakraniaga, PT
Antares Jaya Gemilang Prima, PT
Alfa Teknik Mandiri Makmur, PT
Raja Listrik Indonesia, PT
Simenteknindo, PT
Greentek Elektrikal Indonesia, PT
Perwira Sentra Officindo, PT
Rande Buana Teknik, PT
Viktori Profindo Automation, PT</v>
          </cell>
          <cell r="F417" t="str">
            <v>Gema Industrial, PT
Axel Jaya Cakraniaga, PT
Antares Jaya Gemilang Prima, PT
Alfa Teknik Mandiri Makmur, PT
Raja Listrik Indonesia, PT
Greentek Elektrikal Indonesia, PT
Perwira Sentra Officindo, PT
Rande Buana Teknik, PT
Viktori Profindo Automation, PT</v>
          </cell>
          <cell r="G417" t="str">
            <v>R0
9 of 10
30 Aug 24</v>
          </cell>
          <cell r="H417" t="str">
            <v>DEDE SUDARJI</v>
          </cell>
          <cell r="I417">
            <v>45526</v>
          </cell>
          <cell r="J417" t="str">
            <v>Tech Main</v>
          </cell>
          <cell r="K417" t="str">
            <v>B</v>
          </cell>
          <cell r="L417" t="str">
            <v>BID</v>
          </cell>
          <cell r="M417" t="str">
            <v>0322</v>
          </cell>
          <cell r="N417" t="str">
            <v>RH</v>
          </cell>
          <cell r="O417" t="str">
            <v>robertiagus.haposan@alamtri.com</v>
          </cell>
          <cell r="P417">
            <v>1540</v>
          </cell>
          <cell r="Q417">
            <v>24640000</v>
          </cell>
          <cell r="R417" t="str">
            <v>Completed Sign PO</v>
          </cell>
          <cell r="T417" t="str">
            <v>MSW</v>
          </cell>
          <cell r="U417" t="str">
            <v>Gema Industrial, PT
Axel Jaya Cakraniaga, PT
Antares Jaya Gemilang Prima, PT
Alfa Teknik Mandiri Makmur, PT
Raja Listrik Indonesia, PT
Simenteknindo, PT
Greentek Elektrikal Indonesia, PT
Perwira Sentra Officindo, PT
Rande Buana Teknik, PT
Viktori Profindo Automation, PT</v>
          </cell>
          <cell r="V417" t="str">
            <v>Gema Industrial, PT
Axel Jaya Cakraniaga, PT
Antares Jaya Gemilang Prima, PT
Alfa Teknik Mandiri Makmur, PT
Raja Listrik Indonesia, PT
Greentek Elektrikal Indonesia, PT
Perwira Sentra Officindo, PT
Rande Buana Teknik, PT
Viktori Profindo Automation, PT</v>
          </cell>
          <cell r="W417" t="str">
            <v>10 of 10</v>
          </cell>
          <cell r="X417" t="str">
            <v>9 of 10</v>
          </cell>
          <cell r="Y417">
            <v>45527</v>
          </cell>
          <cell r="Z417">
            <v>45534</v>
          </cell>
          <cell r="AC417" t="str">
            <v xml:space="preserve"> of </v>
          </cell>
          <cell r="AD417" t="str">
            <v xml:space="preserve"> of </v>
          </cell>
          <cell r="AF417" t="str">
            <v/>
          </cell>
          <cell r="AI417" t="str">
            <v xml:space="preserve"> of </v>
          </cell>
          <cell r="AJ417" t="str">
            <v xml:space="preserve"> of </v>
          </cell>
          <cell r="AL417" t="str">
            <v/>
          </cell>
          <cell r="AM417">
            <v>0.70833333333333304</v>
          </cell>
          <cell r="AN417" t="str">
            <v>Viktori Profindo Automation, PT</v>
          </cell>
          <cell r="AO417" t="str">
            <v>wahyu@viktori-automation.com; sales@viktori-automation.com; retno@viktori-automation.com; dini@viktori-automation.com; admin@viktori-automation.com</v>
          </cell>
          <cell r="AP417" t="str">
            <v>PO24000602</v>
          </cell>
          <cell r="AQ417">
            <v>4900000</v>
          </cell>
          <cell r="AR417">
            <v>45538</v>
          </cell>
          <cell r="AS417">
            <v>45544</v>
          </cell>
          <cell r="AT417">
            <v>45545</v>
          </cell>
          <cell r="AU417">
            <v>45702</v>
          </cell>
          <cell r="AV417">
            <v>45546</v>
          </cell>
          <cell r="AW417">
            <v>45703</v>
          </cell>
          <cell r="AX417">
            <v>22.428571428571427</v>
          </cell>
          <cell r="AY417">
            <v>45636</v>
          </cell>
          <cell r="AZ417" t="str">
            <v/>
          </cell>
          <cell r="BA417" t="str">
            <v/>
          </cell>
          <cell r="BB417" t="str">
            <v>Completed</v>
          </cell>
          <cell r="BC417" t="str">
            <v>PR100009581</v>
          </cell>
        </row>
        <row r="418">
          <cell r="B418" t="str">
            <v>PR100009476</v>
          </cell>
          <cell r="C418" t="str">
            <v>Oil, NYNAS Nitro Transformer,Stock Inventory</v>
          </cell>
          <cell r="E418" t="str">
            <v>Vhipa Mulia Pratama, PT
Artomoro Sukses Abadi, PT
Eco Tangguh Lubriondo, PT
Cahaya Pengajaran Abadi, PT
Sefas Pelindotama, PT
Selaras Daya Utama, PT
Sinergi Indo Pranata, PT</v>
          </cell>
          <cell r="F418" t="str">
            <v>Vhipa Mulia Pratama, PT
Selaras Daya Utama, PT
Sinergi Indo Pranata, PT</v>
          </cell>
          <cell r="G418" t="str">
            <v>R2
3 of 7
09 Sep 24</v>
          </cell>
          <cell r="H418" t="str">
            <v>ARTHUR BRAMIYANA</v>
          </cell>
          <cell r="I418">
            <v>45531</v>
          </cell>
          <cell r="J418" t="str">
            <v>INV</v>
          </cell>
          <cell r="K418" t="str">
            <v>B</v>
          </cell>
          <cell r="L418" t="str">
            <v>BID</v>
          </cell>
          <cell r="M418" t="str">
            <v>0307</v>
          </cell>
          <cell r="N418" t="str">
            <v>RH</v>
          </cell>
          <cell r="O418" t="str">
            <v>robertiagus.haposan@alamtri.com</v>
          </cell>
          <cell r="P418">
            <v>4638.1040000000003</v>
          </cell>
          <cell r="Q418">
            <v>74209664</v>
          </cell>
          <cell r="R418" t="str">
            <v>Completed Sign PO</v>
          </cell>
          <cell r="T418" t="str">
            <v>MSW</v>
          </cell>
          <cell r="U418" t="str">
            <v>Artomoro Sukses Abadi, PT
Multidaya Prima Lestari, PT
Kreasindo Cahaya Sejati, PT
Mandiri Teknik Perkasa, PT
Indo Jaya Perkasa Lubricant, PT
Outsourcindo, PT
Petrocom Nusa Synergy, PT
Vhipa Mulia Pratama, PT
Mega Mitra Abadi, PT</v>
          </cell>
          <cell r="V418" t="str">
            <v>Vhipa Mulia Pratama, PT</v>
          </cell>
          <cell r="W418" t="str">
            <v>9 of 9</v>
          </cell>
          <cell r="X418" t="str">
            <v>1 of 9</v>
          </cell>
          <cell r="Y418">
            <v>45517</v>
          </cell>
          <cell r="Z418">
            <v>45524</v>
          </cell>
          <cell r="AA418" t="str">
            <v>Vhipa Mulia Pratama, PT
Artomoro Sukses Abadi, PT
Eco Tangguh Lubriondo, PT
Visakha Abadi Sukses, PT
Relasi Andalan Utama, PT
Takana Redho Indonesia, PT
Eramas Gumelar Sejahtera, PT
Cahaya Pengajaran Abadi, PT
Sefas Pelindotama, PT</v>
          </cell>
          <cell r="AB418" t="str">
            <v>Vhipa Mulia Pratama, PT
Sefas Pelindotama, PT</v>
          </cell>
          <cell r="AC418" t="str">
            <v>9 of 9</v>
          </cell>
          <cell r="AD418" t="str">
            <v>2 of 9</v>
          </cell>
          <cell r="AE418">
            <v>45526</v>
          </cell>
          <cell r="AF418">
            <v>45533</v>
          </cell>
          <cell r="AG418" t="str">
            <v>Vhipa Mulia Pratama, PT
Artomoro Sukses Abadi, PT
Eco Tangguh Lubriondo, PT
Cahaya Pengajaran Abadi, PT
Sefas Pelindotama, PT
Selaras Daya Utama, PT
Sinergi Indo Pranata, PT</v>
          </cell>
          <cell r="AH418" t="str">
            <v>Vhipa Mulia Pratama, PT
Selaras Daya Utama, PT
Sinergi Indo Pranata, PT</v>
          </cell>
          <cell r="AI418" t="str">
            <v>7 of 7</v>
          </cell>
          <cell r="AJ418" t="str">
            <v>3 of 7</v>
          </cell>
          <cell r="AK418">
            <v>45537</v>
          </cell>
          <cell r="AL418">
            <v>45544</v>
          </cell>
          <cell r="AM418">
            <v>0.70833333333333304</v>
          </cell>
          <cell r="AN418" t="str">
            <v>Vhipa Mulia Pratama, PT</v>
          </cell>
          <cell r="AO418" t="str">
            <v>Feby@ptvmp.co.id</v>
          </cell>
          <cell r="AP418" t="str">
            <v>PO24000679</v>
          </cell>
          <cell r="AQ418">
            <v>183000000</v>
          </cell>
          <cell r="AR418">
            <v>45545</v>
          </cell>
          <cell r="AS418">
            <v>45567</v>
          </cell>
          <cell r="AT418">
            <v>45567</v>
          </cell>
          <cell r="AU418">
            <v>45611</v>
          </cell>
          <cell r="AV418">
            <v>45569</v>
          </cell>
          <cell r="AW418">
            <v>45613</v>
          </cell>
          <cell r="AX418">
            <v>6.2857142857142856</v>
          </cell>
          <cell r="AY418">
            <v>45581</v>
          </cell>
          <cell r="AZ418" t="str">
            <v/>
          </cell>
          <cell r="BA418" t="str">
            <v/>
          </cell>
          <cell r="BB418" t="str">
            <v>Late Completed</v>
          </cell>
          <cell r="BC418" t="str">
            <v>PR100009476</v>
          </cell>
        </row>
        <row r="419">
          <cell r="B419" t="str">
            <v>PR100009594</v>
          </cell>
          <cell r="C419" t="str">
            <v>Pembelian  material  untuk O&amp;M Part DG IBT (barang dikirimkan ke Site IBT)</v>
          </cell>
          <cell r="D419" t="str">
            <v>Bima Kaltim Utama, PT - Line 1
Petrocom Nusa Synergy, PT - Line 2
Sarana Prima Lestari, CV - Line 3</v>
          </cell>
          <cell r="E419" t="str">
            <v>Bima Kaltim Utama, PT
Indo Tehnik Tanjung Tabalong, PT
Petrocom Nusa Synergy, PT
Vhipa Mulia Pratama, PT
Sarana Prima Lestari, CV
Sehati, CV
Perwira Sentra Officindo, PT
Berkat Pratama Teknik, CV</v>
          </cell>
          <cell r="F419" t="str">
            <v>Bima Kaltim Utama, PT
Indo Tehnik Tanjung Tabalong, PT
Perwira Sentra Officindo, PT
Berkat Pratama Teknik, CV</v>
          </cell>
          <cell r="G419" t="str">
            <v>R0
4 of 8
17 Sep 24</v>
          </cell>
          <cell r="H419" t="str">
            <v>SLAMET</v>
          </cell>
          <cell r="I419">
            <v>45545</v>
          </cell>
          <cell r="J419" t="str">
            <v>Tech Main</v>
          </cell>
          <cell r="K419" t="str">
            <v>B</v>
          </cell>
          <cell r="L419" t="str">
            <v>BID</v>
          </cell>
          <cell r="M419" t="str">
            <v>0334</v>
          </cell>
          <cell r="N419" t="str">
            <v>RH</v>
          </cell>
          <cell r="O419" t="str">
            <v>robertiagus.haposan@alamtri.com</v>
          </cell>
          <cell r="P419">
            <v>882.48800000000006</v>
          </cell>
          <cell r="Q419">
            <v>14119808</v>
          </cell>
          <cell r="R419" t="str">
            <v>Completed Sign PO</v>
          </cell>
          <cell r="T419" t="str">
            <v>MSW</v>
          </cell>
          <cell r="U419" t="str">
            <v>Bima Kaltim Utama, PT
Indo Tehnik Tanjung Tabalong, PT
Petrocom Nusa Synergy, PT
Vhipa Mulia Pratama, PT
Sarana Prima Lestari, CV
Sehati, CV
Perwira Sentra Officindo, PT
Berkat Pratama Teknik, CV</v>
          </cell>
          <cell r="V419" t="str">
            <v>Bima Kaltim Utama, PT
Indo Tehnik Tanjung Tabalong, PT
Perwira Sentra Officindo, PT
Berkat Pratama Teknik, CV</v>
          </cell>
          <cell r="W419" t="str">
            <v>8 of 8</v>
          </cell>
          <cell r="X419" t="str">
            <v>4 of 8</v>
          </cell>
          <cell r="Y419">
            <v>45545</v>
          </cell>
          <cell r="Z419">
            <v>45552</v>
          </cell>
          <cell r="AC419" t="str">
            <v xml:space="preserve"> of </v>
          </cell>
          <cell r="AD419" t="str">
            <v xml:space="preserve"> of </v>
          </cell>
          <cell r="AF419" t="str">
            <v/>
          </cell>
          <cell r="AI419" t="str">
            <v xml:space="preserve"> of </v>
          </cell>
          <cell r="AJ419" t="str">
            <v xml:space="preserve"> of </v>
          </cell>
          <cell r="AL419" t="str">
            <v/>
          </cell>
          <cell r="AM419">
            <v>0.70833333333333304</v>
          </cell>
          <cell r="AN419" t="str">
            <v>Bima Kaltim Utama, PT</v>
          </cell>
          <cell r="AO419" t="str">
            <v>rera.bimakaltim@yahoo.com; albert.bimautama@yahoo.com; rya_bimakaltim@yahoo.com</v>
          </cell>
          <cell r="AP419" t="str">
            <v>PO24000669</v>
          </cell>
          <cell r="AQ419">
            <v>12088000</v>
          </cell>
          <cell r="AR419">
            <v>45553</v>
          </cell>
          <cell r="AS419">
            <v>45565</v>
          </cell>
          <cell r="AT419">
            <v>45566</v>
          </cell>
          <cell r="AU419">
            <v>45576</v>
          </cell>
          <cell r="AV419">
            <v>45568</v>
          </cell>
          <cell r="AW419">
            <v>45578</v>
          </cell>
          <cell r="AX419">
            <v>1.4285714285714286</v>
          </cell>
          <cell r="AY419">
            <v>45602</v>
          </cell>
          <cell r="AZ419">
            <v>24</v>
          </cell>
          <cell r="BA419">
            <v>290112</v>
          </cell>
          <cell r="BB419" t="str">
            <v>Completed</v>
          </cell>
          <cell r="BC419" t="str">
            <v>PR100009594</v>
          </cell>
        </row>
        <row r="420">
          <cell r="B420" t="str">
            <v>PR100009641</v>
          </cell>
          <cell r="C420" t="str">
            <v>Material  Motor starter DG  CAT 3516 IBT (barang langsung kirim ke IBT )</v>
          </cell>
          <cell r="E420" t="str">
            <v>Bima Kaltim Utama, PT
Trakindo Utama, PT (Tanjung)
Berkat Pratama Teknik, CV
Panca Global Solusindo, PT
Outsourcindo, PT
Pacific Tractor Indonesia, PT
Aneka Mitra Cipta, PT
Lotus Inti Pratama, PT
Alfa Teknik Mandiri Makmur, PT
Vhipa Mulia Pratama, PT</v>
          </cell>
          <cell r="F420" t="str">
            <v>Bima Kaltim Utama, PT
Berkat Pratama Teknik, CV
Panca Global Solusindo, PT
Alfa Teknik Mandiri Makmur, PT</v>
          </cell>
          <cell r="G420" t="str">
            <v>R0
4 of 10
30 Sep 24</v>
          </cell>
          <cell r="H420" t="str">
            <v>SLAMET</v>
          </cell>
          <cell r="I420">
            <v>45558</v>
          </cell>
          <cell r="J420" t="str">
            <v>Tech Main</v>
          </cell>
          <cell r="K420" t="str">
            <v>B</v>
          </cell>
          <cell r="L420" t="str">
            <v>BID</v>
          </cell>
          <cell r="M420" t="str">
            <v>0343</v>
          </cell>
          <cell r="N420" t="str">
            <v>RH</v>
          </cell>
          <cell r="O420" t="str">
            <v>robertiagus.haposan@alamtri.com</v>
          </cell>
          <cell r="P420">
            <v>5200</v>
          </cell>
          <cell r="Q420">
            <v>83200000</v>
          </cell>
          <cell r="R420" t="str">
            <v>Completed Sign PO</v>
          </cell>
          <cell r="T420" t="str">
            <v>MSW</v>
          </cell>
          <cell r="U420" t="str">
            <v>Bima Kaltim Utama, PT
Trakindo Utama, PT (Tanjung)
Berkat Pratama Teknik, CV
Panca Global Solusindo, PT
Outsourcindo, PT
Pacific Tractor Indonesia, PT
Aneka Mitra Cipta, PT
Lotus Inti Pratama, PT
Alfa Teknik Mandiri Makmur, PT
Vhipa Mulia Pratama, PT</v>
          </cell>
          <cell r="V420" t="str">
            <v>Bima Kaltim Utama, PT
Berkat Pratama Teknik, CV
Panca Global Solusindo, PT
Alfa Teknik Mandiri Makmur, PT</v>
          </cell>
          <cell r="W420" t="str">
            <v>10 of 10</v>
          </cell>
          <cell r="X420" t="str">
            <v>4 of 10</v>
          </cell>
          <cell r="Y420">
            <v>45558</v>
          </cell>
          <cell r="Z420">
            <v>45565</v>
          </cell>
          <cell r="AC420" t="str">
            <v xml:space="preserve"> of </v>
          </cell>
          <cell r="AD420" t="str">
            <v xml:space="preserve"> of </v>
          </cell>
          <cell r="AF420" t="str">
            <v/>
          </cell>
          <cell r="AI420" t="str">
            <v xml:space="preserve"> of </v>
          </cell>
          <cell r="AJ420" t="str">
            <v xml:space="preserve"> of </v>
          </cell>
          <cell r="AL420" t="str">
            <v/>
          </cell>
          <cell r="AM420">
            <v>0.70833333333333304</v>
          </cell>
          <cell r="AN420" t="str">
            <v>Bima Kaltim Utama, PT</v>
          </cell>
          <cell r="AO420" t="str">
            <v>rera.bimakaltim@yahoo.com; albert.bimautama@yahoo.com; rya_bimakaltim@yahoo.com</v>
          </cell>
          <cell r="AP420" t="str">
            <v>PO24000750</v>
          </cell>
          <cell r="AQ420">
            <v>35708000</v>
          </cell>
          <cell r="AR420">
            <v>45566</v>
          </cell>
          <cell r="AS420">
            <v>45588</v>
          </cell>
          <cell r="AT420">
            <v>45589</v>
          </cell>
          <cell r="AU420">
            <v>45604</v>
          </cell>
          <cell r="AV420">
            <v>45593</v>
          </cell>
          <cell r="AW420">
            <v>45608</v>
          </cell>
          <cell r="AX420">
            <v>2.1428571428571428</v>
          </cell>
          <cell r="AY420">
            <v>45644</v>
          </cell>
          <cell r="AZ420">
            <v>36</v>
          </cell>
          <cell r="BA420">
            <v>1785400</v>
          </cell>
          <cell r="BB420" t="str">
            <v>Late Completed</v>
          </cell>
          <cell r="BC420" t="str">
            <v>PR100009641</v>
          </cell>
        </row>
        <row r="421">
          <cell r="B421" t="str">
            <v>PR100009634</v>
          </cell>
          <cell r="C421" t="str">
            <v>Material untuk PM All DG  CAT 3516 IBT (barang langsung kirim ke IBT Lontar - mekar Putih) kota Baru</v>
          </cell>
          <cell r="E421" t="str">
            <v>Bima Kaltim Utama, PT
Trakindo Utama, PT (Tanjung)
Berkat Pratama Teknik, CV
Panca Global Solusindo, PT
Outsourcindo, PT
Pacific Tractor Indonesia, PT
Aneka Mitra Cipta, PT
Lotus Inti Pratama, PT
Alfa Teknik Mandiri Makmur, PT
Vhipa Mulia Pratama, PT</v>
          </cell>
          <cell r="F421" t="str">
            <v>Bima Kaltim Utama, PT
Berkat Pratama Teknik, CV
Panca Global Solusindo, PT
Alfa Teknik Mandiri Makmur, PT</v>
          </cell>
          <cell r="G421" t="str">
            <v>R0
4 of 10
30 Sep 24</v>
          </cell>
          <cell r="H421" t="str">
            <v>SLAMET</v>
          </cell>
          <cell r="I421">
            <v>45558</v>
          </cell>
          <cell r="J421" t="str">
            <v>Tech Main</v>
          </cell>
          <cell r="K421" t="str">
            <v>B</v>
          </cell>
          <cell r="L421" t="str">
            <v>BID</v>
          </cell>
          <cell r="M421" t="str">
            <v>0343</v>
          </cell>
          <cell r="N421" t="str">
            <v>RH</v>
          </cell>
          <cell r="O421" t="str">
            <v>robertiagus.haposan@alamtri.com</v>
          </cell>
          <cell r="P421">
            <v>1600</v>
          </cell>
          <cell r="Q421">
            <v>25600000</v>
          </cell>
          <cell r="R421" t="str">
            <v>Completed Sign PO</v>
          </cell>
          <cell r="T421" t="str">
            <v>MSW</v>
          </cell>
          <cell r="U421" t="str">
            <v>Bima Kaltim Utama, PT
Trakindo Utama, PT (Tanjung)
Berkat Pratama Teknik, CV
Panca Global Solusindo, PT
Outsourcindo, PT
Pacific Tractor Indonesia, PT
Aneka Mitra Cipta, PT
Lotus Inti Pratama, PT
Alfa Teknik Mandiri Makmur, PT
Vhipa Mulia Pratama, PT</v>
          </cell>
          <cell r="V421" t="str">
            <v>Bima Kaltim Utama, PT
Berkat Pratama Teknik, CV
Panca Global Solusindo, PT
Alfa Teknik Mandiri Makmur, PT</v>
          </cell>
          <cell r="W421" t="str">
            <v>10 of 10</v>
          </cell>
          <cell r="X421" t="str">
            <v>4 of 10</v>
          </cell>
          <cell r="Y421">
            <v>45558</v>
          </cell>
          <cell r="Z421">
            <v>45565</v>
          </cell>
          <cell r="AC421" t="str">
            <v xml:space="preserve"> of </v>
          </cell>
          <cell r="AD421" t="str">
            <v xml:space="preserve"> of </v>
          </cell>
          <cell r="AF421" t="str">
            <v/>
          </cell>
          <cell r="AI421" t="str">
            <v xml:space="preserve"> of </v>
          </cell>
          <cell r="AJ421" t="str">
            <v xml:space="preserve"> of </v>
          </cell>
          <cell r="AL421" t="str">
            <v/>
          </cell>
          <cell r="AM421">
            <v>0.70833333333333304</v>
          </cell>
          <cell r="AN421" t="str">
            <v>Bima Kaltim Utama, PT</v>
          </cell>
          <cell r="AO421" t="str">
            <v>rera.bimakaltim@yahoo.com; albert.bimautama@yahoo.com; rya_bimakaltim@yahoo.com</v>
          </cell>
          <cell r="AP421" t="str">
            <v>PO24000748R1</v>
          </cell>
          <cell r="AQ421">
            <v>33600000</v>
          </cell>
          <cell r="AR421">
            <v>45566</v>
          </cell>
          <cell r="AS421">
            <v>45588</v>
          </cell>
          <cell r="AT421">
            <v>45588</v>
          </cell>
          <cell r="AU421">
            <v>45604</v>
          </cell>
          <cell r="AV421">
            <v>45593</v>
          </cell>
          <cell r="AW421">
            <v>45609</v>
          </cell>
          <cell r="AX421">
            <v>2.2857142857142856</v>
          </cell>
          <cell r="AY421">
            <v>45646</v>
          </cell>
          <cell r="AZ421">
            <v>37</v>
          </cell>
          <cell r="BA421">
            <v>1680000</v>
          </cell>
          <cell r="BB421" t="str">
            <v>Completed</v>
          </cell>
          <cell r="BC421" t="str">
            <v>PR100009634</v>
          </cell>
        </row>
        <row r="422">
          <cell r="B422" t="str">
            <v>PR100009629</v>
          </cell>
          <cell r="C422" t="str">
            <v>Spare part Pneumatic On Off Valve for Demin Plant</v>
          </cell>
          <cell r="E422" t="str">
            <v>Andalan Tiga Berlian, PT
Dycom Engineering, PT
Arita Prima Indonesia Tbk, PT
Fantasi Rekasembada, PT
Dwijaya Sentral Sarana, PT
Petrocom Nusa Synergy, PT
Mitra Wira Pratama, PT
Yabestindo Mitra Utama, PT
Adijaya Mitra Perkasa, PT
Putera Instrumenindo, PT
Artam Borneo Automatika, PT
Sola Anugerah Oilfield, PT
Alfa Teknik Mandiri Makmur, PT
Aretas Nusantara, PT
Kin Kitra Kencana, PT</v>
          </cell>
          <cell r="F422" t="str">
            <v>Andalan Tiga Berlian, PT
Petrocom Nusa Synergy, PT
Artam Borneo Automatika, PT</v>
          </cell>
          <cell r="G422" t="str">
            <v>R1
3 of 15
09 Oct 24</v>
          </cell>
          <cell r="H422" t="str">
            <v>DEDE SUDARJI</v>
          </cell>
          <cell r="I422">
            <v>45558</v>
          </cell>
          <cell r="J422" t="str">
            <v>Tech Main</v>
          </cell>
          <cell r="K422" t="str">
            <v>B</v>
          </cell>
          <cell r="L422" t="str">
            <v>BID</v>
          </cell>
          <cell r="M422" t="str">
            <v>0344</v>
          </cell>
          <cell r="N422" t="str">
            <v>RH</v>
          </cell>
          <cell r="O422" t="str">
            <v>robertiagus.haposan@alamtri.com</v>
          </cell>
          <cell r="P422">
            <v>4800</v>
          </cell>
          <cell r="Q422">
            <v>76800000</v>
          </cell>
          <cell r="R422" t="str">
            <v>Completed Sign PO</v>
          </cell>
          <cell r="T422" t="str">
            <v>MSW</v>
          </cell>
          <cell r="U422" t="str">
            <v>Hikmah Jaya Sentosa, PT
Andalan Tiga Berlian, PT
Putera Instrumenindo, PT
Kin Kitra Kencana, PT
Ataya Teknik Mulia, PT
Alfa Teknik Mandiri Makmur, PT
Dwijaya Sentral Sarana, PT
Trimitra Wahana Sukses, PT
Sola Anugerah Oilfield, PT
Mitra Wira Pratama, PT
Gading Mas Utama, PT
Pacific Tractor Indonesia, PT
Petrocom Nusa Synergy, PT</v>
          </cell>
          <cell r="V422" t="str">
            <v>None</v>
          </cell>
          <cell r="W422" t="str">
            <v>13 of 13</v>
          </cell>
          <cell r="X422" t="str">
            <v>1 of 13</v>
          </cell>
          <cell r="Y422">
            <v>45559</v>
          </cell>
          <cell r="Z422">
            <v>45566</v>
          </cell>
          <cell r="AA422" t="str">
            <v>Andalan Tiga Berlian, PT
Dycom Engineering, PT
Arita Prima Indonesia Tbk, PT
Fantasi Rekasembada, PT
Dwijaya Sentral Sarana, PT
Petrocom Nusa Synergy, PT
Mitra Wira Pratama, PT
Yabestindo Mitra Utama, PT
Adijaya Mitra Perkasa, PT
Putera Instrumenindo, PT
Artam Borneo Automatika, PT
Sola Anugerah Oilfield, PT
Alfa Teknik Mandiri Makmur, PT
Aretas Nusantara, PT
Kin Kitra Kencana, PT</v>
          </cell>
          <cell r="AB422" t="str">
            <v>Andalan Tiga Berlian, PT
Petrocom Nusa Synergy, PT
Artam Borneo Automatika, PT</v>
          </cell>
          <cell r="AC422" t="str">
            <v>15 of 15</v>
          </cell>
          <cell r="AD422" t="str">
            <v>3 of 15</v>
          </cell>
          <cell r="AE422">
            <v>45567</v>
          </cell>
          <cell r="AF422">
            <v>45574</v>
          </cell>
          <cell r="AI422" t="str">
            <v xml:space="preserve"> of </v>
          </cell>
          <cell r="AJ422" t="str">
            <v xml:space="preserve"> of </v>
          </cell>
          <cell r="AL422" t="str">
            <v/>
          </cell>
          <cell r="AM422">
            <v>0.70833333333333304</v>
          </cell>
          <cell r="AN422" t="str">
            <v>Andalan Tiga Berlian, PT</v>
          </cell>
          <cell r="AO422" t="str">
            <v>basuki@ptatb.co.id; dinda.sabilah@ptatb.co.id; sales@ptatb.co.id; denny.suria@ptatb.co.id</v>
          </cell>
          <cell r="AP422" t="str">
            <v>PO24000806</v>
          </cell>
          <cell r="AQ422">
            <v>90346000</v>
          </cell>
          <cell r="AR422">
            <v>45575</v>
          </cell>
          <cell r="AS422">
            <v>45602</v>
          </cell>
          <cell r="AT422">
            <v>45603</v>
          </cell>
          <cell r="AU422">
            <v>45758</v>
          </cell>
          <cell r="AV422">
            <v>45604</v>
          </cell>
          <cell r="AW422">
            <v>45759</v>
          </cell>
          <cell r="AX422">
            <v>22.142857142857142</v>
          </cell>
          <cell r="AY422">
            <v>45681</v>
          </cell>
          <cell r="AZ422" t="str">
            <v/>
          </cell>
          <cell r="BA422" t="str">
            <v/>
          </cell>
          <cell r="BB422" t="str">
            <v>Late Completed</v>
          </cell>
          <cell r="BC422" t="str">
            <v>PR100009629</v>
          </cell>
        </row>
        <row r="423">
          <cell r="B423" t="str">
            <v>PR100009645</v>
          </cell>
          <cell r="C423" t="str">
            <v>Part untuk Perbaikan  Unit 3G2&amp; 3G CAT 3516 IBT (barang langsung kirim ke IBT Lontar - mekar Putih)</v>
          </cell>
          <cell r="E423" t="str">
            <v>Trakindo Utama, PT
Sentrapart Niaga Utama, PT
Aneka Mitra Cipta, PT
Bima Kaltim Utama, PT
Berkat Pratama Teknik, CV
Lotus Inti Pratama, PT
Vhipa Mulia Pratama, PT
Alfa Teknik Mandiri Makmur, PT
Outsourcindo, PT
Mulia Abadi Sukses Partindo, PT
Cahaya Multi Parts, PD
Sri Cahya Manunggal, PT</v>
          </cell>
          <cell r="F423" t="str">
            <v>Trakindo Utama, PT
Bima Kaltim Utama, PT
Berkat Pratama Teknik, CV
Alfa Teknik Mandiri Makmur, PT
Outsourcindo, PT
Sri Cahya Manunggal, PT</v>
          </cell>
          <cell r="G423" t="str">
            <v>R0
6 of 12
04 Oct 24</v>
          </cell>
          <cell r="H423" t="str">
            <v>SLAMET</v>
          </cell>
          <cell r="I423">
            <v>45561</v>
          </cell>
          <cell r="J423" t="str">
            <v>Tech Main</v>
          </cell>
          <cell r="K423" t="str">
            <v>B</v>
          </cell>
          <cell r="L423" t="str">
            <v>BID</v>
          </cell>
          <cell r="M423" t="str">
            <v>0349</v>
          </cell>
          <cell r="N423" t="str">
            <v>RH</v>
          </cell>
          <cell r="O423" t="str">
            <v>robertiagus.haposan@alamtri.com</v>
          </cell>
          <cell r="P423">
            <v>1040</v>
          </cell>
          <cell r="Q423">
            <v>16640000</v>
          </cell>
          <cell r="R423" t="str">
            <v>Completed Sign PO</v>
          </cell>
          <cell r="T423" t="str">
            <v>MSW</v>
          </cell>
          <cell r="U423" t="str">
            <v>Trakindo Utama, PT
Sentrapart Niaga Utama, PT
Aneka Mitra Cipta, PT
Bima Kaltim Utama, PT
Berkat Pratama Teknik, CV
Lotus Inti Pratama, PT
Vhipa Mulia Pratama, PT
Alfa Teknik Mandiri Makmur, PT
Outsourcindo, PT
Mulia Abadi Sukses Partindo, PT
Cahaya Multi Parts, PD
Sri Cahya Manunggal, PT</v>
          </cell>
          <cell r="V423" t="str">
            <v>Trakindo Utama, PT
Bima Kaltim Utama, PT
Berkat Pratama Teknik, CV
Alfa Teknik Mandiri Makmur, PT
Outsourcindo, PT
Sri Cahya Manunggal, PT</v>
          </cell>
          <cell r="W423" t="str">
            <v>12 of 12</v>
          </cell>
          <cell r="X423" t="str">
            <v>6 of 12</v>
          </cell>
          <cell r="Y423">
            <v>45562</v>
          </cell>
          <cell r="Z423">
            <v>45569</v>
          </cell>
          <cell r="AC423" t="str">
            <v xml:space="preserve"> of </v>
          </cell>
          <cell r="AD423" t="str">
            <v xml:space="preserve"> of </v>
          </cell>
          <cell r="AF423" t="str">
            <v/>
          </cell>
          <cell r="AI423" t="str">
            <v xml:space="preserve"> of </v>
          </cell>
          <cell r="AJ423" t="str">
            <v xml:space="preserve"> of </v>
          </cell>
          <cell r="AL423" t="str">
            <v/>
          </cell>
          <cell r="AM423">
            <v>0.70833333333333304</v>
          </cell>
          <cell r="AN423" t="str">
            <v>Trakindo Utama, PT</v>
          </cell>
          <cell r="AO423" t="str">
            <v>hjuniater.sidauruk@trakindo.co.id</v>
          </cell>
          <cell r="AP423" t="str">
            <v>PO24000707</v>
          </cell>
          <cell r="AQ423">
            <v>14792366</v>
          </cell>
          <cell r="AR423">
            <v>45572</v>
          </cell>
          <cell r="AS423">
            <v>45576</v>
          </cell>
          <cell r="AT423">
            <v>45576</v>
          </cell>
          <cell r="AU423">
            <v>45597</v>
          </cell>
          <cell r="AV423">
            <v>45582</v>
          </cell>
          <cell r="AW423">
            <v>45603</v>
          </cell>
          <cell r="AX423">
            <v>3</v>
          </cell>
          <cell r="AY423">
            <v>45594</v>
          </cell>
          <cell r="AZ423" t="str">
            <v/>
          </cell>
          <cell r="BA423" t="str">
            <v/>
          </cell>
          <cell r="BB423" t="str">
            <v>Completed</v>
          </cell>
          <cell r="BC423" t="str">
            <v>PR100009645</v>
          </cell>
        </row>
        <row r="424">
          <cell r="B424" t="str">
            <v>PR100009668
(Line 1,3,5)</v>
          </cell>
          <cell r="C424" t="str">
            <v>Kebutuhan Part PM untuk All DG IBT CAT 3516 Unit 3G1,3G2,3G3 &amp;3G4  Part langsung ke IBT mekar putih</v>
          </cell>
          <cell r="D424" t="str">
            <v>Bima Kaltim Utama, PT - Line 3,4
Trakindo Utama, PT - Line 2,5
Arthapusaka Mitra Sakti, PT - Line 6
Blessindo Prima Sarana, PT - Line 1</v>
          </cell>
          <cell r="E424" t="str">
            <v>Trakindo Utama, PT
Bima Kaltim Utama, PT
Blessindo Prima Sarana, PT
Indo Tehnik Tanjung Tabalong, PT
Ardiwijaya Prima Indonesia, PT
Aneka Mitra Cipta, PT
Sentrapart Niaga Utama, PT
Vhipa Mulia Pratama, PT
Pacific Tractor Indonesia, PT
Petrocom Nusa Synergy, PT
Lotus Inti Pratama, PT
Otto Sukses Jaya Perkasa, PT
Sefas Pelindotama, PT
Arthapusaka Mitra Sakti, PT</v>
          </cell>
          <cell r="F424" t="str">
            <v>Trakindo Utama, PT
Bima Kaltim Utama, PT
Blessindo Prima Sarana, PT
Aneka Mitra Cipta, PT
Petrocom Nusa Synergy, PT
Arthapusaka Mitra Sakti, PT</v>
          </cell>
          <cell r="G424" t="str">
            <v>R0
6 of 14
10 Oct 24</v>
          </cell>
          <cell r="H424" t="str">
            <v>SLAMET</v>
          </cell>
          <cell r="I424">
            <v>45566</v>
          </cell>
          <cell r="J424" t="str">
            <v>Tech Main</v>
          </cell>
          <cell r="K424" t="str">
            <v>B</v>
          </cell>
          <cell r="L424" t="str">
            <v>BID</v>
          </cell>
          <cell r="M424" t="str">
            <v>0353</v>
          </cell>
          <cell r="N424" t="str">
            <v>RH</v>
          </cell>
          <cell r="O424" t="str">
            <v>robertiagus.haposan@alamtri.com</v>
          </cell>
          <cell r="P424">
            <v>1974.8507999999999</v>
          </cell>
          <cell r="Q424">
            <v>31597612.800000001</v>
          </cell>
          <cell r="R424" t="str">
            <v>Completed Sign PO</v>
          </cell>
          <cell r="T424" t="str">
            <v>MSW</v>
          </cell>
          <cell r="U424" t="str">
            <v>Trakindo Utama, PT
Bima Kaltim Utama, PT
Blessindo Prima Sarana, PT
Indo Tehnik Tanjung Tabalong, PT
Ardiwijaya Prima Indonesia, PT
Aneka Mitra Cipta, PT
Sentrapart Niaga Utama, PT
Vhipa Mulia Pratama, PT
Pacific Tractor Indonesia, PT
Petrocom Nusa Synergy, PT
Lotus Inti Pratama, PT
Otto Sukses Jaya Perkasa, PT
Sefas Pelindotama, PT
Arthapusaka Mitra Sakti, PT</v>
          </cell>
          <cell r="V424" t="str">
            <v>Trakindo Utama, PT
Bima Kaltim Utama, PT
Blessindo Prima Sarana, PT
Aneka Mitra Cipta, PT
Petrocom Nusa Synergy, PT
Arthapusaka Mitra Sakti, PT</v>
          </cell>
          <cell r="W424" t="str">
            <v>14 of 14</v>
          </cell>
          <cell r="X424" t="str">
            <v>6 of 14</v>
          </cell>
          <cell r="Y424">
            <v>45568</v>
          </cell>
          <cell r="Z424">
            <v>45575</v>
          </cell>
          <cell r="AC424" t="str">
            <v xml:space="preserve"> of </v>
          </cell>
          <cell r="AD424" t="str">
            <v xml:space="preserve"> of </v>
          </cell>
          <cell r="AF424" t="str">
            <v/>
          </cell>
          <cell r="AI424" t="str">
            <v xml:space="preserve"> of </v>
          </cell>
          <cell r="AJ424" t="str">
            <v xml:space="preserve"> of </v>
          </cell>
          <cell r="AL424" t="str">
            <v/>
          </cell>
          <cell r="AM424">
            <v>0.70833333333333304</v>
          </cell>
          <cell r="AN424" t="str">
            <v>Bima Kaltim Utama, PT</v>
          </cell>
          <cell r="AO424" t="str">
            <v>rera.bimakaltim@yahoo.com; albert.bimautama@yahoo.com; rya_bimakaltim@yahoo.com</v>
          </cell>
          <cell r="AP424" t="str">
            <v>PO24000782</v>
          </cell>
          <cell r="AQ424">
            <v>140214000</v>
          </cell>
          <cell r="AR424">
            <v>45576</v>
          </cell>
          <cell r="AS424">
            <v>45596</v>
          </cell>
          <cell r="AT424">
            <v>45597</v>
          </cell>
          <cell r="AU424">
            <v>45632</v>
          </cell>
          <cell r="AV424">
            <v>45597</v>
          </cell>
          <cell r="AW424">
            <v>45632</v>
          </cell>
          <cell r="AX424">
            <v>5</v>
          </cell>
          <cell r="AY424">
            <v>45646</v>
          </cell>
          <cell r="AZ424">
            <v>14</v>
          </cell>
          <cell r="BA424">
            <v>1962996</v>
          </cell>
          <cell r="BB424" t="str">
            <v>Late Completed</v>
          </cell>
          <cell r="BC424" t="str">
            <v>PR100009668</v>
          </cell>
        </row>
        <row r="425">
          <cell r="B425" t="str">
            <v>PR100009705</v>
          </cell>
          <cell r="C425" t="str">
            <v>Pembeliaan part for ACWP</v>
          </cell>
          <cell r="E425" t="str">
            <v>Halley and Mellowes Australasia, PT
Vhipa Mulia Pratama, PT
Andalan Tiga Berlian, PT
Perwira Sentra Officindo, PT
Suprabakti Mandiri, PT
Petrocom Nusa Synergy, PT
Sola Anugerah Oilfield, PT
Alfa Teknik Mandiri Makmur, PT
Outsourcindo, PT
Afghan Jaya Abadi, PT</v>
          </cell>
          <cell r="F425" t="str">
            <v/>
          </cell>
          <cell r="G425" t="str">
            <v xml:space="preserve">R0
 of 10
</v>
          </cell>
          <cell r="H425" t="str">
            <v>RIZKY AGUSTINA</v>
          </cell>
          <cell r="I425">
            <v>45576</v>
          </cell>
          <cell r="J425" t="str">
            <v>Tech Main</v>
          </cell>
          <cell r="K425" t="str">
            <v>B</v>
          </cell>
          <cell r="L425" t="str">
            <v>BID</v>
          </cell>
          <cell r="M425" t="str">
            <v>0363</v>
          </cell>
          <cell r="N425" t="str">
            <v>RH</v>
          </cell>
          <cell r="O425" t="str">
            <v>robertiagus.haposan@alamtri.com</v>
          </cell>
          <cell r="P425">
            <v>962.21400000000006</v>
          </cell>
          <cell r="Q425">
            <v>15395424</v>
          </cell>
          <cell r="R425" t="str">
            <v>Completed Sign PO</v>
          </cell>
          <cell r="T425" t="str">
            <v>MSW</v>
          </cell>
          <cell r="U425" t="str">
            <v>Halley and Mellowes Australasia, PT
Vhipa Mulia Pratama, PT
Andalan Tiga Berlian, PT
Perwira Sentra Officindo, PT
Suprabakti Mandiri, PT
Petrocom Nusa Synergy, PT
Sola Anugerah Oilfield, PT
Alfa Teknik Mandiri Makmur, PT
Outsourcindo, PT
Afghan Jaya Abadi, PT</v>
          </cell>
          <cell r="W425" t="str">
            <v>10 of 10</v>
          </cell>
          <cell r="X425" t="str">
            <v xml:space="preserve"> of 10</v>
          </cell>
          <cell r="Z425" t="str">
            <v/>
          </cell>
          <cell r="AC425" t="str">
            <v xml:space="preserve"> of </v>
          </cell>
          <cell r="AD425" t="str">
            <v xml:space="preserve"> of </v>
          </cell>
          <cell r="AF425" t="str">
            <v/>
          </cell>
          <cell r="AI425" t="str">
            <v xml:space="preserve"> of </v>
          </cell>
          <cell r="AJ425" t="str">
            <v xml:space="preserve"> of </v>
          </cell>
          <cell r="AL425" t="str">
            <v/>
          </cell>
          <cell r="AM425">
            <v>0.70833333333333304</v>
          </cell>
          <cell r="AN425" t="str">
            <v>Bima Kaltim Utama, PT</v>
          </cell>
          <cell r="AO425" t="str">
            <v>rera.bimakaltim@yahoo.com; albert.bimautama@yahoo.com; rya_bimakaltim@yahoo.com</v>
          </cell>
          <cell r="AP425" t="str">
            <v>PO24000764</v>
          </cell>
          <cell r="AQ425">
            <v>4100000</v>
          </cell>
          <cell r="AR425">
            <v>45588</v>
          </cell>
          <cell r="AS425">
            <v>45593</v>
          </cell>
          <cell r="AT425">
            <v>45593</v>
          </cell>
          <cell r="AU425">
            <v>45632</v>
          </cell>
          <cell r="AV425">
            <v>45597</v>
          </cell>
          <cell r="AW425">
            <v>45636</v>
          </cell>
          <cell r="AX425">
            <v>5.5714285714285712</v>
          </cell>
          <cell r="AY425">
            <v>45625</v>
          </cell>
          <cell r="AZ425" t="str">
            <v/>
          </cell>
          <cell r="BA425" t="str">
            <v/>
          </cell>
          <cell r="BB425" t="str">
            <v>Completed</v>
          </cell>
          <cell r="BC425" t="str">
            <v>PR100009705</v>
          </cell>
        </row>
        <row r="426">
          <cell r="B426" t="str">
            <v>PR100009622</v>
          </cell>
          <cell r="C426" t="str">
            <v>Thermometer SDT25, Thermometer for refrigeration and heating Kprobe</v>
          </cell>
          <cell r="E426" t="str">
            <v>Niatsae Prakarsa Indonesia, PT
Axel Jaya Cakraniaga, PT
Rande Buana Teknik, PT
Greentek Elektrikal Indonesia, PT
Antares Jaya Gemilang Prima, PT
Vhipa Mulia Pratama, PT
Perwira Sentra Officindo, PT
Indo Tehnik Tanjung Tabalong, PT
Sola Anugerah Oilfield, PT</v>
          </cell>
          <cell r="F426" t="str">
            <v>Niatsae Prakarsa Indonesia, PT
Axel Jaya Cakraniaga, PT
Greentek Elektrikal Indonesia, PT
Vhipa Mulia Pratama, PT
Sola Anugerah Oilfield, PT</v>
          </cell>
          <cell r="G426" t="str">
            <v>R1
5 of 9
04 Nov 24</v>
          </cell>
          <cell r="H426" t="str">
            <v>ARIES KURNIAWAN</v>
          </cell>
          <cell r="I426">
            <v>45581</v>
          </cell>
          <cell r="J426" t="str">
            <v>Tech Op</v>
          </cell>
          <cell r="K426" t="str">
            <v>B</v>
          </cell>
          <cell r="L426" t="str">
            <v>BID</v>
          </cell>
          <cell r="M426" t="str">
            <v>0368</v>
          </cell>
          <cell r="N426" t="str">
            <v>RH</v>
          </cell>
          <cell r="O426" t="str">
            <v>robertiagus.haposan@alamtri.com</v>
          </cell>
          <cell r="P426">
            <v>314</v>
          </cell>
          <cell r="Q426">
            <v>5024000</v>
          </cell>
          <cell r="R426" t="str">
            <v>Completed Sign PO</v>
          </cell>
          <cell r="T426" t="str">
            <v>MSW</v>
          </cell>
          <cell r="U426" t="str">
            <v>Greentek Elektrikal Indonesia, PT
Aqpa Indonesia, PT
Niatsae Prakarsa Indonesia, PT
Afghan Jaya Abadi, PT
Outsourcindo, PT
Menara Alfasemesta, PT
Axel Jaya Cakraniaga, PT
Century, CV
Gading Mas Utama, PT
Lima Makmur Jaya, PT
Siwali Swantika, PT
Kin Kitra Kencana, PT</v>
          </cell>
          <cell r="W426" t="str">
            <v>12 of 12</v>
          </cell>
          <cell r="X426" t="str">
            <v xml:space="preserve"> of 12</v>
          </cell>
          <cell r="Y426">
            <v>45583</v>
          </cell>
          <cell r="Z426">
            <v>45590</v>
          </cell>
          <cell r="AA426" t="str">
            <v>Niatsae Prakarsa Indonesia, PT
Axel Jaya Cakraniaga, PT
Rande Buana Teknik, PT
Greentek Elektrikal Indonesia, PT
Antares Jaya Gemilang Prima, PT
Vhipa Mulia Pratama, PT
Perwira Sentra Officindo, PT
Indo Tehnik Tanjung Tabalong, PT
Sola Anugerah Oilfield, PT</v>
          </cell>
          <cell r="AB426" t="str">
            <v>Niatsae Prakarsa Indonesia, PT
Axel Jaya Cakraniaga, PT
Greentek Elektrikal Indonesia, PT
Vhipa Mulia Pratama, PT
Sola Anugerah Oilfield, PT</v>
          </cell>
          <cell r="AC426" t="str">
            <v>9 of 9</v>
          </cell>
          <cell r="AD426" t="str">
            <v>5 of 9</v>
          </cell>
          <cell r="AE426">
            <v>45593</v>
          </cell>
          <cell r="AF426">
            <v>45600</v>
          </cell>
          <cell r="AI426" t="str">
            <v xml:space="preserve"> of </v>
          </cell>
          <cell r="AJ426" t="str">
            <v xml:space="preserve"> of </v>
          </cell>
          <cell r="AL426" t="str">
            <v/>
          </cell>
          <cell r="AM426">
            <v>0.70833333333333304</v>
          </cell>
          <cell r="AN426" t="str">
            <v>Axel Jaya Cakraniaga, PT</v>
          </cell>
          <cell r="AO426" t="str">
            <v>ajcakraniaga@gmail.com; sales@ajcakraniaga.com</v>
          </cell>
          <cell r="AP426" t="str">
            <v>PO24000808</v>
          </cell>
          <cell r="AQ426">
            <v>12000000</v>
          </cell>
          <cell r="AR426">
            <v>45601</v>
          </cell>
          <cell r="AS426">
            <v>45603</v>
          </cell>
          <cell r="AT426">
            <v>45604</v>
          </cell>
          <cell r="AU426">
            <v>45695</v>
          </cell>
          <cell r="AV426">
            <v>45610</v>
          </cell>
          <cell r="AW426">
            <v>45701</v>
          </cell>
          <cell r="AX426">
            <v>13</v>
          </cell>
          <cell r="AY426">
            <v>45310</v>
          </cell>
          <cell r="AZ426" t="str">
            <v/>
          </cell>
          <cell r="BA426" t="str">
            <v/>
          </cell>
          <cell r="BB426" t="str">
            <v>Completed</v>
          </cell>
          <cell r="BC426" t="str">
            <v>PR100009622</v>
          </cell>
        </row>
        <row r="427">
          <cell r="B427" t="str">
            <v>PR100009722</v>
          </cell>
          <cell r="C427" t="str">
            <v>Sparepart for CHP Crusher</v>
          </cell>
          <cell r="E427" t="str">
            <v>Sarana Prima Lestari, CV
Andalan Tiga Berlian, PT
CBC Indonesia, PT
Alfa Teknik Mandiri Makmur, PT
Vhipa Mulia Pratama, PT
Sinar Surya Lestari, PT
Samudra Bearing, PT
Monotaro Indonesia, PT
Central Bearindo International, PT
Mitra Beltindo Jaya, PT
Ranadityo Sukses Makmur, PT
Indo Tehnik Tanjung Tabalong, PT</v>
          </cell>
          <cell r="F427" t="str">
            <v/>
          </cell>
          <cell r="G427" t="str">
            <v xml:space="preserve">R0
 of 12
</v>
          </cell>
          <cell r="H427" t="str">
            <v>RIZKY AGUSTINA</v>
          </cell>
          <cell r="I427">
            <v>45581</v>
          </cell>
          <cell r="J427" t="str">
            <v>Tech Main</v>
          </cell>
          <cell r="K427" t="str">
            <v>B</v>
          </cell>
          <cell r="L427" t="str">
            <v>BID</v>
          </cell>
          <cell r="M427" t="str">
            <v>0366</v>
          </cell>
          <cell r="N427" t="str">
            <v>RH</v>
          </cell>
          <cell r="O427" t="str">
            <v>robertiagus.haposan@alamtri.com</v>
          </cell>
          <cell r="P427">
            <v>508.86</v>
          </cell>
          <cell r="Q427">
            <v>8141760</v>
          </cell>
          <cell r="R427" t="str">
            <v>Completed Sign PO</v>
          </cell>
          <cell r="T427" t="str">
            <v>MSW</v>
          </cell>
          <cell r="U427" t="str">
            <v>Sarana Prima Lestari, CV
Andalan Tiga Berlian, PT
CBC Indonesia, PT
Alfa Teknik Mandiri Makmur, PT
Vhipa Mulia Pratama, PT
Sinar Surya Lestari, PT
Samudra Bearing, PT
Monotaro Indonesia, PT
Central Bearindo International, PT
Mitra Beltindo Jaya, PT
Ranadityo Sukses Makmur, PT
Indo Tehnik Tanjung Tabalong, PT</v>
          </cell>
          <cell r="W427" t="str">
            <v>12 of 12</v>
          </cell>
          <cell r="X427" t="str">
            <v xml:space="preserve"> of 12</v>
          </cell>
          <cell r="Z427" t="str">
            <v/>
          </cell>
          <cell r="AC427" t="str">
            <v xml:space="preserve"> of </v>
          </cell>
          <cell r="AD427" t="str">
            <v xml:space="preserve"> of </v>
          </cell>
          <cell r="AF427" t="str">
            <v/>
          </cell>
          <cell r="AI427" t="str">
            <v xml:space="preserve"> of </v>
          </cell>
          <cell r="AJ427" t="str">
            <v xml:space="preserve"> of </v>
          </cell>
          <cell r="AL427" t="str">
            <v/>
          </cell>
          <cell r="AM427">
            <v>0.70833333333333304</v>
          </cell>
          <cell r="AN427" t="str">
            <v>Ranadityo Sukses Makmur, PT</v>
          </cell>
          <cell r="AO427" t="str">
            <v>sales@ranadityo.co.id; ranadityo_suksesmakmur@yahoo.com</v>
          </cell>
          <cell r="AP427" t="str">
            <v>PO24000820</v>
          </cell>
          <cell r="AQ427">
            <v>7650000</v>
          </cell>
          <cell r="AR427">
            <v>45590</v>
          </cell>
          <cell r="AS427">
            <v>45595</v>
          </cell>
          <cell r="AT427">
            <v>45610</v>
          </cell>
          <cell r="AU427">
            <v>45632</v>
          </cell>
          <cell r="AV427">
            <v>45611</v>
          </cell>
          <cell r="AW427">
            <v>45633</v>
          </cell>
          <cell r="AX427">
            <v>3.1428571428571428</v>
          </cell>
          <cell r="AY427">
            <v>45631</v>
          </cell>
          <cell r="AZ427" t="str">
            <v/>
          </cell>
          <cell r="BA427" t="str">
            <v/>
          </cell>
          <cell r="BB427" t="str">
            <v>Completed</v>
          </cell>
          <cell r="BC427" t="str">
            <v>PR100009722</v>
          </cell>
        </row>
        <row r="428">
          <cell r="B428" t="str">
            <v>PR100009720</v>
          </cell>
          <cell r="C428" t="str">
            <v>Sparepart for PA Fan</v>
          </cell>
          <cell r="D428" t="str">
            <v xml:space="preserve"> </v>
          </cell>
          <cell r="E428" t="str">
            <v>Andalan Tiga Berlian, PT
Sola Anugerah Oilfield, PT
Golden Pratama Engineering, PT
Petrocom Nusa Synergy, PT
Proweldindo, PT
Gapura Kembar Teknindo, PT
Dayaniaga Ekaselaras, PT
Outsourcindo, PT</v>
          </cell>
          <cell r="F428" t="str">
            <v/>
          </cell>
          <cell r="G428" t="str">
            <v xml:space="preserve">R0
 of 8
</v>
          </cell>
          <cell r="H428" t="str">
            <v>RIZKY AGUSTINA</v>
          </cell>
          <cell r="I428">
            <v>45581</v>
          </cell>
          <cell r="J428" t="str">
            <v>Tech Main</v>
          </cell>
          <cell r="K428" t="str">
            <v>B</v>
          </cell>
          <cell r="L428" t="str">
            <v>BID</v>
          </cell>
          <cell r="M428" t="str">
            <v>0367</v>
          </cell>
          <cell r="N428" t="str">
            <v>RH</v>
          </cell>
          <cell r="O428" t="str">
            <v>robertiagus.haposan@alamtri.com</v>
          </cell>
          <cell r="P428">
            <v>573.95360000000005</v>
          </cell>
          <cell r="Q428">
            <v>9183257.6000000015</v>
          </cell>
          <cell r="R428" t="str">
            <v>Completed Sign PO</v>
          </cell>
          <cell r="T428" t="str">
            <v>MSW</v>
          </cell>
          <cell r="U428" t="str">
            <v>Andalan Tiga Berlian, PT
Sola Anugerah Oilfield, PT
Golden Pratama Engineering, PT
Petrocom Nusa Synergy, PT
Proweldindo, PT
Gapura Kembar Teknindo, PT
Dayaniaga Ekaselaras, PT
Outsourcindo, PT</v>
          </cell>
          <cell r="W428" t="str">
            <v>8 of 8</v>
          </cell>
          <cell r="X428" t="str">
            <v xml:space="preserve"> of 8</v>
          </cell>
          <cell r="Z428" t="str">
            <v/>
          </cell>
          <cell r="AC428" t="str">
            <v xml:space="preserve"> of </v>
          </cell>
          <cell r="AD428" t="str">
            <v xml:space="preserve"> of </v>
          </cell>
          <cell r="AF428" t="str">
            <v/>
          </cell>
          <cell r="AI428" t="str">
            <v xml:space="preserve"> of </v>
          </cell>
          <cell r="AJ428" t="str">
            <v xml:space="preserve"> of </v>
          </cell>
          <cell r="AL428" t="str">
            <v/>
          </cell>
          <cell r="AM428">
            <v>0.70833333333333304</v>
          </cell>
          <cell r="AN428" t="str">
            <v>Gapura Kembar Teknindo, PT</v>
          </cell>
          <cell r="AO428" t="str">
            <v>info@gekate.com; eva_gkt@yahoo.co.id</v>
          </cell>
          <cell r="AP428" t="str">
            <v>PO24000778</v>
          </cell>
          <cell r="AQ428">
            <v>8360000</v>
          </cell>
          <cell r="AR428">
            <v>45590</v>
          </cell>
          <cell r="AS428">
            <v>45625</v>
          </cell>
          <cell r="AT428">
            <v>45597</v>
          </cell>
          <cell r="AU428">
            <v>45632</v>
          </cell>
          <cell r="AV428">
            <v>45604</v>
          </cell>
          <cell r="AW428">
            <v>45639</v>
          </cell>
          <cell r="AX428">
            <v>5</v>
          </cell>
          <cell r="AY428">
            <v>45628</v>
          </cell>
          <cell r="AZ428" t="str">
            <v/>
          </cell>
          <cell r="BA428" t="str">
            <v/>
          </cell>
          <cell r="BB428" t="str">
            <v>Completed</v>
          </cell>
          <cell r="BC428" t="str">
            <v>PR100009720</v>
          </cell>
        </row>
        <row r="429">
          <cell r="B429" t="str">
            <v>PR100009736</v>
          </cell>
          <cell r="C429" t="str">
            <v>Material untuk PM DG 2 x 40 Kva Support  ATS</v>
          </cell>
          <cell r="E429" t="str">
            <v>Interjaya Surya Megah, PT
Bima Kaltim Utama, PT
Blessindo Prima Sarana, PT
Cipta Dua Power Frans Diesel, PT
Panca Global Solusindo, PT
Perwira Sentra Officindo, PT
Ricon Masintan Pratama, PT
Berkat Pratama Teknik, CV
Ricon Jaya Power, PT
Panja Utama, PT</v>
          </cell>
          <cell r="F429" t="str">
            <v/>
          </cell>
          <cell r="G429" t="str">
            <v xml:space="preserve">R0
 of 10
</v>
          </cell>
          <cell r="H429" t="str">
            <v>SLAMET</v>
          </cell>
          <cell r="I429">
            <v>45583</v>
          </cell>
          <cell r="J429" t="str">
            <v>Tech Main</v>
          </cell>
          <cell r="K429" t="str">
            <v>B</v>
          </cell>
          <cell r="L429" t="str">
            <v>BID</v>
          </cell>
          <cell r="M429" t="str">
            <v>0372</v>
          </cell>
          <cell r="N429" t="str">
            <v>RH</v>
          </cell>
          <cell r="O429" t="str">
            <v>robertiagus.haposan@alamtri.com</v>
          </cell>
          <cell r="P429">
            <v>94</v>
          </cell>
          <cell r="Q429">
            <v>1504000</v>
          </cell>
          <cell r="R429" t="str">
            <v>Completed Sign PO</v>
          </cell>
          <cell r="T429" t="str">
            <v>MSW</v>
          </cell>
          <cell r="U429" t="str">
            <v>Interjaya Surya Megah, PT
Bima Kaltim Utama, PT
Blessindo Prima Sarana, PT
Cipta Dua Power Frans Diesel, PT
Panca Global Solusindo, PT
Perwira Sentra Officindo, PT
Ricon Masintan Pratama, PT
Berkat Pratama Teknik, CV
Ricon Jaya Power, PT
Panja Utama, PT</v>
          </cell>
          <cell r="W429" t="str">
            <v>10 of 10</v>
          </cell>
          <cell r="X429" t="str">
            <v xml:space="preserve"> of 10</v>
          </cell>
          <cell r="Z429" t="str">
            <v/>
          </cell>
          <cell r="AC429" t="str">
            <v xml:space="preserve"> of </v>
          </cell>
          <cell r="AD429" t="str">
            <v xml:space="preserve"> of </v>
          </cell>
          <cell r="AF429" t="str">
            <v/>
          </cell>
          <cell r="AI429" t="str">
            <v xml:space="preserve"> of </v>
          </cell>
          <cell r="AJ429" t="str">
            <v xml:space="preserve"> of </v>
          </cell>
          <cell r="AL429" t="str">
            <v/>
          </cell>
          <cell r="AM429">
            <v>0.70833333333333304</v>
          </cell>
          <cell r="AN429" t="str">
            <v>Berkat Pratama Teknik, CV</v>
          </cell>
          <cell r="AO429" t="str">
            <v>berkatpratamateknik@gmail.com</v>
          </cell>
          <cell r="AP429" t="str">
            <v>PO24000775</v>
          </cell>
          <cell r="AQ429">
            <v>1200000</v>
          </cell>
          <cell r="AR429">
            <v>45594</v>
          </cell>
          <cell r="AS429">
            <v>45595</v>
          </cell>
          <cell r="AT429">
            <v>45596</v>
          </cell>
          <cell r="AU429">
            <v>45632</v>
          </cell>
          <cell r="AV429">
            <v>45597</v>
          </cell>
          <cell r="AW429">
            <v>45633</v>
          </cell>
          <cell r="AX429">
            <v>5.1428571428571432</v>
          </cell>
          <cell r="AY429">
            <v>45609</v>
          </cell>
          <cell r="AZ429" t="str">
            <v/>
          </cell>
          <cell r="BA429" t="str">
            <v/>
          </cell>
          <cell r="BB429" t="str">
            <v>Completed</v>
          </cell>
          <cell r="BC429" t="str">
            <v>PR100009736</v>
          </cell>
        </row>
        <row r="430">
          <cell r="B430" t="str">
            <v>PR100009668
(Line 2)</v>
          </cell>
          <cell r="C430" t="str">
            <v>Kebutuhan Part PM untuk All DG IBT CAT 3516 Unit 3G1,3G2,3G3 &amp;3G4  Part langsung ke IBT mekar putih</v>
          </cell>
          <cell r="D430" t="str">
            <v>Bima Kaltim Utama, PT - Line 3,4
Trakindo Utama, PT - Line 2,5
Arthapusaka Mitra Sakti, PT - Line 6
Blessindo Prima Sarana, PT - Line 1</v>
          </cell>
          <cell r="E430" t="str">
            <v>Trakindo Utama, PT
Bima Kaltim Utama, PT
Blessindo Prima Sarana, PT
Indo Tehnik Tanjung Tabalong, PT
Ardiwijaya Prima Indonesia, PT
Aneka Mitra Cipta, PT
Sentrapart Niaga Utama, PT
Vhipa Mulia Pratama, PT
Pacific Tractor Indonesia, PT
Petrocom Nusa Synergy, PT
Lotus Inti Pratama, PT
Otto Sukses Jaya Perkasa, PT
Sefas Pelindotama, PT
Arthapusaka Mitra Sakti, PT</v>
          </cell>
          <cell r="F430" t="str">
            <v>Trakindo Utama, PT
Bima Kaltim Utama, PT
Blessindo Prima Sarana, PT
Aneka Mitra Cipta, PT
Petrocom Nusa Synergy, PT
Arthapusaka Mitra Sakti, PT</v>
          </cell>
          <cell r="G430" t="str">
            <v>R0
6 of 14
10 Oct 24</v>
          </cell>
          <cell r="H430" t="str">
            <v>SLAMET</v>
          </cell>
          <cell r="I430">
            <v>45566</v>
          </cell>
          <cell r="J430" t="str">
            <v>Tech Main</v>
          </cell>
          <cell r="K430" t="str">
            <v>B</v>
          </cell>
          <cell r="L430" t="str">
            <v>BID</v>
          </cell>
          <cell r="M430" t="str">
            <v>0353</v>
          </cell>
          <cell r="N430" t="str">
            <v>RH</v>
          </cell>
          <cell r="O430" t="str">
            <v>robertiagus.haposan@alamtri.com</v>
          </cell>
          <cell r="P430">
            <v>1256.0550000000001</v>
          </cell>
          <cell r="Q430">
            <v>20096880</v>
          </cell>
          <cell r="R430" t="str">
            <v>Completed Sign PO</v>
          </cell>
          <cell r="T430" t="str">
            <v>MSW</v>
          </cell>
          <cell r="U430" t="str">
            <v>Trakindo Utama, PT
Bima Kaltim Utama, PT
Blessindo Prima Sarana, PT
Indo Tehnik Tanjung Tabalong, PT
Ardiwijaya Prima Indonesia, PT
Aneka Mitra Cipta, PT
Sentrapart Niaga Utama, PT
Vhipa Mulia Pratama, PT
Pacific Tractor Indonesia, PT
Petrocom Nusa Synergy, PT
Lotus Inti Pratama, PT
Otto Sukses Jaya Perkasa, PT
Sefas Pelindotama, PT
Arthapusaka Mitra Sakti, PT</v>
          </cell>
          <cell r="V430" t="str">
            <v>Trakindo Utama, PT
Bima Kaltim Utama, PT
Blessindo Prima Sarana, PT
Aneka Mitra Cipta, PT
Petrocom Nusa Synergy, PT
Arthapusaka Mitra Sakti, PT</v>
          </cell>
          <cell r="W430" t="str">
            <v>14 of 14</v>
          </cell>
          <cell r="X430" t="str">
            <v>6 of 14</v>
          </cell>
          <cell r="Y430">
            <v>45568</v>
          </cell>
          <cell r="Z430">
            <v>45575</v>
          </cell>
          <cell r="AC430" t="str">
            <v xml:space="preserve"> of </v>
          </cell>
          <cell r="AD430" t="str">
            <v xml:space="preserve"> of </v>
          </cell>
          <cell r="AF430" t="str">
            <v/>
          </cell>
          <cell r="AI430" t="str">
            <v xml:space="preserve"> of </v>
          </cell>
          <cell r="AJ430" t="str">
            <v xml:space="preserve"> of </v>
          </cell>
          <cell r="AL430" t="str">
            <v/>
          </cell>
          <cell r="AM430">
            <v>0.70833333333333304</v>
          </cell>
          <cell r="AN430" t="str">
            <v>Petrocom Nusa Synergy, PT</v>
          </cell>
          <cell r="AO430" t="str">
            <v>petrocomnusasynergy@gmail.com</v>
          </cell>
          <cell r="AP430" t="str">
            <v>PO24000783</v>
          </cell>
          <cell r="AQ430">
            <v>12500000</v>
          </cell>
          <cell r="AR430">
            <v>45576</v>
          </cell>
          <cell r="AS430">
            <v>45596</v>
          </cell>
          <cell r="AT430">
            <v>45597</v>
          </cell>
          <cell r="AU430">
            <v>45611</v>
          </cell>
          <cell r="AV430">
            <v>45962</v>
          </cell>
          <cell r="AW430">
            <v>45976</v>
          </cell>
          <cell r="AX430">
            <v>2</v>
          </cell>
          <cell r="AY430">
            <v>45633</v>
          </cell>
          <cell r="AZ430" t="str">
            <v/>
          </cell>
          <cell r="BA430" t="str">
            <v/>
          </cell>
          <cell r="BB430" t="str">
            <v>Late Completed</v>
          </cell>
          <cell r="BC430" t="str">
            <v>PR100009668</v>
          </cell>
        </row>
        <row r="431">
          <cell r="B431" t="str">
            <v>PR100009668
(Line 6)</v>
          </cell>
          <cell r="C431" t="str">
            <v>Kebutuhan Part PM untuk All DG IBT CAT 3516 Unit 3G1,3G2,3G3 &amp;3G4  Part langsung ke IBT mekar putih</v>
          </cell>
          <cell r="D431" t="str">
            <v>Bima Kaltim Utama, PT - Line 3,4
Trakindo Utama, PT - Line 2,5
Arthapusaka Mitra Sakti, PT - Line 6
Blessindo Prima Sarana, PT - Line 1</v>
          </cell>
          <cell r="E431" t="str">
            <v>Trakindo Utama, PT
Bima Kaltim Utama, PT
Blessindo Prima Sarana, PT
Indo Tehnik Tanjung Tabalong, PT
Ardiwijaya Prima Indonesia, PT
Aneka Mitra Cipta, PT
Sentrapart Niaga Utama, PT
Vhipa Mulia Pratama, PT
Pacific Tractor Indonesia, PT
Petrocom Nusa Synergy, PT
Lotus Inti Pratama, PT
Otto Sukses Jaya Perkasa, PT
Sefas Pelindotama, PT
Arthapusaka Mitra Sakti, PT</v>
          </cell>
          <cell r="F431" t="str">
            <v>Trakindo Utama, PT
Bima Kaltim Utama, PT
Blessindo Prima Sarana, PT
Aneka Mitra Cipta, PT
Petrocom Nusa Synergy, PT
Arthapusaka Mitra Sakti, PT</v>
          </cell>
          <cell r="G431" t="str">
            <v>R0
6 of 14
10 Oct 24</v>
          </cell>
          <cell r="H431" t="str">
            <v>SLAMET</v>
          </cell>
          <cell r="I431">
            <v>45566</v>
          </cell>
          <cell r="J431" t="str">
            <v>Tech Main</v>
          </cell>
          <cell r="K431" t="str">
            <v>B</v>
          </cell>
          <cell r="L431" t="str">
            <v>BID</v>
          </cell>
          <cell r="M431" t="str">
            <v>0353</v>
          </cell>
          <cell r="N431" t="str">
            <v>RH</v>
          </cell>
          <cell r="O431" t="str">
            <v>robertiagus.haposan@alamtri.com</v>
          </cell>
          <cell r="P431">
            <v>5745.6</v>
          </cell>
          <cell r="Q431">
            <v>91929600</v>
          </cell>
          <cell r="R431" t="str">
            <v>Completed Sign PO</v>
          </cell>
          <cell r="T431" t="str">
            <v>MSW</v>
          </cell>
          <cell r="U431" t="str">
            <v>Trakindo Utama, PT
Bima Kaltim Utama, PT
Blessindo Prima Sarana, PT
Indo Tehnik Tanjung Tabalong, PT
Ardiwijaya Prima Indonesia, PT
Aneka Mitra Cipta, PT
Sentrapart Niaga Utama, PT
Vhipa Mulia Pratama, PT
Pacific Tractor Indonesia, PT
Petrocom Nusa Synergy, PT
Lotus Inti Pratama, PT
Otto Sukses Jaya Perkasa, PT
Sefas Pelindotama, PT
Arthapusaka Mitra Sakti, PT</v>
          </cell>
          <cell r="V431" t="str">
            <v>Trakindo Utama, PT
Bima Kaltim Utama, PT
Blessindo Prima Sarana, PT
Aneka Mitra Cipta, PT
Petrocom Nusa Synergy, PT
Arthapusaka Mitra Sakti, PT</v>
          </cell>
          <cell r="W431" t="str">
            <v>14 of 14</v>
          </cell>
          <cell r="X431" t="str">
            <v>6 of 14</v>
          </cell>
          <cell r="Y431">
            <v>45568</v>
          </cell>
          <cell r="Z431">
            <v>45575</v>
          </cell>
          <cell r="AC431" t="str">
            <v xml:space="preserve"> of </v>
          </cell>
          <cell r="AD431" t="str">
            <v xml:space="preserve"> of </v>
          </cell>
          <cell r="AF431" t="str">
            <v/>
          </cell>
          <cell r="AI431" t="str">
            <v xml:space="preserve"> of </v>
          </cell>
          <cell r="AJ431" t="str">
            <v xml:space="preserve"> of </v>
          </cell>
          <cell r="AL431" t="str">
            <v/>
          </cell>
          <cell r="AM431">
            <v>0.70833333333333304</v>
          </cell>
          <cell r="AN431" t="str">
            <v>Arthapusaka Mitra Sakti, PT</v>
          </cell>
          <cell r="AO431" t="str">
            <v>putu@ptapms.com; acc.bjm@ptapms.com</v>
          </cell>
          <cell r="AP431" t="str">
            <v>PO24000784</v>
          </cell>
          <cell r="AQ431">
            <v>84000000</v>
          </cell>
          <cell r="AR431">
            <v>45576</v>
          </cell>
          <cell r="AS431">
            <v>45596</v>
          </cell>
          <cell r="AT431">
            <v>45597</v>
          </cell>
          <cell r="AU431">
            <v>45618</v>
          </cell>
          <cell r="AV431">
            <v>45962</v>
          </cell>
          <cell r="AW431">
            <v>45983</v>
          </cell>
          <cell r="AX431">
            <v>3</v>
          </cell>
          <cell r="AY431">
            <v>45622</v>
          </cell>
          <cell r="AZ431" t="str">
            <v/>
          </cell>
          <cell r="BA431" t="str">
            <v/>
          </cell>
          <cell r="BB431" t="str">
            <v>Late Completed</v>
          </cell>
          <cell r="BC431" t="str">
            <v>PR100009668</v>
          </cell>
        </row>
        <row r="432">
          <cell r="B432" t="str">
            <v>PR100009524</v>
          </cell>
          <cell r="C432" t="str">
            <v>Pembelian Trailer Genset untuk Support di Area Tambang</v>
          </cell>
          <cell r="E432" t="str">
            <v/>
          </cell>
          <cell r="F432" t="str">
            <v/>
          </cell>
          <cell r="G432" t="str">
            <v/>
          </cell>
          <cell r="H432" t="str">
            <v>SLAMET</v>
          </cell>
          <cell r="I432">
            <v>45554</v>
          </cell>
          <cell r="J432" t="str">
            <v>Tech Main</v>
          </cell>
          <cell r="K432" t="str">
            <v>B</v>
          </cell>
          <cell r="L432" t="str">
            <v>BID</v>
          </cell>
          <cell r="M432" t="str">
            <v>0319</v>
          </cell>
          <cell r="N432" t="str">
            <v>RH</v>
          </cell>
          <cell r="O432" t="str">
            <v>robertiagus.haposan@alamtri.com</v>
          </cell>
          <cell r="P432">
            <v>4874</v>
          </cell>
          <cell r="Q432">
            <v>77984000</v>
          </cell>
          <cell r="R432" t="str">
            <v>CANCEL</v>
          </cell>
          <cell r="T432" t="str">
            <v>MSW</v>
          </cell>
          <cell r="U432" t="str">
            <v>Anugrah Mandiri Putra Tabalong, PT
Tabalong Inti Mitra, PT
Tanjung Baru 63, PT
Yoga Bangun Persada, PT
Triatra Sinergi Pratama, PT
Interjaya Surya Megah, PT
Petrocom Nusa Synergy, PT
Kin Kitra Kencana, PT
Bima Kaltim Utama, PT
Vhipa Mulia Pratama, PT
Proweldindo, PT
Tri Arga Kencana, CV
Cipta Dua Power Frans Diesel, PT
Generindo, PT</v>
          </cell>
          <cell r="V432" t="str">
            <v>None</v>
          </cell>
          <cell r="W432" t="str">
            <v>14 of 14</v>
          </cell>
          <cell r="X432" t="str">
            <v>1 of 14</v>
          </cell>
          <cell r="Y432">
            <v>45526</v>
          </cell>
          <cell r="Z432">
            <v>45533</v>
          </cell>
          <cell r="AA432" t="str">
            <v>Perwira Sentra Officindo, PT
Tri Arga Kencana, CV
Energi Daya Diesel, PT
Mandiri Kencana Laras, PT
Generindo, PT
Putera Instrumenindo, PT
Cakra Perkasa Jayamulia, PT
Interjaya Surya Megah, PT
Centralindo Energia, PT
Berkat Manunggal  Jaya, PT
Wahyu Mega Tehnik, ,PT
Pacific Tractor Indonesia, PT</v>
          </cell>
          <cell r="AB432" t="str">
            <v>Perwira Sentra Officindo, PT
Tri Arga Kencana, CV</v>
          </cell>
          <cell r="AC432" t="str">
            <v>12 of 12</v>
          </cell>
          <cell r="AD432" t="str">
            <v>2 of 12</v>
          </cell>
          <cell r="AE432">
            <v>45538</v>
          </cell>
          <cell r="AF432">
            <v>45545</v>
          </cell>
          <cell r="AG432" t="str">
            <v>Perwira Sentra Officindo, PT
Tri Arga Kencana, CV
Pacific Tractor Indonesia, PT
Citra Tanjung Lestari Indah, PT
Xservice, CV
Biliton Jaya Raya, PT
Orient Tehnik</v>
          </cell>
          <cell r="AH432" t="str">
            <v>Perwira Sentra Officindo, PT
Tri Arga Kencana, CV
Pacific Tractor Indonesia, PT
Xservice, CV
Biliton Jaya Raya, PT
Orient Tehnik</v>
          </cell>
          <cell r="AI432" t="str">
            <v>7 of 7</v>
          </cell>
          <cell r="AJ432" t="str">
            <v>6 of 7</v>
          </cell>
          <cell r="AK432">
            <v>45554</v>
          </cell>
          <cell r="AL432">
            <v>45568</v>
          </cell>
          <cell r="AM432">
            <v>0.70833333333333304</v>
          </cell>
          <cell r="AO432" t="str">
            <v/>
          </cell>
          <cell r="AW432" t="str">
            <v/>
          </cell>
          <cell r="AX432" t="str">
            <v/>
          </cell>
          <cell r="AZ432" t="str">
            <v/>
          </cell>
          <cell r="BA432" t="str">
            <v/>
          </cell>
          <cell r="BB432" t="str">
            <v/>
          </cell>
          <cell r="BC432" t="str">
            <v>PR100009524</v>
          </cell>
        </row>
        <row r="433">
          <cell r="B433" t="str">
            <v>PR100009702</v>
          </cell>
          <cell r="C433" t="str">
            <v>General Over Haul (GOH)  DG 4G1 Merk Komatsu Type EGS300 Kap 300 Kva</v>
          </cell>
          <cell r="E433" t="str">
            <v>Xservice, CV
Catek Jaya, CV
Mitra Safa Senusantara, CV
Jaya Induksi Elektrik, PT
Gala Jaya (Banjarmasin), PT
Genindo Berkat Utama, PT</v>
          </cell>
          <cell r="F433" t="str">
            <v>Xservice, CV
Catek Jaya, CV
Mitra Safa Senusantara, CV
Jaya Induksi Elektrik, PT
Gala Jaya (Banjarmasin), PT
Genindo Berkat Utama, PT</v>
          </cell>
          <cell r="G433" t="str">
            <v>R0
6 of 6
21 Oct 24</v>
          </cell>
          <cell r="H433" t="str">
            <v>SLAMET</v>
          </cell>
          <cell r="I433">
            <v>45576</v>
          </cell>
          <cell r="J433" t="str">
            <v>Tech Main</v>
          </cell>
          <cell r="K433" t="str">
            <v>J</v>
          </cell>
          <cell r="L433" t="str">
            <v>BID</v>
          </cell>
          <cell r="M433" t="str">
            <v>0362</v>
          </cell>
          <cell r="N433" t="str">
            <v>RH</v>
          </cell>
          <cell r="O433" t="str">
            <v>robertiagus.haposan@alamtri.com</v>
          </cell>
          <cell r="P433">
            <v>27966</v>
          </cell>
          <cell r="Q433">
            <v>447456000</v>
          </cell>
          <cell r="R433" t="str">
            <v>Completed Sign PO</v>
          </cell>
          <cell r="T433" t="str">
            <v>MSW</v>
          </cell>
          <cell r="U433" t="str">
            <v>Xservice, CV
Catek Jaya, CV
Mitra Safa Senusantara, CV
Jaya Induksi Elektrik, PT
Gala Jaya (Banjarmasin), PT
Genindo Berkat Utama, PT</v>
          </cell>
          <cell r="V433" t="str">
            <v>Xservice, CV
Catek Jaya, CV
Mitra Safa Senusantara, CV
Jaya Induksi Elektrik, PT
Gala Jaya (Banjarmasin), PT
Genindo Berkat Utama, PT</v>
          </cell>
          <cell r="W433" t="str">
            <v>6 of 6</v>
          </cell>
          <cell r="X433" t="str">
            <v>6 of 6</v>
          </cell>
          <cell r="Y433">
            <v>45579</v>
          </cell>
          <cell r="Z433">
            <v>45586</v>
          </cell>
          <cell r="AC433" t="str">
            <v xml:space="preserve"> of </v>
          </cell>
          <cell r="AD433" t="str">
            <v xml:space="preserve"> of </v>
          </cell>
          <cell r="AF433" t="str">
            <v/>
          </cell>
          <cell r="AI433" t="str">
            <v xml:space="preserve"> of </v>
          </cell>
          <cell r="AJ433" t="str">
            <v xml:space="preserve"> of </v>
          </cell>
          <cell r="AL433" t="str">
            <v/>
          </cell>
          <cell r="AM433">
            <v>0.70833333333333304</v>
          </cell>
          <cell r="AN433" t="str">
            <v>Xservice, CV</v>
          </cell>
          <cell r="AO433" t="str">
            <v>xservic3@gmail.com</v>
          </cell>
          <cell r="AP433" t="str">
            <v>PO25000139</v>
          </cell>
          <cell r="AQ433">
            <v>480529900</v>
          </cell>
          <cell r="AR433">
            <v>45588</v>
          </cell>
          <cell r="AS433">
            <v>45721</v>
          </cell>
          <cell r="AT433">
            <v>45726</v>
          </cell>
          <cell r="AU433">
            <v>45814</v>
          </cell>
          <cell r="AV433">
            <v>45768</v>
          </cell>
          <cell r="AW433">
            <v>45856</v>
          </cell>
          <cell r="AX433">
            <v>12.571428571428571</v>
          </cell>
          <cell r="AZ433" t="str">
            <v/>
          </cell>
          <cell r="BA433" t="str">
            <v/>
          </cell>
          <cell r="BB433" t="str">
            <v>Late Completed</v>
          </cell>
          <cell r="BC433" t="str">
            <v>PR100009702</v>
          </cell>
        </row>
        <row r="434">
          <cell r="B434" t="str">
            <v>PR100009755</v>
          </cell>
          <cell r="C434" t="str">
            <v>Pembelian Part for CHP</v>
          </cell>
          <cell r="D434" t="str">
            <v>Gema insustrial, PT - Line 1
Suprabakti Mandiri, PT - Line 2</v>
          </cell>
          <cell r="E434" t="str">
            <v>Gema Industrial, PT
Suprabakti Mandiri, PT
Cominco Mitra Perkasa, PT
Vhipa Mulia Pratama, PT
Petrocom Nusa Synergy, PT
Indo Tehnik Tanjung Tabalong, PT
Sehati, CV
Rahmat Parna Sakti, CV
Taman Baru , PT
Monotaro Indonesia, PT</v>
          </cell>
          <cell r="F434" t="str">
            <v>Gema Industrial, PT
Suprabakti Mandiri, PT
Cominco Mitra Perkasa, PT
Rahmat Parna Sakti, CV
Taman Baru , PT</v>
          </cell>
          <cell r="G434" t="str">
            <v>R0
5 of 10
05 Nov 24</v>
          </cell>
          <cell r="H434" t="str">
            <v>RIZKY AGUSTINA</v>
          </cell>
          <cell r="I434">
            <v>45584</v>
          </cell>
          <cell r="J434" t="str">
            <v>Tech Main</v>
          </cell>
          <cell r="K434" t="str">
            <v>B</v>
          </cell>
          <cell r="L434" t="str">
            <v>BID</v>
          </cell>
          <cell r="M434" t="str">
            <v>0374</v>
          </cell>
          <cell r="N434" t="str">
            <v>RH</v>
          </cell>
          <cell r="O434" t="str">
            <v>robertiagus.haposan@alamtri.com</v>
          </cell>
          <cell r="P434">
            <v>199.37440000000001</v>
          </cell>
          <cell r="Q434">
            <v>3189990.4</v>
          </cell>
          <cell r="R434" t="str">
            <v>Completed Sign PO</v>
          </cell>
          <cell r="T434" t="str">
            <v>MSW</v>
          </cell>
          <cell r="U434" t="str">
            <v>Gema Industrial, PT
Suprabakti Mandiri, PT
Cominco Mitra Perkasa, PT
Vhipa Mulia Pratama, PT
Petrocom Nusa Synergy, PT
Indo Tehnik Tanjung Tabalong, PT
Sehati, CV
Rahmat Parna Sakti, CV
Taman Baru , PT
Monotaro Indonesia, PT</v>
          </cell>
          <cell r="V434" t="str">
            <v>Gema Industrial, PT
Suprabakti Mandiri, PT
Cominco Mitra Perkasa, PT
Rahmat Parna Sakti, CV
Taman Baru , PT</v>
          </cell>
          <cell r="W434" t="str">
            <v>10 of 10</v>
          </cell>
          <cell r="X434" t="str">
            <v>5 of 10</v>
          </cell>
          <cell r="Y434">
            <v>45585</v>
          </cell>
          <cell r="Z434">
            <v>45601</v>
          </cell>
          <cell r="AC434" t="str">
            <v xml:space="preserve"> of </v>
          </cell>
          <cell r="AD434" t="str">
            <v xml:space="preserve"> of </v>
          </cell>
          <cell r="AF434" t="str">
            <v/>
          </cell>
          <cell r="AI434" t="str">
            <v xml:space="preserve"> of </v>
          </cell>
          <cell r="AJ434" t="str">
            <v xml:space="preserve"> of </v>
          </cell>
          <cell r="AL434" t="str">
            <v/>
          </cell>
          <cell r="AM434">
            <v>0.70833333333333304</v>
          </cell>
          <cell r="AN434" t="str">
            <v>Suprabakti Mandiri, PT</v>
          </cell>
          <cell r="AO434" t="str">
            <v>han@beltcare.com; sucinto@beltcare.com</v>
          </cell>
          <cell r="AP434" t="str">
            <v>PO24000841</v>
          </cell>
          <cell r="AQ434">
            <v>2810000</v>
          </cell>
          <cell r="AR434">
            <v>45603</v>
          </cell>
          <cell r="AS434">
            <v>45616</v>
          </cell>
          <cell r="AT434">
            <v>45617</v>
          </cell>
          <cell r="AU434">
            <v>45646</v>
          </cell>
          <cell r="AV434">
            <v>45621</v>
          </cell>
          <cell r="AW434">
            <v>45650</v>
          </cell>
          <cell r="AX434">
            <v>4.1428571428571432</v>
          </cell>
          <cell r="AY434">
            <v>45645</v>
          </cell>
          <cell r="AZ434" t="str">
            <v/>
          </cell>
          <cell r="BA434" t="str">
            <v/>
          </cell>
          <cell r="BB434" t="str">
            <v>Late Completed</v>
          </cell>
          <cell r="BC434" t="str">
            <v>PR100009755</v>
          </cell>
        </row>
        <row r="435">
          <cell r="B435" t="str">
            <v>PR100009752</v>
          </cell>
          <cell r="C435" t="str">
            <v>Pembelian MCCB, T5H, For Intake or AC Driven FF Stock Inventory Electrical</v>
          </cell>
          <cell r="E435" t="str">
            <v>Antares Jaya Gemilang Prima, PT
Greentek Elektrikal Indonesia, PT
Boveri Indonesia, PT
Alfa Teknik Mandiri Makmur, PT
Gading Mas Utama, PT
Gema Industrial, PT
Stanindo Artha Langgeng, PT
Trimitra Bangun Karyatama, PT
Hikmah Jaya Sentosa, PT
Suryamas Elsindo Primatama, PT
Raja Listrik Indonesia, PT
Monotaro Indonesia, PT</v>
          </cell>
          <cell r="F435" t="str">
            <v>Antares Jaya Gemilang Prima, PT
Greentek Elektrikal Indonesia, PT
Alfa Teknik Mandiri Makmur, PT
Gading Mas Utama, PT
Gema Industrial, PT
Stanindo Artha Langgeng, PT
Trimitra Bangun Karyatama, PT</v>
          </cell>
          <cell r="G435" t="str">
            <v>R0
7 of 12
05 Nov 24</v>
          </cell>
          <cell r="H435" t="str">
            <v>DEDE SUDARJI</v>
          </cell>
          <cell r="I435">
            <v>45584</v>
          </cell>
          <cell r="J435" t="str">
            <v>Tech Main</v>
          </cell>
          <cell r="K435" t="str">
            <v>B</v>
          </cell>
          <cell r="L435" t="str">
            <v>BID</v>
          </cell>
          <cell r="M435" t="str">
            <v>0373</v>
          </cell>
          <cell r="N435" t="str">
            <v>RH</v>
          </cell>
          <cell r="O435" t="str">
            <v>robertiagus.haposan@alamtri.com</v>
          </cell>
          <cell r="P435">
            <v>1500</v>
          </cell>
          <cell r="Q435">
            <v>24000000</v>
          </cell>
          <cell r="R435" t="str">
            <v>Completed Sign PO</v>
          </cell>
          <cell r="T435" t="str">
            <v>MSW</v>
          </cell>
          <cell r="U435" t="str">
            <v>Antares Jaya Gemilang Prima, PT
Greentek Elektrikal Indonesia, PT
Boveri Indonesia, PT
Alfa Teknik Mandiri Makmur, PT
Gading Mas Utama, PT
Gema Industrial, PT
Stanindo Artha Langgeng, PT
Trimitra Bangun Karyatama, PT
Hikmah Jaya Sentosa, PT
Suryamas Elsindo Primatama, PT
Raja Listrik Indonesia, PT
Monotaro Indonesia, PT</v>
          </cell>
          <cell r="V435" t="str">
            <v>Antares Jaya Gemilang Prima, PT
Greentek Elektrikal Indonesia, PT
Alfa Teknik Mandiri Makmur, PT
Gading Mas Utama, PT
Gema Industrial, PT
Stanindo Artha Langgeng, PT
Trimitra Bangun Karyatama, PT</v>
          </cell>
          <cell r="W435" t="str">
            <v>12 of 12</v>
          </cell>
          <cell r="X435" t="str">
            <v>7 of 12</v>
          </cell>
          <cell r="Y435">
            <v>45594</v>
          </cell>
          <cell r="Z435">
            <v>45601</v>
          </cell>
          <cell r="AC435" t="str">
            <v xml:space="preserve"> of </v>
          </cell>
          <cell r="AD435" t="str">
            <v xml:space="preserve"> of </v>
          </cell>
          <cell r="AF435" t="str">
            <v/>
          </cell>
          <cell r="AI435" t="str">
            <v xml:space="preserve"> of </v>
          </cell>
          <cell r="AJ435" t="str">
            <v xml:space="preserve"> of </v>
          </cell>
          <cell r="AL435" t="str">
            <v/>
          </cell>
          <cell r="AM435">
            <v>0.70833333333333304</v>
          </cell>
          <cell r="AN435" t="str">
            <v>Antares Jaya Gemilang Prima, PT</v>
          </cell>
          <cell r="AO435" t="str">
            <v>info@pt-antares.com; antares.jgp@gmail.com</v>
          </cell>
          <cell r="AP435" t="str">
            <v>PO24000842</v>
          </cell>
          <cell r="AQ435">
            <v>26900000</v>
          </cell>
          <cell r="AR435">
            <v>45603</v>
          </cell>
          <cell r="AS435">
            <v>45617</v>
          </cell>
          <cell r="AT435">
            <v>45617</v>
          </cell>
          <cell r="AU435">
            <v>45695</v>
          </cell>
          <cell r="AV435">
            <v>45621</v>
          </cell>
          <cell r="AW435">
            <v>45699</v>
          </cell>
          <cell r="AX435">
            <v>11.142857142857142</v>
          </cell>
          <cell r="AY435">
            <v>45357</v>
          </cell>
          <cell r="AZ435" t="str">
            <v/>
          </cell>
          <cell r="BA435" t="str">
            <v/>
          </cell>
          <cell r="BB435" t="str">
            <v>Late Completed</v>
          </cell>
          <cell r="BC435" t="str">
            <v>PR100009752</v>
          </cell>
        </row>
        <row r="436">
          <cell r="B436" t="str">
            <v>PR100009711 (Line 1)</v>
          </cell>
          <cell r="C436" t="str">
            <v>Oil, NYNAS Nitro Transformer,Stock Inventory (Urgent) electrifikasi</v>
          </cell>
          <cell r="E436" t="str">
            <v>Vhipa Mulia Pratama, PT
Cahaya Pengajaran Abadi, PT
Sefas Pelindotama, PT
Selaras Daya Utama, PT
Eco Tangguh Lubriondo, PT
Sehati, CV
Radian Fokus Mandiri, CV
Sarana Prima Lestari, CV
Perwira Sentra Officindo, PT
Golden Piping Indonesia, PT
Berkat Pratama Teknik, CV
Indo Tehnik Tanjung Tabalong, PT</v>
          </cell>
          <cell r="F436" t="str">
            <v>Vhipa Mulia Pratama, PT
Sefas Pelindotama, PT
Selaras Daya Utama, PT
Sehati, CV
Sarana Prima Lestari, CV
Perwira Sentra Officindo, PT
Berkat Pratama Teknik, CV
Indo Tehnik Tanjung Tabalong, PT</v>
          </cell>
          <cell r="G436" t="str">
            <v>R0
8 of 12
25 Oct 24</v>
          </cell>
          <cell r="H436" t="str">
            <v>GUNARA FERY FAHNANI</v>
          </cell>
          <cell r="I436">
            <v>45581</v>
          </cell>
          <cell r="J436" t="str">
            <v>Inv</v>
          </cell>
          <cell r="K436" t="str">
            <v>B</v>
          </cell>
          <cell r="L436" t="str">
            <v>BID</v>
          </cell>
          <cell r="M436" t="str">
            <v>0369</v>
          </cell>
          <cell r="N436" t="str">
            <v>RH</v>
          </cell>
          <cell r="O436" t="str">
            <v>robertiagus.haposan@alamtri.com</v>
          </cell>
          <cell r="P436">
            <v>4638.1040000000003</v>
          </cell>
          <cell r="Q436">
            <v>74209664</v>
          </cell>
          <cell r="R436" t="str">
            <v>Completed Sign PO</v>
          </cell>
          <cell r="T436" t="str">
            <v>MSW</v>
          </cell>
          <cell r="U436" t="str">
            <v>Vhipa Mulia Pratama, PT
Cahaya Pengajaran Abadi, PT
Sefas Pelindotama, PT
Selaras Daya Utama, PT
Eco Tangguh Lubriondo, PT
Sehati, CV
Radian Fokus Mandiri, CV
Sarana Prima Lestari, CV
Perwira Sentra Officindo, PT
Golden Piping Indonesia, PT
Berkat Pratama Teknik, CV
Indo Tehnik Tanjung Tabalong, PT</v>
          </cell>
          <cell r="V436" t="str">
            <v>Vhipa Mulia Pratama, PT
Sefas Pelindotama, PT
Selaras Daya Utama, PT
Sehati, CV
Sarana Prima Lestari, CV
Perwira Sentra Officindo, PT
Berkat Pratama Teknik, CV
Indo Tehnik Tanjung Tabalong, PT</v>
          </cell>
          <cell r="W436" t="str">
            <v>12 of 12</v>
          </cell>
          <cell r="X436" t="str">
            <v>8 of 12</v>
          </cell>
          <cell r="Y436">
            <v>45583</v>
          </cell>
          <cell r="Z436">
            <v>45590</v>
          </cell>
          <cell r="AC436" t="str">
            <v xml:space="preserve"> of </v>
          </cell>
          <cell r="AD436" t="str">
            <v xml:space="preserve"> of </v>
          </cell>
          <cell r="AF436" t="str">
            <v/>
          </cell>
          <cell r="AI436" t="str">
            <v xml:space="preserve"> of </v>
          </cell>
          <cell r="AJ436" t="str">
            <v xml:space="preserve"> of </v>
          </cell>
          <cell r="AL436" t="str">
            <v/>
          </cell>
          <cell r="AM436">
            <v>0.70833333333333304</v>
          </cell>
          <cell r="AN436" t="str">
            <v>Selaras Daya Utama, PT</v>
          </cell>
          <cell r="AO436" t="str">
            <v>nynas@sedayu.com</v>
          </cell>
          <cell r="AP436" t="str">
            <v>PO24000818R1</v>
          </cell>
          <cell r="AQ436">
            <v>115270000</v>
          </cell>
          <cell r="AR436">
            <v>45593</v>
          </cell>
          <cell r="AS436">
            <v>45595</v>
          </cell>
          <cell r="AT436">
            <v>45610</v>
          </cell>
          <cell r="AU436">
            <v>45642</v>
          </cell>
          <cell r="AV436">
            <v>45617</v>
          </cell>
          <cell r="AW436">
            <v>45649</v>
          </cell>
          <cell r="AX436">
            <v>4.5714285714285712</v>
          </cell>
          <cell r="AY436">
            <v>45455</v>
          </cell>
          <cell r="AZ436" t="str">
            <v/>
          </cell>
          <cell r="BA436" t="str">
            <v/>
          </cell>
          <cell r="BB436" t="str">
            <v>Completed</v>
          </cell>
          <cell r="BC436" t="str">
            <v>PR100009711</v>
          </cell>
        </row>
        <row r="437">
          <cell r="B437" t="str">
            <v>PR100008962(R1)</v>
          </cell>
          <cell r="C437" t="str">
            <v>pengadaan bed material budget tahun 2024</v>
          </cell>
          <cell r="E437" t="str">
            <v>Sembilan Jaya Abadi Resources, PT
Paducandi Lestari, PT
Sibara Bestari Indonesia, PT
Rinas Bangun Sejahtera, PT
Kalimantan Teknik Mandiri, PT</v>
          </cell>
          <cell r="F437" t="str">
            <v>Sembilan Jaya Abadi Resources, PT
Sibara Bestari Indonesia, PT</v>
          </cell>
          <cell r="G437" t="str">
            <v>R2
2 of 5
25 Oct 24</v>
          </cell>
          <cell r="H437" t="str">
            <v>ARIES KURNIAWAN</v>
          </cell>
          <cell r="I437">
            <v>45615</v>
          </cell>
          <cell r="J437" t="str">
            <v>COMMON</v>
          </cell>
          <cell r="K437" t="str">
            <v>B</v>
          </cell>
          <cell r="L437" t="str">
            <v>BID</v>
          </cell>
          <cell r="M437" t="str">
            <v>0066R1</v>
          </cell>
          <cell r="N437" t="str">
            <v>RH</v>
          </cell>
          <cell r="O437" t="str">
            <v>robertiagus.haposan@alamtri.com</v>
          </cell>
          <cell r="P437">
            <v>8350</v>
          </cell>
          <cell r="Q437">
            <v>133600000</v>
          </cell>
          <cell r="R437" t="str">
            <v>Completed Sign PO</v>
          </cell>
          <cell r="T437" t="str">
            <v>MSW</v>
          </cell>
          <cell r="U437" t="str">
            <v>Jara Silica, PT
Sibara Bestari Indonesia, PT
Anugrah Mandiri Putra Tabalong, PT
Perwira Sentra Officindo, PT
Cahaya Murni, CV
Belitung Sand Mining, PT
Asaba Tirtaindo, PT
Sembilan Jaya Abadi Resources, PT
Paducandi Lestari, PT</v>
          </cell>
          <cell r="W437" t="str">
            <v>9 of 9</v>
          </cell>
          <cell r="X437" t="str">
            <v xml:space="preserve"> of 9</v>
          </cell>
          <cell r="Y437">
            <v>45355</v>
          </cell>
          <cell r="Z437">
            <v>45362</v>
          </cell>
          <cell r="AA437" t="str">
            <v>Belitung Sand Mining, PT
Asaba Tirtaindo, PT
Sembilan Jaya Abadi Resources, PT
Paducandi Lestari, PT
Jara Silica, PT
Sibara Bestari Indonesia, PT
Rinas Bangun Sejahtera, PT</v>
          </cell>
          <cell r="AB437" t="str">
            <v>Sembilan Jaya Abadi Resources, PT
Paducandi Lestari, PT
Sibara Bestari Indonesia, PT
Rinas Bangun Sejahtera, PT</v>
          </cell>
          <cell r="AC437" t="str">
            <v>7 of 7</v>
          </cell>
          <cell r="AD437" t="str">
            <v>4 of 7</v>
          </cell>
          <cell r="AE437">
            <v>45365</v>
          </cell>
          <cell r="AF437">
            <v>45369</v>
          </cell>
          <cell r="AG437" t="str">
            <v>Sembilan Jaya Abadi Resources, PT
Paducandi Lestari, PT
Sibara Bestari Indonesia, PT
Rinas Bangun Sejahtera, PT
Kalimantan Teknik Mandiri, PT</v>
          </cell>
          <cell r="AH437" t="str">
            <v>Sembilan Jaya Abadi Resources, PT
Sibara Bestari Indonesia, PT</v>
          </cell>
          <cell r="AI437" t="str">
            <v>5 of 5</v>
          </cell>
          <cell r="AJ437" t="str">
            <v>2 of 5</v>
          </cell>
          <cell r="AK437">
            <v>45583</v>
          </cell>
          <cell r="AL437">
            <v>45590</v>
          </cell>
          <cell r="AM437">
            <v>0.70833333333333304</v>
          </cell>
          <cell r="AN437" t="str">
            <v>Sembilan Jaya Abadi Resources, PT</v>
          </cell>
          <cell r="AO437" t="str">
            <v>tri.mariono@yahoo.com</v>
          </cell>
          <cell r="AP437" t="str">
            <v>PO24000837</v>
          </cell>
          <cell r="AQ437">
            <v>113750000</v>
          </cell>
          <cell r="AR437">
            <v>45593</v>
          </cell>
          <cell r="AS437">
            <v>45604</v>
          </cell>
          <cell r="AT437">
            <v>45615</v>
          </cell>
          <cell r="AU437">
            <v>45649</v>
          </cell>
          <cell r="AV437">
            <v>45617</v>
          </cell>
          <cell r="AW437">
            <v>45651</v>
          </cell>
          <cell r="AX437">
            <v>4.8571428571428568</v>
          </cell>
          <cell r="AZ437" t="str">
            <v/>
          </cell>
          <cell r="BA437" t="str">
            <v/>
          </cell>
          <cell r="BB437" t="str">
            <v>Completed</v>
          </cell>
          <cell r="BC437" t="str">
            <v>PR100008962</v>
          </cell>
        </row>
        <row r="438">
          <cell r="B438" t="str">
            <v>PR100009724</v>
          </cell>
          <cell r="C438" t="str">
            <v>Equipment Laboratorium Bulan Oktober 2024</v>
          </cell>
          <cell r="E438" t="str">
            <v>Alfa Pegasus, PT
Intraparr Nusantara, PT
Alfa Teknik Mandiri Makmur, PT
Elo Karsa Utama, PT
Andalan Bangun Sejahtera, PT
Global Satria Aji, PT
Labodia Prima, PT
Synergi Inti Utama, PT
Perwira Sentra Officindo, PT
Berkat Pratama Teknik, CV</v>
          </cell>
          <cell r="F438" t="str">
            <v>Intraparr Nusantara, PT
Alfa Teknik Mandiri Makmur, PT
Perwira Sentra Officindo, PT
Berkat Pratama Teknik, CV</v>
          </cell>
          <cell r="G438" t="str">
            <v>R0
4 of 10
22 Oct 24</v>
          </cell>
          <cell r="H438" t="str">
            <v>DENI SUHENDRA</v>
          </cell>
          <cell r="I438">
            <v>45579</v>
          </cell>
          <cell r="J438" t="str">
            <v>Tech Op</v>
          </cell>
          <cell r="K438" t="str">
            <v>B</v>
          </cell>
          <cell r="L438" t="str">
            <v>BID</v>
          </cell>
          <cell r="M438" t="str">
            <v>0364</v>
          </cell>
          <cell r="N438" t="str">
            <v>RH</v>
          </cell>
          <cell r="O438" t="str">
            <v>robertiagus.haposan@alamtri.com</v>
          </cell>
          <cell r="P438">
            <v>90</v>
          </cell>
          <cell r="Q438">
            <v>1440000</v>
          </cell>
          <cell r="R438" t="str">
            <v>Completed Sign PO</v>
          </cell>
          <cell r="T438" t="str">
            <v>MSW</v>
          </cell>
          <cell r="U438" t="str">
            <v>Alfa Pegasus, PT
Intraparr Nusantara, PT
Alfa Teknik Mandiri Makmur, PT
Elo Karsa Utama, PT
Andalan Bangun Sejahtera, PT
Global Satria Aji, PT
Labodia Prima, PT
Synergi Inti Utama, PT
Perwira Sentra Officindo, PT
Berkat Pratama Teknik, CV</v>
          </cell>
          <cell r="V438" t="str">
            <v>Intraparr Nusantara, PT
Alfa Teknik Mandiri Makmur, PT
Perwira Sentra Officindo, PT
Berkat Pratama Teknik, CV</v>
          </cell>
          <cell r="W438" t="str">
            <v>10 of 10</v>
          </cell>
          <cell r="X438" t="str">
            <v>4 of 10</v>
          </cell>
          <cell r="Y438">
            <v>45580</v>
          </cell>
          <cell r="Z438">
            <v>45587</v>
          </cell>
          <cell r="AC438" t="str">
            <v xml:space="preserve"> of </v>
          </cell>
          <cell r="AD438" t="str">
            <v xml:space="preserve"> of </v>
          </cell>
          <cell r="AF438" t="str">
            <v/>
          </cell>
          <cell r="AI438" t="str">
            <v xml:space="preserve"> of </v>
          </cell>
          <cell r="AJ438" t="str">
            <v xml:space="preserve"> of </v>
          </cell>
          <cell r="AL438" t="str">
            <v/>
          </cell>
          <cell r="AM438">
            <v>0.70833333333333304</v>
          </cell>
          <cell r="AN438" t="str">
            <v>Perwira Sentra Officindo, PT</v>
          </cell>
          <cell r="AO438" t="str">
            <v>d_santos63@yahoo.com</v>
          </cell>
          <cell r="AP438" t="str">
            <v>PO24000803</v>
          </cell>
          <cell r="AQ438">
            <v>910000</v>
          </cell>
          <cell r="AR438">
            <v>45588</v>
          </cell>
          <cell r="AS438">
            <v>45600</v>
          </cell>
          <cell r="AT438">
            <v>45601</v>
          </cell>
          <cell r="AU438">
            <v>45632</v>
          </cell>
          <cell r="AV438">
            <v>45603</v>
          </cell>
          <cell r="AW438">
            <v>45634</v>
          </cell>
          <cell r="AX438">
            <v>4.4285714285714288</v>
          </cell>
          <cell r="AY438">
            <v>45645</v>
          </cell>
          <cell r="AZ438">
            <v>11</v>
          </cell>
          <cell r="BA438">
            <v>27300</v>
          </cell>
          <cell r="BB438" t="str">
            <v>Completed</v>
          </cell>
          <cell r="BC438" t="str">
            <v>PR100009724</v>
          </cell>
        </row>
        <row r="439">
          <cell r="B439" t="str">
            <v>PR100009711 (Line 2)</v>
          </cell>
          <cell r="C439" t="str">
            <v>Oil, NYNAS Nitro Transformer,Stock Inventory (Urgent) electrifikasi</v>
          </cell>
          <cell r="E439" t="str">
            <v>Vhipa Mulia Pratama, PT
Cahaya Pengajaran Abadi, PT
Sefas Pelindotama, PT
Selaras Daya Utama, PT
Eco Tangguh Lubriondo, PT
Sehati, CV
Radian Fokus Mandiri, CV
Sarana Prima Lestari, CV
Perwira Sentra Officindo, PT
Golden Piping Indonesia, PT
Berkat Pratama Teknik, CV
Indo Tehnik Tanjung Tabalong, PT</v>
          </cell>
          <cell r="F439" t="str">
            <v>Vhipa Mulia Pratama, PT
Sefas Pelindotama, PT
Selaras Daya Utama, PT
Sehati, CV
Sarana Prima Lestari, CV
Perwira Sentra Officindo, PT
Berkat Pratama Teknik, CV
Indo Tehnik Tanjung Tabalong, PT</v>
          </cell>
          <cell r="G439" t="str">
            <v>R0
8 of 12
25 Oct 24</v>
          </cell>
          <cell r="H439" t="str">
            <v>GUNARA FERY FAHNANI</v>
          </cell>
          <cell r="I439">
            <v>45581</v>
          </cell>
          <cell r="J439" t="str">
            <v>Inv</v>
          </cell>
          <cell r="K439" t="str">
            <v>B</v>
          </cell>
          <cell r="L439" t="str">
            <v>BID</v>
          </cell>
          <cell r="M439" t="str">
            <v>0369</v>
          </cell>
          <cell r="N439" t="str">
            <v>RH</v>
          </cell>
          <cell r="O439" t="str">
            <v>robertiagus.haposan@alamtri.com</v>
          </cell>
          <cell r="P439">
            <v>150</v>
          </cell>
          <cell r="Q439">
            <v>2400000</v>
          </cell>
          <cell r="R439" t="str">
            <v>Completed Sign PO</v>
          </cell>
          <cell r="T439" t="str">
            <v>MSW</v>
          </cell>
          <cell r="U439" t="str">
            <v>Vhipa Mulia Pratama, PT
Cahaya Pengajaran Abadi, PT
Sefas Pelindotama, PT
Selaras Daya Utama, PT
Eco Tangguh Lubriondo, PT
Sehati, CV
Radian Fokus Mandiri, CV
Sarana Prima Lestari, CV
Perwira Sentra Officindo, PT
Golden Piping Indonesia, PT
Berkat Pratama Teknik, CV
Indo Tehnik Tanjung Tabalong, PT</v>
          </cell>
          <cell r="V439" t="str">
            <v>Vhipa Mulia Pratama, PT
Sefas Pelindotama, PT
Selaras Daya Utama, PT
Sehati, CV
Sarana Prima Lestari, CV
Perwira Sentra Officindo, PT
Berkat Pratama Teknik, CV
Indo Tehnik Tanjung Tabalong, PT</v>
          </cell>
          <cell r="W439" t="str">
            <v>12 of 12</v>
          </cell>
          <cell r="X439" t="str">
            <v>8 of 12</v>
          </cell>
          <cell r="Y439">
            <v>45583</v>
          </cell>
          <cell r="Z439">
            <v>45590</v>
          </cell>
          <cell r="AC439" t="str">
            <v xml:space="preserve"> of </v>
          </cell>
          <cell r="AD439" t="str">
            <v xml:space="preserve"> of </v>
          </cell>
          <cell r="AF439" t="str">
            <v/>
          </cell>
          <cell r="AI439" t="str">
            <v xml:space="preserve"> of </v>
          </cell>
          <cell r="AJ439" t="str">
            <v xml:space="preserve"> of </v>
          </cell>
          <cell r="AL439" t="str">
            <v/>
          </cell>
          <cell r="AM439">
            <v>0.70833333333333304</v>
          </cell>
          <cell r="AN439" t="str">
            <v>Sarana Prima Lestari, CV</v>
          </cell>
          <cell r="AO439" t="str">
            <v>krisma@saranaprimalestari.com; spl@indo.net.id</v>
          </cell>
          <cell r="AP439" t="str">
            <v>PO24000776</v>
          </cell>
          <cell r="AQ439">
            <v>1200000</v>
          </cell>
          <cell r="AR439">
            <v>45593</v>
          </cell>
          <cell r="AS439">
            <v>45595</v>
          </cell>
          <cell r="AT439">
            <v>45596</v>
          </cell>
          <cell r="AU439">
            <v>45618</v>
          </cell>
          <cell r="AV439">
            <v>45597</v>
          </cell>
          <cell r="AW439">
            <v>45619</v>
          </cell>
          <cell r="AX439">
            <v>3.1428571428571428</v>
          </cell>
          <cell r="AY439">
            <v>45618</v>
          </cell>
          <cell r="AZ439" t="str">
            <v/>
          </cell>
          <cell r="BA439" t="str">
            <v/>
          </cell>
          <cell r="BB439" t="str">
            <v>Completed</v>
          </cell>
          <cell r="BC439" t="str">
            <v>PR100009711</v>
          </cell>
        </row>
        <row r="440">
          <cell r="B440" t="str">
            <v>PR100009668 (Line 4)</v>
          </cell>
          <cell r="C440" t="str">
            <v>Kebutuhan Part PM untuk All DG IBT CAT 3516 Unit 3G1,3G2,3G3 &amp;3G4  Part langsung ke IBT mekar putih</v>
          </cell>
          <cell r="D440" t="str">
            <v>Bima Kaltim Utama, PT - Line 3,4
Trakindo Utama, PT - Line 2,5
Arthapusaka Mitra Sakti, PT - Line 6
Blessindo Prima Sarana, PT - Line 1</v>
          </cell>
          <cell r="E440" t="str">
            <v>Trakindo Utama, PT
Bima Kaltim Utama, PT
Blessindo Prima Sarana, PT
Indo Tehnik Tanjung Tabalong, PT
Ardiwijaya Prima Indonesia, PT
Aneka Mitra Cipta, PT
Sentrapart Niaga Utama, PT
Vhipa Mulia Pratama, PT
Pacific Tractor Indonesia, PT
Petrocom Nusa Synergy, PT
Lotus Inti Pratama, PT
Otto Sukses Jaya Perkasa, PT
Sefas Pelindotama, PT
Arthapusaka Mitra Sakti, PT</v>
          </cell>
          <cell r="F440" t="str">
            <v>Trakindo Utama, PT
Bima Kaltim Utama, PT
Blessindo Prima Sarana, PT
Aneka Mitra Cipta, PT
Petrocom Nusa Synergy, PT
Arthapusaka Mitra Sakti, PT</v>
          </cell>
          <cell r="G440" t="str">
            <v>R0
6 of 14
10 Oct 24</v>
          </cell>
          <cell r="H440" t="str">
            <v>SLAMET</v>
          </cell>
          <cell r="I440">
            <v>45566</v>
          </cell>
          <cell r="J440" t="str">
            <v>Tech Main</v>
          </cell>
          <cell r="K440" t="str">
            <v>B</v>
          </cell>
          <cell r="L440" t="str">
            <v>BID</v>
          </cell>
          <cell r="M440" t="str">
            <v>0353</v>
          </cell>
          <cell r="N440" t="str">
            <v>RH</v>
          </cell>
          <cell r="O440" t="str">
            <v>robertiagus.haposan@alamtri.com</v>
          </cell>
          <cell r="P440">
            <v>233.8</v>
          </cell>
          <cell r="Q440">
            <v>3740800</v>
          </cell>
          <cell r="R440" t="str">
            <v>Completed Sign PO</v>
          </cell>
          <cell r="T440" t="str">
            <v>MSW</v>
          </cell>
          <cell r="U440" t="str">
            <v>Trakindo Utama, PT
Bima Kaltim Utama, PT
Blessindo Prima Sarana, PT
Indo Tehnik Tanjung Tabalong, PT
Ardiwijaya Prima Indonesia, PT
Aneka Mitra Cipta, PT
Sentrapart Niaga Utama, PT
Vhipa Mulia Pratama, PT
Pacific Tractor Indonesia, PT
Petrocom Nusa Synergy, PT
Lotus Inti Pratama, PT
Otto Sukses Jaya Perkasa, PT
Sefas Pelindotama, PT
Arthapusaka Mitra Sakti, PT</v>
          </cell>
          <cell r="V440" t="str">
            <v>Trakindo Utama, PT
Bima Kaltim Utama, PT
Blessindo Prima Sarana, PT
Aneka Mitra Cipta, PT
Petrocom Nusa Synergy, PT
Arthapusaka Mitra Sakti, PT</v>
          </cell>
          <cell r="W440" t="str">
            <v>14 of 14</v>
          </cell>
          <cell r="X440" t="str">
            <v>6 of 14</v>
          </cell>
          <cell r="Y440">
            <v>45568</v>
          </cell>
          <cell r="Z440">
            <v>45575</v>
          </cell>
          <cell r="AC440" t="str">
            <v xml:space="preserve"> of </v>
          </cell>
          <cell r="AD440" t="str">
            <v xml:space="preserve"> of </v>
          </cell>
          <cell r="AF440" t="str">
            <v/>
          </cell>
          <cell r="AI440" t="str">
            <v xml:space="preserve"> of </v>
          </cell>
          <cell r="AJ440" t="str">
            <v xml:space="preserve"> of </v>
          </cell>
          <cell r="AL440" t="str">
            <v/>
          </cell>
          <cell r="AM440">
            <v>0.70833333333333304</v>
          </cell>
          <cell r="AN440" t="str">
            <v>Aneka Mitra Cipta, PT</v>
          </cell>
          <cell r="AO440" t="str">
            <v>krisnaadiputrawijaya164@gmail.com; anekamc@gmail.com</v>
          </cell>
          <cell r="AP440" t="str">
            <v>PO24000821</v>
          </cell>
          <cell r="AQ440">
            <v>3850000</v>
          </cell>
          <cell r="AR440">
            <v>45576</v>
          </cell>
          <cell r="AS440">
            <v>45596</v>
          </cell>
          <cell r="AT440">
            <v>45610</v>
          </cell>
          <cell r="AU440">
            <v>45632</v>
          </cell>
          <cell r="AV440">
            <v>45611</v>
          </cell>
          <cell r="AW440">
            <v>45633</v>
          </cell>
          <cell r="AX440">
            <v>3.1428571428571428</v>
          </cell>
          <cell r="AY440">
            <v>45644</v>
          </cell>
          <cell r="AZ440">
            <v>11</v>
          </cell>
          <cell r="BA440">
            <v>115500</v>
          </cell>
          <cell r="BB440" t="str">
            <v>Late Completed</v>
          </cell>
          <cell r="BC440" t="str">
            <v>PR100009668</v>
          </cell>
        </row>
        <row r="441">
          <cell r="B441" t="str">
            <v>PR100009762</v>
          </cell>
          <cell r="C441" t="str">
            <v>Service &amp; Calibration I&amp;C Tools</v>
          </cell>
          <cell r="E441" t="str">
            <v>Prokalindo Global Presisi, PT
Global Quality Indonesia, PT
Asta Kalibraasi Sinergi, PT
Siwali Swantika, PT
Karya Mandiri Instrument Indonesia, PT
Total Enviro Solusindo, PT
Kin Kitra Kencana, PT
Gading Mas Utama, PT</v>
          </cell>
          <cell r="F441" t="str">
            <v>Prokalindo Global Presisi, PT
Global Quality Indonesia, PT</v>
          </cell>
          <cell r="G441" t="str">
            <v>R2
2 of 8
22 Nov 24</v>
          </cell>
          <cell r="H441" t="str">
            <v>DEDE SUDARJI</v>
          </cell>
          <cell r="I441">
            <v>45584</v>
          </cell>
          <cell r="J441" t="str">
            <v>Tech Main</v>
          </cell>
          <cell r="K441" t="str">
            <v>J</v>
          </cell>
          <cell r="L441" t="str">
            <v>BID</v>
          </cell>
          <cell r="M441" t="str">
            <v>0375</v>
          </cell>
          <cell r="N441" t="str">
            <v>RH</v>
          </cell>
          <cell r="O441" t="str">
            <v>robertiagus.haposan@alamtri.com</v>
          </cell>
          <cell r="P441">
            <v>1193</v>
          </cell>
          <cell r="Q441">
            <v>19088000</v>
          </cell>
          <cell r="R441" t="str">
            <v>Completed Sign PO</v>
          </cell>
          <cell r="T441" t="str">
            <v>MSW</v>
          </cell>
          <cell r="U441" t="str">
            <v>Heksa Instrumen Sinergi, PT
Siwali Swantika, PT
Pruftechnik Condition Monitoring Indonesia, PT
Wibon Kreasi Mandiri, PT
Prokalindo Global Presisi, PT
Kaliman Karya Jaya, PT
Buana Cahayatama, PT
Surveyor Indonesia, PT
Sucofindo, PT
Sentral Tehnologi Management, PT
Prokalindo Global Presisi, PT
Narmada Setia, PT
Asta Kalibraasi Sinergi, PT
Global Quality Indonesia, PT</v>
          </cell>
          <cell r="V441" t="str">
            <v>Prokalindo Global Presisi, PT
Global Quality Indonesia, PT</v>
          </cell>
          <cell r="W441" t="str">
            <v>14 of 14</v>
          </cell>
          <cell r="X441" t="str">
            <v>2 of 14</v>
          </cell>
          <cell r="Y441">
            <v>45595</v>
          </cell>
          <cell r="Z441">
            <v>45602</v>
          </cell>
          <cell r="AA441" t="str">
            <v>Prokalindo Global Presisi, PT
Global Quality Indonesia, PT
Global Instrument Services, PT
Karya Mandiri Instrument Indonesia, PT
Gaya Instrumentasi Numerik, PT</v>
          </cell>
          <cell r="AB441" t="str">
            <v>Prokalindo Global Presisi, PT
Global Quality Indonesia, PT</v>
          </cell>
          <cell r="AC441" t="str">
            <v>5 of 5</v>
          </cell>
          <cell r="AD441" t="str">
            <v>2 of 5</v>
          </cell>
          <cell r="AE441">
            <v>45603</v>
          </cell>
          <cell r="AF441">
            <v>45610</v>
          </cell>
          <cell r="AG441" t="str">
            <v>Prokalindo Global Presisi, PT
Global Quality Indonesia, PT
Asta Kalibraasi Sinergi, PT
Siwali Swantika, PT
Karya Mandiri Instrument Indonesia, PT
Total Enviro Solusindo, PT
Kin Kitra Kencana, PT
Gading Mas Utama, PT</v>
          </cell>
          <cell r="AH441" t="str">
            <v>Prokalindo Global Presisi, PT
Global Quality Indonesia, PT</v>
          </cell>
          <cell r="AI441" t="str">
            <v>8 of 8</v>
          </cell>
          <cell r="AJ441" t="str">
            <v>2 of 8</v>
          </cell>
          <cell r="AK441">
            <v>45611</v>
          </cell>
          <cell r="AL441">
            <v>45618</v>
          </cell>
          <cell r="AM441">
            <v>0.70833333333333304</v>
          </cell>
          <cell r="AN441" t="str">
            <v>Prokalindo Global Presisi, PT</v>
          </cell>
          <cell r="AO441" t="str">
            <v>marketing@prokalibrasi.com</v>
          </cell>
          <cell r="AP441" t="str">
            <v>PO24000958</v>
          </cell>
          <cell r="AQ441">
            <v>10150000</v>
          </cell>
          <cell r="AR441">
            <v>45621</v>
          </cell>
          <cell r="AS441">
            <v>45666</v>
          </cell>
          <cell r="AT441">
            <v>45666</v>
          </cell>
          <cell r="AU441">
            <v>45695</v>
          </cell>
          <cell r="AV441">
            <v>45694</v>
          </cell>
          <cell r="AW441">
            <v>45723</v>
          </cell>
          <cell r="AX441">
            <v>4.1428571428571432</v>
          </cell>
          <cell r="AY441">
            <v>45790</v>
          </cell>
          <cell r="AZ441">
            <v>67</v>
          </cell>
          <cell r="BA441">
            <v>507500</v>
          </cell>
          <cell r="BB441" t="str">
            <v>Late Completed</v>
          </cell>
          <cell r="BC441" t="str">
            <v>PR100009762</v>
          </cell>
        </row>
        <row r="442">
          <cell r="B442" t="str">
            <v>PR100009761</v>
          </cell>
          <cell r="C442" t="str">
            <v>Accelerometer, SLC 144 - DuoTech</v>
          </cell>
          <cell r="E442" t="str">
            <v>Dwihasta Pirusa, PT
Petrocom Nusa Synergy, PT
Vhipa Mulia Pratama, PT
Outsourcindo, PT
Alfa Teknik Mandiri Makmur, PT
Gama Tritunggal Pratama, PT
Dynamic Boiler Nusantara, PT
Promitra Prima Indonesia, PT
Reftech Jaya Optima, PT
Afghan Jaya Abadi, PT
Sola Anugerah Oilfield, PT
Axel Jaya Cakraniaga, PT
Berkat Pratama Teknik, CV</v>
          </cell>
          <cell r="F442" t="str">
            <v>Dwihasta Pirusa, PT
Petrocom Nusa Synergy, PT
Outsourcindo, PT
Promitra Prima Indonesia, PT
Reftech Jaya Optima, PT
Axel Jaya Cakraniaga, PT</v>
          </cell>
          <cell r="G442" t="str">
            <v>R0
6 of 13
21 Nov 24</v>
          </cell>
          <cell r="H442" t="str">
            <v>SASTRA IRAWAN</v>
          </cell>
          <cell r="I442">
            <v>45610</v>
          </cell>
          <cell r="J442" t="str">
            <v>Tech Main</v>
          </cell>
          <cell r="K442" t="str">
            <v>B</v>
          </cell>
          <cell r="L442" t="str">
            <v>BID</v>
          </cell>
          <cell r="M442" t="str">
            <v>0380</v>
          </cell>
          <cell r="N442" t="str">
            <v>RH</v>
          </cell>
          <cell r="O442" t="str">
            <v>robertiagus.haposan@alamtri.com</v>
          </cell>
          <cell r="P442">
            <v>2500</v>
          </cell>
          <cell r="Q442">
            <v>40000000</v>
          </cell>
          <cell r="R442" t="str">
            <v>Completed Sign PO</v>
          </cell>
          <cell r="T442" t="str">
            <v>MSW</v>
          </cell>
          <cell r="U442" t="str">
            <v>Dwihasta Pirusa, PT
Petrocom Nusa Synergy, PT
Vhipa Mulia Pratama, PT
Outsourcindo, PT
Alfa Teknik Mandiri Makmur, PT
Gama Tritunggal Pratama, PT
Dynamic Boiler Nusantara, PT
Promitra Prima Indonesia, PT
Reftech Jaya Optima, PT
Afghan Jaya Abadi, PT
Sola Anugerah Oilfield, PT
Axel Jaya Cakraniaga, PT
Berkat Pratama Teknik, CV</v>
          </cell>
          <cell r="V442" t="str">
            <v>Dwihasta Pirusa, PT
Petrocom Nusa Synergy, PT
Outsourcindo, PT
Promitra Prima Indonesia, PT
Reftech Jaya Optima, PT
Axel Jaya Cakraniaga, PT</v>
          </cell>
          <cell r="W442" t="str">
            <v>13 of 13</v>
          </cell>
          <cell r="X442" t="str">
            <v>6 of 13</v>
          </cell>
          <cell r="Y442">
            <v>45610</v>
          </cell>
          <cell r="Z442">
            <v>45617</v>
          </cell>
          <cell r="AC442" t="str">
            <v xml:space="preserve"> of </v>
          </cell>
          <cell r="AD442" t="str">
            <v xml:space="preserve"> of </v>
          </cell>
          <cell r="AF442" t="str">
            <v/>
          </cell>
          <cell r="AI442" t="str">
            <v xml:space="preserve"> of </v>
          </cell>
          <cell r="AJ442" t="str">
            <v xml:space="preserve"> of </v>
          </cell>
          <cell r="AL442" t="str">
            <v/>
          </cell>
          <cell r="AM442">
            <v>0.70833333333333304</v>
          </cell>
          <cell r="AN442" t="str">
            <v>Promitra Prima Indonesia, PT</v>
          </cell>
          <cell r="AO442" t="str">
            <v>heru@promitra.co.id</v>
          </cell>
          <cell r="AP442" t="str">
            <v>PO24000902</v>
          </cell>
          <cell r="AQ442">
            <v>23264000</v>
          </cell>
          <cell r="AR442">
            <v>45621</v>
          </cell>
          <cell r="AS442">
            <v>45643</v>
          </cell>
          <cell r="AT442">
            <v>45643</v>
          </cell>
          <cell r="AU442">
            <v>45695</v>
          </cell>
          <cell r="AV442">
            <v>45645</v>
          </cell>
          <cell r="AW442">
            <v>45697</v>
          </cell>
          <cell r="AX442">
            <v>7.4285714285714288</v>
          </cell>
          <cell r="AY442">
            <v>45674</v>
          </cell>
          <cell r="AZ442" t="str">
            <v/>
          </cell>
          <cell r="BA442" t="str">
            <v/>
          </cell>
          <cell r="BB442" t="str">
            <v>Late Completed</v>
          </cell>
          <cell r="BC442" t="str">
            <v>PR100009761</v>
          </cell>
        </row>
        <row r="443">
          <cell r="B443" t="str">
            <v>PR100009584</v>
          </cell>
          <cell r="C443" t="str">
            <v>Konsultan Awareness Workshop and SMK2 Compliance Assistance</v>
          </cell>
          <cell r="E443" t="str">
            <v>Surveyor Indonesia, PT
Enexde Hakit, PT
Total Raya Energi, PT
Veritas Iustitia Indonesia, PT</v>
          </cell>
          <cell r="F443" t="str">
            <v>Surveyor Indonesia, PT
Enexde Hakit, PT
Total Raya Energi, PT
Veritas Iustitia Indonesia, PT</v>
          </cell>
          <cell r="G443" t="str">
            <v>R2
4 of 4
21 Oct 24</v>
          </cell>
          <cell r="H443" t="str">
            <v>MONICA CICILIA ROMANA SIREGAR</v>
          </cell>
          <cell r="I443">
            <v>45545</v>
          </cell>
          <cell r="J443" t="str">
            <v>HSE</v>
          </cell>
          <cell r="K443" t="str">
            <v>J</v>
          </cell>
          <cell r="L443" t="str">
            <v>BID</v>
          </cell>
          <cell r="M443" t="str">
            <v>0336</v>
          </cell>
          <cell r="N443" t="str">
            <v>RH</v>
          </cell>
          <cell r="O443" t="str">
            <v>robertiagus.haposan@alamtri.com</v>
          </cell>
          <cell r="P443">
            <v>3333</v>
          </cell>
          <cell r="Q443">
            <v>53328000</v>
          </cell>
          <cell r="R443" t="str">
            <v>Complete Contract and Cancel PR</v>
          </cell>
          <cell r="T443" t="str">
            <v>MSW</v>
          </cell>
          <cell r="U443" t="str">
            <v>Surveyor Indonesia, PT
Sucofindo, PT
SKP Tenaga Listrik, PT
Enexde Hakit, PT
Total Raya Energi, PT</v>
          </cell>
          <cell r="V443" t="str">
            <v>Surveyor Indonesia, PT
Enexde Hakit, PT</v>
          </cell>
          <cell r="W443" t="str">
            <v>5 of 5</v>
          </cell>
          <cell r="X443" t="str">
            <v>2 of 5</v>
          </cell>
          <cell r="Y443">
            <v>45548</v>
          </cell>
          <cell r="Z443">
            <v>45558</v>
          </cell>
          <cell r="AA443" t="str">
            <v>Surveyor Indonesia, PT
Enexde Hakit, PT
Total Raya Energi, PT</v>
          </cell>
          <cell r="AB443" t="str">
            <v>Surveyor Indonesia, PT
Enexde Hakit, PT
Total Raya Energi, PT</v>
          </cell>
          <cell r="AC443" t="str">
            <v>3 of 3</v>
          </cell>
          <cell r="AD443" t="str">
            <v>3 of 3</v>
          </cell>
          <cell r="AE443">
            <v>45560</v>
          </cell>
          <cell r="AF443">
            <v>45562</v>
          </cell>
          <cell r="AG443" t="str">
            <v>Surveyor Indonesia, PT
Enexde Hakit, PT
Total Raya Energi, PT
Veritas Iustitia Indonesia, PT</v>
          </cell>
          <cell r="AH443" t="str">
            <v>Surveyor Indonesia, PT
Enexde Hakit, PT
Total Raya Energi, PT
Veritas Iustitia Indonesia, PT</v>
          </cell>
          <cell r="AI443" t="str">
            <v>4 of 4</v>
          </cell>
          <cell r="AJ443" t="str">
            <v>4 of 4</v>
          </cell>
          <cell r="AK443">
            <v>45583</v>
          </cell>
          <cell r="AL443">
            <v>45586</v>
          </cell>
          <cell r="AM443">
            <v>0.70833333333333304</v>
          </cell>
          <cell r="AN443" t="str">
            <v>Total Raya Energi, PT</v>
          </cell>
          <cell r="AO443" t="str">
            <v xml:space="preserve">MSaputro@fleetnix.com; rifkiarif@fleetnix.com; marketing@fleetnix.com; erryka@fleetnix.com </v>
          </cell>
          <cell r="AQ443">
            <v>430000000</v>
          </cell>
          <cell r="AR443">
            <v>45588</v>
          </cell>
          <cell r="AS443">
            <v>45607</v>
          </cell>
          <cell r="AT443">
            <v>45628</v>
          </cell>
          <cell r="AU443">
            <v>45631</v>
          </cell>
          <cell r="AV443">
            <v>45628</v>
          </cell>
          <cell r="AW443">
            <v>45631</v>
          </cell>
          <cell r="AX443">
            <v>0.42857142857142855</v>
          </cell>
          <cell r="AY443">
            <v>45631</v>
          </cell>
          <cell r="AZ443" t="str">
            <v/>
          </cell>
          <cell r="BA443" t="str">
            <v/>
          </cell>
          <cell r="BB443" t="str">
            <v>Late Completed</v>
          </cell>
          <cell r="BC443" t="str">
            <v>PR100009584</v>
          </cell>
        </row>
        <row r="444">
          <cell r="B444" t="str">
            <v>PR100009621</v>
          </cell>
          <cell r="C444" t="str">
            <v>Spare Part Loader dan DT</v>
          </cell>
          <cell r="D444" t="str">
            <v>Sumber Berlians Motor, PT</v>
          </cell>
          <cell r="E444" t="str">
            <v/>
          </cell>
          <cell r="F444" t="str">
            <v/>
          </cell>
          <cell r="G444" t="str">
            <v/>
          </cell>
          <cell r="H444" t="str">
            <v>RIDHANI TAUFIQ</v>
          </cell>
          <cell r="I444">
            <v>45552</v>
          </cell>
          <cell r="J444" t="str">
            <v>Tech Main</v>
          </cell>
          <cell r="K444" t="str">
            <v>B</v>
          </cell>
          <cell r="L444" t="str">
            <v>BID</v>
          </cell>
          <cell r="M444" t="str">
            <v>0338</v>
          </cell>
          <cell r="N444" t="str">
            <v>RH</v>
          </cell>
          <cell r="O444" t="str">
            <v>robertiagus.haposan@alamtri.com</v>
          </cell>
          <cell r="P444">
            <v>1922.5516</v>
          </cell>
          <cell r="Q444">
            <v>30760825.600000001</v>
          </cell>
          <cell r="R444" t="str">
            <v>CANCEL</v>
          </cell>
          <cell r="T444" t="str">
            <v>MSW</v>
          </cell>
          <cell r="U444" t="str">
            <v>Sumber Berlian Motors, PT
Anugrah Mandiri Putra Tabalong, PT
Blessindo Prima Sarana, PT
Perwira Sentra Officindo, PT
Pacific Tractor Indonesia, PT
Andalan Tiga Berlian, PT
Hescoindo Utama, PT
Universal Sukses Abadi, PT
Balfiltracs Indonesia, PT
Cahaya Multi Parts, PD
Sri Cahya Manunggal, PT
Hescoindo Utama, PT</v>
          </cell>
          <cell r="V444" t="str">
            <v>Perwira Sentra Officindo, PT
Pacific Tractor Indonesia, PT
Sri Cahya Manunggal, PT</v>
          </cell>
          <cell r="W444" t="str">
            <v>12 of 12</v>
          </cell>
          <cell r="X444" t="str">
            <v>3 of 12</v>
          </cell>
          <cell r="Y444">
            <v>45552</v>
          </cell>
          <cell r="Z444">
            <v>45559</v>
          </cell>
          <cell r="AC444" t="str">
            <v xml:space="preserve"> of </v>
          </cell>
          <cell r="AD444" t="str">
            <v xml:space="preserve"> of </v>
          </cell>
          <cell r="AF444" t="str">
            <v/>
          </cell>
          <cell r="AI444" t="str">
            <v xml:space="preserve"> of </v>
          </cell>
          <cell r="AJ444" t="str">
            <v xml:space="preserve"> of </v>
          </cell>
          <cell r="AL444" t="str">
            <v/>
          </cell>
          <cell r="AM444">
            <v>0.70833333333333304</v>
          </cell>
          <cell r="AO444" t="str">
            <v/>
          </cell>
          <cell r="AR444">
            <v>45561</v>
          </cell>
          <cell r="AS444">
            <v>45587</v>
          </cell>
          <cell r="AW444" t="str">
            <v/>
          </cell>
          <cell r="AX444" t="str">
            <v/>
          </cell>
          <cell r="AZ444" t="str">
            <v/>
          </cell>
          <cell r="BA444" t="str">
            <v/>
          </cell>
          <cell r="BB444" t="str">
            <v/>
          </cell>
          <cell r="BC444" t="str">
            <v>PR100009621</v>
          </cell>
        </row>
        <row r="445">
          <cell r="B445" t="str">
            <v>PR100009808</v>
          </cell>
          <cell r="C445" t="str">
            <v>Material untuk PM DG 2 x 40 Kva Support  ATS</v>
          </cell>
          <cell r="E445" t="str">
            <v>Bima Kaltim Utama, PT
Sentrapart Niaga Utama, PT
Alfa Teknik Mandiri Makmur, PT
Petrocom Nusa Synergy, PT
Bhakti Ratutama Jaya, PT
Donaldson Filtration Indonesia, PT
Pacific Tractor Indonesia, PT
Petrocom Nusa Synergy, PT
Blessindo Prima Sarana, PT
Mulia Abadi Sukses Partindo, PT
Mytech Engineering, PT
Bestra Global Indonesia, PT
Vando Teknik Solusi, PT</v>
          </cell>
          <cell r="F445" t="str">
            <v>Bima Kaltim Utama, PT
Alfa Teknik Mandiri Makmur, PT
Pacific Tractor Indonesia, PT
Petrocom Nusa Synergy, PT
Blessindo Prima Sarana, PT
Vando Teknik Solusi, PT</v>
          </cell>
          <cell r="G445" t="str">
            <v>R0
6 of 13
02 Dec 24</v>
          </cell>
          <cell r="H445" t="str">
            <v>SLAMET</v>
          </cell>
          <cell r="I445">
            <v>45617</v>
          </cell>
          <cell r="J445" t="str">
            <v>Tech Main</v>
          </cell>
          <cell r="K445" t="str">
            <v>B</v>
          </cell>
          <cell r="L445" t="str">
            <v>BID</v>
          </cell>
          <cell r="M445" t="str">
            <v>0386</v>
          </cell>
          <cell r="N445" t="str">
            <v>RH</v>
          </cell>
          <cell r="O445" t="str">
            <v>robertiagus.haposan@alamtri.com</v>
          </cell>
          <cell r="P445">
            <v>712.4</v>
          </cell>
          <cell r="Q445">
            <v>11398400</v>
          </cell>
          <cell r="R445" t="str">
            <v>Completed Sign PO</v>
          </cell>
          <cell r="T445" t="str">
            <v>MSW</v>
          </cell>
          <cell r="U445" t="str">
            <v>Bima Kaltim Utama, PT
Sentrapart Niaga Utama, PT
Alfa Teknik Mandiri Makmur, PT
Petrocom Nusa Synergy, PT
Bhakti Ratutama Jaya, PT
Donaldson Filtration Indonesia, PT
Pacific Tractor Indonesia, PT
Petrocom Nusa Synergy, PT
Blessindo Prima Sarana, PT
Mulia Abadi Sukses Partindo, PT
Mytech Engineering, PT
Bestra Global Indonesia, PT
Vando Teknik Solusi, PT</v>
          </cell>
          <cell r="V445" t="str">
            <v>Bima Kaltim Utama, PT
Alfa Teknik Mandiri Makmur, PT
Pacific Tractor Indonesia, PT
Petrocom Nusa Synergy, PT
Blessindo Prima Sarana, PT
Vando Teknik Solusi, PT</v>
          </cell>
          <cell r="W445" t="str">
            <v>13 of 13</v>
          </cell>
          <cell r="X445" t="str">
            <v>6 of 13</v>
          </cell>
          <cell r="Y445">
            <v>45621</v>
          </cell>
          <cell r="Z445">
            <v>45628</v>
          </cell>
          <cell r="AC445" t="str">
            <v xml:space="preserve"> of </v>
          </cell>
          <cell r="AD445" t="str">
            <v xml:space="preserve"> of </v>
          </cell>
          <cell r="AF445" t="str">
            <v/>
          </cell>
          <cell r="AI445" t="str">
            <v xml:space="preserve"> of </v>
          </cell>
          <cell r="AJ445" t="str">
            <v xml:space="preserve"> of </v>
          </cell>
          <cell r="AL445" t="str">
            <v/>
          </cell>
          <cell r="AM445">
            <v>0.70833333333333304</v>
          </cell>
          <cell r="AN445" t="str">
            <v>Bima Kaltim Utama, PT</v>
          </cell>
          <cell r="AO445" t="str">
            <v>rera.bimakaltim@yahoo.com; albert.bimautama@yahoo.com; rya_bimakaltim@yahoo.com</v>
          </cell>
          <cell r="AP445" t="str">
            <v>PO24000883</v>
          </cell>
          <cell r="AQ445">
            <v>7265000</v>
          </cell>
          <cell r="AR445">
            <v>45629</v>
          </cell>
          <cell r="AS445">
            <v>45632</v>
          </cell>
          <cell r="AT445">
            <v>45635</v>
          </cell>
          <cell r="AU445">
            <v>45646</v>
          </cell>
          <cell r="AV445">
            <v>45636</v>
          </cell>
          <cell r="AW445">
            <v>45647</v>
          </cell>
          <cell r="AX445">
            <v>1.5714285714285714</v>
          </cell>
          <cell r="AY445">
            <v>45645</v>
          </cell>
          <cell r="AZ445" t="str">
            <v/>
          </cell>
          <cell r="BA445" t="str">
            <v/>
          </cell>
          <cell r="BB445" t="str">
            <v>Completed</v>
          </cell>
          <cell r="BC445" t="str">
            <v>PR100009808</v>
          </cell>
        </row>
        <row r="446">
          <cell r="B446" t="str">
            <v>PR100009814</v>
          </cell>
          <cell r="C446" t="str">
            <v>Pembelian sparepart EIC dan tools IT</v>
          </cell>
          <cell r="D446" t="str">
            <v>Perwira Sentra Officindo, PT (Line 1-2)
Alfa Teknik Mandiri Makmur, PT (Line 3)</v>
          </cell>
          <cell r="E446" t="str">
            <v>Perwira Sentra Officindo, PT
Sola Anugerah Oilfield, PT
Antares Jaya Gemilang Prima, PT
Gading Mas Utama, PT
Proweldindo, PT
Alfa Teknik Mandiri Makmur, PT
Kin Kitra Kencana, PT
Berkat Pratama Teknik, CV
Gema Industrial, PT</v>
          </cell>
          <cell r="F446" t="str">
            <v>Perwira Sentra Officindo, PT
Sola Anugerah Oilfield, PT
Antares Jaya Gemilang Prima, PT
Alfa Teknik Mandiri Makmur, PT
Gema Industrial, PT</v>
          </cell>
          <cell r="G446" t="str">
            <v>R0
5 of 9
10 Dec 24</v>
          </cell>
          <cell r="H446" t="str">
            <v>DEDE SUDARJI</v>
          </cell>
          <cell r="I446">
            <v>45629</v>
          </cell>
          <cell r="J446" t="str">
            <v>Inv</v>
          </cell>
          <cell r="K446" t="str">
            <v>B</v>
          </cell>
          <cell r="L446" t="str">
            <v>BID</v>
          </cell>
          <cell r="M446" t="str">
            <v>0388</v>
          </cell>
          <cell r="N446" t="str">
            <v>RH</v>
          </cell>
          <cell r="O446" t="str">
            <v>robertiagus.haposan@alamtri.com</v>
          </cell>
          <cell r="P446">
            <v>158.4</v>
          </cell>
          <cell r="Q446">
            <v>2534400</v>
          </cell>
          <cell r="R446" t="str">
            <v>Completed Sign PO</v>
          </cell>
          <cell r="T446" t="str">
            <v>MSW</v>
          </cell>
          <cell r="U446" t="str">
            <v>Perwira Sentra Officindo, PT
Sola Anugerah Oilfield, PT
Antares Jaya Gemilang Prima, PT
Gading Mas Utama, PT
Proweldindo, PT
Alfa Teknik Mandiri Makmur, PT
Kin Kitra Kencana, PT
Berkat Pratama Teknik, CV
Gema Industrial, PT</v>
          </cell>
          <cell r="V446" t="str">
            <v>Perwira Sentra Officindo, PT
Sola Anugerah Oilfield, PT
Antares Jaya Gemilang Prima, PT
Alfa Teknik Mandiri Makmur, PT
Gema Industrial, PT</v>
          </cell>
          <cell r="W446" t="str">
            <v>9 of 9</v>
          </cell>
          <cell r="X446" t="str">
            <v>5 of 9</v>
          </cell>
          <cell r="Y446">
            <v>45629</v>
          </cell>
          <cell r="Z446">
            <v>45636</v>
          </cell>
          <cell r="AC446" t="str">
            <v xml:space="preserve"> of </v>
          </cell>
          <cell r="AD446" t="str">
            <v xml:space="preserve"> of </v>
          </cell>
          <cell r="AF446" t="str">
            <v/>
          </cell>
          <cell r="AI446" t="str">
            <v xml:space="preserve"> of </v>
          </cell>
          <cell r="AJ446" t="str">
            <v xml:space="preserve"> of </v>
          </cell>
          <cell r="AL446" t="str">
            <v/>
          </cell>
          <cell r="AM446">
            <v>0.70833333333333304</v>
          </cell>
          <cell r="AN446" t="str">
            <v>Alfa Teknik Mandiri Makmur, PT</v>
          </cell>
          <cell r="AO446" t="str">
            <v>sales.atmm@gmail.com; alex_atmm@yahoo.com</v>
          </cell>
          <cell r="AP446" t="str">
            <v>PO24000903</v>
          </cell>
          <cell r="AQ446">
            <v>14110000</v>
          </cell>
          <cell r="AR446">
            <v>45638</v>
          </cell>
          <cell r="AS446">
            <v>45643</v>
          </cell>
          <cell r="AT446">
            <v>45643</v>
          </cell>
          <cell r="AU446">
            <v>45695</v>
          </cell>
          <cell r="AV446">
            <v>45644</v>
          </cell>
          <cell r="AW446">
            <v>45696</v>
          </cell>
          <cell r="AX446">
            <v>7.4285714285714288</v>
          </cell>
          <cell r="AY446">
            <v>45696</v>
          </cell>
          <cell r="AZ446" t="str">
            <v/>
          </cell>
          <cell r="BA446" t="str">
            <v/>
          </cell>
          <cell r="BB446" t="str">
            <v>Completed</v>
          </cell>
          <cell r="BC446" t="str">
            <v>PR100009814</v>
          </cell>
        </row>
        <row r="447">
          <cell r="B447" t="str">
            <v>PR100009830 (Line 1-2)</v>
          </cell>
          <cell r="C447" t="str">
            <v>Pembelian sparepart Electrical</v>
          </cell>
          <cell r="D447" t="str">
            <v>Perwira Sentra Officindo, PT (Line 3-4)</v>
          </cell>
          <cell r="E447" t="str">
            <v>Perwira Sentra Officindo, PT
Raja Listrik Indonesia, PT
Gema Industrial, PT
Indo Tehnik Tanjung Tabalong, PT
Gama Tritunggal Pratama, PT
Panca Global Solusindo, PT
Sehati, CV
Sola Anugerah Oilfield, PT
Berkat Pratama Teknik, CV</v>
          </cell>
          <cell r="F447" t="str">
            <v>Perwira Sentra Officindo, PT
Panca Global Solusindo, PT
Sehati, CV
Sola Anugerah Oilfield, PT</v>
          </cell>
          <cell r="G447" t="str">
            <v>R0
4 of 9
10 Dec 24</v>
          </cell>
          <cell r="H447" t="str">
            <v>DEDE SUDARJI</v>
          </cell>
          <cell r="I447">
            <v>45629</v>
          </cell>
          <cell r="J447" t="str">
            <v>Inv</v>
          </cell>
          <cell r="K447" t="str">
            <v>B</v>
          </cell>
          <cell r="L447" t="str">
            <v>BID</v>
          </cell>
          <cell r="M447" t="str">
            <v>0389</v>
          </cell>
          <cell r="N447" t="str">
            <v>RH</v>
          </cell>
          <cell r="O447" t="str">
            <v>robertiagus.haposan@alamtri.com</v>
          </cell>
          <cell r="P447">
            <v>183</v>
          </cell>
          <cell r="Q447">
            <v>2928000</v>
          </cell>
          <cell r="R447" t="str">
            <v>Completed Sign PO</v>
          </cell>
          <cell r="T447" t="str">
            <v>MSW</v>
          </cell>
          <cell r="U447" t="str">
            <v>Perwira Sentra Officindo, PT
Raja Listrik Indonesia, PT
Gema Industrial, PT
Indo Tehnik Tanjung Tabalong, PT
Gama Tritunggal Pratama, PT
Panca Global Solusindo, PT
Sehati, CV
Sola Anugerah Oilfield, PT
Berkat Pratama Teknik, CV</v>
          </cell>
          <cell r="V447" t="str">
            <v>Perwira Sentra Officindo, PT
Panca Global Solusindo, PT
Sehati, CV
Sola Anugerah Oilfield, PT</v>
          </cell>
          <cell r="W447" t="str">
            <v>9 of 9</v>
          </cell>
          <cell r="X447" t="str">
            <v>4 of 9</v>
          </cell>
          <cell r="Y447">
            <v>45629</v>
          </cell>
          <cell r="Z447">
            <v>45636</v>
          </cell>
          <cell r="AC447" t="str">
            <v xml:space="preserve"> of </v>
          </cell>
          <cell r="AD447" t="str">
            <v xml:space="preserve"> of </v>
          </cell>
          <cell r="AF447" t="str">
            <v/>
          </cell>
          <cell r="AI447" t="str">
            <v xml:space="preserve"> of </v>
          </cell>
          <cell r="AJ447" t="str">
            <v xml:space="preserve"> of </v>
          </cell>
          <cell r="AL447" t="str">
            <v/>
          </cell>
          <cell r="AM447">
            <v>0.70833333333333304</v>
          </cell>
          <cell r="AN447" t="str">
            <v>Sola Anugerah Oilfield, PT</v>
          </cell>
          <cell r="AO447" t="str">
            <v>mgr3@sola-oilfield.com;
sales3@sola-oilfield.com; admsolaanugerah@gmail.com; sales6@sola-oilfield.com</v>
          </cell>
          <cell r="AP447" t="str">
            <v>PO24000906</v>
          </cell>
          <cell r="AQ447">
            <v>7310000</v>
          </cell>
          <cell r="AR447">
            <v>45638</v>
          </cell>
          <cell r="AS447">
            <v>45643</v>
          </cell>
          <cell r="AT447">
            <v>45643</v>
          </cell>
          <cell r="AU447">
            <v>45708</v>
          </cell>
          <cell r="AV447">
            <v>45644</v>
          </cell>
          <cell r="AW447">
            <v>45709</v>
          </cell>
          <cell r="AX447">
            <v>9.2857142857142865</v>
          </cell>
          <cell r="AY447">
            <v>45681</v>
          </cell>
          <cell r="AZ447" t="str">
            <v/>
          </cell>
          <cell r="BA447" t="str">
            <v/>
          </cell>
          <cell r="BB447" t="str">
            <v>Completed</v>
          </cell>
          <cell r="BC447" t="str">
            <v>PR100009830</v>
          </cell>
        </row>
        <row r="448">
          <cell r="B448" t="str">
            <v>PR100009847</v>
          </cell>
          <cell r="C448" t="str">
            <v>Jasa pembuatan Sistem Penyalur Petir Warehouse Building</v>
          </cell>
          <cell r="E448" t="str">
            <v>Rinas Bangun Sejahtera, PT
DCT Total Solutions, PT
Sarana Energi Investama, PT
Maju Jaya Bersama, PT
Wijaya Lighting Protection, CV
AMB Indonesia, PT
Lancar Makmur Sejahtera, PT</v>
          </cell>
          <cell r="F448" t="str">
            <v>Rinas Bangun Sejahtera, PT
DCT Total Solutions, PT
AMB Indonesia, PT</v>
          </cell>
          <cell r="G448" t="str">
            <v>R1
3 of 7
20 Dec 24</v>
          </cell>
          <cell r="H448" t="str">
            <v>DEDE SUDARJI</v>
          </cell>
          <cell r="I448">
            <v>45631</v>
          </cell>
          <cell r="J448" t="str">
            <v>Tech Main</v>
          </cell>
          <cell r="K448" t="str">
            <v>B &amp; J</v>
          </cell>
          <cell r="L448" t="str">
            <v>BID</v>
          </cell>
          <cell r="M448" t="str">
            <v>0395</v>
          </cell>
          <cell r="N448" t="str">
            <v>RH</v>
          </cell>
          <cell r="O448" t="str">
            <v>robertiagus.haposan@alamtri.com</v>
          </cell>
          <cell r="P448">
            <v>1937</v>
          </cell>
          <cell r="Q448">
            <v>30992000</v>
          </cell>
          <cell r="R448" t="str">
            <v>Completed Sign PO</v>
          </cell>
          <cell r="T448" t="str">
            <v>MSW</v>
          </cell>
          <cell r="U448" t="str">
            <v>Anugrah Mandiri Putra Tabalong, PT
Kalimantan Teknik Mandiri, PT
Tabalong Inti Mitra, PT
Tanjung Baru 63, PT
Yoga Bangun Persada, PT
Berkat Mandiri Utama Tanjung, PT
Zahra Karya Lestari, PT
Safina Tirta Mandiri Sejahtera, CV
Oneal Persada, CV
Rinas Bangun Sejahtera, PT</v>
          </cell>
          <cell r="V448" t="str">
            <v>Rinas Bangun Sejahtera, PT</v>
          </cell>
          <cell r="W448" t="str">
            <v>10 of 10</v>
          </cell>
          <cell r="X448" t="str">
            <v>1 of 10</v>
          </cell>
          <cell r="Y448">
            <v>45632</v>
          </cell>
          <cell r="Z448">
            <v>45639</v>
          </cell>
          <cell r="AA448" t="str">
            <v>Rinas Bangun Sejahtera, PT
DCT Total Solutions, PT
Sarana Energi Investama, PT
Maju Jaya Bersama, PT
Wijaya Lighting Protection, CV
AMB Indonesia, PT
Lancar Makmur Sejahtera, PT</v>
          </cell>
          <cell r="AB448" t="str">
            <v>Rinas Bangun Sejahtera, PT
DCT Total Solutions, PT
AMB Indonesia, PT</v>
          </cell>
          <cell r="AC448" t="str">
            <v>7 of 7</v>
          </cell>
          <cell r="AD448" t="str">
            <v>3 of 7</v>
          </cell>
          <cell r="AE448">
            <v>45642</v>
          </cell>
          <cell r="AF448">
            <v>45646</v>
          </cell>
          <cell r="AI448" t="str">
            <v xml:space="preserve"> of </v>
          </cell>
          <cell r="AJ448" t="str">
            <v xml:space="preserve"> of </v>
          </cell>
          <cell r="AL448" t="str">
            <v/>
          </cell>
          <cell r="AM448">
            <v>0.70833333333333304</v>
          </cell>
          <cell r="AN448" t="str">
            <v>Rinas Bangun Sejahtera, PT</v>
          </cell>
          <cell r="AO448" t="str">
            <v>ptrbs.office@gmail.com; budimaldes2713@gmail.com</v>
          </cell>
          <cell r="AP448" t="str">
            <v>PO25000190</v>
          </cell>
          <cell r="AQ448">
            <v>93000000</v>
          </cell>
          <cell r="AR448">
            <v>45649</v>
          </cell>
          <cell r="AS448">
            <v>45735</v>
          </cell>
          <cell r="AT448">
            <v>45737</v>
          </cell>
          <cell r="AU448">
            <v>45779</v>
          </cell>
          <cell r="AV448">
            <v>45744</v>
          </cell>
          <cell r="AW448">
            <v>45786</v>
          </cell>
          <cell r="AX448">
            <v>6</v>
          </cell>
          <cell r="AY448">
            <v>45832</v>
          </cell>
          <cell r="AZ448">
            <v>46</v>
          </cell>
          <cell r="BA448">
            <v>4650000</v>
          </cell>
          <cell r="BB448" t="str">
            <v>Late Completed</v>
          </cell>
          <cell r="BC448" t="str">
            <v>PR100009847</v>
          </cell>
        </row>
        <row r="449">
          <cell r="B449" t="str">
            <v>PR100009816</v>
          </cell>
          <cell r="C449" t="str">
            <v>Reagent Laboratorium Bulan November 2024 (see long desc)</v>
          </cell>
          <cell r="D449" t="str">
            <v>Intraparr Nusantara, PT - Line 3</v>
          </cell>
          <cell r="E449" t="str">
            <v>Intraparr Nusantara, PT
Alfa Pegasus, PT
Ribora Sukses Abadi, PT
Alfa Teknik Mandiri Makmur, PT
Karya Mandiri Instrument Indonesia, PT
Meditek Sarana Artanami, CV
Sola Anugerah Oilfield, PT
Gridtech Indonesia, PT</v>
          </cell>
          <cell r="F449" t="str">
            <v>Intraparr Nusantara, PT
Alfa Pegasus, PT
Alfa Teknik Mandiri Makmur, PT</v>
          </cell>
          <cell r="G449" t="str">
            <v>R0
3 of 8
02 Dec 24</v>
          </cell>
          <cell r="H449" t="str">
            <v>DENI SUHENDRA</v>
          </cell>
          <cell r="I449">
            <v>45639</v>
          </cell>
          <cell r="J449" t="str">
            <v>Tech OP</v>
          </cell>
          <cell r="K449" t="str">
            <v>B</v>
          </cell>
          <cell r="L449" t="str">
            <v>BID</v>
          </cell>
          <cell r="M449" t="str">
            <v>0387</v>
          </cell>
          <cell r="N449" t="str">
            <v>RH</v>
          </cell>
          <cell r="O449" t="str">
            <v>robertiagus.haposan@alamtri.com</v>
          </cell>
          <cell r="P449">
            <v>226</v>
          </cell>
          <cell r="Q449">
            <v>3616000</v>
          </cell>
          <cell r="R449" t="str">
            <v>Completed Sign PO</v>
          </cell>
          <cell r="T449" t="str">
            <v>MSW</v>
          </cell>
          <cell r="U449" t="str">
            <v>Intraparr Nusantara, PT
Alfa Pegasus, PT
Ribora Sukses Abadi, PT
Alfa Teknik Mandiri Makmur, PT
Karya Mandiri Instrument Indonesia, PT
Meditek Sarana Artanami, CV
Sola Anugerah Oilfield, PT
Gridtech Indonesia, PT</v>
          </cell>
          <cell r="V449" t="str">
            <v>Intraparr Nusantara, PT
Alfa Pegasus, PT
Alfa Teknik Mandiri Makmur, PT</v>
          </cell>
          <cell r="W449" t="str">
            <v>8 of 8</v>
          </cell>
          <cell r="X449" t="str">
            <v>3 of 8</v>
          </cell>
          <cell r="Y449">
            <v>45621</v>
          </cell>
          <cell r="Z449">
            <v>45628</v>
          </cell>
          <cell r="AC449" t="str">
            <v xml:space="preserve"> of </v>
          </cell>
          <cell r="AD449" t="str">
            <v xml:space="preserve"> of </v>
          </cell>
          <cell r="AF449" t="str">
            <v/>
          </cell>
          <cell r="AI449" t="str">
            <v xml:space="preserve"> of </v>
          </cell>
          <cell r="AJ449" t="str">
            <v xml:space="preserve"> of </v>
          </cell>
          <cell r="AL449" t="str">
            <v/>
          </cell>
          <cell r="AM449">
            <v>0.70833333333333304</v>
          </cell>
          <cell r="AN449" t="str">
            <v>Alfa Pegasus, PT</v>
          </cell>
          <cell r="AO449" t="str">
            <v>amin.wahidi@alfapegasus.com; budi.setyawan@alfapegasus.com; rahmadhani.kurniawan@hach.com</v>
          </cell>
          <cell r="AP449" t="str">
            <v>PO24000957</v>
          </cell>
          <cell r="AQ449">
            <v>4890000</v>
          </cell>
          <cell r="AR449">
            <v>45646</v>
          </cell>
          <cell r="AS449">
            <v>45657</v>
          </cell>
          <cell r="AT449">
            <v>45657</v>
          </cell>
          <cell r="AU449">
            <v>45737</v>
          </cell>
          <cell r="AV449">
            <v>45659</v>
          </cell>
          <cell r="AW449">
            <v>45739</v>
          </cell>
          <cell r="AX449">
            <v>11.428571428571429</v>
          </cell>
          <cell r="AY449">
            <v>45737</v>
          </cell>
          <cell r="AZ449" t="str">
            <v/>
          </cell>
          <cell r="BA449" t="str">
            <v/>
          </cell>
          <cell r="BB449" t="str">
            <v>Completed</v>
          </cell>
          <cell r="BC449" t="str">
            <v>PR100009816</v>
          </cell>
        </row>
        <row r="450">
          <cell r="B450" t="str">
            <v>PR100009830 (Line 3-4)</v>
          </cell>
          <cell r="C450" t="str">
            <v>Pembelian sparepart Electrical</v>
          </cell>
          <cell r="D450" t="str">
            <v>Perwira Sentra Officindo, PT (Line 3-4)</v>
          </cell>
          <cell r="E450" t="str">
            <v>Perwira Sentra Officindo, PT
Raja Listrik Indonesia, PT
Gema Industrial, PT
Indo Tehnik Tanjung Tabalong, PT
Gama Tritunggal Pratama, PT
Panca Global Solusindo, PT
Sehati, CV
Sola Anugerah Oilfield, PT
Berkat Pratama Teknik, CV</v>
          </cell>
          <cell r="F450" t="str">
            <v>Perwira Sentra Officindo, PT
Panca Global Solusindo, PT
Sehati, CV
Sola Anugerah Oilfield, PT</v>
          </cell>
          <cell r="G450" t="str">
            <v>R0
4 of 9
10 Dec 24</v>
          </cell>
          <cell r="H450" t="str">
            <v>DEDE SUDARJI</v>
          </cell>
          <cell r="I450">
            <v>45629</v>
          </cell>
          <cell r="J450" t="str">
            <v>Inv</v>
          </cell>
          <cell r="K450" t="str">
            <v>B</v>
          </cell>
          <cell r="L450" t="str">
            <v>BID</v>
          </cell>
          <cell r="M450" t="str">
            <v>0389</v>
          </cell>
          <cell r="N450" t="str">
            <v>RH</v>
          </cell>
          <cell r="O450" t="str">
            <v>robertiagus.haposan@alamtri.com</v>
          </cell>
          <cell r="P450">
            <v>127.1112</v>
          </cell>
          <cell r="Q450">
            <v>2033779.2</v>
          </cell>
          <cell r="R450" t="str">
            <v>Completed Sign PO</v>
          </cell>
          <cell r="T450" t="str">
            <v>MSW</v>
          </cell>
          <cell r="U450" t="str">
            <v>Perwira Sentra Officindo, PT
Raja Listrik Indonesia, PT
Gema Industrial, PT
Indo Tehnik Tanjung Tabalong, PT
Gama Tritunggal Pratama, PT
Panca Global Solusindo, PT
Sehati, CV
Sola Anugerah Oilfield, PT
Berkat Pratama Teknik, CV</v>
          </cell>
          <cell r="V450" t="str">
            <v>Perwira Sentra Officindo, PT
Panca Global Solusindo, PT
Sehati, CV
Sola Anugerah Oilfield, PT</v>
          </cell>
          <cell r="W450" t="str">
            <v>9 of 9</v>
          </cell>
          <cell r="X450" t="str">
            <v>4 of 9</v>
          </cell>
          <cell r="Y450">
            <v>45629</v>
          </cell>
          <cell r="Z450">
            <v>45636</v>
          </cell>
          <cell r="AC450" t="str">
            <v xml:space="preserve"> of </v>
          </cell>
          <cell r="AD450" t="str">
            <v xml:space="preserve"> of </v>
          </cell>
          <cell r="AF450" t="str">
            <v/>
          </cell>
          <cell r="AI450" t="str">
            <v xml:space="preserve"> of </v>
          </cell>
          <cell r="AJ450" t="str">
            <v xml:space="preserve"> of </v>
          </cell>
          <cell r="AL450" t="str">
            <v/>
          </cell>
          <cell r="AM450">
            <v>0.70833333333333304</v>
          </cell>
          <cell r="AN450" t="str">
            <v>Sehati, CV</v>
          </cell>
          <cell r="AO450" t="str">
            <v>cvsehati@ymail.com</v>
          </cell>
          <cell r="AP450" t="str">
            <v>PO24000909</v>
          </cell>
          <cell r="AQ450">
            <v>840000</v>
          </cell>
          <cell r="AR450">
            <v>45638</v>
          </cell>
          <cell r="AS450">
            <v>45643</v>
          </cell>
          <cell r="AT450">
            <v>45643</v>
          </cell>
          <cell r="AU450">
            <v>45695</v>
          </cell>
          <cell r="AV450">
            <v>45644</v>
          </cell>
          <cell r="AW450">
            <v>45696</v>
          </cell>
          <cell r="AX450">
            <v>7.4285714285714288</v>
          </cell>
          <cell r="AY450">
            <v>45658</v>
          </cell>
          <cell r="AZ450" t="str">
            <v/>
          </cell>
          <cell r="BA450" t="str">
            <v/>
          </cell>
          <cell r="BB450" t="str">
            <v>Completed</v>
          </cell>
          <cell r="BC450" t="str">
            <v>PR100009830</v>
          </cell>
        </row>
        <row r="451">
          <cell r="B451" t="str">
            <v>PR100009848</v>
          </cell>
          <cell r="C451" t="str">
            <v>Konsultan Pendampingan PROPER Hijau</v>
          </cell>
          <cell r="E451" t="str">
            <v>Properindo Enviro Tech, PT
Cipta Inovasi Berkelanjutan, PT
Sinergi Solusi Pratama, PT
Life Cycle Indonesia, PT
Energi Duta Utama, PT
Sucofindo, PT
Mitra Hijau Indonesia, PT</v>
          </cell>
          <cell r="F451" t="str">
            <v>Properindo Enviro Tech, PT
Cipta Inovasi Berkelanjutan, PT
Sinergi Solusi Pratama, PT
Life Cycle Indonesia, PT
Energi Duta Utama, PT</v>
          </cell>
          <cell r="G451" t="str">
            <v>R0
5 of 7
31 Dec 24</v>
          </cell>
          <cell r="H451" t="str">
            <v>ADITIYA KUSUMA WARDANA</v>
          </cell>
          <cell r="I451">
            <v>45645</v>
          </cell>
          <cell r="J451" t="str">
            <v>HSE</v>
          </cell>
          <cell r="K451" t="str">
            <v>J</v>
          </cell>
          <cell r="L451" t="str">
            <v>BID</v>
          </cell>
          <cell r="M451" t="str">
            <v>0398</v>
          </cell>
          <cell r="N451" t="str">
            <v>RH</v>
          </cell>
          <cell r="O451" t="str">
            <v>robertiagus.haposan@alamtri.com</v>
          </cell>
          <cell r="P451">
            <v>51613</v>
          </cell>
          <cell r="Q451">
            <v>825808000</v>
          </cell>
          <cell r="R451" t="str">
            <v>Completed Contract</v>
          </cell>
          <cell r="S451" t="str">
            <v>2025
Waiting harga terbaru dari PET - Done
SP on proses esign BoD MSW - Done
Final Kontrak MSW</v>
          </cell>
          <cell r="T451" t="str">
            <v>MSW</v>
          </cell>
          <cell r="U451" t="str">
            <v>Properindo Enviro Tech, PT
Cipta Inovasi Berkelanjutan, PT
Sinergi Solusi Pratama, PT
Life Cycle Indonesia, PT
Energi Duta Utama, PT
Sucofindo, PT
Mitra Hijau Indonesia, PT</v>
          </cell>
          <cell r="V451" t="str">
            <v>Properindo Enviro Tech, PT
Cipta Inovasi Berkelanjutan, PT
Sinergi Solusi Pratama, PT
Life Cycle Indonesia, PT
Energi Duta Utama, PT</v>
          </cell>
          <cell r="W451" t="str">
            <v>7 of 7</v>
          </cell>
          <cell r="X451" t="str">
            <v>5 of 7</v>
          </cell>
          <cell r="Y451">
            <v>45646</v>
          </cell>
          <cell r="Z451">
            <v>45657</v>
          </cell>
          <cell r="AC451" t="str">
            <v xml:space="preserve"> of </v>
          </cell>
          <cell r="AD451" t="str">
            <v xml:space="preserve"> of </v>
          </cell>
          <cell r="AF451" t="str">
            <v/>
          </cell>
          <cell r="AI451" t="str">
            <v xml:space="preserve"> of </v>
          </cell>
          <cell r="AJ451" t="str">
            <v xml:space="preserve"> of </v>
          </cell>
          <cell r="AL451" t="str">
            <v/>
          </cell>
          <cell r="AM451">
            <v>0.70833333333333304</v>
          </cell>
          <cell r="AN451" t="str">
            <v>Properindo Enviro Tech, PT</v>
          </cell>
          <cell r="AO451" t="str">
            <v>properindo.projectadm@gmail.com</v>
          </cell>
          <cell r="AQ451">
            <v>2792182000</v>
          </cell>
          <cell r="AR451">
            <v>45659</v>
          </cell>
          <cell r="AS451">
            <v>45775</v>
          </cell>
          <cell r="AT451">
            <v>45790</v>
          </cell>
          <cell r="AU451">
            <v>45791</v>
          </cell>
          <cell r="AW451" t="str">
            <v/>
          </cell>
          <cell r="AX451" t="str">
            <v/>
          </cell>
          <cell r="AZ451" t="str">
            <v/>
          </cell>
          <cell r="BA451" t="str">
            <v/>
          </cell>
          <cell r="BB451" t="str">
            <v>Late Completed</v>
          </cell>
          <cell r="BC451" t="str">
            <v>PR100009848</v>
          </cell>
        </row>
        <row r="452">
          <cell r="B452" t="str">
            <v>PR100009821</v>
          </cell>
          <cell r="C452" t="str">
            <v>Pembelian alat ukur SFRA type FRAX150  dan TTRU3-EXP ( Include Traning )</v>
          </cell>
          <cell r="E452" t="str">
            <v/>
          </cell>
          <cell r="F452" t="str">
            <v/>
          </cell>
          <cell r="G452" t="str">
            <v/>
          </cell>
          <cell r="H452" t="str">
            <v>DENNY ARIFIANTO</v>
          </cell>
          <cell r="I452">
            <v>45649</v>
          </cell>
          <cell r="J452" t="str">
            <v>Tech Eng</v>
          </cell>
          <cell r="K452" t="str">
            <v>B</v>
          </cell>
          <cell r="L452" t="str">
            <v>BID</v>
          </cell>
          <cell r="M452" t="str">
            <v>0399</v>
          </cell>
          <cell r="N452" t="str">
            <v>RH</v>
          </cell>
          <cell r="O452" t="str">
            <v>robertiagus.haposan@alamtri.com</v>
          </cell>
          <cell r="P452">
            <v>68999</v>
          </cell>
          <cell r="Q452">
            <v>1103984000</v>
          </cell>
          <cell r="R452" t="str">
            <v>CANCEL</v>
          </cell>
          <cell r="S452" t="str">
            <v>Permintaan ES untuk di CANCEL</v>
          </cell>
          <cell r="T452" t="str">
            <v>MSW</v>
          </cell>
          <cell r="U452" t="str">
            <v>Tunas Dielektrika Nusantara, PT
Kin Kitra Kencana, PT
Central Elektrindo Mandiri, PT
Cahaya Indo Mitra Berkarya, PT
SKF Industrial Indonesia, PT
Megger Indonesia, PT
GAE Advan Energi, PT
Dinamika Elektra Mandiri, PT
Indoteknik Dotcom Gemilang,  PT</v>
          </cell>
          <cell r="V452" t="str">
            <v>Tunas Dielektrika Nusantara, PT
Central Elektrindo Mandiri, PT</v>
          </cell>
          <cell r="W452" t="str">
            <v>9 of 9</v>
          </cell>
          <cell r="X452" t="str">
            <v>2 of 9</v>
          </cell>
          <cell r="Y452">
            <v>45649</v>
          </cell>
          <cell r="Z452">
            <v>45657</v>
          </cell>
          <cell r="AC452" t="str">
            <v xml:space="preserve"> of </v>
          </cell>
          <cell r="AD452" t="str">
            <v xml:space="preserve"> of </v>
          </cell>
          <cell r="AF452" t="str">
            <v/>
          </cell>
          <cell r="AI452" t="str">
            <v xml:space="preserve"> of </v>
          </cell>
          <cell r="AJ452" t="str">
            <v xml:space="preserve"> of </v>
          </cell>
          <cell r="AL452" t="str">
            <v/>
          </cell>
          <cell r="AM452">
            <v>0.70833333333333304</v>
          </cell>
          <cell r="AO452" t="str">
            <v/>
          </cell>
          <cell r="AW452" t="str">
            <v/>
          </cell>
          <cell r="AX452" t="str">
            <v/>
          </cell>
          <cell r="AZ452" t="str">
            <v/>
          </cell>
          <cell r="BA452" t="str">
            <v/>
          </cell>
          <cell r="BB452" t="str">
            <v/>
          </cell>
          <cell r="BC452" t="str">
            <v>PR100009821</v>
          </cell>
        </row>
        <row r="453">
          <cell r="B453" t="str">
            <v>PR100008954</v>
          </cell>
          <cell r="C453" t="str">
            <v>Perjanjian Baru Penyediaan Jasa Pengamanan</v>
          </cell>
          <cell r="E453" t="str">
            <v/>
          </cell>
          <cell r="F453" t="str">
            <v/>
          </cell>
          <cell r="G453" t="str">
            <v/>
          </cell>
          <cell r="H453" t="str">
            <v>KHRISNA RANGGA PRAYUDA</v>
          </cell>
          <cell r="I453">
            <v>45525</v>
          </cell>
          <cell r="J453" t="str">
            <v>HR</v>
          </cell>
          <cell r="K453" t="str">
            <v>J</v>
          </cell>
          <cell r="L453" t="str">
            <v>CTR</v>
          </cell>
          <cell r="N453" t="str">
            <v>RH</v>
          </cell>
          <cell r="O453" t="str">
            <v>robertiagus.haposan@alamtri.com</v>
          </cell>
          <cell r="P453">
            <v>220597.41039999999</v>
          </cell>
          <cell r="Q453">
            <v>3529558566.4000001</v>
          </cell>
          <cell r="R453" t="str">
            <v>CANCEL</v>
          </cell>
          <cell r="T453" t="str">
            <v>MSW</v>
          </cell>
          <cell r="W453" t="str">
            <v xml:space="preserve"> of </v>
          </cell>
          <cell r="X453" t="str">
            <v xml:space="preserve"> of </v>
          </cell>
          <cell r="Z453" t="str">
            <v/>
          </cell>
          <cell r="AC453" t="str">
            <v xml:space="preserve"> of </v>
          </cell>
          <cell r="AD453" t="str">
            <v xml:space="preserve"> of </v>
          </cell>
          <cell r="AF453" t="str">
            <v/>
          </cell>
          <cell r="AI453" t="str">
            <v xml:space="preserve"> of </v>
          </cell>
          <cell r="AJ453" t="str">
            <v xml:space="preserve"> of </v>
          </cell>
          <cell r="AL453" t="str">
            <v/>
          </cell>
          <cell r="AM453">
            <v>0.70833333333333304</v>
          </cell>
          <cell r="AO453" t="str">
            <v/>
          </cell>
          <cell r="AW453" t="str">
            <v/>
          </cell>
          <cell r="AX453" t="str">
            <v/>
          </cell>
          <cell r="AZ453" t="str">
            <v/>
          </cell>
          <cell r="BA453" t="str">
            <v/>
          </cell>
          <cell r="BB453" t="str">
            <v/>
          </cell>
          <cell r="BC453" t="str">
            <v/>
          </cell>
        </row>
        <row r="454">
          <cell r="B454" t="str">
            <v>PR100009512</v>
          </cell>
          <cell r="C454" t="str">
            <v>Penggunaan Coal Juli 2024 OPeration Dept</v>
          </cell>
          <cell r="D454" t="str">
            <v>Adaro Indonesia, PT</v>
          </cell>
          <cell r="E454" t="str">
            <v>Adaro Indonesia, PT</v>
          </cell>
          <cell r="F454" t="str">
            <v/>
          </cell>
          <cell r="G454" t="str">
            <v/>
          </cell>
          <cell r="H454" t="str">
            <v>ARIES KURNIAWAN</v>
          </cell>
          <cell r="I454">
            <v>45513</v>
          </cell>
          <cell r="J454" t="str">
            <v>Tech OP</v>
          </cell>
          <cell r="K454" t="str">
            <v>B</v>
          </cell>
          <cell r="L454" t="str">
            <v>CTR</v>
          </cell>
          <cell r="N454" t="str">
            <v>RH</v>
          </cell>
          <cell r="O454" t="str">
            <v>robertiagus.haposan@alamtri.com</v>
          </cell>
          <cell r="P454">
            <v>358578</v>
          </cell>
          <cell r="Q454">
            <v>5737248000</v>
          </cell>
          <cell r="R454" t="str">
            <v>Completed Sign PO Contract</v>
          </cell>
          <cell r="T454" t="str">
            <v>MSW</v>
          </cell>
          <cell r="U454" t="str">
            <v>Adaro Indonesia, PT</v>
          </cell>
          <cell r="V454" t="str">
            <v>Adaro Indonesia, PT</v>
          </cell>
          <cell r="W454" t="str">
            <v>1 of 1</v>
          </cell>
          <cell r="X454" t="str">
            <v>1 of 1</v>
          </cell>
          <cell r="Z454" t="str">
            <v/>
          </cell>
          <cell r="AC454" t="str">
            <v xml:space="preserve"> of </v>
          </cell>
          <cell r="AD454" t="str">
            <v xml:space="preserve"> of </v>
          </cell>
          <cell r="AF454" t="str">
            <v/>
          </cell>
          <cell r="AI454" t="str">
            <v xml:space="preserve"> of </v>
          </cell>
          <cell r="AJ454" t="str">
            <v xml:space="preserve"> of </v>
          </cell>
          <cell r="AL454" t="str">
            <v/>
          </cell>
          <cell r="AM454">
            <v>0.70833333333333304</v>
          </cell>
          <cell r="AN454" t="str">
            <v>Adaro Indonesia, PT</v>
          </cell>
          <cell r="AO454" t="str">
            <v>mulyadi@adaro.com; rachman.hakim@adaro.com; Shipping@adaro.com</v>
          </cell>
          <cell r="AP454" t="str">
            <v>PO24000501</v>
          </cell>
          <cell r="AQ454">
            <v>4796793418.1400003</v>
          </cell>
          <cell r="AT454">
            <v>45516</v>
          </cell>
          <cell r="AU454">
            <v>45547</v>
          </cell>
          <cell r="AV454">
            <v>45517</v>
          </cell>
          <cell r="AW454">
            <v>45548</v>
          </cell>
          <cell r="AX454">
            <v>4.4285714285714288</v>
          </cell>
          <cell r="AY454">
            <v>45504</v>
          </cell>
          <cell r="AZ454" t="str">
            <v/>
          </cell>
          <cell r="BA454" t="str">
            <v/>
          </cell>
          <cell r="BB454" t="str">
            <v>Completed</v>
          </cell>
          <cell r="BC454" t="str">
            <v>PR100009512</v>
          </cell>
        </row>
        <row r="455">
          <cell r="B455" t="str">
            <v>PR100009483</v>
          </cell>
          <cell r="C455" t="str">
            <v>FUEL B35 TRANSPORTATION SERVICE 10KL JULI 2024 (Pengiriman 02 Agustus 2024)</v>
          </cell>
          <cell r="D455" t="str">
            <v>Sinar Alam Duta Perdana, PT</v>
          </cell>
          <cell r="E455" t="str">
            <v>Sinar Alam Duta Perdana, PT</v>
          </cell>
          <cell r="F455" t="str">
            <v/>
          </cell>
          <cell r="G455" t="str">
            <v/>
          </cell>
          <cell r="H455" t="str">
            <v>ARTHUR BRAMIYANA</v>
          </cell>
          <cell r="I455">
            <v>45513</v>
          </cell>
          <cell r="J455" t="str">
            <v>Tech OP</v>
          </cell>
          <cell r="K455" t="str">
            <v>J</v>
          </cell>
          <cell r="L455" t="str">
            <v>CTR</v>
          </cell>
          <cell r="N455" t="str">
            <v>RH</v>
          </cell>
          <cell r="O455" t="str">
            <v>robertiagus.haposan@alamtri.com</v>
          </cell>
          <cell r="P455">
            <v>426</v>
          </cell>
          <cell r="Q455">
            <v>6816000</v>
          </cell>
          <cell r="R455" t="str">
            <v>Completed Sign PO Contract</v>
          </cell>
          <cell r="T455" t="str">
            <v>MSW</v>
          </cell>
          <cell r="U455" t="str">
            <v>Sinar Alam Duta Perdana, PT</v>
          </cell>
          <cell r="V455" t="str">
            <v>Sinar Alam Duta Perdana, PT</v>
          </cell>
          <cell r="W455" t="str">
            <v>1 of 1</v>
          </cell>
          <cell r="X455" t="str">
            <v>1 of 1</v>
          </cell>
          <cell r="Z455" t="str">
            <v/>
          </cell>
          <cell r="AC455" t="str">
            <v xml:space="preserve"> of </v>
          </cell>
          <cell r="AD455" t="str">
            <v xml:space="preserve"> of </v>
          </cell>
          <cell r="AF455" t="str">
            <v/>
          </cell>
          <cell r="AI455" t="str">
            <v xml:space="preserve"> of </v>
          </cell>
          <cell r="AJ455" t="str">
            <v xml:space="preserve"> of </v>
          </cell>
          <cell r="AL455" t="str">
            <v/>
          </cell>
          <cell r="AM455">
            <v>0.70833333333333304</v>
          </cell>
          <cell r="AN455" t="str">
            <v>Sinar Alam Duta Perdana, PT</v>
          </cell>
          <cell r="AO455" t="str">
            <v>sherlly@sadp.co.id; misrawardi@sadp.co.id; sales1@sadp.co.id; marini@sadp.co.id; ridho@sadp.co.id; nisa_fitria@sadp.co.id; ismawati@sadp.co.id</v>
          </cell>
          <cell r="AP455" t="str">
            <v>PO24000499</v>
          </cell>
          <cell r="AQ455">
            <v>4000000</v>
          </cell>
          <cell r="AT455">
            <v>45516</v>
          </cell>
          <cell r="AU455">
            <v>45527</v>
          </cell>
          <cell r="AV455">
            <v>45517</v>
          </cell>
          <cell r="AW455">
            <v>45528</v>
          </cell>
          <cell r="AX455">
            <v>1.5714285714285714</v>
          </cell>
          <cell r="AY455">
            <v>45521</v>
          </cell>
          <cell r="AZ455" t="str">
            <v/>
          </cell>
          <cell r="BA455" t="str">
            <v/>
          </cell>
          <cell r="BB455" t="str">
            <v>Completed</v>
          </cell>
          <cell r="BC455" t="str">
            <v>PR100009483</v>
          </cell>
        </row>
        <row r="456">
          <cell r="B456" t="str">
            <v>PR100009482</v>
          </cell>
          <cell r="C456" t="str">
            <v>FUEL B35 FOR  MAIN LDO TANK 10KL REORDER JULI 2024 (Pengiriman 02 Agustus 2024)</v>
          </cell>
          <cell r="D456" t="str">
            <v>Pertamina Patra Niaga, PT</v>
          </cell>
          <cell r="E456" t="str">
            <v>Pertamina Patra Niaga, PT</v>
          </cell>
          <cell r="F456" t="str">
            <v/>
          </cell>
          <cell r="G456" t="str">
            <v/>
          </cell>
          <cell r="H456" t="str">
            <v>ARTHUR BRAMIYANA</v>
          </cell>
          <cell r="I456">
            <v>45513</v>
          </cell>
          <cell r="J456" t="str">
            <v>INV</v>
          </cell>
          <cell r="K456" t="str">
            <v>B</v>
          </cell>
          <cell r="L456" t="str">
            <v>CTR</v>
          </cell>
          <cell r="N456" t="str">
            <v>RH</v>
          </cell>
          <cell r="O456" t="str">
            <v>robertiagus.haposan@alamtri.com</v>
          </cell>
          <cell r="P456">
            <v>7069.9993000000004</v>
          </cell>
          <cell r="Q456">
            <v>113119988.80000001</v>
          </cell>
          <cell r="R456" t="str">
            <v>Completed Sign PO Contract</v>
          </cell>
          <cell r="T456" t="str">
            <v>MSW</v>
          </cell>
          <cell r="U456" t="str">
            <v>Pertamina Patra Niaga, PT</v>
          </cell>
          <cell r="V456" t="str">
            <v>Pertamina Patra Niaga, PT</v>
          </cell>
          <cell r="W456" t="str">
            <v>1 of 1</v>
          </cell>
          <cell r="X456" t="str">
            <v>1 of 1</v>
          </cell>
          <cell r="Z456" t="str">
            <v/>
          </cell>
          <cell r="AC456" t="str">
            <v xml:space="preserve"> of </v>
          </cell>
          <cell r="AD456" t="str">
            <v xml:space="preserve"> of </v>
          </cell>
          <cell r="AF456" t="str">
            <v/>
          </cell>
          <cell r="AI456" t="str">
            <v xml:space="preserve"> of </v>
          </cell>
          <cell r="AJ456" t="str">
            <v xml:space="preserve"> of </v>
          </cell>
          <cell r="AL456" t="str">
            <v/>
          </cell>
          <cell r="AM456">
            <v>0.70833333333333304</v>
          </cell>
          <cell r="AN456" t="str">
            <v>Pertamina Patra Niaga, PT</v>
          </cell>
          <cell r="AO456" t="str">
            <v>ibnu.kautsar@pertamina.com; muhammad.nurdin@pertamina.com; mk.ihdimahyapi@mitrakerja.pertamina.com; mk.muhammad.jamil@mitrakerja.pertamina.com; pandu.dwijayanto@pertamina.com; mk.della.putri@mitrakerja.pertamina.com; mk.dwi.oktaviana@mitrakerja.pertamina.com; mk.mardhiyah.m@mitrakerja.pertamina.com</v>
          </cell>
          <cell r="AP456" t="str">
            <v>PO24000498</v>
          </cell>
          <cell r="AQ456">
            <v>121197963.26000001</v>
          </cell>
          <cell r="AT456">
            <v>45516</v>
          </cell>
          <cell r="AU456">
            <v>45527</v>
          </cell>
          <cell r="AV456">
            <v>45517</v>
          </cell>
          <cell r="AW456">
            <v>45528</v>
          </cell>
          <cell r="AX456">
            <v>1.5714285714285714</v>
          </cell>
          <cell r="AZ456" t="str">
            <v/>
          </cell>
          <cell r="BA456" t="str">
            <v/>
          </cell>
          <cell r="BB456" t="str">
            <v>Completed</v>
          </cell>
          <cell r="BC456" t="str">
            <v>PR100009482</v>
          </cell>
        </row>
        <row r="457">
          <cell r="B457" t="str">
            <v>PR100009577</v>
          </cell>
          <cell r="C457" t="str">
            <v>FUEL B35 TRANSPORTATION SERVICE 60KL Agustus 2024 DRY OUT REFACTORY UNIT 1</v>
          </cell>
          <cell r="D457" t="str">
            <v>Sinar Alam Duta Perdana, PT</v>
          </cell>
          <cell r="E457" t="str">
            <v>Sinar Alam Duta Perdana, PT</v>
          </cell>
          <cell r="F457" t="str">
            <v/>
          </cell>
          <cell r="G457" t="str">
            <v/>
          </cell>
          <cell r="H457" t="str">
            <v>ARIES KURNIAWAN</v>
          </cell>
          <cell r="I457">
            <v>45525</v>
          </cell>
          <cell r="J457" t="str">
            <v>Tech OP</v>
          </cell>
          <cell r="K457" t="str">
            <v>J</v>
          </cell>
          <cell r="L457" t="str">
            <v>CTR</v>
          </cell>
          <cell r="N457" t="str">
            <v>RH</v>
          </cell>
          <cell r="O457" t="str">
            <v>robertiagus.haposan@alamtri.com</v>
          </cell>
          <cell r="P457">
            <v>2556</v>
          </cell>
          <cell r="Q457">
            <v>40896000</v>
          </cell>
          <cell r="R457" t="str">
            <v>Completed Sign PO Contract</v>
          </cell>
          <cell r="T457" t="str">
            <v>MSW</v>
          </cell>
          <cell r="U457" t="str">
            <v>Sinar Alam Duta Perdana, PT</v>
          </cell>
          <cell r="V457" t="str">
            <v>Sinar Alam Duta Perdana, PT</v>
          </cell>
          <cell r="W457" t="str">
            <v>1 of 1</v>
          </cell>
          <cell r="X457" t="str">
            <v>1 of 1</v>
          </cell>
          <cell r="Z457" t="str">
            <v/>
          </cell>
          <cell r="AC457" t="str">
            <v xml:space="preserve"> of </v>
          </cell>
          <cell r="AD457" t="str">
            <v xml:space="preserve"> of </v>
          </cell>
          <cell r="AF457" t="str">
            <v/>
          </cell>
          <cell r="AI457" t="str">
            <v xml:space="preserve"> of </v>
          </cell>
          <cell r="AJ457" t="str">
            <v xml:space="preserve"> of </v>
          </cell>
          <cell r="AL457" t="str">
            <v/>
          </cell>
          <cell r="AM457">
            <v>0.70833333333333304</v>
          </cell>
          <cell r="AN457" t="str">
            <v>Sinar Alam Duta Perdana, PT</v>
          </cell>
          <cell r="AO457" t="str">
            <v>sherlly@sadp.co.id; misrawardi@sadp.co.id; sales1@sadp.co.id; marini@sadp.co.id; ridho@sadp.co.id; nisa_fitria@sadp.co.id; ismawati@sadp.co.id</v>
          </cell>
          <cell r="AP457" t="str">
            <v>PO24000549</v>
          </cell>
          <cell r="AQ457">
            <v>24000000</v>
          </cell>
          <cell r="AT457">
            <v>45526</v>
          </cell>
          <cell r="AU457">
            <v>45529</v>
          </cell>
          <cell r="AV457">
            <v>45527</v>
          </cell>
          <cell r="AW457">
            <v>45530</v>
          </cell>
          <cell r="AX457">
            <v>0.42857142857142855</v>
          </cell>
          <cell r="AZ457" t="str">
            <v/>
          </cell>
          <cell r="BA457" t="str">
            <v/>
          </cell>
          <cell r="BB457" t="str">
            <v>Completed</v>
          </cell>
          <cell r="BC457" t="str">
            <v>PR100009577</v>
          </cell>
        </row>
        <row r="458">
          <cell r="B458" t="str">
            <v>PR100009568</v>
          </cell>
          <cell r="C458" t="str">
            <v>FUEL B35 FOR  MAIN LDO TANK 60KL REORDER Agustus 2024 DRY OUT REFACTORY UNIT 1</v>
          </cell>
          <cell r="D458" t="str">
            <v>Pertamina Patra Niaga, PT</v>
          </cell>
          <cell r="E458" t="str">
            <v>Pertamina Patra Niaga, PT</v>
          </cell>
          <cell r="F458" t="str">
            <v/>
          </cell>
          <cell r="G458" t="str">
            <v/>
          </cell>
          <cell r="H458" t="str">
            <v>ARIES KURNIAWAN</v>
          </cell>
          <cell r="I458">
            <v>45526</v>
          </cell>
          <cell r="J458" t="str">
            <v>Tech OP</v>
          </cell>
          <cell r="K458" t="str">
            <v>B</v>
          </cell>
          <cell r="L458" t="str">
            <v>CTR</v>
          </cell>
          <cell r="N458" t="str">
            <v>RH</v>
          </cell>
          <cell r="O458" t="str">
            <v>robertiagus.haposan@alamtri.com</v>
          </cell>
          <cell r="P458">
            <v>38869.999300000003</v>
          </cell>
          <cell r="Q458">
            <v>621919988.80000007</v>
          </cell>
          <cell r="R458" t="str">
            <v>Completed Sign PO Contract</v>
          </cell>
          <cell r="T458" t="str">
            <v>MSW</v>
          </cell>
          <cell r="U458" t="str">
            <v>Pertamina Patra Niaga, PT</v>
          </cell>
          <cell r="V458" t="str">
            <v>Pertamina Patra Niaga, PT</v>
          </cell>
          <cell r="W458" t="str">
            <v>1 of 1</v>
          </cell>
          <cell r="X458" t="str">
            <v>1 of 1</v>
          </cell>
          <cell r="Z458" t="str">
            <v/>
          </cell>
          <cell r="AC458" t="str">
            <v xml:space="preserve"> of </v>
          </cell>
          <cell r="AD458" t="str">
            <v xml:space="preserve"> of </v>
          </cell>
          <cell r="AF458" t="str">
            <v/>
          </cell>
          <cell r="AI458" t="str">
            <v xml:space="preserve"> of </v>
          </cell>
          <cell r="AJ458" t="str">
            <v xml:space="preserve"> of </v>
          </cell>
          <cell r="AL458" t="str">
            <v/>
          </cell>
          <cell r="AM458">
            <v>0.70833333333333304</v>
          </cell>
          <cell r="AN458" t="str">
            <v>Pertamina Patra Niaga, PT</v>
          </cell>
          <cell r="AO458" t="str">
            <v>ibnu.kautsar@pertamina.com; muhammad.nurdin@pertamina.com; mk.ihdimahyapi@mitrakerja.pertamina.com; mk.muhammad.jamil@mitrakerja.pertamina.com; pandu.dwijayanto@pertamina.com; mk.della.putri@mitrakerja.pertamina.com; mk.dwi.oktaviana@mitrakerja.pertamina.com; mk.mardhiyah.m@mitrakerja.pertamina.com</v>
          </cell>
          <cell r="AP458" t="str">
            <v>PO24000547</v>
          </cell>
          <cell r="AQ458">
            <v>727664961.48000002</v>
          </cell>
          <cell r="AT458">
            <v>45526</v>
          </cell>
          <cell r="AU458">
            <v>45529</v>
          </cell>
          <cell r="AV458">
            <v>45527</v>
          </cell>
          <cell r="AW458">
            <v>45530</v>
          </cell>
          <cell r="AX458">
            <v>0.42857142857142855</v>
          </cell>
          <cell r="AZ458" t="str">
            <v/>
          </cell>
          <cell r="BA458" t="str">
            <v/>
          </cell>
          <cell r="BB458" t="str">
            <v>Completed</v>
          </cell>
          <cell r="BC458" t="str">
            <v>PR100009568</v>
          </cell>
        </row>
        <row r="459">
          <cell r="B459" t="str">
            <v>PR100009832</v>
          </cell>
          <cell r="C459" t="str">
            <v>Invoice Streaming Current Analyzer WTP BAST-1 Sesuai Kontrak MSW/22/NEC-KKI/X/2024</v>
          </cell>
          <cell r="D459" t="str">
            <v>Kin Kitra Kencana, PT</v>
          </cell>
          <cell r="E459" t="str">
            <v>Kin Kitra Kencana, PT</v>
          </cell>
          <cell r="F459" t="str">
            <v/>
          </cell>
          <cell r="G459" t="str">
            <v/>
          </cell>
          <cell r="H459" t="str">
            <v>DEDE SUDARJI</v>
          </cell>
          <cell r="I459">
            <v>45629</v>
          </cell>
          <cell r="J459" t="str">
            <v>Tech Main</v>
          </cell>
          <cell r="K459" t="str">
            <v>B &amp; J</v>
          </cell>
          <cell r="L459" t="str">
            <v>CTR</v>
          </cell>
          <cell r="N459" t="str">
            <v>RH</v>
          </cell>
          <cell r="O459" t="str">
            <v>robertiagus.haposan@alamtri.com</v>
          </cell>
          <cell r="P459">
            <v>30041</v>
          </cell>
          <cell r="Q459">
            <v>480656000</v>
          </cell>
          <cell r="R459" t="str">
            <v>Completed Sign PO Contract</v>
          </cell>
          <cell r="T459" t="str">
            <v>MSW</v>
          </cell>
          <cell r="U459" t="str">
            <v>Kin Kitra Kencana, PT</v>
          </cell>
          <cell r="V459" t="str">
            <v>Kin Kitra Kencana, PT</v>
          </cell>
          <cell r="W459" t="str">
            <v>1 of 1</v>
          </cell>
          <cell r="X459" t="str">
            <v>1 of 1</v>
          </cell>
          <cell r="Z459" t="str">
            <v/>
          </cell>
          <cell r="AC459" t="str">
            <v xml:space="preserve"> of </v>
          </cell>
          <cell r="AD459" t="str">
            <v xml:space="preserve"> of </v>
          </cell>
          <cell r="AF459" t="str">
            <v/>
          </cell>
          <cell r="AI459" t="str">
            <v xml:space="preserve"> of </v>
          </cell>
          <cell r="AJ459" t="str">
            <v xml:space="preserve"> of </v>
          </cell>
          <cell r="AL459" t="str">
            <v/>
          </cell>
          <cell r="AM459">
            <v>0.70833333333333304</v>
          </cell>
          <cell r="AN459" t="str">
            <v>Kin Kitra Kencana, PT</v>
          </cell>
          <cell r="AO459" t="str">
            <v>ptkinkitrakencana@gmail.com; teguhkin999@gmail.com</v>
          </cell>
          <cell r="AP459" t="str">
            <v>PO24000910</v>
          </cell>
          <cell r="AQ459">
            <v>474330000</v>
          </cell>
          <cell r="AT459">
            <v>45644</v>
          </cell>
          <cell r="AU459">
            <v>45674</v>
          </cell>
          <cell r="AV459">
            <v>45645</v>
          </cell>
          <cell r="AW459">
            <v>45675</v>
          </cell>
          <cell r="AX459">
            <v>4.2857142857142856</v>
          </cell>
          <cell r="AY459">
            <v>45650</v>
          </cell>
          <cell r="AZ459" t="str">
            <v/>
          </cell>
          <cell r="BA459" t="str">
            <v/>
          </cell>
          <cell r="BB459" t="str">
            <v>Completed</v>
          </cell>
          <cell r="BC459" t="str">
            <v>PR100009832</v>
          </cell>
        </row>
        <row r="460">
          <cell r="B460" t="str">
            <v>PR100009839</v>
          </cell>
          <cell r="C460" t="str">
            <v>Pengadaan Saw Dust November 2024</v>
          </cell>
          <cell r="D460" t="str">
            <v>Kalimantan Teknik Mandiri, PT</v>
          </cell>
          <cell r="E460" t="str">
            <v>Kalimantan Teknik Mandiri, PT</v>
          </cell>
          <cell r="F460" t="str">
            <v/>
          </cell>
          <cell r="G460" t="str">
            <v/>
          </cell>
          <cell r="H460" t="str">
            <v>ARIES KURNIAWAN</v>
          </cell>
          <cell r="I460">
            <v>45630</v>
          </cell>
          <cell r="J460" t="str">
            <v>Tech OP</v>
          </cell>
          <cell r="K460" t="str">
            <v>B</v>
          </cell>
          <cell r="L460" t="str">
            <v>CTR</v>
          </cell>
          <cell r="N460" t="str">
            <v>RH</v>
          </cell>
          <cell r="O460" t="str">
            <v>robertiagus.haposan@alamtri.com</v>
          </cell>
          <cell r="P460">
            <v>11555.458000000001</v>
          </cell>
          <cell r="Q460">
            <v>184887328</v>
          </cell>
          <cell r="R460" t="str">
            <v>Completed Sign PO Contract</v>
          </cell>
          <cell r="T460" t="str">
            <v>MSW</v>
          </cell>
          <cell r="U460" t="str">
            <v>Kalimantan Teknik Mandiri, PT</v>
          </cell>
          <cell r="V460" t="str">
            <v>Kalimantan Teknik Mandiri, PT</v>
          </cell>
          <cell r="W460" t="str">
            <v>1 of 1</v>
          </cell>
          <cell r="X460" t="str">
            <v>1 of 1</v>
          </cell>
          <cell r="Z460" t="str">
            <v/>
          </cell>
          <cell r="AC460" t="str">
            <v xml:space="preserve"> of </v>
          </cell>
          <cell r="AD460" t="str">
            <v xml:space="preserve"> of </v>
          </cell>
          <cell r="AF460" t="str">
            <v/>
          </cell>
          <cell r="AI460" t="str">
            <v xml:space="preserve"> of </v>
          </cell>
          <cell r="AJ460" t="str">
            <v xml:space="preserve"> of </v>
          </cell>
          <cell r="AL460" t="str">
            <v/>
          </cell>
          <cell r="AM460">
            <v>0.70833333333333304</v>
          </cell>
          <cell r="AN460" t="str">
            <v>Kalimantan Teknik Mandiri, PT</v>
          </cell>
          <cell r="AO460" t="str">
            <v/>
          </cell>
          <cell r="AP460" t="str">
            <v>PO24000873</v>
          </cell>
          <cell r="AQ460">
            <v>178050200</v>
          </cell>
          <cell r="AT460">
            <v>45631</v>
          </cell>
          <cell r="AU460">
            <v>45664</v>
          </cell>
          <cell r="AV460">
            <v>45636</v>
          </cell>
          <cell r="AW460">
            <v>45669</v>
          </cell>
          <cell r="AX460">
            <v>4.7142857142857144</v>
          </cell>
          <cell r="AY460">
            <v>45625</v>
          </cell>
          <cell r="AZ460" t="str">
            <v/>
          </cell>
          <cell r="BA460" t="str">
            <v/>
          </cell>
          <cell r="BB460" t="str">
            <v>Completed</v>
          </cell>
          <cell r="BC460" t="str">
            <v>PR100009839</v>
          </cell>
        </row>
        <row r="461">
          <cell r="B461" t="str">
            <v>PR100009841</v>
          </cell>
          <cell r="C461" t="str">
            <v>Penggunaan Coal November 2024 Operation Dept</v>
          </cell>
          <cell r="D461" t="str">
            <v>Adaro Indonesia, PT</v>
          </cell>
          <cell r="E461" t="str">
            <v>Adaro Indonesia, PT</v>
          </cell>
          <cell r="F461" t="str">
            <v/>
          </cell>
          <cell r="G461" t="str">
            <v/>
          </cell>
          <cell r="H461" t="str">
            <v>ARIES KURNIAWAN</v>
          </cell>
          <cell r="I461">
            <v>45630</v>
          </cell>
          <cell r="J461" t="str">
            <v>Tech OP</v>
          </cell>
          <cell r="K461" t="str">
            <v>B</v>
          </cell>
          <cell r="L461" t="str">
            <v>CTR</v>
          </cell>
          <cell r="N461" t="str">
            <v>RH</v>
          </cell>
          <cell r="O461" t="str">
            <v>robertiagus.haposan@alamtri.com</v>
          </cell>
          <cell r="P461">
            <v>288816</v>
          </cell>
          <cell r="Q461">
            <v>4621056000</v>
          </cell>
          <cell r="R461" t="str">
            <v>Completed Sign PO Contract</v>
          </cell>
          <cell r="T461" t="str">
            <v>MSW</v>
          </cell>
          <cell r="U461" t="str">
            <v>Adaro Indonesia, PT</v>
          </cell>
          <cell r="V461" t="str">
            <v>Adaro Indonesia, PT</v>
          </cell>
          <cell r="W461" t="str">
            <v>1 of 1</v>
          </cell>
          <cell r="X461" t="str">
            <v>1 of 1</v>
          </cell>
          <cell r="Z461" t="str">
            <v/>
          </cell>
          <cell r="AC461" t="str">
            <v xml:space="preserve"> of </v>
          </cell>
          <cell r="AD461" t="str">
            <v xml:space="preserve"> of </v>
          </cell>
          <cell r="AF461" t="str">
            <v/>
          </cell>
          <cell r="AI461" t="str">
            <v xml:space="preserve"> of </v>
          </cell>
          <cell r="AJ461" t="str">
            <v xml:space="preserve"> of </v>
          </cell>
          <cell r="AL461" t="str">
            <v/>
          </cell>
          <cell r="AM461">
            <v>0.70833333333333304</v>
          </cell>
          <cell r="AN461" t="str">
            <v>Adaro Indonesia, PT</v>
          </cell>
          <cell r="AO461" t="str">
            <v>mulyadi@adaro.com; rachman.hakim@adaro.com; Shipping@adaro.com</v>
          </cell>
          <cell r="AP461" t="str">
            <v>PO24000869R1</v>
          </cell>
          <cell r="AQ461">
            <v>3863568562.0799999</v>
          </cell>
          <cell r="AT461">
            <v>45630</v>
          </cell>
          <cell r="AU461">
            <v>45667</v>
          </cell>
          <cell r="AV461">
            <v>45632</v>
          </cell>
          <cell r="AW461">
            <v>45669</v>
          </cell>
          <cell r="AX461">
            <v>5.2857142857142856</v>
          </cell>
          <cell r="AY461">
            <v>45625</v>
          </cell>
          <cell r="AZ461" t="str">
            <v/>
          </cell>
          <cell r="BA461" t="str">
            <v/>
          </cell>
          <cell r="BB461" t="str">
            <v>Completed</v>
          </cell>
          <cell r="BC461" t="str">
            <v>PR100009841</v>
          </cell>
        </row>
        <row r="462">
          <cell r="B462" t="str">
            <v>PR100009817</v>
          </cell>
          <cell r="C462" t="str">
            <v>INVOICE Battery FIAMM BAST-1 sesuai kontrak MSW/17/NEC-WEP/IX/2024</v>
          </cell>
          <cell r="D462" t="str">
            <v>Westindo Esa Perkasa, PT</v>
          </cell>
          <cell r="E462" t="str">
            <v>Westindo Esa Perkasa, PT</v>
          </cell>
          <cell r="F462" t="str">
            <v/>
          </cell>
          <cell r="G462" t="str">
            <v/>
          </cell>
          <cell r="H462" t="str">
            <v>DEDE SUDARJI</v>
          </cell>
          <cell r="I462">
            <v>45630</v>
          </cell>
          <cell r="J462" t="str">
            <v>Tech Eng</v>
          </cell>
          <cell r="K462" t="str">
            <v>B &amp; J</v>
          </cell>
          <cell r="L462" t="str">
            <v>CTR</v>
          </cell>
          <cell r="N462" t="str">
            <v>RH</v>
          </cell>
          <cell r="O462" t="str">
            <v>robertiagus.haposan@alamtri.com</v>
          </cell>
          <cell r="P462">
            <v>50173</v>
          </cell>
          <cell r="Q462">
            <v>802768000</v>
          </cell>
          <cell r="R462" t="str">
            <v>Completed Sign PO Contract</v>
          </cell>
          <cell r="T462" t="str">
            <v>MSW</v>
          </cell>
          <cell r="U462" t="str">
            <v>Westindo Esa Perkasa, PT</v>
          </cell>
          <cell r="V462" t="str">
            <v>Westindo Esa Perkasa, PT</v>
          </cell>
          <cell r="W462" t="str">
            <v>1 of 1</v>
          </cell>
          <cell r="X462" t="str">
            <v>1 of 1</v>
          </cell>
          <cell r="Z462" t="str">
            <v/>
          </cell>
          <cell r="AC462" t="str">
            <v xml:space="preserve"> of </v>
          </cell>
          <cell r="AD462" t="str">
            <v xml:space="preserve"> of </v>
          </cell>
          <cell r="AF462" t="str">
            <v/>
          </cell>
          <cell r="AI462" t="str">
            <v xml:space="preserve"> of </v>
          </cell>
          <cell r="AJ462" t="str">
            <v xml:space="preserve"> of </v>
          </cell>
          <cell r="AL462" t="str">
            <v/>
          </cell>
          <cell r="AM462">
            <v>0.70833333333333304</v>
          </cell>
          <cell r="AN462" t="str">
            <v>Westindo Esa Perkasa, PT</v>
          </cell>
          <cell r="AO462" t="str">
            <v>serpina@westindo.co.id</v>
          </cell>
          <cell r="AP462" t="str">
            <v>PO24000870</v>
          </cell>
          <cell r="AQ462">
            <v>792200000</v>
          </cell>
          <cell r="AT462">
            <v>45631</v>
          </cell>
          <cell r="AU462">
            <v>45815</v>
          </cell>
          <cell r="AV462">
            <v>45636</v>
          </cell>
          <cell r="AW462">
            <v>45820</v>
          </cell>
          <cell r="AX462">
            <v>26.285714285714285</v>
          </cell>
          <cell r="AY462">
            <v>45636</v>
          </cell>
          <cell r="AZ462" t="str">
            <v/>
          </cell>
          <cell r="BA462" t="str">
            <v/>
          </cell>
          <cell r="BB462" t="str">
            <v>Completed</v>
          </cell>
          <cell r="BC462" t="str">
            <v>PR100009817</v>
          </cell>
        </row>
        <row r="463">
          <cell r="B463" t="str">
            <v>PR100009842</v>
          </cell>
          <cell r="C463" t="str">
            <v>Penyediaan Material Biomass (Wood Chip)( Periode Bulan November 2024)</v>
          </cell>
          <cell r="D463" t="str">
            <v>Agri Multi Lestari, PT</v>
          </cell>
          <cell r="E463" t="str">
            <v>Agri Multi Lestari, PT</v>
          </cell>
          <cell r="F463" t="str">
            <v/>
          </cell>
          <cell r="G463" t="str">
            <v/>
          </cell>
          <cell r="H463" t="str">
            <v>ARIES KURNIAWAN</v>
          </cell>
          <cell r="I463">
            <v>45635</v>
          </cell>
          <cell r="J463" t="str">
            <v>Tech OP</v>
          </cell>
          <cell r="K463" t="str">
            <v>B</v>
          </cell>
          <cell r="L463" t="str">
            <v>CTR</v>
          </cell>
          <cell r="N463" t="str">
            <v>RH</v>
          </cell>
          <cell r="O463" t="str">
            <v>robertiagus.haposan@alamtri.com</v>
          </cell>
          <cell r="P463">
            <v>112.1318</v>
          </cell>
          <cell r="Q463">
            <v>1794108.8</v>
          </cell>
          <cell r="R463" t="str">
            <v>Completed Sign PO Contract</v>
          </cell>
          <cell r="T463" t="str">
            <v>MSW</v>
          </cell>
          <cell r="U463" t="str">
            <v>Agri Multi Lestari, PT</v>
          </cell>
          <cell r="V463" t="str">
            <v>Agri Multi Lestari, PT</v>
          </cell>
          <cell r="W463" t="str">
            <v>1 of 1</v>
          </cell>
          <cell r="X463" t="str">
            <v>1 of 1</v>
          </cell>
          <cell r="Z463" t="str">
            <v/>
          </cell>
          <cell r="AC463" t="str">
            <v xml:space="preserve"> of </v>
          </cell>
          <cell r="AD463" t="str">
            <v xml:space="preserve"> of </v>
          </cell>
          <cell r="AF463" t="str">
            <v/>
          </cell>
          <cell r="AI463" t="str">
            <v xml:space="preserve"> of </v>
          </cell>
          <cell r="AJ463" t="str">
            <v xml:space="preserve"> of </v>
          </cell>
          <cell r="AL463" t="str">
            <v/>
          </cell>
          <cell r="AM463">
            <v>0.70833333333333304</v>
          </cell>
          <cell r="AN463" t="str">
            <v>Agri Multi Lestari, PT</v>
          </cell>
          <cell r="AO463" t="str">
            <v>nandasetya.kurniawan@adaro.com; novita.rindriyanti@adaro.com</v>
          </cell>
          <cell r="AP463" t="str">
            <v>PO24000884</v>
          </cell>
          <cell r="AQ463">
            <v>1683000</v>
          </cell>
          <cell r="AT463">
            <v>45635</v>
          </cell>
          <cell r="AU463">
            <v>45666</v>
          </cell>
          <cell r="AV463">
            <v>45636</v>
          </cell>
          <cell r="AW463">
            <v>45667</v>
          </cell>
          <cell r="AX463">
            <v>4.4285714285714288</v>
          </cell>
          <cell r="AY463">
            <v>45650</v>
          </cell>
          <cell r="AZ463" t="str">
            <v/>
          </cell>
          <cell r="BA463" t="str">
            <v/>
          </cell>
          <cell r="BB463" t="str">
            <v>Completed</v>
          </cell>
          <cell r="BC463" t="str">
            <v>PR100009842</v>
          </cell>
        </row>
        <row r="464">
          <cell r="B464" t="str">
            <v>PR100009846</v>
          </cell>
          <cell r="C464" t="str">
            <v>Material untuk kebutuhan PM All DG IBT (barang langsung dikirimk ke IBT)</v>
          </cell>
          <cell r="D464" t="str">
            <v>Trakindo Utama, PT</v>
          </cell>
          <cell r="E464" t="str">
            <v>Trakindo Utama, PT</v>
          </cell>
          <cell r="F464" t="str">
            <v/>
          </cell>
          <cell r="G464" t="str">
            <v/>
          </cell>
          <cell r="H464" t="str">
            <v>SLAMET</v>
          </cell>
          <cell r="I464">
            <v>45631</v>
          </cell>
          <cell r="J464" t="str">
            <v>Tech Main</v>
          </cell>
          <cell r="K464" t="str">
            <v>B</v>
          </cell>
          <cell r="L464" t="str">
            <v>CTR</v>
          </cell>
          <cell r="N464" t="str">
            <v>RH</v>
          </cell>
          <cell r="O464" t="str">
            <v>robertiagus.haposan@alamtri.com</v>
          </cell>
          <cell r="P464">
            <v>612.65700000000004</v>
          </cell>
          <cell r="Q464">
            <v>9802512</v>
          </cell>
          <cell r="R464" t="str">
            <v>Completed Sign PO Contract</v>
          </cell>
          <cell r="T464" t="str">
            <v>MSW</v>
          </cell>
          <cell r="U464" t="str">
            <v>Trakindo Utama, PT</v>
          </cell>
          <cell r="V464" t="str">
            <v>Trakindo Utama, PT</v>
          </cell>
          <cell r="W464" t="str">
            <v>1 of 1</v>
          </cell>
          <cell r="X464" t="str">
            <v>1 of 1</v>
          </cell>
          <cell r="Z464" t="str">
            <v/>
          </cell>
          <cell r="AC464" t="str">
            <v xml:space="preserve"> of </v>
          </cell>
          <cell r="AD464" t="str">
            <v xml:space="preserve"> of </v>
          </cell>
          <cell r="AF464" t="str">
            <v/>
          </cell>
          <cell r="AI464" t="str">
            <v xml:space="preserve"> of </v>
          </cell>
          <cell r="AJ464" t="str">
            <v xml:space="preserve"> of </v>
          </cell>
          <cell r="AL464" t="str">
            <v/>
          </cell>
          <cell r="AM464">
            <v>0.70833333333333304</v>
          </cell>
          <cell r="AN464" t="str">
            <v>Trakindo Utama, PT</v>
          </cell>
          <cell r="AO464" t="str">
            <v>hjuniater.sidauruk@trakindo.co.id</v>
          </cell>
          <cell r="AP464" t="str">
            <v>PO24000874</v>
          </cell>
          <cell r="AQ464">
            <v>10517471.999999998</v>
          </cell>
          <cell r="AT464">
            <v>45632</v>
          </cell>
          <cell r="AU464">
            <v>45646</v>
          </cell>
          <cell r="AV464">
            <v>45635</v>
          </cell>
          <cell r="AW464">
            <v>45649</v>
          </cell>
          <cell r="AX464">
            <v>2</v>
          </cell>
          <cell r="AY464">
            <v>45645</v>
          </cell>
          <cell r="AZ464" t="str">
            <v/>
          </cell>
          <cell r="BA464" t="str">
            <v/>
          </cell>
          <cell r="BB464" t="str">
            <v>Completed</v>
          </cell>
          <cell r="BC464" t="str">
            <v>PR100009846</v>
          </cell>
        </row>
        <row r="465">
          <cell r="B465" t="str">
            <v>PR100009854</v>
          </cell>
          <cell r="C465" t="str">
            <v>FUEL B35 TRANSPORTATION SERVICE 20 KL Desember  2024 ( Pengiriman 16 Desember 2024)</v>
          </cell>
          <cell r="D465" t="str">
            <v>Sinar Alam Duta Perdana, PT</v>
          </cell>
          <cell r="E465" t="str">
            <v>Sinar Alam Duta Perdana, PT</v>
          </cell>
          <cell r="F465" t="str">
            <v/>
          </cell>
          <cell r="G465" t="str">
            <v/>
          </cell>
          <cell r="H465" t="str">
            <v>ARIES KURNIAWAN</v>
          </cell>
          <cell r="I465">
            <v>45635</v>
          </cell>
          <cell r="J465" t="str">
            <v>Tech OP</v>
          </cell>
          <cell r="K465" t="str">
            <v>J</v>
          </cell>
          <cell r="L465" t="str">
            <v>CTR</v>
          </cell>
          <cell r="N465" t="str">
            <v>RH</v>
          </cell>
          <cell r="O465" t="str">
            <v>robertiagus.haposan@alamtri.com</v>
          </cell>
          <cell r="P465">
            <v>852</v>
          </cell>
          <cell r="Q465">
            <v>13632000</v>
          </cell>
          <cell r="R465" t="str">
            <v>Completed Sign PO Contract</v>
          </cell>
          <cell r="T465" t="str">
            <v>MSW</v>
          </cell>
          <cell r="U465" t="str">
            <v>Sinar Alam Duta Perdana, PT</v>
          </cell>
          <cell r="V465" t="str">
            <v>Sinar Alam Duta Perdana, PT</v>
          </cell>
          <cell r="W465" t="str">
            <v>1 of 1</v>
          </cell>
          <cell r="X465" t="str">
            <v>1 of 1</v>
          </cell>
          <cell r="Z465" t="str">
            <v/>
          </cell>
          <cell r="AC465" t="str">
            <v xml:space="preserve"> of </v>
          </cell>
          <cell r="AD465" t="str">
            <v xml:space="preserve"> of </v>
          </cell>
          <cell r="AF465" t="str">
            <v/>
          </cell>
          <cell r="AI465" t="str">
            <v xml:space="preserve"> of </v>
          </cell>
          <cell r="AJ465" t="str">
            <v xml:space="preserve"> of </v>
          </cell>
          <cell r="AL465" t="str">
            <v/>
          </cell>
          <cell r="AM465">
            <v>0.70833333333333304</v>
          </cell>
          <cell r="AN465" t="str">
            <v>Sinar Alam Duta Perdana, PT</v>
          </cell>
          <cell r="AO465" t="str">
            <v>sherlly@sadp.co.id; misrawardi@sadp.co.id; sales1@sadp.co.id; marini@sadp.co.id; ridho@sadp.co.id; nisa_fitria@sadp.co.id; ismawati@sadp.co.id</v>
          </cell>
          <cell r="AP465" t="str">
            <v>PO24000891</v>
          </cell>
          <cell r="AQ465">
            <v>8000000</v>
          </cell>
          <cell r="AT465">
            <v>45642</v>
          </cell>
          <cell r="AU465">
            <v>45646</v>
          </cell>
          <cell r="AV465">
            <v>45642</v>
          </cell>
          <cell r="AW465">
            <v>45646</v>
          </cell>
          <cell r="AX465">
            <v>0.5714285714285714</v>
          </cell>
          <cell r="AY465">
            <v>45646</v>
          </cell>
          <cell r="AZ465" t="str">
            <v/>
          </cell>
          <cell r="BA465" t="str">
            <v/>
          </cell>
          <cell r="BB465" t="str">
            <v>Completed</v>
          </cell>
          <cell r="BC465" t="str">
            <v>PR100009854</v>
          </cell>
        </row>
        <row r="466">
          <cell r="B466" t="str">
            <v>PR100009855</v>
          </cell>
          <cell r="C466" t="str">
            <v>FUEL B35 SERVICE 20 KL Desember 2024</v>
          </cell>
          <cell r="D466" t="str">
            <v>Pertamina Patra Niaga, PT</v>
          </cell>
          <cell r="E466" t="str">
            <v>Pertamina Patra Niaga, PT</v>
          </cell>
          <cell r="F466" t="str">
            <v/>
          </cell>
          <cell r="G466" t="str">
            <v/>
          </cell>
          <cell r="H466" t="str">
            <v>ARIES KURNIAWAN</v>
          </cell>
          <cell r="I466">
            <v>45638</v>
          </cell>
          <cell r="J466" t="str">
            <v>Tech OP</v>
          </cell>
          <cell r="K466" t="str">
            <v>B</v>
          </cell>
          <cell r="L466" t="str">
            <v>CTR</v>
          </cell>
          <cell r="N466" t="str">
            <v>RH</v>
          </cell>
          <cell r="O466" t="str">
            <v>robertiagus.haposan@alamtri.com</v>
          </cell>
          <cell r="P466">
            <v>13429.999299999999</v>
          </cell>
          <cell r="Q466">
            <v>214879988.79999998</v>
          </cell>
          <cell r="R466" t="str">
            <v>Completed Sign PO Contract</v>
          </cell>
          <cell r="T466" t="str">
            <v>MSW</v>
          </cell>
          <cell r="U466" t="str">
            <v>Pertamina Patra Niaga, PT</v>
          </cell>
          <cell r="V466" t="str">
            <v>Pertamina Patra Niaga, PT</v>
          </cell>
          <cell r="W466" t="str">
            <v>1 of 1</v>
          </cell>
          <cell r="X466" t="str">
            <v>1 of 1</v>
          </cell>
          <cell r="Z466" t="str">
            <v/>
          </cell>
          <cell r="AC466" t="str">
            <v xml:space="preserve"> of </v>
          </cell>
          <cell r="AD466" t="str">
            <v xml:space="preserve"> of </v>
          </cell>
          <cell r="AF466" t="str">
            <v/>
          </cell>
          <cell r="AI466" t="str">
            <v xml:space="preserve"> of </v>
          </cell>
          <cell r="AJ466" t="str">
            <v xml:space="preserve"> of </v>
          </cell>
          <cell r="AL466" t="str">
            <v/>
          </cell>
          <cell r="AM466">
            <v>0.70833333333333304</v>
          </cell>
          <cell r="AN466" t="str">
            <v>Pertamina Patra Niaga, PT</v>
          </cell>
          <cell r="AO466" t="str">
            <v>ibnu.kautsar@pertamina.com; muhammad.nurdin@pertamina.com; mk.ihdimahyapi@mitrakerja.pertamina.com; mk.muhammad.jamil@mitrakerja.pertamina.com; pandu.dwijayanto@pertamina.com; mk.della.putri@mitrakerja.pertamina.com; mk.dwi.oktaviana@mitrakerja.pertamina.com; mk.mardhiyah.m@mitrakerja.pertamina.com</v>
          </cell>
          <cell r="AP466" t="str">
            <v>PO24000890</v>
          </cell>
          <cell r="AQ466">
            <v>212613626.44999999</v>
          </cell>
          <cell r="AT466">
            <v>45642</v>
          </cell>
          <cell r="AU466">
            <v>45646</v>
          </cell>
          <cell r="AV466">
            <v>45642</v>
          </cell>
          <cell r="AW466">
            <v>45646</v>
          </cell>
          <cell r="AX466">
            <v>0.5714285714285714</v>
          </cell>
          <cell r="AZ466" t="str">
            <v/>
          </cell>
          <cell r="BA466" t="str">
            <v/>
          </cell>
          <cell r="BB466" t="str">
            <v>Completed</v>
          </cell>
          <cell r="BC466" t="str">
            <v>PR100009855</v>
          </cell>
        </row>
        <row r="467">
          <cell r="B467" t="str">
            <v>PR100009858</v>
          </cell>
          <cell r="C467" t="str">
            <v>Rental Office MSW Jakarta Periode November 2024 - April 2025</v>
          </cell>
          <cell r="D467" t="str">
            <v>AlamTri Power Indonesia, PT</v>
          </cell>
          <cell r="E467" t="str">
            <v>AlamTri Power Indonesia, PT</v>
          </cell>
          <cell r="F467" t="str">
            <v/>
          </cell>
          <cell r="G467" t="str">
            <v/>
          </cell>
          <cell r="H467" t="str">
            <v>M FIKRY MAULANA</v>
          </cell>
          <cell r="I467">
            <v>45639</v>
          </cell>
          <cell r="J467" t="str">
            <v>HR</v>
          </cell>
          <cell r="K467" t="str">
            <v>J</v>
          </cell>
          <cell r="L467" t="str">
            <v>CTR</v>
          </cell>
          <cell r="N467" t="str">
            <v>RH</v>
          </cell>
          <cell r="O467" t="str">
            <v>robertiagus.haposan@alamtri.com</v>
          </cell>
          <cell r="P467">
            <v>34200</v>
          </cell>
          <cell r="Q467">
            <v>547200000</v>
          </cell>
          <cell r="R467" t="str">
            <v>Completed Sign PO Contract</v>
          </cell>
          <cell r="T467" t="str">
            <v>MSW</v>
          </cell>
          <cell r="U467" t="str">
            <v>AlamTri Power Indonesia, PT</v>
          </cell>
          <cell r="V467" t="str">
            <v>AlamTri Power Indonesia, PT</v>
          </cell>
          <cell r="W467" t="str">
            <v>1 of 1</v>
          </cell>
          <cell r="X467" t="str">
            <v>1 of 1</v>
          </cell>
          <cell r="Z467" t="str">
            <v/>
          </cell>
          <cell r="AC467" t="str">
            <v xml:space="preserve"> of </v>
          </cell>
          <cell r="AD467" t="str">
            <v xml:space="preserve"> of </v>
          </cell>
          <cell r="AF467" t="str">
            <v/>
          </cell>
          <cell r="AI467" t="str">
            <v xml:space="preserve"> of </v>
          </cell>
          <cell r="AJ467" t="str">
            <v xml:space="preserve"> of </v>
          </cell>
          <cell r="AL467" t="str">
            <v/>
          </cell>
          <cell r="AM467">
            <v>0.70833333333333304</v>
          </cell>
          <cell r="AN467" t="str">
            <v>AlamTri Power Indonesia, PT</v>
          </cell>
          <cell r="AO467" t="str">
            <v>totok.hardjanto@adaro.com</v>
          </cell>
          <cell r="AP467" t="str">
            <v>PO24000892</v>
          </cell>
          <cell r="AQ467">
            <v>513000000</v>
          </cell>
          <cell r="AT467">
            <v>45639</v>
          </cell>
          <cell r="AU467">
            <v>45674</v>
          </cell>
          <cell r="AV467">
            <v>45642</v>
          </cell>
          <cell r="AW467">
            <v>45677</v>
          </cell>
          <cell r="AX467">
            <v>5</v>
          </cell>
          <cell r="AY467">
            <v>45646</v>
          </cell>
          <cell r="AZ467" t="str">
            <v/>
          </cell>
          <cell r="BA467" t="str">
            <v/>
          </cell>
          <cell r="BB467" t="str">
            <v>Completed</v>
          </cell>
          <cell r="BC467" t="str">
            <v>PR100009858</v>
          </cell>
        </row>
        <row r="468">
          <cell r="B468" t="str">
            <v>PR100009873</v>
          </cell>
          <cell r="C468" t="str">
            <v>FUEL B35 TRANSPORTATION SERVICE 30KL Desember (Pengirimian 23 Desember 2024)</v>
          </cell>
          <cell r="D468" t="str">
            <v>Sinar Alam Duta Perdana, PT</v>
          </cell>
          <cell r="E468" t="str">
            <v>Sinar Alam Duta Perdana, PT</v>
          </cell>
          <cell r="F468" t="str">
            <v/>
          </cell>
          <cell r="G468" t="str">
            <v/>
          </cell>
          <cell r="H468" t="str">
            <v>JUNAWAN KAUNO</v>
          </cell>
          <cell r="I468">
            <v>45644</v>
          </cell>
          <cell r="J468" t="str">
            <v>Tech Op</v>
          </cell>
          <cell r="K468" t="str">
            <v>B</v>
          </cell>
          <cell r="L468" t="str">
            <v>CTR</v>
          </cell>
          <cell r="N468" t="str">
            <v>RH</v>
          </cell>
          <cell r="O468" t="str">
            <v>robertiagus.haposan@alamtri.com</v>
          </cell>
          <cell r="P468">
            <v>1278</v>
          </cell>
          <cell r="Q468">
            <v>20448000</v>
          </cell>
          <cell r="R468" t="str">
            <v>Completed Sign PO Contract</v>
          </cell>
          <cell r="T468" t="str">
            <v>MSW</v>
          </cell>
          <cell r="U468" t="str">
            <v>Sinar Alam Duta Perdana, PT</v>
          </cell>
          <cell r="V468" t="str">
            <v>Sinar Alam Duta Perdana, PT</v>
          </cell>
          <cell r="W468" t="str">
            <v>1 of 1</v>
          </cell>
          <cell r="X468" t="str">
            <v>1 of 1</v>
          </cell>
          <cell r="Z468" t="str">
            <v/>
          </cell>
          <cell r="AC468" t="str">
            <v xml:space="preserve"> of </v>
          </cell>
          <cell r="AD468" t="str">
            <v xml:space="preserve"> of </v>
          </cell>
          <cell r="AF468" t="str">
            <v/>
          </cell>
          <cell r="AI468" t="str">
            <v xml:space="preserve"> of </v>
          </cell>
          <cell r="AJ468" t="str">
            <v xml:space="preserve"> of </v>
          </cell>
          <cell r="AL468" t="str">
            <v/>
          </cell>
          <cell r="AM468">
            <v>0.70833333333333304</v>
          </cell>
          <cell r="AN468" t="str">
            <v>Sinar Alam Duta Perdana, PT</v>
          </cell>
          <cell r="AO468" t="str">
            <v>sherlly@sadp.co.id; misrawardi@sadp.co.id; sales1@sadp.co.id; marini@sadp.co.id; ridho@sadp.co.id; nisa_fitria@sadp.co.id; ismawati@sadp.co.id</v>
          </cell>
          <cell r="AP468" t="str">
            <v>PO24000912</v>
          </cell>
          <cell r="AQ468">
            <v>12000000</v>
          </cell>
          <cell r="AT468">
            <v>45645</v>
          </cell>
          <cell r="AU468">
            <v>45657</v>
          </cell>
          <cell r="AV468">
            <v>45645</v>
          </cell>
          <cell r="AW468">
            <v>45657</v>
          </cell>
          <cell r="AX468">
            <v>1.7142857142857142</v>
          </cell>
          <cell r="AY468">
            <v>45650</v>
          </cell>
          <cell r="AZ468" t="str">
            <v/>
          </cell>
          <cell r="BA468" t="str">
            <v/>
          </cell>
          <cell r="BB468" t="str">
            <v>Completed</v>
          </cell>
          <cell r="BC468" t="str">
            <v>PR100009873</v>
          </cell>
        </row>
        <row r="469">
          <cell r="B469" t="str">
            <v>PR100009874</v>
          </cell>
          <cell r="C469" t="str">
            <v>FUEL B35 FOR  MAIN LDO TANK 30KL REORDER Desember ( pengiriman 23 Desember 2024 )</v>
          </cell>
          <cell r="D469" t="str">
            <v>Pertamina Patra Niaga, PT</v>
          </cell>
          <cell r="E469" t="str">
            <v>Pertamina Patra Niaga, PT</v>
          </cell>
          <cell r="F469" t="str">
            <v/>
          </cell>
          <cell r="G469" t="str">
            <v/>
          </cell>
          <cell r="H469" t="str">
            <v>JUNAWAN KAUNO</v>
          </cell>
          <cell r="I469">
            <v>45645</v>
          </cell>
          <cell r="J469" t="str">
            <v>Tech Op</v>
          </cell>
          <cell r="K469" t="str">
            <v>J</v>
          </cell>
          <cell r="L469" t="str">
            <v>CTR</v>
          </cell>
          <cell r="N469" t="str">
            <v>RH</v>
          </cell>
          <cell r="O469" t="str">
            <v>robertiagus.haposan@alamtri.com</v>
          </cell>
          <cell r="P469">
            <v>19789.999299999999</v>
          </cell>
          <cell r="Q469">
            <v>316639988.80000001</v>
          </cell>
          <cell r="R469" t="str">
            <v>Completed Sign PO Contract</v>
          </cell>
          <cell r="T469" t="str">
            <v>MSW</v>
          </cell>
          <cell r="U469" t="str">
            <v>Pertamina Patra Niaga, PT</v>
          </cell>
          <cell r="V469" t="str">
            <v>Pertamina Patra Niaga, PT</v>
          </cell>
          <cell r="W469" t="str">
            <v>1 of 1</v>
          </cell>
          <cell r="X469" t="str">
            <v>1 of 1</v>
          </cell>
          <cell r="Z469" t="str">
            <v/>
          </cell>
          <cell r="AC469" t="str">
            <v xml:space="preserve"> of </v>
          </cell>
          <cell r="AD469" t="str">
            <v xml:space="preserve"> of </v>
          </cell>
          <cell r="AF469" t="str">
            <v/>
          </cell>
          <cell r="AI469" t="str">
            <v xml:space="preserve"> of </v>
          </cell>
          <cell r="AJ469" t="str">
            <v xml:space="preserve"> of </v>
          </cell>
          <cell r="AL469" t="str">
            <v/>
          </cell>
          <cell r="AM469">
            <v>0.70833333333333304</v>
          </cell>
          <cell r="AN469" t="str">
            <v>Pertamina Patra Niaga, PT</v>
          </cell>
          <cell r="AO469" t="str">
            <v>ibnu.kautsar@pertamina.com; muhammad.nurdin@pertamina.com; mk.ihdimahyapi@mitrakerja.pertamina.com; mk.muhammad.jamil@mitrakerja.pertamina.com; pandu.dwijayanto@pertamina.com; mk.della.putri@mitrakerja.pertamina.com; mk.dwi.oktaviana@mitrakerja.pertamina.com; mk.mardhiyah.m@mitrakerja.pertamina.com</v>
          </cell>
          <cell r="AP469" t="str">
            <v>PO24000911</v>
          </cell>
          <cell r="AQ469">
            <v>318920439.68000001</v>
          </cell>
          <cell r="AT469">
            <v>45645</v>
          </cell>
          <cell r="AU469">
            <v>45657</v>
          </cell>
          <cell r="AV469">
            <v>45645</v>
          </cell>
          <cell r="AW469">
            <v>45657</v>
          </cell>
          <cell r="AX469">
            <v>1.7142857142857142</v>
          </cell>
          <cell r="AY469">
            <v>45650</v>
          </cell>
          <cell r="AZ469" t="str">
            <v/>
          </cell>
          <cell r="BA469" t="str">
            <v/>
          </cell>
          <cell r="BB469" t="str">
            <v>Completed</v>
          </cell>
          <cell r="BC469" t="str">
            <v>PR100009874</v>
          </cell>
        </row>
        <row r="470">
          <cell r="B470" t="str">
            <v>PR100009861 (Line 1-2)</v>
          </cell>
          <cell r="C470" t="str">
            <v>Pekerjaan CCTV - No Kontrak MSW/19/NEC-ISE/IX/2024</v>
          </cell>
          <cell r="D470" t="str">
            <v>Indostar Security, PT</v>
          </cell>
          <cell r="E470" t="str">
            <v>Indostar Security, PT</v>
          </cell>
          <cell r="F470" t="str">
            <v/>
          </cell>
          <cell r="G470" t="str">
            <v/>
          </cell>
          <cell r="H470" t="str">
            <v>DENI SUHENDRA</v>
          </cell>
          <cell r="I470">
            <v>45656</v>
          </cell>
          <cell r="J470" t="str">
            <v>Tech Eng</v>
          </cell>
          <cell r="K470" t="str">
            <v>B &amp; J</v>
          </cell>
          <cell r="L470" t="str">
            <v>CTR</v>
          </cell>
          <cell r="N470" t="str">
            <v>RH</v>
          </cell>
          <cell r="O470" t="str">
            <v>robertiagus.haposan@alamtri.com</v>
          </cell>
          <cell r="P470">
            <v>37036.5</v>
          </cell>
          <cell r="Q470">
            <v>592584000</v>
          </cell>
          <cell r="R470" t="str">
            <v>Completed Sign PO Contract</v>
          </cell>
          <cell r="T470" t="str">
            <v>MSW</v>
          </cell>
          <cell r="U470" t="str">
            <v>Indostar Security, PT</v>
          </cell>
          <cell r="V470" t="str">
            <v>Indostar Security, PT</v>
          </cell>
          <cell r="W470" t="str">
            <v>1 of 1</v>
          </cell>
          <cell r="X470" t="str">
            <v>1 of 1</v>
          </cell>
          <cell r="Z470" t="str">
            <v/>
          </cell>
          <cell r="AC470" t="str">
            <v xml:space="preserve"> of </v>
          </cell>
          <cell r="AD470" t="str">
            <v xml:space="preserve"> of </v>
          </cell>
          <cell r="AF470" t="str">
            <v/>
          </cell>
          <cell r="AI470" t="str">
            <v xml:space="preserve"> of </v>
          </cell>
          <cell r="AJ470" t="str">
            <v xml:space="preserve"> of </v>
          </cell>
          <cell r="AL470" t="str">
            <v/>
          </cell>
          <cell r="AM470">
            <v>0.70833333333333304</v>
          </cell>
          <cell r="AN470" t="str">
            <v>Indostar Security, PT</v>
          </cell>
          <cell r="AO470" t="str">
            <v>linayanti@indostarsecurity.co.id; marketing@indostarsecurity.co.id; tech.support@indostarsecurity.co.id</v>
          </cell>
          <cell r="AP470" t="str">
            <v>PO24000936R1</v>
          </cell>
          <cell r="AQ470">
            <v>353661600</v>
          </cell>
          <cell r="AT470">
            <v>45657</v>
          </cell>
          <cell r="AU470">
            <v>45688</v>
          </cell>
          <cell r="AV470">
            <v>45666</v>
          </cell>
          <cell r="AW470">
            <v>45697</v>
          </cell>
          <cell r="AX470">
            <v>4.4285714285714288</v>
          </cell>
          <cell r="AY470">
            <v>45668</v>
          </cell>
          <cell r="AZ470" t="str">
            <v/>
          </cell>
          <cell r="BA470" t="str">
            <v/>
          </cell>
          <cell r="BB470" t="str">
            <v>Completed</v>
          </cell>
          <cell r="BC470" t="str">
            <v>PR100009861</v>
          </cell>
        </row>
        <row r="471">
          <cell r="B471" t="str">
            <v>PR100009861 (Line 3)</v>
          </cell>
          <cell r="C471" t="str">
            <v>Pekerjaan CCTV - No Kontrak MSW/19/NEC-ISE/IX/2024</v>
          </cell>
          <cell r="D471" t="str">
            <v>Indostar Security, PT</v>
          </cell>
          <cell r="E471" t="str">
            <v>Indostar Security, PT</v>
          </cell>
          <cell r="F471" t="str">
            <v/>
          </cell>
          <cell r="G471" t="str">
            <v/>
          </cell>
          <cell r="H471" t="str">
            <v>DEDE SUDARJI</v>
          </cell>
          <cell r="I471">
            <v>45642</v>
          </cell>
          <cell r="J471" t="str">
            <v>Tech Eng</v>
          </cell>
          <cell r="K471" t="str">
            <v>B &amp; J</v>
          </cell>
          <cell r="L471" t="str">
            <v>CTR</v>
          </cell>
          <cell r="N471" t="str">
            <v>RH</v>
          </cell>
          <cell r="O471" t="str">
            <v>robertiagus.haposan@alamtri.com</v>
          </cell>
          <cell r="P471">
            <v>37036.5</v>
          </cell>
          <cell r="Q471">
            <v>592584000</v>
          </cell>
          <cell r="R471" t="str">
            <v>Completed Sign PO Contract</v>
          </cell>
          <cell r="T471" t="str">
            <v>MSW</v>
          </cell>
          <cell r="U471" t="str">
            <v>Indostar Security, PT</v>
          </cell>
          <cell r="V471" t="str">
            <v>Indostar Security, PT</v>
          </cell>
          <cell r="W471" t="str">
            <v>1 of 1</v>
          </cell>
          <cell r="X471" t="str">
            <v>1 of 1</v>
          </cell>
          <cell r="Z471" t="str">
            <v/>
          </cell>
          <cell r="AC471" t="str">
            <v xml:space="preserve"> of </v>
          </cell>
          <cell r="AD471" t="str">
            <v xml:space="preserve"> of </v>
          </cell>
          <cell r="AF471" t="str">
            <v/>
          </cell>
          <cell r="AI471" t="str">
            <v xml:space="preserve"> of </v>
          </cell>
          <cell r="AJ471" t="str">
            <v xml:space="preserve"> of </v>
          </cell>
          <cell r="AL471" t="str">
            <v/>
          </cell>
          <cell r="AM471">
            <v>0.70833333333333304</v>
          </cell>
          <cell r="AN471" t="str">
            <v>Indostar Security, PT</v>
          </cell>
          <cell r="AO471" t="str">
            <v>linayanti@indostarsecurity.co.id; marketing@indostarsecurity.co.id; tech.support@indostarsecurity.co.id</v>
          </cell>
          <cell r="AP471" t="str">
            <v>PO24000984</v>
          </cell>
          <cell r="AQ471">
            <v>235774400</v>
          </cell>
          <cell r="AT471">
            <v>45694</v>
          </cell>
          <cell r="AU471">
            <v>45723</v>
          </cell>
          <cell r="AV471">
            <v>45700</v>
          </cell>
          <cell r="AW471">
            <v>45729</v>
          </cell>
          <cell r="AX471">
            <v>4.1428571428571432</v>
          </cell>
          <cell r="AY471">
            <v>45695</v>
          </cell>
          <cell r="AZ471" t="str">
            <v/>
          </cell>
          <cell r="BA471" t="str">
            <v/>
          </cell>
          <cell r="BB471" t="str">
            <v>Late Completed</v>
          </cell>
          <cell r="BC471" t="str">
            <v>PR100009861</v>
          </cell>
        </row>
        <row r="472">
          <cell r="B472" t="str">
            <v>PR100008966</v>
          </cell>
          <cell r="C472" t="str">
            <v>Sparepart Caterpilan Genset 2024 (for Kontrak only)</v>
          </cell>
          <cell r="D472" t="str">
            <v>Trakindo Utama, PT</v>
          </cell>
          <cell r="E472" t="str">
            <v>Trakindo Utama, PT</v>
          </cell>
          <cell r="F472" t="str">
            <v/>
          </cell>
          <cell r="G472" t="str">
            <v/>
          </cell>
          <cell r="H472" t="str">
            <v>IFIT PRABOWO</v>
          </cell>
          <cell r="I472">
            <v>45352</v>
          </cell>
          <cell r="J472" t="str">
            <v>Tech Main</v>
          </cell>
          <cell r="K472" t="str">
            <v>B</v>
          </cell>
          <cell r="L472" t="str">
            <v>CTR</v>
          </cell>
          <cell r="N472" t="str">
            <v>RH</v>
          </cell>
          <cell r="O472" t="str">
            <v>robertiagus.haposan@alamtri.com</v>
          </cell>
          <cell r="P472">
            <v>72094.614199999996</v>
          </cell>
          <cell r="Q472">
            <v>1153513827.2</v>
          </cell>
          <cell r="R472" t="str">
            <v>Complete Contract and Cancel PR</v>
          </cell>
          <cell r="S472" t="str">
            <v>Unit price</v>
          </cell>
          <cell r="T472" t="str">
            <v>MSW</v>
          </cell>
          <cell r="U472" t="str">
            <v>Trakindo Utama, PT</v>
          </cell>
          <cell r="V472" t="str">
            <v>Trakindo Utama, PT</v>
          </cell>
          <cell r="W472" t="str">
            <v>1 of 1</v>
          </cell>
          <cell r="X472" t="str">
            <v>1 of 1</v>
          </cell>
          <cell r="Z472" t="str">
            <v/>
          </cell>
          <cell r="AC472" t="str">
            <v xml:space="preserve"> of </v>
          </cell>
          <cell r="AD472" t="str">
            <v xml:space="preserve"> of </v>
          </cell>
          <cell r="AF472" t="str">
            <v/>
          </cell>
          <cell r="AI472" t="str">
            <v xml:space="preserve"> of </v>
          </cell>
          <cell r="AJ472" t="str">
            <v xml:space="preserve"> of </v>
          </cell>
          <cell r="AL472" t="str">
            <v/>
          </cell>
          <cell r="AM472">
            <v>0.70833333333333304</v>
          </cell>
          <cell r="AN472" t="str">
            <v>Trakindo Utama, PT</v>
          </cell>
          <cell r="AO472" t="str">
            <v>hjuniater.sidauruk@trakindo.co.id</v>
          </cell>
          <cell r="AQ472">
            <v>11000000000</v>
          </cell>
          <cell r="AW472" t="str">
            <v/>
          </cell>
          <cell r="AX472" t="str">
            <v/>
          </cell>
          <cell r="AZ472" t="str">
            <v/>
          </cell>
          <cell r="BA472" t="str">
            <v/>
          </cell>
          <cell r="BB472" t="str">
            <v/>
          </cell>
          <cell r="BC472" t="str">
            <v>PR100008966</v>
          </cell>
        </row>
        <row r="473">
          <cell r="B473" t="str">
            <v>PR100009047</v>
          </cell>
          <cell r="C473" t="str">
            <v>Amandemen I atas Perjanjian Perpanjangan Sewa Menyewa Kendaraan PT MSW dengan PT TPP (4bulan)</v>
          </cell>
          <cell r="D473" t="str">
            <v>Tanjung Prima Persada, PT</v>
          </cell>
          <cell r="E473" t="str">
            <v>Tanjung Prima Persada, PT</v>
          </cell>
          <cell r="F473" t="str">
            <v/>
          </cell>
          <cell r="G473" t="str">
            <v/>
          </cell>
          <cell r="H473" t="str">
            <v>M FIKRY MAULANA</v>
          </cell>
          <cell r="I473">
            <v>45378</v>
          </cell>
          <cell r="J473" t="str">
            <v>HR</v>
          </cell>
          <cell r="K473" t="str">
            <v>B &amp; J</v>
          </cell>
          <cell r="L473" t="str">
            <v>CTR</v>
          </cell>
          <cell r="N473" t="str">
            <v>RH</v>
          </cell>
          <cell r="O473" t="str">
            <v>robertiagus.haposan@alamtri.com</v>
          </cell>
          <cell r="P473">
            <v>62908</v>
          </cell>
          <cell r="Q473">
            <v>1006528000</v>
          </cell>
          <cell r="R473" t="str">
            <v>Complete Contract and Cancel PR</v>
          </cell>
          <cell r="T473" t="str">
            <v>MSW</v>
          </cell>
          <cell r="U473" t="str">
            <v>Tanjung Prima Persada, PT</v>
          </cell>
          <cell r="V473" t="str">
            <v>Tanjung Prima Persada, PT</v>
          </cell>
          <cell r="W473" t="str">
            <v>1 of 1</v>
          </cell>
          <cell r="X473" t="str">
            <v>1 of 1</v>
          </cell>
          <cell r="Z473" t="str">
            <v/>
          </cell>
          <cell r="AC473" t="str">
            <v xml:space="preserve"> of </v>
          </cell>
          <cell r="AD473" t="str">
            <v xml:space="preserve"> of </v>
          </cell>
          <cell r="AF473" t="str">
            <v/>
          </cell>
          <cell r="AI473" t="str">
            <v xml:space="preserve"> of </v>
          </cell>
          <cell r="AJ473" t="str">
            <v xml:space="preserve"> of </v>
          </cell>
          <cell r="AL473" t="str">
            <v/>
          </cell>
          <cell r="AM473">
            <v>0.70833333333333304</v>
          </cell>
          <cell r="AN473" t="str">
            <v>Tanjung Prima Persada, PT</v>
          </cell>
          <cell r="AO473" t="str">
            <v>ferryelpeni@yahoo.com</v>
          </cell>
          <cell r="AQ473">
            <v>943614468</v>
          </cell>
          <cell r="AW473" t="str">
            <v/>
          </cell>
          <cell r="AX473" t="str">
            <v/>
          </cell>
          <cell r="AZ473" t="str">
            <v/>
          </cell>
          <cell r="BA473" t="str">
            <v/>
          </cell>
          <cell r="BB473" t="str">
            <v/>
          </cell>
          <cell r="BC473" t="str">
            <v/>
          </cell>
        </row>
        <row r="474">
          <cell r="B474" t="str">
            <v>PR100008977</v>
          </cell>
          <cell r="C474" t="str">
            <v>Penggunaan Coal February 2024 Operation Dept</v>
          </cell>
          <cell r="D474" t="str">
            <v>Adaro Indonesia, PT</v>
          </cell>
          <cell r="E474" t="str">
            <v>Adaro Indonesia, PT</v>
          </cell>
          <cell r="F474" t="str">
            <v/>
          </cell>
          <cell r="G474" t="str">
            <v/>
          </cell>
          <cell r="H474" t="str">
            <v>ARIES KURNIAWAN</v>
          </cell>
          <cell r="I474">
            <v>45356</v>
          </cell>
          <cell r="J474" t="str">
            <v>Tech Op</v>
          </cell>
          <cell r="K474" t="str">
            <v>B</v>
          </cell>
          <cell r="L474" t="str">
            <v>CTR</v>
          </cell>
          <cell r="N474" t="str">
            <v>RH</v>
          </cell>
          <cell r="O474" t="str">
            <v>robertiagus.haposan@alamtri.com</v>
          </cell>
          <cell r="P474">
            <v>400422</v>
          </cell>
          <cell r="Q474">
            <v>6406752000</v>
          </cell>
          <cell r="R474" t="str">
            <v>Completed Sign PO</v>
          </cell>
          <cell r="T474" t="str">
            <v>MSW</v>
          </cell>
          <cell r="U474" t="str">
            <v>Adaro Indonesia, PT</v>
          </cell>
          <cell r="V474" t="str">
            <v>Adaro Indonesia, PT</v>
          </cell>
          <cell r="W474" t="str">
            <v>1 of 1</v>
          </cell>
          <cell r="X474" t="str">
            <v>1 of 1</v>
          </cell>
          <cell r="Z474" t="str">
            <v/>
          </cell>
          <cell r="AC474" t="str">
            <v xml:space="preserve"> of </v>
          </cell>
          <cell r="AD474" t="str">
            <v xml:space="preserve"> of </v>
          </cell>
          <cell r="AF474" t="str">
            <v/>
          </cell>
          <cell r="AI474" t="str">
            <v xml:space="preserve"> of </v>
          </cell>
          <cell r="AJ474" t="str">
            <v xml:space="preserve"> of </v>
          </cell>
          <cell r="AL474" t="str">
            <v/>
          </cell>
          <cell r="AM474">
            <v>0.70833333333333304</v>
          </cell>
          <cell r="AN474" t="str">
            <v>Adaro Indonesia, PT</v>
          </cell>
          <cell r="AO474" t="str">
            <v>mulyadi@adaro.com; rachman.hakim@adaro.com; Shipping@adaro.com</v>
          </cell>
          <cell r="AP474" t="str">
            <v>PO24000069</v>
          </cell>
          <cell r="AQ474">
            <v>5140574681.6400003</v>
          </cell>
          <cell r="AT474">
            <v>45357</v>
          </cell>
          <cell r="AU474">
            <v>45394</v>
          </cell>
          <cell r="AV474">
            <v>45359</v>
          </cell>
          <cell r="AW474">
            <v>45396</v>
          </cell>
          <cell r="AX474">
            <v>5.2857142857142856</v>
          </cell>
          <cell r="AY474">
            <v>45351</v>
          </cell>
          <cell r="AZ474" t="str">
            <v/>
          </cell>
          <cell r="BA474" t="str">
            <v/>
          </cell>
          <cell r="BB474" t="str">
            <v>Completed</v>
          </cell>
          <cell r="BC474" t="str">
            <v>PR100008977</v>
          </cell>
        </row>
        <row r="475">
          <cell r="B475" t="str">
            <v>PR100008975</v>
          </cell>
          <cell r="C475" t="str">
            <v>KURITA INDONESIA-CHEMICAL CONSUMPTION PERIODE FEBRUARI 2024</v>
          </cell>
          <cell r="D475" t="str">
            <v>Kurita Indonesia, PT</v>
          </cell>
          <cell r="E475" t="str">
            <v>Kurita Indonesia, PT</v>
          </cell>
          <cell r="F475" t="str">
            <v/>
          </cell>
          <cell r="G475" t="str">
            <v/>
          </cell>
          <cell r="H475" t="str">
            <v>ARTHUR BRAMIYANA</v>
          </cell>
          <cell r="I475">
            <v>45376</v>
          </cell>
          <cell r="J475" t="str">
            <v>Tech Op</v>
          </cell>
          <cell r="K475" t="str">
            <v>B &amp; J</v>
          </cell>
          <cell r="L475" t="str">
            <v>CTR</v>
          </cell>
          <cell r="N475" t="str">
            <v>RH</v>
          </cell>
          <cell r="O475" t="str">
            <v>robertiagus.haposan@alamtri.com</v>
          </cell>
          <cell r="P475">
            <v>6547.7363999999998</v>
          </cell>
          <cell r="Q475">
            <v>104763782.39999999</v>
          </cell>
          <cell r="R475" t="str">
            <v>Completed Sign PO</v>
          </cell>
          <cell r="T475" t="str">
            <v>MSW</v>
          </cell>
          <cell r="U475" t="str">
            <v>Kurita Indonesia, PT</v>
          </cell>
          <cell r="V475" t="str">
            <v>Kurita Indonesia, PT</v>
          </cell>
          <cell r="W475" t="str">
            <v>1 of 1</v>
          </cell>
          <cell r="X475" t="str">
            <v>1 of 1</v>
          </cell>
          <cell r="Z475" t="str">
            <v/>
          </cell>
          <cell r="AC475" t="str">
            <v xml:space="preserve"> of </v>
          </cell>
          <cell r="AD475" t="str">
            <v xml:space="preserve"> of </v>
          </cell>
          <cell r="AF475" t="str">
            <v/>
          </cell>
          <cell r="AI475" t="str">
            <v xml:space="preserve"> of </v>
          </cell>
          <cell r="AJ475" t="str">
            <v xml:space="preserve"> of </v>
          </cell>
          <cell r="AL475" t="str">
            <v/>
          </cell>
          <cell r="AM475">
            <v>0.70833333333333304</v>
          </cell>
          <cell r="AN475" t="str">
            <v>Kurita Indonesia, PT</v>
          </cell>
          <cell r="AO475" t="str">
            <v>r.padlani12@kurita-water.com</v>
          </cell>
          <cell r="AP475" t="str">
            <v>PO24000131</v>
          </cell>
          <cell r="AQ475">
            <v>102308380</v>
          </cell>
          <cell r="AT475">
            <v>45376</v>
          </cell>
          <cell r="AU475">
            <v>45415</v>
          </cell>
          <cell r="AV475">
            <v>45377</v>
          </cell>
          <cell r="AW475">
            <v>45416</v>
          </cell>
          <cell r="AX475">
            <v>5.5714285714285712</v>
          </cell>
          <cell r="AY475">
            <v>45351</v>
          </cell>
          <cell r="AZ475" t="str">
            <v/>
          </cell>
          <cell r="BA475" t="str">
            <v/>
          </cell>
          <cell r="BB475" t="str">
            <v>Completed</v>
          </cell>
          <cell r="BC475" t="str">
            <v>PR100008975</v>
          </cell>
        </row>
        <row r="476">
          <cell r="B476" t="str">
            <v>PR100009050</v>
          </cell>
          <cell r="C476" t="str">
            <v>FUEL B35 FOR  MAIN LDO TANK 10KL REORDER MARET 2024</v>
          </cell>
          <cell r="E476" t="str">
            <v/>
          </cell>
          <cell r="F476" t="str">
            <v/>
          </cell>
          <cell r="G476" t="str">
            <v/>
          </cell>
          <cell r="H476" t="str">
            <v>ARTHUR BRAMIYANA</v>
          </cell>
          <cell r="I476">
            <v>45383</v>
          </cell>
          <cell r="J476" t="str">
            <v>Tech OP</v>
          </cell>
          <cell r="K476" t="str">
            <v>B</v>
          </cell>
          <cell r="L476" t="str">
            <v>CTR</v>
          </cell>
          <cell r="N476" t="str">
            <v>RH</v>
          </cell>
          <cell r="O476" t="str">
            <v>robertiagus.haposan@alamtri.com</v>
          </cell>
          <cell r="P476">
            <v>426</v>
          </cell>
          <cell r="Q476">
            <v>6816000</v>
          </cell>
          <cell r="R476" t="str">
            <v>CANCEL</v>
          </cell>
          <cell r="S476" t="str">
            <v>PO buyer Rajudin</v>
          </cell>
          <cell r="T476" t="str">
            <v>MSW</v>
          </cell>
          <cell r="W476" t="str">
            <v xml:space="preserve"> of </v>
          </cell>
          <cell r="X476" t="str">
            <v xml:space="preserve"> of </v>
          </cell>
          <cell r="Z476" t="str">
            <v/>
          </cell>
          <cell r="AC476" t="str">
            <v xml:space="preserve"> of </v>
          </cell>
          <cell r="AD476" t="str">
            <v xml:space="preserve"> of </v>
          </cell>
          <cell r="AF476" t="str">
            <v/>
          </cell>
          <cell r="AI476" t="str">
            <v xml:space="preserve"> of </v>
          </cell>
          <cell r="AJ476" t="str">
            <v xml:space="preserve"> of </v>
          </cell>
          <cell r="AL476" t="str">
            <v/>
          </cell>
          <cell r="AM476">
            <v>0.70833333333333304</v>
          </cell>
          <cell r="AN476" t="str">
            <v>Sinar Alam Duta Perdana, PT</v>
          </cell>
          <cell r="AO476" t="str">
            <v>sherlly@sadp.co.id; misrawardi@sadp.co.id; sales1@sadp.co.id; marini@sadp.co.id; ridho@sadp.co.id; nisa_fitria@sadp.co.id; ismawati@sadp.co.id</v>
          </cell>
          <cell r="AP476" t="str">
            <v>PO24000146</v>
          </cell>
          <cell r="AQ476">
            <v>4000000</v>
          </cell>
          <cell r="AT476">
            <v>45387</v>
          </cell>
          <cell r="AU476">
            <v>45397</v>
          </cell>
          <cell r="AV476">
            <v>45425</v>
          </cell>
          <cell r="AW476">
            <v>45435</v>
          </cell>
          <cell r="AX476">
            <v>1.4285714285714286</v>
          </cell>
          <cell r="AZ476" t="str">
            <v/>
          </cell>
          <cell r="BA476" t="str">
            <v/>
          </cell>
          <cell r="BB476" t="str">
            <v>Completed</v>
          </cell>
          <cell r="BC476" t="str">
            <v>PR100009050</v>
          </cell>
        </row>
        <row r="477">
          <cell r="B477" t="str">
            <v>PR100009081 (Juli - Des 24)</v>
          </cell>
          <cell r="C477" t="str">
            <v>Penyediaan Jasa Pengamanan (Security) Periode 2024</v>
          </cell>
          <cell r="D477" t="str">
            <v>Demitra Karsa Perdana, PT</v>
          </cell>
          <cell r="E477" t="str">
            <v>Demitra Karsa Perdana, PT</v>
          </cell>
          <cell r="F477" t="str">
            <v/>
          </cell>
          <cell r="G477" t="str">
            <v/>
          </cell>
          <cell r="H477" t="str">
            <v>M FIKRY MAULANA</v>
          </cell>
          <cell r="I477">
            <v>45400</v>
          </cell>
          <cell r="J477" t="str">
            <v>HR</v>
          </cell>
          <cell r="K477" t="str">
            <v>J</v>
          </cell>
          <cell r="L477" t="str">
            <v>CTR</v>
          </cell>
          <cell r="N477" t="str">
            <v>RH</v>
          </cell>
          <cell r="O477" t="str">
            <v>robertiagus.haposan@alamtri.com</v>
          </cell>
          <cell r="P477">
            <v>110298.7032</v>
          </cell>
          <cell r="Q477">
            <v>1764779251.2</v>
          </cell>
          <cell r="R477" t="str">
            <v>Completed Sign PO Contract</v>
          </cell>
          <cell r="T477" t="str">
            <v>MSW</v>
          </cell>
          <cell r="U477" t="str">
            <v>Demitra Karsa Perdana, PT</v>
          </cell>
          <cell r="V477" t="str">
            <v>Demitra Karsa Perdana, PT</v>
          </cell>
          <cell r="W477" t="str">
            <v>1 of 1</v>
          </cell>
          <cell r="X477" t="str">
            <v>1 of 1</v>
          </cell>
          <cell r="Z477" t="str">
            <v/>
          </cell>
          <cell r="AC477" t="str">
            <v xml:space="preserve"> of </v>
          </cell>
          <cell r="AD477" t="str">
            <v xml:space="preserve"> of </v>
          </cell>
          <cell r="AF477" t="str">
            <v/>
          </cell>
          <cell r="AI477" t="str">
            <v xml:space="preserve"> of </v>
          </cell>
          <cell r="AJ477" t="str">
            <v xml:space="preserve"> of </v>
          </cell>
          <cell r="AL477" t="str">
            <v/>
          </cell>
          <cell r="AM477">
            <v>0.70833333333333304</v>
          </cell>
          <cell r="AN477" t="str">
            <v>Demitra Karsa Perdana, PT</v>
          </cell>
          <cell r="AO477" t="str">
            <v>ardhiep@a5-indonesia.com</v>
          </cell>
          <cell r="AP477" t="str">
            <v>PO24000349</v>
          </cell>
          <cell r="AQ477">
            <v>1654480578</v>
          </cell>
          <cell r="AT477">
            <v>45470</v>
          </cell>
          <cell r="AU477">
            <v>45506</v>
          </cell>
          <cell r="AV477">
            <v>45425</v>
          </cell>
          <cell r="AW477">
            <v>45461</v>
          </cell>
          <cell r="AX477">
            <v>5.1428571428571432</v>
          </cell>
          <cell r="AY477">
            <v>45646</v>
          </cell>
          <cell r="AZ477">
            <v>185</v>
          </cell>
          <cell r="BA477">
            <v>82724028.900000006</v>
          </cell>
          <cell r="BB477" t="str">
            <v>Late Completed</v>
          </cell>
          <cell r="BC477" t="str">
            <v>PR100009081</v>
          </cell>
        </row>
        <row r="478">
          <cell r="B478" t="str">
            <v>PR100009075</v>
          </cell>
          <cell r="C478" t="str">
            <v>Penggunaan Coal Maret 2024 OPeration Dept</v>
          </cell>
          <cell r="D478" t="str">
            <v>Adaro Indonesia, PT</v>
          </cell>
          <cell r="E478" t="str">
            <v>Adaro Indonesia, PT</v>
          </cell>
          <cell r="F478" t="str">
            <v/>
          </cell>
          <cell r="G478" t="str">
            <v/>
          </cell>
          <cell r="H478" t="str">
            <v>ARIES KURNIAWAN</v>
          </cell>
          <cell r="I478">
            <v>45407</v>
          </cell>
          <cell r="J478" t="str">
            <v>Tech OP</v>
          </cell>
          <cell r="K478" t="str">
            <v>B</v>
          </cell>
          <cell r="L478" t="str">
            <v>CTR</v>
          </cell>
          <cell r="N478" t="str">
            <v>RH</v>
          </cell>
          <cell r="O478" t="str">
            <v>robertiagus.haposan@alamtri.com</v>
          </cell>
          <cell r="P478">
            <v>19483</v>
          </cell>
          <cell r="Q478">
            <v>311728000</v>
          </cell>
          <cell r="R478" t="str">
            <v>Completed Sign PO Contract</v>
          </cell>
          <cell r="T478" t="str">
            <v>MSW</v>
          </cell>
          <cell r="U478" t="str">
            <v>Adaro Indonesia, PT</v>
          </cell>
          <cell r="V478" t="str">
            <v>Adaro Indonesia, PT</v>
          </cell>
          <cell r="W478" t="str">
            <v>1 of 1</v>
          </cell>
          <cell r="X478" t="str">
            <v>1 of 1</v>
          </cell>
          <cell r="Z478" t="str">
            <v/>
          </cell>
          <cell r="AC478" t="str">
            <v xml:space="preserve"> of </v>
          </cell>
          <cell r="AD478" t="str">
            <v xml:space="preserve"> of </v>
          </cell>
          <cell r="AF478" t="str">
            <v/>
          </cell>
          <cell r="AI478" t="str">
            <v xml:space="preserve"> of </v>
          </cell>
          <cell r="AJ478" t="str">
            <v xml:space="preserve"> of </v>
          </cell>
          <cell r="AL478" t="str">
            <v/>
          </cell>
          <cell r="AM478">
            <v>0.70833333333333304</v>
          </cell>
          <cell r="AN478" t="str">
            <v>Adaro Indonesia, PT</v>
          </cell>
          <cell r="AO478" t="str">
            <v>mulyadi@adaro.com; rachman.hakim@adaro.com; Shipping@adaro.com</v>
          </cell>
          <cell r="AP478" t="str">
            <v>PO24000189</v>
          </cell>
          <cell r="AQ478">
            <v>5536839660</v>
          </cell>
          <cell r="AT478">
            <v>45408</v>
          </cell>
          <cell r="AU478">
            <v>45450</v>
          </cell>
          <cell r="AV478">
            <v>45425</v>
          </cell>
          <cell r="AW478">
            <v>45467</v>
          </cell>
          <cell r="AX478">
            <v>6</v>
          </cell>
          <cell r="AY478">
            <v>45380</v>
          </cell>
          <cell r="AZ478" t="str">
            <v/>
          </cell>
          <cell r="BA478" t="str">
            <v/>
          </cell>
          <cell r="BB478" t="str">
            <v>Completed</v>
          </cell>
          <cell r="BC478" t="str">
            <v>PR100009075</v>
          </cell>
        </row>
        <row r="479">
          <cell r="B479" t="str">
            <v>PR100009077</v>
          </cell>
          <cell r="C479" t="str">
            <v>KURITA INDONESIA-CHEMICAL CONSUMPTION PERIODE MARET 2024</v>
          </cell>
          <cell r="D479" t="str">
            <v>Kurita Indonesia, PT</v>
          </cell>
          <cell r="E479" t="str">
            <v>Kurita Indonesia, PT</v>
          </cell>
          <cell r="F479" t="str">
            <v/>
          </cell>
          <cell r="G479" t="str">
            <v/>
          </cell>
          <cell r="H479" t="str">
            <v>ARTHUR BRAMIYANA</v>
          </cell>
          <cell r="I479">
            <v>45408</v>
          </cell>
          <cell r="J479" t="str">
            <v>INV</v>
          </cell>
          <cell r="K479" t="str">
            <v>B &amp; J</v>
          </cell>
          <cell r="L479" t="str">
            <v>CTR</v>
          </cell>
          <cell r="N479" t="str">
            <v>RH</v>
          </cell>
          <cell r="O479" t="str">
            <v>robertiagus.haposan@alamtri.com</v>
          </cell>
          <cell r="P479">
            <v>6770.3190999999997</v>
          </cell>
          <cell r="Q479">
            <v>108325105.59999999</v>
          </cell>
          <cell r="R479" t="str">
            <v>Completed Sign PO Contract</v>
          </cell>
          <cell r="T479" t="str">
            <v>MSW</v>
          </cell>
          <cell r="U479" t="str">
            <v>Kurita Indonesia, PT</v>
          </cell>
          <cell r="V479" t="str">
            <v>Kurita Indonesia, PT</v>
          </cell>
          <cell r="W479" t="str">
            <v>1 of 1</v>
          </cell>
          <cell r="X479" t="str">
            <v>1 of 1</v>
          </cell>
          <cell r="Z479" t="str">
            <v/>
          </cell>
          <cell r="AC479" t="str">
            <v xml:space="preserve"> of </v>
          </cell>
          <cell r="AD479" t="str">
            <v xml:space="preserve"> of </v>
          </cell>
          <cell r="AF479" t="str">
            <v/>
          </cell>
          <cell r="AI479" t="str">
            <v xml:space="preserve"> of </v>
          </cell>
          <cell r="AJ479" t="str">
            <v xml:space="preserve"> of </v>
          </cell>
          <cell r="AL479" t="str">
            <v/>
          </cell>
          <cell r="AM479">
            <v>0.70833333333333304</v>
          </cell>
          <cell r="AN479" t="str">
            <v>Kurita Indonesia, PT</v>
          </cell>
          <cell r="AO479" t="str">
            <v>r.padlani12@kurita-water.com</v>
          </cell>
          <cell r="AP479" t="str">
            <v>PO24000193</v>
          </cell>
          <cell r="AQ479">
            <v>106196225</v>
          </cell>
          <cell r="AT479">
            <v>45411</v>
          </cell>
          <cell r="AU479">
            <v>45446</v>
          </cell>
          <cell r="AV479">
            <v>45425</v>
          </cell>
          <cell r="AW479">
            <v>45460</v>
          </cell>
          <cell r="AX479">
            <v>5</v>
          </cell>
          <cell r="AY479">
            <v>45413</v>
          </cell>
          <cell r="AZ479" t="str">
            <v/>
          </cell>
          <cell r="BA479" t="str">
            <v/>
          </cell>
          <cell r="BB479" t="str">
            <v>Completed</v>
          </cell>
          <cell r="BC479" t="str">
            <v>PR100009077</v>
          </cell>
        </row>
        <row r="480">
          <cell r="B480" t="str">
            <v>PR100010665 (Line 2)</v>
          </cell>
          <cell r="C480" t="str">
            <v>Pembelian Material Lubrication All Genset support AI</v>
          </cell>
          <cell r="D480" t="str">
            <v>Andalan Gaya Bhakti Pratama, PT - Line 2
Bima Kaltim Utama, PT - Line 1</v>
          </cell>
          <cell r="E480" t="str">
            <v>Bima Kaltim Utama, PT
Dunia Saftindo, PT
Vhipa Mulia Pratama, PT
Andalan Gaya Bhakti Pratama, PT
Indo Jaya Perkasa Lubricant, PT
Kapuas Kencana Jaya, PT
Perwira Sentra Officindo, PT
Alpha Gaya Bhakti Pertiwi, PT
Wahana Safety Indonesia, PT
Berkat Keselamatan Dunia, PT
Anugrah Mandiri Putra Tabalong, PT
Perwira Sentra Officindo, PT
Cahaya Mitra Saftindo, PT</v>
          </cell>
          <cell r="F480" t="str">
            <v>Bima Kaltim Utama, PT
Dunia Saftindo, PT
Andalan Gaya Bhakti Pratama, PT
Perwira Sentra Officindo, PT
Wahana Safety Indonesia, PT
Berkat Keselamatan Dunia, PT
Anugrah Mandiri Putra Tabalong, PT</v>
          </cell>
          <cell r="G480" t="str">
            <v>R0
7 of 13
17 Sep 25</v>
          </cell>
          <cell r="H480" t="str">
            <v>SLAMET</v>
          </cell>
          <cell r="I480">
            <v>45902</v>
          </cell>
          <cell r="J480" t="str">
            <v>Tech Main</v>
          </cell>
          <cell r="K480" t="str">
            <v>B</v>
          </cell>
          <cell r="L480" t="str">
            <v>BID</v>
          </cell>
          <cell r="M480">
            <v>251</v>
          </cell>
          <cell r="N480" t="str">
            <v>RH</v>
          </cell>
          <cell r="O480" t="str">
            <v>robertiagus.haposan@alamtri.com</v>
          </cell>
          <cell r="P480">
            <v>1.0164</v>
          </cell>
          <cell r="Q480">
            <v>16262.4</v>
          </cell>
          <cell r="R480" t="str">
            <v>Completed Sign PO</v>
          </cell>
          <cell r="T480" t="str">
            <v>MSW</v>
          </cell>
          <cell r="U480" t="str">
            <v>Bima Kaltim Utama, PT
Dunia Saftindo, PT
Vhipa Mulia Pratama, PT
Andalan Gaya Bhakti Pratama, PT
Indo Jaya Perkasa Lubricant, PT
Kapuas Kencana Jaya, PT
Perwira Sentra Officindo, PT
Alpha Gaya Bhakti Pertiwi, PT
Wahana Safety Indonesia, PT
Berkat Keselamatan Dunia, PT
Anugrah Mandiri Putra Tabalong, PT
Perwira Sentra Officindo, PT
Cahaya Mitra Saftindo, PT</v>
          </cell>
          <cell r="V480" t="str">
            <v>Bima Kaltim Utama, PT
Dunia Saftindo, PT
Andalan Gaya Bhakti Pratama, PT
Perwira Sentra Officindo, PT
Wahana Safety Indonesia, PT
Berkat Keselamatan Dunia, PT
Anugrah Mandiri Putra Tabalong, PT</v>
          </cell>
          <cell r="W480" t="str">
            <v>13 of 13</v>
          </cell>
          <cell r="X480" t="str">
            <v>7 of 13</v>
          </cell>
          <cell r="Y480">
            <v>45910</v>
          </cell>
          <cell r="Z480">
            <v>45917</v>
          </cell>
          <cell r="AC480" t="str">
            <v xml:space="preserve"> of </v>
          </cell>
          <cell r="AD480" t="str">
            <v xml:space="preserve"> of </v>
          </cell>
          <cell r="AF480" t="str">
            <v/>
          </cell>
          <cell r="AI480" t="str">
            <v xml:space="preserve"> of </v>
          </cell>
          <cell r="AJ480" t="str">
            <v xml:space="preserve"> of </v>
          </cell>
          <cell r="AL480" t="str">
            <v/>
          </cell>
          <cell r="AM480">
            <v>0.70833333333333304</v>
          </cell>
          <cell r="AN480" t="str">
            <v>Wahana Safety Indonesia, PT</v>
          </cell>
          <cell r="AO480" t="str">
            <v>ardhian@wahanasafety.com</v>
          </cell>
          <cell r="AP480" t="str">
            <v>PO25000783</v>
          </cell>
          <cell r="AQ480">
            <v>720000</v>
          </cell>
          <cell r="AR480">
            <v>45919</v>
          </cell>
          <cell r="AS480">
            <v>45939</v>
          </cell>
          <cell r="AT480">
            <v>45939</v>
          </cell>
          <cell r="AU480">
            <v>45961</v>
          </cell>
          <cell r="AV480">
            <v>45939</v>
          </cell>
          <cell r="AW480">
            <v>45961</v>
          </cell>
          <cell r="AX480">
            <v>3.1428571428571428</v>
          </cell>
          <cell r="AY480">
            <v>45961</v>
          </cell>
          <cell r="AZ480" t="str">
            <v/>
          </cell>
          <cell r="BA480" t="str">
            <v/>
          </cell>
          <cell r="BB480" t="str">
            <v>Late Completed</v>
          </cell>
          <cell r="BC480" t="str">
            <v>PR100010665</v>
          </cell>
        </row>
        <row r="481">
          <cell r="B481" t="str">
            <v>PR100010682 (Line 5)</v>
          </cell>
          <cell r="C481" t="str">
            <v>Sparepart Panel Electrical</v>
          </cell>
          <cell r="D481" t="str">
            <v>Cipta Semesta Lestari, PT - Line 1,2 (BLV)
Anugrah Mandiri Putra Tabalong, PT - Line 3
Borneo Maju Jaya, PT - Line 4
Raja Listrik Indonesia, PT - Line 6
Antares Jaya Gemilang Prima, PT - Line 5,7</v>
          </cell>
          <cell r="E481" t="str">
            <v>Antares Jaya Gemilang Prima, PT
Greentek Elektrikal Indonesia, PT
Borneo Maju Jaya, PT
Perwira Sentra Officindo, PT
Raja Listrik Indonesia, PT
Borneo Karya Jaya, CV
Edmi Indonesia, PT
Anugrah Mandiri Putra Tabalong, PT
Sola Anugerah Oilfield, PT
Gema Industrial, PT
Promitra Prima Indonesia, PT</v>
          </cell>
          <cell r="F481" t="str">
            <v>Antares Jaya Gemilang Prima, PT
Perwira Sentra Officindo, PT
Gema Industrial, PT
Promitra Prima Indonesia, PT</v>
          </cell>
          <cell r="G481" t="str">
            <v>R0
4 of 11
19 Sep 25</v>
          </cell>
          <cell r="H481" t="str">
            <v>DEDE SUDARJI</v>
          </cell>
          <cell r="I481">
            <v>45909</v>
          </cell>
          <cell r="J481" t="str">
            <v>Tech Main</v>
          </cell>
          <cell r="K481" t="str">
            <v>B</v>
          </cell>
          <cell r="L481" t="str">
            <v>BID</v>
          </cell>
          <cell r="M481">
            <v>254</v>
          </cell>
          <cell r="N481" t="str">
            <v>RH</v>
          </cell>
          <cell r="O481" t="str">
            <v>robertiagus.haposan@alamtri.com</v>
          </cell>
          <cell r="P481">
            <v>593.12549999999999</v>
          </cell>
          <cell r="Q481">
            <v>9490008</v>
          </cell>
          <cell r="R481" t="str">
            <v>Completed Sign PO</v>
          </cell>
          <cell r="T481" t="str">
            <v>MSW</v>
          </cell>
          <cell r="U481" t="str">
            <v>Antares Jaya Gemilang Prima, PT
Greentek Elektrikal Indonesia, PT
Borneo Maju Jaya, PT
Perwira Sentra Officindo, PT
Raja Listrik Indonesia, PT
Borneo Karya Jaya, CV
Edmi Indonesia, PT
Anugrah Mandiri Putra Tabalong, PT
Sola Anugerah Oilfield, PT
Gema Industrial, PT
Promitra Prima Indonesia, PT</v>
          </cell>
          <cell r="V481" t="str">
            <v>Antares Jaya Gemilang Prima, PT
Perwira Sentra Officindo, PT
Gema Industrial, PT
Promitra Prima Indonesia, PT</v>
          </cell>
          <cell r="W481" t="str">
            <v>11 of 11</v>
          </cell>
          <cell r="X481" t="str">
            <v>4 of 11</v>
          </cell>
          <cell r="Y481">
            <v>45912</v>
          </cell>
          <cell r="Z481">
            <v>45919</v>
          </cell>
          <cell r="AC481" t="str">
            <v xml:space="preserve"> of </v>
          </cell>
          <cell r="AD481" t="str">
            <v xml:space="preserve"> of </v>
          </cell>
          <cell r="AF481" t="str">
            <v/>
          </cell>
          <cell r="AI481" t="str">
            <v xml:space="preserve"> of </v>
          </cell>
          <cell r="AJ481" t="str">
            <v xml:space="preserve"> of </v>
          </cell>
          <cell r="AL481" t="str">
            <v/>
          </cell>
          <cell r="AM481">
            <v>0.70833333333333304</v>
          </cell>
          <cell r="AN481" t="str">
            <v>Antares Jaya Gemilang Prima, PT</v>
          </cell>
          <cell r="AO481" t="str">
            <v>info@pt-antares.com; antares.jgp@gmail.com</v>
          </cell>
          <cell r="AP481" t="str">
            <v>PO25000787</v>
          </cell>
          <cell r="AQ481">
            <v>10005000</v>
          </cell>
          <cell r="AR481">
            <v>45929</v>
          </cell>
          <cell r="AS481">
            <v>45933</v>
          </cell>
          <cell r="AT481">
            <v>45939</v>
          </cell>
          <cell r="AU481">
            <v>46115</v>
          </cell>
          <cell r="AV481">
            <v>45939</v>
          </cell>
          <cell r="AW481">
            <v>46115</v>
          </cell>
          <cell r="AX481">
            <v>25.142857142857142</v>
          </cell>
          <cell r="AY481">
            <v>46115</v>
          </cell>
          <cell r="AZ481" t="str">
            <v/>
          </cell>
          <cell r="BA481" t="str">
            <v/>
          </cell>
          <cell r="BB481" t="str">
            <v>Completed</v>
          </cell>
          <cell r="BC481" t="str">
            <v>PR100010682</v>
          </cell>
        </row>
        <row r="482">
          <cell r="B482" t="str">
            <v>PR100010682 (Line 6-7)</v>
          </cell>
          <cell r="C482" t="str">
            <v>Sparepart Panel Electrical</v>
          </cell>
          <cell r="D482" t="str">
            <v>Cipta Semesta Lestari, PT - Line 1,2 (BLV)
Anugrah Mandiri Putra Tabalong, PT - Line 3
Borneo Maju Jaya, PT - Line 4
Raja Listrik Indonesia, PT - Line 6
Antares Jaya Gemilang Prima, PT - Line 5,7</v>
          </cell>
          <cell r="E482" t="str">
            <v>Antares Jaya Gemilang Prima, PT
Greentek Elektrikal Indonesia, PT
Borneo Maju Jaya, PT
Perwira Sentra Officindo, PT
Raja Listrik Indonesia, PT
Borneo Karya Jaya, CV
Edmi Indonesia, PT
Anugrah Mandiri Putra Tabalong, PT
Sola Anugerah Oilfield, PT
Gema Industrial, PT
Promitra Prima Indonesia, PT</v>
          </cell>
          <cell r="F482" t="str">
            <v>Antares Jaya Gemilang Prima, PT
Perwira Sentra Officindo, PT
Gema Industrial, PT
Promitra Prima Indonesia, PT</v>
          </cell>
          <cell r="G482" t="str">
            <v>R0
4 of 11
19 Sep 25</v>
          </cell>
          <cell r="H482" t="str">
            <v>DEDE SUDARJI</v>
          </cell>
          <cell r="I482">
            <v>45909</v>
          </cell>
          <cell r="J482" t="str">
            <v>Tech Main</v>
          </cell>
          <cell r="K482" t="str">
            <v>B</v>
          </cell>
          <cell r="L482" t="str">
            <v>BID</v>
          </cell>
          <cell r="M482">
            <v>254</v>
          </cell>
          <cell r="N482" t="str">
            <v>RH</v>
          </cell>
          <cell r="O482" t="str">
            <v>robertiagus.haposan@alamtri.com</v>
          </cell>
          <cell r="P482">
            <v>735.44</v>
          </cell>
          <cell r="Q482">
            <v>11767040</v>
          </cell>
          <cell r="R482" t="str">
            <v>Completed Sign PO</v>
          </cell>
          <cell r="T482" t="str">
            <v>MSW</v>
          </cell>
          <cell r="U482" t="str">
            <v>Antares Jaya Gemilang Prima, PT
Greentek Elektrikal Indonesia, PT
Borneo Maju Jaya, PT
Perwira Sentra Officindo, PT
Raja Listrik Indonesia, PT
Borneo Karya Jaya, CV
Edmi Indonesia, PT
Anugrah Mandiri Putra Tabalong, PT
Sola Anugerah Oilfield, PT
Gema Industrial, PT
Promitra Prima Indonesia, PT</v>
          </cell>
          <cell r="V482" t="str">
            <v>Antares Jaya Gemilang Prima, PT
Perwira Sentra Officindo, PT
Gema Industrial, PT
Promitra Prima Indonesia, PT</v>
          </cell>
          <cell r="W482" t="str">
            <v>11 of 11</v>
          </cell>
          <cell r="X482" t="str">
            <v>4 of 11</v>
          </cell>
          <cell r="Y482">
            <v>45912</v>
          </cell>
          <cell r="Z482">
            <v>45919</v>
          </cell>
          <cell r="AC482" t="str">
            <v xml:space="preserve"> of </v>
          </cell>
          <cell r="AD482" t="str">
            <v xml:space="preserve"> of </v>
          </cell>
          <cell r="AF482" t="str">
            <v/>
          </cell>
          <cell r="AI482" t="str">
            <v xml:space="preserve"> of </v>
          </cell>
          <cell r="AJ482" t="str">
            <v xml:space="preserve"> of </v>
          </cell>
          <cell r="AL482" t="str">
            <v/>
          </cell>
          <cell r="AM482">
            <v>0.70833333333333304</v>
          </cell>
          <cell r="AN482" t="str">
            <v>Promitra Prima Indonesia, PT</v>
          </cell>
          <cell r="AO482" t="str">
            <v>heru@promitra.co.id</v>
          </cell>
          <cell r="AP482" t="str">
            <v>PO25000788</v>
          </cell>
          <cell r="AQ482">
            <v>6900000</v>
          </cell>
          <cell r="AR482">
            <v>45929</v>
          </cell>
          <cell r="AS482">
            <v>45933</v>
          </cell>
          <cell r="AT482">
            <v>45939</v>
          </cell>
          <cell r="AU482">
            <v>46038</v>
          </cell>
          <cell r="AV482">
            <v>45940</v>
          </cell>
          <cell r="AW482">
            <v>46039</v>
          </cell>
          <cell r="AX482">
            <v>14.142857142857142</v>
          </cell>
          <cell r="AY482">
            <v>46038</v>
          </cell>
          <cell r="AZ482" t="str">
            <v/>
          </cell>
          <cell r="BA482" t="str">
            <v/>
          </cell>
          <cell r="BB482" t="str">
            <v>Completed</v>
          </cell>
          <cell r="BC482" t="str">
            <v>PR100010682</v>
          </cell>
        </row>
        <row r="483">
          <cell r="B483" t="str">
            <v>PR100000000</v>
          </cell>
          <cell r="C483" t="str">
            <v>Jasa Perbaikan DG 3G3</v>
          </cell>
          <cell r="D483" t="str">
            <v>Trakindo Utama, PT</v>
          </cell>
          <cell r="E483" t="str">
            <v/>
          </cell>
          <cell r="F483" t="str">
            <v/>
          </cell>
          <cell r="G483" t="str">
            <v/>
          </cell>
          <cell r="H483" t="str">
            <v>SLAMET</v>
          </cell>
          <cell r="I483">
            <v>45940</v>
          </cell>
          <cell r="J483" t="str">
            <v>Tech Main</v>
          </cell>
          <cell r="K483" t="str">
            <v>J</v>
          </cell>
          <cell r="L483" t="str">
            <v>CTR</v>
          </cell>
          <cell r="N483" t="str">
            <v>RH</v>
          </cell>
          <cell r="O483" t="str">
            <v>robertiagus.haposan@alamtri.com</v>
          </cell>
          <cell r="Q483" t="str">
            <v/>
          </cell>
          <cell r="R483" t="str">
            <v>CANCEL</v>
          </cell>
          <cell r="S483" t="str">
            <v>Dipindah kan ke PR PC0125-000001101</v>
          </cell>
          <cell r="T483" t="str">
            <v>MSW</v>
          </cell>
          <cell r="U483" t="str">
            <v>Trakindo Utama, PT</v>
          </cell>
          <cell r="V483" t="str">
            <v>Trakindo Utama, PT</v>
          </cell>
          <cell r="W483" t="str">
            <v>1 of 1</v>
          </cell>
          <cell r="X483" t="str">
            <v>1 of 1</v>
          </cell>
          <cell r="Z483" t="str">
            <v/>
          </cell>
          <cell r="AC483" t="str">
            <v xml:space="preserve"> of </v>
          </cell>
          <cell r="AD483" t="str">
            <v xml:space="preserve"> of </v>
          </cell>
          <cell r="AF483" t="str">
            <v/>
          </cell>
          <cell r="AI483" t="str">
            <v xml:space="preserve"> of </v>
          </cell>
          <cell r="AJ483" t="str">
            <v xml:space="preserve"> of </v>
          </cell>
          <cell r="AL483" t="str">
            <v/>
          </cell>
          <cell r="AM483">
            <v>0.70833333333333304</v>
          </cell>
          <cell r="AN483" t="str">
            <v>Trakindo Utama, PT</v>
          </cell>
          <cell r="AO483" t="str">
            <v/>
          </cell>
          <cell r="AP483" t="str">
            <v>PO25</v>
          </cell>
          <cell r="AQ483">
            <v>44977380</v>
          </cell>
          <cell r="AT483">
            <v>45940</v>
          </cell>
          <cell r="AU483">
            <v>45968</v>
          </cell>
          <cell r="AV483">
            <v>45940</v>
          </cell>
          <cell r="AW483">
            <v>45968</v>
          </cell>
          <cell r="AX483">
            <v>4</v>
          </cell>
          <cell r="AZ483" t="str">
            <v/>
          </cell>
          <cell r="BA483" t="str">
            <v/>
          </cell>
          <cell r="BB483" t="str">
            <v>Completed</v>
          </cell>
          <cell r="BC483" t="str">
            <v>PR100000000</v>
          </cell>
        </row>
        <row r="484">
          <cell r="B484" t="str">
            <v>PR100000001</v>
          </cell>
          <cell r="C484" t="str">
            <v>Spare part Turbocharger</v>
          </cell>
          <cell r="D484" t="str">
            <v>Trakindo Utama, PT</v>
          </cell>
          <cell r="E484" t="str">
            <v/>
          </cell>
          <cell r="F484" t="str">
            <v/>
          </cell>
          <cell r="G484" t="str">
            <v/>
          </cell>
          <cell r="H484" t="str">
            <v>SLAMET</v>
          </cell>
          <cell r="I484">
            <v>45940</v>
          </cell>
          <cell r="J484" t="str">
            <v>Tech Main</v>
          </cell>
          <cell r="K484" t="str">
            <v>B</v>
          </cell>
          <cell r="L484" t="str">
            <v>CTR</v>
          </cell>
          <cell r="N484" t="str">
            <v>RH</v>
          </cell>
          <cell r="O484" t="str">
            <v>robertiagus.haposan@alamtri.com</v>
          </cell>
          <cell r="Q484" t="str">
            <v/>
          </cell>
          <cell r="R484" t="str">
            <v>CANCEL</v>
          </cell>
          <cell r="S484" t="str">
            <v>Dipindah kan ke PR PC0125-000000332</v>
          </cell>
          <cell r="T484" t="str">
            <v>MSW</v>
          </cell>
          <cell r="U484" t="str">
            <v>Trakindo Utama, PT</v>
          </cell>
          <cell r="V484" t="str">
            <v>Trakindo Utama, PT</v>
          </cell>
          <cell r="W484" t="str">
            <v>1 of 1</v>
          </cell>
          <cell r="X484" t="str">
            <v>1 of 1</v>
          </cell>
          <cell r="Z484" t="str">
            <v/>
          </cell>
          <cell r="AC484" t="str">
            <v xml:space="preserve"> of </v>
          </cell>
          <cell r="AD484" t="str">
            <v xml:space="preserve"> of </v>
          </cell>
          <cell r="AF484" t="str">
            <v/>
          </cell>
          <cell r="AI484" t="str">
            <v xml:space="preserve"> of </v>
          </cell>
          <cell r="AJ484" t="str">
            <v xml:space="preserve"> of </v>
          </cell>
          <cell r="AL484" t="str">
            <v/>
          </cell>
          <cell r="AM484">
            <v>0.70833333333333304</v>
          </cell>
          <cell r="AN484" t="str">
            <v>Trakindo Utama, PT</v>
          </cell>
          <cell r="AO484" t="str">
            <v/>
          </cell>
          <cell r="AP484" t="str">
            <v>PO25</v>
          </cell>
          <cell r="AQ484">
            <v>410995875.00000006</v>
          </cell>
          <cell r="AT484">
            <v>45940</v>
          </cell>
          <cell r="AU484">
            <v>45961</v>
          </cell>
          <cell r="AV484">
            <v>45940</v>
          </cell>
          <cell r="AW484">
            <v>45961</v>
          </cell>
          <cell r="AX484">
            <v>3</v>
          </cell>
          <cell r="AZ484" t="str">
            <v/>
          </cell>
          <cell r="BA484" t="str">
            <v/>
          </cell>
          <cell r="BB484" t="str">
            <v>Completed</v>
          </cell>
          <cell r="BC484" t="str">
            <v>PR100000001</v>
          </cell>
        </row>
        <row r="485">
          <cell r="B485" t="str">
            <v>PR100010691 (Line 1-2)</v>
          </cell>
          <cell r="C485" t="str">
            <v>Sparepart Air Regulator dan Fire Alarm System</v>
          </cell>
          <cell r="E485" t="str">
            <v>Kin Kitra Kencana, PT
Promitra Prima Indonesia, PT
Norgantara Andalan Mandiri Indonesia, PT
Perwira Sentra Officindo, PT
Alfa Teknik Mandiri Makmur, PT
Gading Mas Utama, PT
Sola Anugerah Oilfield, PT
Gema Industrial, PT
Putera Instrumenindo, PT
Afghan Jaya Abadi, PT
Mitra Energi Abadi, PT
Panca Global Solusindo, PT
ODG Indonesia, PT
Jaga Karya Mandiri, PT
Berkat Keselamatan Dunia, PT</v>
          </cell>
          <cell r="F485" t="str">
            <v>Norgantara Andalan Mandiri Indonesia, PT
Perwira Sentra Officindo, PT
Gading Mas Utama, PT
Panca Global Solusindo, PT</v>
          </cell>
          <cell r="G485" t="str">
            <v>R0
4 of 15
25 Sep 25</v>
          </cell>
          <cell r="H485" t="str">
            <v>DEDE SUDARJI</v>
          </cell>
          <cell r="I485">
            <v>45916</v>
          </cell>
          <cell r="J485" t="str">
            <v>Tech Eng</v>
          </cell>
          <cell r="K485" t="str">
            <v>B</v>
          </cell>
          <cell r="L485" t="str">
            <v>BID</v>
          </cell>
          <cell r="M485">
            <v>260</v>
          </cell>
          <cell r="N485" t="str">
            <v>RH</v>
          </cell>
          <cell r="O485" t="str">
            <v>robertiagus.haposan@alamtri.com</v>
          </cell>
          <cell r="P485">
            <v>936</v>
          </cell>
          <cell r="Q485">
            <v>14976000</v>
          </cell>
          <cell r="R485" t="str">
            <v>Completed Sign PO</v>
          </cell>
          <cell r="T485" t="str">
            <v>MSW</v>
          </cell>
          <cell r="U485" t="str">
            <v>Kin Kitra Kencana, PT
Promitra Prima Indonesia, PT
Norgantara Andalan Mandiri Indonesia, PT
Perwira Sentra Officindo, PT
Alfa Teknik Mandiri Makmur, PT
Gading Mas Utama, PT
Sola Anugerah Oilfield, PT
Gema Industrial, PT
Putera Instrumenindo, PT
Afghan Jaya Abadi, PT
Mitra Energi Abadi, PT
Panca Global Solusindo, PT
ODG Indonesia, PT
Jaga Karya Mandiri, PT
Berkat Keselamatan Dunia, PT</v>
          </cell>
          <cell r="V485" t="str">
            <v>Norgantara Andalan Mandiri Indonesia, PT
Perwira Sentra Officindo, PT
Gading Mas Utama, PT
Panca Global Solusindo, PT</v>
          </cell>
          <cell r="W485" t="str">
            <v>15 of 15</v>
          </cell>
          <cell r="X485" t="str">
            <v>4 of 15</v>
          </cell>
          <cell r="Y485">
            <v>45918</v>
          </cell>
          <cell r="Z485">
            <v>45925</v>
          </cell>
          <cell r="AC485" t="str">
            <v xml:space="preserve"> of </v>
          </cell>
          <cell r="AD485" t="str">
            <v xml:space="preserve"> of </v>
          </cell>
          <cell r="AF485" t="str">
            <v/>
          </cell>
          <cell r="AI485" t="str">
            <v xml:space="preserve"> of </v>
          </cell>
          <cell r="AJ485" t="str">
            <v xml:space="preserve"> of </v>
          </cell>
          <cell r="AL485" t="str">
            <v/>
          </cell>
          <cell r="AM485">
            <v>0.70833333333333304</v>
          </cell>
          <cell r="AN485" t="str">
            <v>Perwira Sentra Officindo, PT</v>
          </cell>
          <cell r="AO485" t="str">
            <v>d_santos63@yahoo.com</v>
          </cell>
          <cell r="AP485" t="str">
            <v>PO25000798</v>
          </cell>
          <cell r="AQ485">
            <v>8761800</v>
          </cell>
          <cell r="AR485">
            <v>45929</v>
          </cell>
          <cell r="AS485">
            <v>45943</v>
          </cell>
          <cell r="AT485">
            <v>45945</v>
          </cell>
          <cell r="AU485">
            <v>46038</v>
          </cell>
          <cell r="AV485">
            <v>45945</v>
          </cell>
          <cell r="AW485">
            <v>46038</v>
          </cell>
          <cell r="AX485">
            <v>13.285714285714286</v>
          </cell>
          <cell r="AZ485" t="str">
            <v/>
          </cell>
          <cell r="BA485" t="str">
            <v/>
          </cell>
          <cell r="BB485" t="str">
            <v>Completed</v>
          </cell>
          <cell r="BC485" t="str">
            <v>PR100010691</v>
          </cell>
        </row>
        <row r="486">
          <cell r="B486" t="str">
            <v>PR100010759 (Line 1-3)</v>
          </cell>
          <cell r="C486" t="str">
            <v>Material untuk kebutuhan PM All DG IBT</v>
          </cell>
          <cell r="D486" t="str">
            <v>Trakindo Utama, PT</v>
          </cell>
          <cell r="E486" t="str">
            <v/>
          </cell>
          <cell r="F486" t="str">
            <v/>
          </cell>
          <cell r="G486" t="str">
            <v/>
          </cell>
          <cell r="H486" t="str">
            <v>SLAMET</v>
          </cell>
          <cell r="I486">
            <v>45945</v>
          </cell>
          <cell r="J486" t="str">
            <v>Tech Main</v>
          </cell>
          <cell r="K486" t="str">
            <v>B</v>
          </cell>
          <cell r="L486" t="str">
            <v>CTR</v>
          </cell>
          <cell r="M486">
            <v>10</v>
          </cell>
          <cell r="N486" t="str">
            <v>RH</v>
          </cell>
          <cell r="O486" t="str">
            <v>robertiagus.haposan@alamtri.com</v>
          </cell>
          <cell r="P486">
            <v>2736</v>
          </cell>
          <cell r="Q486">
            <v>43776000</v>
          </cell>
          <cell r="R486" t="str">
            <v>CANCEL</v>
          </cell>
          <cell r="S486" t="str">
            <v>6100-PC0625-00002</v>
          </cell>
          <cell r="T486" t="str">
            <v>MSW</v>
          </cell>
          <cell r="U486" t="str">
            <v>Trakindo Utama, PT</v>
          </cell>
          <cell r="V486" t="str">
            <v>Trakindo Utama, PT</v>
          </cell>
          <cell r="W486" t="str">
            <v>1 of 1</v>
          </cell>
          <cell r="X486" t="str">
            <v>1 of 1</v>
          </cell>
          <cell r="Y486">
            <v>45946</v>
          </cell>
          <cell r="Z486">
            <v>45947</v>
          </cell>
          <cell r="AC486" t="str">
            <v xml:space="preserve"> of </v>
          </cell>
          <cell r="AD486" t="str">
            <v xml:space="preserve"> of </v>
          </cell>
          <cell r="AF486" t="str">
            <v/>
          </cell>
          <cell r="AI486" t="str">
            <v xml:space="preserve"> of </v>
          </cell>
          <cell r="AJ486" t="str">
            <v xml:space="preserve"> of </v>
          </cell>
          <cell r="AL486" t="str">
            <v/>
          </cell>
          <cell r="AM486">
            <v>0.70833333333333304</v>
          </cell>
          <cell r="AN486" t="str">
            <v>Trakindo Utama, PT</v>
          </cell>
          <cell r="AO486" t="str">
            <v/>
          </cell>
          <cell r="AP486" t="str">
            <v>PO25000801</v>
          </cell>
          <cell r="AQ486">
            <v>51766254.899999999</v>
          </cell>
          <cell r="AT486">
            <v>45947</v>
          </cell>
          <cell r="AU486">
            <v>45966</v>
          </cell>
          <cell r="AV486">
            <v>45947</v>
          </cell>
          <cell r="AW486">
            <v>45966</v>
          </cell>
          <cell r="AX486">
            <v>2.7142857142857144</v>
          </cell>
          <cell r="AZ486" t="str">
            <v/>
          </cell>
          <cell r="BA486" t="str">
            <v/>
          </cell>
          <cell r="BB486" t="str">
            <v>Completed</v>
          </cell>
          <cell r="BC486" t="str">
            <v>PR100010759</v>
          </cell>
        </row>
        <row r="487">
          <cell r="B487" t="str">
            <v>PR100010759 (Line 4)</v>
          </cell>
          <cell r="C487" t="str">
            <v>Material untuk kebutuhan PM All DG IBT</v>
          </cell>
          <cell r="D487" t="str">
            <v>Bima Kaltim Utama, PT</v>
          </cell>
          <cell r="E487" t="str">
            <v/>
          </cell>
          <cell r="F487" t="str">
            <v/>
          </cell>
          <cell r="G487" t="str">
            <v/>
          </cell>
          <cell r="H487" t="str">
            <v>SLAMET</v>
          </cell>
          <cell r="I487">
            <v>45945</v>
          </cell>
          <cell r="J487" t="str">
            <v>Tech Main</v>
          </cell>
          <cell r="K487" t="str">
            <v>B</v>
          </cell>
          <cell r="L487" t="str">
            <v>BID</v>
          </cell>
          <cell r="M487">
            <v>286</v>
          </cell>
          <cell r="N487" t="str">
            <v>RH</v>
          </cell>
          <cell r="O487" t="str">
            <v>robertiagus.haposan@alamtri.com</v>
          </cell>
          <cell r="P487">
            <v>215.28</v>
          </cell>
          <cell r="Q487">
            <v>3444480</v>
          </cell>
          <cell r="R487" t="str">
            <v>CANCEL</v>
          </cell>
          <cell r="S487" t="str">
            <v>PC0125-000000118 (Line 4)</v>
          </cell>
          <cell r="T487" t="str">
            <v>MSW</v>
          </cell>
          <cell r="U487" t="str">
            <v>Bima Kaltim Utama, PT
Lotus Inti Pratama, PT
Aneka Mitra Cipta, PT
Sentrapart Niaga Utama, PT
Perwira Sentra Officindo, PT
Berkat Pratama Teknik, CV
Petrocom Nusa Synergy, PT
Anugrah Mandiri Putra Tabalong, PT
Alfa Teknik Mandiri Makmur, PT</v>
          </cell>
          <cell r="V487" t="str">
            <v>Aneka Mitra Cipta, PT
Perwira Sentra Officindo, PT
Alfa Teknik Mandiri Makmur, PT</v>
          </cell>
          <cell r="W487" t="str">
            <v>9 of 9</v>
          </cell>
          <cell r="X487" t="str">
            <v>3 of 9</v>
          </cell>
          <cell r="Y487">
            <v>45946</v>
          </cell>
          <cell r="Z487">
            <v>45953</v>
          </cell>
          <cell r="AC487" t="str">
            <v xml:space="preserve"> of </v>
          </cell>
          <cell r="AD487" t="str">
            <v xml:space="preserve"> of </v>
          </cell>
          <cell r="AF487" t="str">
            <v/>
          </cell>
          <cell r="AI487" t="str">
            <v xml:space="preserve"> of </v>
          </cell>
          <cell r="AJ487" t="str">
            <v xml:space="preserve"> of </v>
          </cell>
          <cell r="AL487" t="str">
            <v/>
          </cell>
          <cell r="AM487">
            <v>0.70833333333333304</v>
          </cell>
          <cell r="AO487" t="str">
            <v/>
          </cell>
          <cell r="AR487">
            <v>45958</v>
          </cell>
          <cell r="AS487">
            <v>46001</v>
          </cell>
          <cell r="AW487" t="str">
            <v/>
          </cell>
          <cell r="AX487" t="str">
            <v/>
          </cell>
          <cell r="AZ487" t="str">
            <v/>
          </cell>
          <cell r="BA487" t="str">
            <v/>
          </cell>
          <cell r="BB487" t="str">
            <v/>
          </cell>
          <cell r="BC487" t="str">
            <v>PR100010759</v>
          </cell>
        </row>
        <row r="488">
          <cell r="B488" t="str">
            <v>PC0125-000000262</v>
          </cell>
          <cell r="C488" t="str">
            <v>DG Jasa Pemeliharaan dan Sparepart genset IBT</v>
          </cell>
          <cell r="D488" t="str">
            <v>Trakindo Utama, PT</v>
          </cell>
          <cell r="E488" t="str">
            <v>Trakindo Utama, PT</v>
          </cell>
          <cell r="F488" t="str">
            <v/>
          </cell>
          <cell r="G488" t="str">
            <v/>
          </cell>
          <cell r="H488" t="str">
            <v>NAUFAL INAS FIKRI</v>
          </cell>
          <cell r="I488">
            <v>45957</v>
          </cell>
          <cell r="J488" t="str">
            <v>6100DB432</v>
          </cell>
          <cell r="K488" t="str">
            <v>B</v>
          </cell>
          <cell r="L488" t="str">
            <v>CTR</v>
          </cell>
          <cell r="N488" t="str">
            <v>RH</v>
          </cell>
          <cell r="O488" t="str">
            <v>robertiagus.haposan@alamtri.com</v>
          </cell>
          <cell r="P488">
            <v>879.28</v>
          </cell>
          <cell r="Q488">
            <v>14068480</v>
          </cell>
          <cell r="R488" t="str">
            <v>Completed Sign PO Contract</v>
          </cell>
          <cell r="T488" t="str">
            <v>MSW</v>
          </cell>
          <cell r="U488" t="str">
            <v>Trakindo Utama, PT</v>
          </cell>
          <cell r="V488" t="str">
            <v>Trakindo Utama, PT</v>
          </cell>
          <cell r="W488" t="str">
            <v>1 of 1</v>
          </cell>
          <cell r="X488" t="str">
            <v>1 of 1</v>
          </cell>
          <cell r="Z488" t="str">
            <v/>
          </cell>
          <cell r="AC488" t="str">
            <v xml:space="preserve"> of </v>
          </cell>
          <cell r="AD488" t="str">
            <v xml:space="preserve"> of </v>
          </cell>
          <cell r="AF488" t="str">
            <v/>
          </cell>
          <cell r="AI488" t="str">
            <v xml:space="preserve"> of </v>
          </cell>
          <cell r="AJ488" t="str">
            <v xml:space="preserve"> of </v>
          </cell>
          <cell r="AL488" t="str">
            <v/>
          </cell>
          <cell r="AM488">
            <v>0.70833333333333304</v>
          </cell>
          <cell r="AN488" t="str">
            <v>Trakindo Utama, PT</v>
          </cell>
          <cell r="AO488" t="str">
            <v>hjuniater.sidauruk@trakindo.co.id</v>
          </cell>
          <cell r="AP488" t="str">
            <v>6100-PC0625-00006</v>
          </cell>
          <cell r="AQ488">
            <v>13530389</v>
          </cell>
          <cell r="AT488">
            <v>45965</v>
          </cell>
          <cell r="AU488">
            <v>45971</v>
          </cell>
          <cell r="AV488">
            <v>45966</v>
          </cell>
          <cell r="AW488">
            <v>45972</v>
          </cell>
          <cell r="AX488">
            <v>0.8571428571428571</v>
          </cell>
          <cell r="AY488">
            <v>45971</v>
          </cell>
          <cell r="AZ488" t="str">
            <v/>
          </cell>
          <cell r="BA488" t="str">
            <v/>
          </cell>
          <cell r="BB488" t="str">
            <v>Completed</v>
          </cell>
          <cell r="BC488" t="str">
            <v>PC0125-000000262</v>
          </cell>
        </row>
        <row r="489">
          <cell r="B489" t="str">
            <v>PC0125-000000219</v>
          </cell>
          <cell r="C489" t="str">
            <v>Material Injector 2025</v>
          </cell>
          <cell r="D489" t="str">
            <v>Trakindo Utama, PT</v>
          </cell>
          <cell r="E489" t="str">
            <v>Trakindo Utama, PT</v>
          </cell>
          <cell r="F489" t="str">
            <v/>
          </cell>
          <cell r="G489" t="str">
            <v/>
          </cell>
          <cell r="H489" t="str">
            <v>GUNARA FERY FAHNANI</v>
          </cell>
          <cell r="I489">
            <v>45954</v>
          </cell>
          <cell r="J489" t="str">
            <v>6100DB411</v>
          </cell>
          <cell r="K489" t="str">
            <v>B</v>
          </cell>
          <cell r="L489" t="str">
            <v>CTR</v>
          </cell>
          <cell r="M489">
            <v>11</v>
          </cell>
          <cell r="N489" t="str">
            <v>RH</v>
          </cell>
          <cell r="O489" t="str">
            <v>robertiagus.haposan@alamtri.com</v>
          </cell>
          <cell r="P489">
            <v>4800</v>
          </cell>
          <cell r="Q489">
            <v>76800000</v>
          </cell>
          <cell r="R489" t="str">
            <v>Completed Sign PO Contract</v>
          </cell>
          <cell r="T489" t="str">
            <v>MSW</v>
          </cell>
          <cell r="U489" t="str">
            <v>Trakindo Utama, PT</v>
          </cell>
          <cell r="V489" t="str">
            <v>Trakindo Utama, PT</v>
          </cell>
          <cell r="W489" t="str">
            <v>1 of 1</v>
          </cell>
          <cell r="X489" t="str">
            <v>1 of 1</v>
          </cell>
          <cell r="Y489">
            <v>45964</v>
          </cell>
          <cell r="Z489">
            <v>45965</v>
          </cell>
          <cell r="AC489" t="str">
            <v xml:space="preserve"> of </v>
          </cell>
          <cell r="AD489" t="str">
            <v xml:space="preserve"> of </v>
          </cell>
          <cell r="AF489" t="str">
            <v/>
          </cell>
          <cell r="AI489" t="str">
            <v xml:space="preserve"> of </v>
          </cell>
          <cell r="AJ489" t="str">
            <v xml:space="preserve"> of </v>
          </cell>
          <cell r="AL489" t="str">
            <v/>
          </cell>
          <cell r="AM489">
            <v>0.70833333333333304</v>
          </cell>
          <cell r="AN489" t="str">
            <v>Trakindo Utama, PT</v>
          </cell>
          <cell r="AO489" t="str">
            <v>hjuniater.sidauruk@trakindo.co.id</v>
          </cell>
          <cell r="AP489" t="str">
            <v>6100-PC0625-00016</v>
          </cell>
          <cell r="AQ489">
            <v>233004858</v>
          </cell>
          <cell r="AT489">
            <v>45965</v>
          </cell>
          <cell r="AU489">
            <v>45973</v>
          </cell>
          <cell r="AV489">
            <v>45967</v>
          </cell>
          <cell r="AW489">
            <v>45975</v>
          </cell>
          <cell r="AX489">
            <v>1.1428571428571428</v>
          </cell>
          <cell r="AY489">
            <v>45973</v>
          </cell>
          <cell r="AZ489" t="str">
            <v/>
          </cell>
          <cell r="BA489" t="str">
            <v/>
          </cell>
          <cell r="BB489" t="str">
            <v>Completed</v>
          </cell>
          <cell r="BC489" t="str">
            <v>PC0125-000000219</v>
          </cell>
        </row>
        <row r="490">
          <cell r="B490" t="str">
            <v>PC0125-000000118 (Line 1-3)</v>
          </cell>
          <cell r="C490" t="str">
            <v>DG Material PM ALL DG IBT (PR100010759)</v>
          </cell>
          <cell r="D490" t="str">
            <v>Trakindo Utama, PT</v>
          </cell>
          <cell r="E490" t="str">
            <v/>
          </cell>
          <cell r="F490" t="str">
            <v/>
          </cell>
          <cell r="G490" t="str">
            <v/>
          </cell>
          <cell r="H490" t="str">
            <v>SLAMET</v>
          </cell>
          <cell r="I490">
            <v>45957</v>
          </cell>
          <cell r="J490" t="str">
            <v>6100DB432</v>
          </cell>
          <cell r="K490" t="str">
            <v>B</v>
          </cell>
          <cell r="L490" t="str">
            <v>CTR</v>
          </cell>
          <cell r="N490" t="str">
            <v>RH</v>
          </cell>
          <cell r="O490" t="str">
            <v>robertiagus.haposan@alamtri.com</v>
          </cell>
          <cell r="Q490" t="str">
            <v/>
          </cell>
          <cell r="R490" t="str">
            <v>CANCEL</v>
          </cell>
          <cell r="S490" t="str">
            <v>Cancel karena menggunakan PO25000801</v>
          </cell>
          <cell r="T490" t="str">
            <v>MSW</v>
          </cell>
          <cell r="U490" t="str">
            <v>Trakindo Utama, PT</v>
          </cell>
          <cell r="V490" t="str">
            <v>Trakindo Utama, PT</v>
          </cell>
          <cell r="W490" t="str">
            <v>1 of 1</v>
          </cell>
          <cell r="X490" t="str">
            <v>1 of 1</v>
          </cell>
          <cell r="Z490" t="str">
            <v/>
          </cell>
          <cell r="AC490" t="str">
            <v xml:space="preserve"> of </v>
          </cell>
          <cell r="AD490" t="str">
            <v xml:space="preserve"> of </v>
          </cell>
          <cell r="AF490" t="str">
            <v/>
          </cell>
          <cell r="AI490" t="str">
            <v xml:space="preserve"> of </v>
          </cell>
          <cell r="AJ490" t="str">
            <v xml:space="preserve"> of </v>
          </cell>
          <cell r="AL490" t="str">
            <v/>
          </cell>
          <cell r="AM490">
            <v>0.70833333333333304</v>
          </cell>
          <cell r="AN490" t="str">
            <v>Trakindo Utama, PT</v>
          </cell>
          <cell r="AO490" t="str">
            <v/>
          </cell>
          <cell r="AP490" t="str">
            <v>6100-PC0625-00002</v>
          </cell>
          <cell r="AW490" t="str">
            <v/>
          </cell>
          <cell r="AX490" t="str">
            <v/>
          </cell>
          <cell r="AZ490" t="str">
            <v/>
          </cell>
          <cell r="BA490" t="str">
            <v/>
          </cell>
          <cell r="BB490" t="str">
            <v/>
          </cell>
          <cell r="BC490" t="str">
            <v>PC0125-000000118</v>
          </cell>
        </row>
        <row r="491">
          <cell r="B491" t="str">
            <v>PC0125-000000118 (Line 4)</v>
          </cell>
          <cell r="C491" t="str">
            <v>DG Material PM ALL DG IBT (PR100010759)</v>
          </cell>
          <cell r="D491" t="str">
            <v>Bima Kaltim Utama, PT</v>
          </cell>
          <cell r="E491" t="str">
            <v/>
          </cell>
          <cell r="F491" t="str">
            <v/>
          </cell>
          <cell r="G491" t="str">
            <v/>
          </cell>
          <cell r="H491" t="str">
            <v>SLAMET</v>
          </cell>
          <cell r="I491">
            <v>45950</v>
          </cell>
          <cell r="J491" t="str">
            <v>6100DB432</v>
          </cell>
          <cell r="K491" t="str">
            <v>B</v>
          </cell>
          <cell r="L491" t="str">
            <v>BID</v>
          </cell>
          <cell r="M491">
            <v>286</v>
          </cell>
          <cell r="N491" t="str">
            <v>RH</v>
          </cell>
          <cell r="O491" t="str">
            <v>robertiagus.haposan@alamtri.com</v>
          </cell>
          <cell r="P491">
            <v>215.4</v>
          </cell>
          <cell r="Q491">
            <v>3769500</v>
          </cell>
          <cell r="R491" t="str">
            <v>CANCEL</v>
          </cell>
          <cell r="S491" t="str">
            <v>dari PR100010759 (Line 4) untuk dibuatkan PO setelah CQS selesai, budget tidak cukup</v>
          </cell>
          <cell r="T491" t="str">
            <v>MSW</v>
          </cell>
          <cell r="U491" t="str">
            <v>Bima Kaltim Utama, PT
Lotus Inti Pratama, PT
Aneka Mitra Cipta, PT
Sentrapart Niaga Utama, PT
Perwira Sentra Officindo, PT
Berkat Pratama Teknik, CV
Petrocom Nusa Synergy, PT
Anugrah Mandiri Putra Tabalong, PT
Alfa Teknik Mandiri Makmur, PT</v>
          </cell>
          <cell r="V491" t="str">
            <v>Aneka Mitra Cipta, PT
Perwira Sentra Officindo, PT
Alfa Teknik Mandiri Makmur, PT</v>
          </cell>
          <cell r="W491" t="str">
            <v>9 of 9</v>
          </cell>
          <cell r="X491" t="str">
            <v>3 of 9</v>
          </cell>
          <cell r="Y491">
            <v>45946</v>
          </cell>
          <cell r="Z491">
            <v>45953</v>
          </cell>
          <cell r="AC491" t="str">
            <v xml:space="preserve"> of </v>
          </cell>
          <cell r="AD491" t="str">
            <v xml:space="preserve"> of </v>
          </cell>
          <cell r="AF491" t="str">
            <v/>
          </cell>
          <cell r="AI491" t="str">
            <v xml:space="preserve"> of </v>
          </cell>
          <cell r="AJ491" t="str">
            <v xml:space="preserve"> of </v>
          </cell>
          <cell r="AL491" t="str">
            <v/>
          </cell>
          <cell r="AM491">
            <v>0.70833333333333304</v>
          </cell>
          <cell r="AN491" t="str">
            <v>Bima Kaltim Utama, PT</v>
          </cell>
          <cell r="AO491" t="str">
            <v/>
          </cell>
          <cell r="AR491">
            <v>45958</v>
          </cell>
          <cell r="AS491">
            <v>46001</v>
          </cell>
          <cell r="AW491" t="str">
            <v/>
          </cell>
          <cell r="AX491" t="str">
            <v/>
          </cell>
          <cell r="AZ491" t="str">
            <v/>
          </cell>
          <cell r="BA491" t="str">
            <v/>
          </cell>
          <cell r="BB491" t="str">
            <v/>
          </cell>
          <cell r="BC491" t="str">
            <v>PC0125-000000118</v>
          </cell>
        </row>
        <row r="492">
          <cell r="B492" t="str">
            <v>PC0125-000000556</v>
          </cell>
          <cell r="C492" t="str">
            <v> Injector Cat 3516</v>
          </cell>
          <cell r="D492" t="str">
            <v>Trakindo Utama, PT</v>
          </cell>
          <cell r="E492" t="str">
            <v>Trakindo Utama, PT</v>
          </cell>
          <cell r="F492" t="str">
            <v/>
          </cell>
          <cell r="G492" t="str">
            <v/>
          </cell>
          <cell r="H492" t="str">
            <v>SLAMET</v>
          </cell>
          <cell r="I492">
            <v>45965</v>
          </cell>
          <cell r="J492" t="str">
            <v>6100DB432</v>
          </cell>
          <cell r="K492" t="str">
            <v>B</v>
          </cell>
          <cell r="L492" t="str">
            <v>CTR</v>
          </cell>
          <cell r="M492">
            <v>12</v>
          </cell>
          <cell r="N492" t="str">
            <v>RH</v>
          </cell>
          <cell r="O492" t="str">
            <v>robertiagus.haposan@alamtri.com</v>
          </cell>
          <cell r="P492">
            <v>13638</v>
          </cell>
          <cell r="Q492">
            <v>218208000</v>
          </cell>
          <cell r="R492" t="str">
            <v>Completed Sign PO Contract</v>
          </cell>
          <cell r="T492" t="str">
            <v>MSW</v>
          </cell>
          <cell r="U492" t="str">
            <v>Trakindo Utama, PT</v>
          </cell>
          <cell r="V492" t="str">
            <v>Trakindo Utama, PT</v>
          </cell>
          <cell r="W492" t="str">
            <v>1 of 1</v>
          </cell>
          <cell r="X492" t="str">
            <v>1 of 1</v>
          </cell>
          <cell r="Y492">
            <v>45965</v>
          </cell>
          <cell r="Z492">
            <v>45966</v>
          </cell>
          <cell r="AC492" t="str">
            <v xml:space="preserve"> of </v>
          </cell>
          <cell r="AD492" t="str">
            <v xml:space="preserve"> of </v>
          </cell>
          <cell r="AF492" t="str">
            <v/>
          </cell>
          <cell r="AI492" t="str">
            <v xml:space="preserve"> of </v>
          </cell>
          <cell r="AJ492" t="str">
            <v xml:space="preserve"> of </v>
          </cell>
          <cell r="AL492" t="str">
            <v/>
          </cell>
          <cell r="AM492">
            <v>0.70833333333333304</v>
          </cell>
          <cell r="AN492" t="str">
            <v>Trakindo Utama, PT</v>
          </cell>
          <cell r="AO492" t="str">
            <v>hjuniater.sidauruk@trakindo.co.id</v>
          </cell>
          <cell r="AP492" t="str">
            <v>6100-PC0625-00024</v>
          </cell>
          <cell r="AQ492">
            <v>233004857.52000001</v>
          </cell>
          <cell r="AT492">
            <v>45967</v>
          </cell>
          <cell r="AU492">
            <v>45971</v>
          </cell>
          <cell r="AV492">
            <v>45968</v>
          </cell>
          <cell r="AW492">
            <v>45972</v>
          </cell>
          <cell r="AX492">
            <v>0.5714285714285714</v>
          </cell>
          <cell r="AY492">
            <v>45971</v>
          </cell>
          <cell r="AZ492" t="str">
            <v/>
          </cell>
          <cell r="BA492" t="str">
            <v/>
          </cell>
          <cell r="BB492" t="str">
            <v>Completed</v>
          </cell>
          <cell r="BC492" t="str">
            <v>PC0125-000000556</v>
          </cell>
        </row>
        <row r="493">
          <cell r="B493" t="str">
            <v>PC0125-000000172</v>
          </cell>
          <cell r="C493" t="str">
            <v>DG Pengadaan Sparepart Water Separat</v>
          </cell>
          <cell r="D493" t="str">
            <v>Perwira Sentra Officindo, PT</v>
          </cell>
          <cell r="E493" t="str">
            <v>Berkat Amira, CV
Perwira Sentra Officindo, PT
Antares Jaya Gemilang Prima, PT
Petrocom Nusa Synergy, PT
Bima Kaltim Utama, PT
Aneka Mitra Cipta, PT</v>
          </cell>
          <cell r="F493" t="str">
            <v>Perwira Sentra Officindo, PT
Petrocom Nusa Synergy, PT
Bima Kaltim Utama, PT</v>
          </cell>
          <cell r="G493" t="str">
            <v>R0
3 of 6
26 Nov 25</v>
          </cell>
          <cell r="H493" t="str">
            <v>NAUFAL INAS FIKRI</v>
          </cell>
          <cell r="I493">
            <v>45958</v>
          </cell>
          <cell r="J493" t="str">
            <v>6100DB432</v>
          </cell>
          <cell r="K493" t="str">
            <v>B</v>
          </cell>
          <cell r="L493" t="str">
            <v>BID</v>
          </cell>
          <cell r="M493">
            <v>297</v>
          </cell>
          <cell r="N493" t="str">
            <v>RH</v>
          </cell>
          <cell r="O493" t="str">
            <v>robertiagus.haposan@alamtri.com</v>
          </cell>
          <cell r="P493">
            <v>2100</v>
          </cell>
          <cell r="Q493">
            <v>33600000</v>
          </cell>
          <cell r="R493" t="str">
            <v>PO Sign Vendor</v>
          </cell>
          <cell r="T493" t="str">
            <v>MSW</v>
          </cell>
          <cell r="U493" t="str">
            <v>Berkat Amira, CV
Perwira Sentra Officindo, PT
Antares Jaya Gemilang Prima, PT
Petrocom Nusa Synergy, PT
Bima Kaltim Utama, PT
Aneka Mitra Cipta, PT</v>
          </cell>
          <cell r="V493" t="str">
            <v>Perwira Sentra Officindo, PT
Petrocom Nusa Synergy, PT
Bima Kaltim Utama, PT</v>
          </cell>
          <cell r="W493" t="str">
            <v>6 of 6</v>
          </cell>
          <cell r="X493" t="str">
            <v>3 of 6</v>
          </cell>
          <cell r="Y493">
            <v>45980</v>
          </cell>
          <cell r="Z493">
            <v>45987</v>
          </cell>
          <cell r="AC493" t="str">
            <v xml:space="preserve"> of </v>
          </cell>
          <cell r="AD493" t="str">
            <v xml:space="preserve"> of </v>
          </cell>
          <cell r="AF493" t="str">
            <v/>
          </cell>
          <cell r="AI493" t="str">
            <v xml:space="preserve"> of </v>
          </cell>
          <cell r="AJ493" t="str">
            <v xml:space="preserve"> of </v>
          </cell>
          <cell r="AL493" t="str">
            <v/>
          </cell>
          <cell r="AM493">
            <v>0.70833333333333304</v>
          </cell>
          <cell r="AN493" t="str">
            <v>Petrocom Nusa Synergy, PT</v>
          </cell>
          <cell r="AO493" t="str">
            <v>petrocomnusasynergy@gmail.com</v>
          </cell>
          <cell r="AP493" t="str">
            <v>6100-PC0625-00198</v>
          </cell>
          <cell r="AQ493">
            <v>15000000</v>
          </cell>
          <cell r="AR493">
            <v>45988</v>
          </cell>
          <cell r="AS493">
            <v>46001</v>
          </cell>
          <cell r="AT493">
            <v>46013</v>
          </cell>
          <cell r="AU493">
            <v>46066</v>
          </cell>
          <cell r="AV493">
            <v>46015</v>
          </cell>
          <cell r="AW493">
            <v>46068</v>
          </cell>
          <cell r="AX493">
            <v>7.5714285714285712</v>
          </cell>
          <cell r="AZ493" t="str">
            <v/>
          </cell>
          <cell r="BA493" t="str">
            <v/>
          </cell>
          <cell r="BB493" t="str">
            <v>Late Completed</v>
          </cell>
          <cell r="BC493" t="str">
            <v>PC0125-000000172</v>
          </cell>
        </row>
        <row r="494">
          <cell r="B494" t="str">
            <v>PC0125-000000150</v>
          </cell>
          <cell r="C494" t="str">
            <v>DG Pengadaan Sparepart Oil Filter</v>
          </cell>
          <cell r="D494" t="str">
            <v>Bima Kaltim Utama, PT</v>
          </cell>
          <cell r="E494" t="str">
            <v>Bima Kaltim Utama, PT
Anugrah Mandiri Putra Tabalong, PT
Perwira Sentra Officindo, PT
Cahaya Mitra Saftindo, PT
Aneka Mitra Cipta, PT
Sentrapart Niaga Utama, PT</v>
          </cell>
          <cell r="F494" t="str">
            <v>Bima Kaltim Utama, PT
Perwira Sentra Officindo, PT
Aneka Mitra Cipta, PT
Sentrapart Niaga Utama, PT</v>
          </cell>
          <cell r="G494" t="str">
            <v>R0
4 of 6
26 Nov 25</v>
          </cell>
          <cell r="H494" t="str">
            <v>NAUFAL INAS FIKRI</v>
          </cell>
          <cell r="I494">
            <v>45958</v>
          </cell>
          <cell r="J494" t="str">
            <v>6100DB431</v>
          </cell>
          <cell r="K494" t="str">
            <v>B</v>
          </cell>
          <cell r="L494" t="str">
            <v>BID</v>
          </cell>
          <cell r="M494">
            <v>298</v>
          </cell>
          <cell r="N494" t="str">
            <v>RH</v>
          </cell>
          <cell r="O494" t="str">
            <v>robertiagus.haposan@alamtri.com</v>
          </cell>
          <cell r="P494">
            <v>2840</v>
          </cell>
          <cell r="Q494">
            <v>45440000</v>
          </cell>
          <cell r="R494" t="str">
            <v>PO Sign Vendor</v>
          </cell>
          <cell r="T494" t="str">
            <v>MSW</v>
          </cell>
          <cell r="U494" t="str">
            <v>Bima Kaltim Utama, PT
Anugrah Mandiri Putra Tabalong, PT
Perwira Sentra Officindo, PT
Cahaya Mitra Saftindo, PT
Aneka Mitra Cipta, PT
Sentrapart Niaga Utama, PT</v>
          </cell>
          <cell r="V494" t="str">
            <v>Bima Kaltim Utama, PT
Perwira Sentra Officindo, PT
Aneka Mitra Cipta, PT
Sentrapart Niaga Utama, PT</v>
          </cell>
          <cell r="W494" t="str">
            <v>6 of 6</v>
          </cell>
          <cell r="X494" t="str">
            <v>4 of 6</v>
          </cell>
          <cell r="Y494">
            <v>45980</v>
          </cell>
          <cell r="Z494">
            <v>45987</v>
          </cell>
          <cell r="AC494" t="str">
            <v xml:space="preserve"> of </v>
          </cell>
          <cell r="AD494" t="str">
            <v xml:space="preserve"> of </v>
          </cell>
          <cell r="AF494" t="str">
            <v/>
          </cell>
          <cell r="AI494" t="str">
            <v xml:space="preserve"> of </v>
          </cell>
          <cell r="AJ494" t="str">
            <v xml:space="preserve"> of </v>
          </cell>
          <cell r="AL494" t="str">
            <v/>
          </cell>
          <cell r="AM494">
            <v>0.70833333333333304</v>
          </cell>
          <cell r="AN494" t="str">
            <v>Bima Kaltim Utama, PT</v>
          </cell>
          <cell r="AO494" t="str">
            <v>rera.bimakaltim@yahoo.com; albert.bimautama@yahoo.com; rya_bimakaltim@yahoo.com</v>
          </cell>
          <cell r="AP494" t="str">
            <v>6100-PC0625-00197</v>
          </cell>
          <cell r="AQ494">
            <v>2840000</v>
          </cell>
          <cell r="AR494">
            <v>45993</v>
          </cell>
          <cell r="AS494">
            <v>46001</v>
          </cell>
          <cell r="AT494">
            <v>46013</v>
          </cell>
          <cell r="AU494">
            <v>46045</v>
          </cell>
          <cell r="AV494">
            <v>46015</v>
          </cell>
          <cell r="AW494">
            <v>46047</v>
          </cell>
          <cell r="AX494">
            <v>4.5714285714285712</v>
          </cell>
          <cell r="AZ494" t="str">
            <v/>
          </cell>
          <cell r="BA494" t="str">
            <v/>
          </cell>
          <cell r="BB494" t="str">
            <v>Late Completed</v>
          </cell>
          <cell r="BC494" t="str">
            <v>PC0125-000000150</v>
          </cell>
        </row>
        <row r="495">
          <cell r="B495" t="str">
            <v>PC0125-000000332</v>
          </cell>
          <cell r="C495" t="str">
            <v>DG Proforma PO Pemeliharaan 3G3</v>
          </cell>
          <cell r="D495" t="str">
            <v>Trakindo Utama, PT</v>
          </cell>
          <cell r="E495" t="str">
            <v>Trakindo Utama, PT</v>
          </cell>
          <cell r="F495" t="str">
            <v/>
          </cell>
          <cell r="G495" t="str">
            <v/>
          </cell>
          <cell r="H495" t="str">
            <v>NAUFAL INAS FIKRI</v>
          </cell>
          <cell r="I495">
            <v>45958</v>
          </cell>
          <cell r="J495" t="str">
            <v>6100DB432</v>
          </cell>
          <cell r="K495" t="str">
            <v>B</v>
          </cell>
          <cell r="L495" t="str">
            <v>CTR</v>
          </cell>
          <cell r="M495">
            <v>13</v>
          </cell>
          <cell r="N495" t="str">
            <v>RH</v>
          </cell>
          <cell r="O495" t="str">
            <v>robertiagus.haposan@alamtri.com</v>
          </cell>
          <cell r="P495">
            <v>26275.242393</v>
          </cell>
          <cell r="Q495">
            <v>420403878.28799999</v>
          </cell>
          <cell r="R495" t="str">
            <v>PO Sign Vendor</v>
          </cell>
          <cell r="T495" t="str">
            <v>MSW</v>
          </cell>
          <cell r="U495" t="str">
            <v>Trakindo Utama, PT</v>
          </cell>
          <cell r="V495" t="str">
            <v>Trakindo Utama, PT</v>
          </cell>
          <cell r="W495" t="str">
            <v>1 of 1</v>
          </cell>
          <cell r="X495" t="str">
            <v>1 of 1</v>
          </cell>
          <cell r="Y495">
            <v>45968</v>
          </cell>
          <cell r="Z495">
            <v>45971</v>
          </cell>
          <cell r="AC495" t="str">
            <v xml:space="preserve"> of </v>
          </cell>
          <cell r="AD495" t="str">
            <v xml:space="preserve"> of </v>
          </cell>
          <cell r="AF495" t="str">
            <v/>
          </cell>
          <cell r="AI495" t="str">
            <v xml:space="preserve"> of </v>
          </cell>
          <cell r="AJ495" t="str">
            <v xml:space="preserve"> of </v>
          </cell>
          <cell r="AL495" t="str">
            <v/>
          </cell>
          <cell r="AM495">
            <v>0.70833333333333304</v>
          </cell>
          <cell r="AN495" t="str">
            <v>Trakindo Utama, PT</v>
          </cell>
          <cell r="AO495" t="str">
            <v>hjuniater.sidauruk@trakindo.co.id</v>
          </cell>
          <cell r="AP495" t="str">
            <v>6100-PC0625-00113</v>
          </cell>
          <cell r="AQ495">
            <v>437931759</v>
          </cell>
          <cell r="AT495">
            <v>45992</v>
          </cell>
          <cell r="AU495">
            <v>46024</v>
          </cell>
          <cell r="AV495">
            <v>45994</v>
          </cell>
          <cell r="AW495">
            <v>46026</v>
          </cell>
          <cell r="AX495">
            <v>4.5714285714285712</v>
          </cell>
          <cell r="AY495">
            <v>46024</v>
          </cell>
          <cell r="AZ495" t="str">
            <v/>
          </cell>
          <cell r="BA495" t="str">
            <v/>
          </cell>
          <cell r="BB495" t="str">
            <v>Late Completed</v>
          </cell>
          <cell r="BC495" t="str">
            <v>PC0125-000000332</v>
          </cell>
        </row>
        <row r="496">
          <cell r="B496" t="str">
            <v>PC0125-000000144</v>
          </cell>
          <cell r="C496" t="str">
            <v>Pengadaan Battery Fiamm Model 2SLA810C 2V 810AH</v>
          </cell>
          <cell r="D496" t="str">
            <v>Westindo Esa Perkasa, PT</v>
          </cell>
          <cell r="E496" t="str">
            <v>Gema Industrial, PT
Putera Instrumenindo, PT
Antares Jaya Gemilang Prima, PT
Kin Kitra Kencana, PT
Gading Mas Utama, PT
Westindo Esa Perkasa, PT
Gridtech Indonesia, PT
Borneo Maju Jaya, PT
Adhigana Perkasa Mandiri, PT
Andalan Mutu Energi, PT
ANP Engineering, PT
Cakra Perkasa Jayamulia, PT
Global Energitama, PT
Power System Indonesia, PT
Dwijaya Sentral Sarana, PT
Jaya Induksi Elektrik, PT</v>
          </cell>
          <cell r="F496" t="str">
            <v>Westindo Esa Perkasa, PT
Gridtech Indonesia, PT
Jaya Induksi Elektrik, PT</v>
          </cell>
          <cell r="G496" t="str">
            <v>R0
3 of 16
25 Sep 25</v>
          </cell>
          <cell r="H496" t="str">
            <v>DEDE SUDARJI</v>
          </cell>
          <cell r="I496">
            <v>45952</v>
          </cell>
          <cell r="J496" t="str">
            <v>6100DB402</v>
          </cell>
          <cell r="K496" t="str">
            <v>B &amp; J</v>
          </cell>
          <cell r="L496" t="str">
            <v>BID</v>
          </cell>
          <cell r="M496">
            <v>260</v>
          </cell>
          <cell r="N496" t="str">
            <v>RH</v>
          </cell>
          <cell r="O496" t="str">
            <v>robertiagus.haposan@alamtri.com</v>
          </cell>
          <cell r="P496">
            <v>80927</v>
          </cell>
          <cell r="Q496">
            <v>1294832000</v>
          </cell>
          <cell r="R496" t="str">
            <v>Completed Contract</v>
          </cell>
          <cell r="T496" t="str">
            <v>MSW</v>
          </cell>
          <cell r="U496" t="str">
            <v>Gema Industrial, PT
Putera Instrumenindo, PT
Antares Jaya Gemilang Prima, PT
Kin Kitra Kencana, PT
Gading Mas Utama, PT
Westindo Esa Perkasa, PT
Gridtech Indonesia, PT
Borneo Maju Jaya, PT
Adhigana Perkasa Mandiri, PT
Andalan Mutu Energi, PT
ANP Engineering, PT
Cakra Perkasa Jayamulia, PT
Global Energitama, PT
Power System Indonesia, PT
Dwijaya Sentral Sarana, PT
Jaya Induksi Elektrik, PT</v>
          </cell>
          <cell r="V496" t="str">
            <v>Westindo Esa Perkasa, PT
Gridtech Indonesia, PT
Jaya Induksi Elektrik, PT</v>
          </cell>
          <cell r="W496" t="str">
            <v>16 of 16</v>
          </cell>
          <cell r="X496" t="str">
            <v>3 of 16</v>
          </cell>
          <cell r="Y496">
            <v>45918</v>
          </cell>
          <cell r="Z496">
            <v>45925</v>
          </cell>
          <cell r="AC496" t="str">
            <v xml:space="preserve"> of </v>
          </cell>
          <cell r="AD496" t="str">
            <v xml:space="preserve"> of </v>
          </cell>
          <cell r="AF496" t="str">
            <v/>
          </cell>
          <cell r="AI496" t="str">
            <v xml:space="preserve"> of </v>
          </cell>
          <cell r="AJ496" t="str">
            <v xml:space="preserve"> of </v>
          </cell>
          <cell r="AL496" t="str">
            <v/>
          </cell>
          <cell r="AM496">
            <v>0.70833333333333304</v>
          </cell>
          <cell r="AN496" t="str">
            <v>Westindo Esa Perkasa, PT</v>
          </cell>
          <cell r="AO496" t="str">
            <v>serpina@westindo.co.id</v>
          </cell>
          <cell r="AQ496">
            <v>1284600000</v>
          </cell>
          <cell r="AR496">
            <v>45993</v>
          </cell>
          <cell r="AS496">
            <v>46041</v>
          </cell>
          <cell r="AT496">
            <v>46167</v>
          </cell>
          <cell r="AU496">
            <v>46167</v>
          </cell>
          <cell r="AW496" t="str">
            <v/>
          </cell>
          <cell r="AX496" t="str">
            <v/>
          </cell>
          <cell r="AZ496" t="str">
            <v/>
          </cell>
          <cell r="BA496" t="str">
            <v/>
          </cell>
          <cell r="BB496" t="str">
            <v>Late Completed</v>
          </cell>
          <cell r="BC496" t="str">
            <v>PC0125-000000144</v>
          </cell>
        </row>
        <row r="497">
          <cell r="B497" t="str">
            <v>PC0125-000000577 (Sept 25)</v>
          </cell>
          <cell r="C497" t="str">
            <v>Sewa Trafo JPI meliputi Transformer</v>
          </cell>
          <cell r="D497" t="str">
            <v>Alamtri Minerals Indonesia Tbk, PT</v>
          </cell>
          <cell r="E497" t="str">
            <v>Alamtri Minerals Indonesia Tbk, PT</v>
          </cell>
          <cell r="F497" t="str">
            <v/>
          </cell>
          <cell r="G497" t="str">
            <v/>
          </cell>
          <cell r="H497" t="str">
            <v>GUNARA FERY FAHNANI</v>
          </cell>
          <cell r="I497">
            <v>45965</v>
          </cell>
          <cell r="J497" t="str">
            <v>6100DB412</v>
          </cell>
          <cell r="K497" t="str">
            <v>B</v>
          </cell>
          <cell r="L497" t="str">
            <v>CTR</v>
          </cell>
          <cell r="N497" t="str">
            <v>RH</v>
          </cell>
          <cell r="O497" t="str">
            <v>robertiagus.haposan@alamtri.com</v>
          </cell>
          <cell r="P497">
            <v>800</v>
          </cell>
          <cell r="Q497">
            <v>12800000</v>
          </cell>
          <cell r="R497" t="str">
            <v>PO Sign Vendor</v>
          </cell>
          <cell r="T497" t="str">
            <v>MSW</v>
          </cell>
          <cell r="U497" t="str">
            <v>Alamtri Minerals Indonesia Tbk, PT</v>
          </cell>
          <cell r="V497" t="str">
            <v>Alamtri Minerals Indonesia Tbk, PT</v>
          </cell>
          <cell r="W497" t="str">
            <v>1 of 1</v>
          </cell>
          <cell r="X497" t="str">
            <v>1 of 1</v>
          </cell>
          <cell r="Z497" t="str">
            <v/>
          </cell>
          <cell r="AC497" t="str">
            <v xml:space="preserve"> of </v>
          </cell>
          <cell r="AD497" t="str">
            <v xml:space="preserve"> of </v>
          </cell>
          <cell r="AF497" t="str">
            <v/>
          </cell>
          <cell r="AI497" t="str">
            <v xml:space="preserve"> of </v>
          </cell>
          <cell r="AJ497" t="str">
            <v xml:space="preserve"> of </v>
          </cell>
          <cell r="AL497" t="str">
            <v/>
          </cell>
          <cell r="AM497">
            <v>0.70833333333333304</v>
          </cell>
          <cell r="AN497" t="str">
            <v>Adaro Minerals Indonesia Tbk, PT</v>
          </cell>
          <cell r="AO497" t="str">
            <v/>
          </cell>
          <cell r="AP497" t="str">
            <v>6100-PC0625-00091</v>
          </cell>
          <cell r="AQ497">
            <v>70147651</v>
          </cell>
          <cell r="AT497">
            <v>45986</v>
          </cell>
          <cell r="AU497">
            <v>46016</v>
          </cell>
          <cell r="AV497">
            <v>45992</v>
          </cell>
          <cell r="AW497">
            <v>46022</v>
          </cell>
          <cell r="AX497">
            <v>4.2857142857142856</v>
          </cell>
          <cell r="AZ497" t="str">
            <v/>
          </cell>
          <cell r="BA497" t="str">
            <v/>
          </cell>
          <cell r="BB497" t="str">
            <v>Completed</v>
          </cell>
          <cell r="BC497" t="str">
            <v>PC0125-000000577</v>
          </cell>
        </row>
        <row r="498">
          <cell r="B498" t="str">
            <v>PC0125-000000577 (Okt 25)</v>
          </cell>
          <cell r="C498" t="str">
            <v>Sewa Trafo JPI meliputi Transformer</v>
          </cell>
          <cell r="D498" t="str">
            <v>Alamtri Minerals Indonesia Tbk, PT</v>
          </cell>
          <cell r="E498" t="str">
            <v>Alamtri Minerals Indonesia Tbk, PT</v>
          </cell>
          <cell r="F498" t="str">
            <v/>
          </cell>
          <cell r="G498" t="str">
            <v/>
          </cell>
          <cell r="H498" t="str">
            <v>GUNARA FERY FAHNANI</v>
          </cell>
          <cell r="I498">
            <v>45965</v>
          </cell>
          <cell r="J498" t="str">
            <v>6100DB412</v>
          </cell>
          <cell r="K498" t="str">
            <v>B</v>
          </cell>
          <cell r="L498" t="str">
            <v>CTR</v>
          </cell>
          <cell r="N498" t="str">
            <v>RH</v>
          </cell>
          <cell r="O498" t="str">
            <v>robertiagus.haposan@alamtri.com</v>
          </cell>
          <cell r="P498">
            <v>800</v>
          </cell>
          <cell r="Q498">
            <v>12800000</v>
          </cell>
          <cell r="R498" t="str">
            <v>PO Sign Vendor</v>
          </cell>
          <cell r="T498" t="str">
            <v>MSW</v>
          </cell>
          <cell r="U498" t="str">
            <v>Alamtri Minerals Indonesia Tbk, PT</v>
          </cell>
          <cell r="V498" t="str">
            <v>Alamtri Minerals Indonesia Tbk, PT</v>
          </cell>
          <cell r="W498" t="str">
            <v>1 of 1</v>
          </cell>
          <cell r="X498" t="str">
            <v>1 of 1</v>
          </cell>
          <cell r="Z498" t="str">
            <v/>
          </cell>
          <cell r="AC498" t="str">
            <v xml:space="preserve"> of </v>
          </cell>
          <cell r="AD498" t="str">
            <v xml:space="preserve"> of </v>
          </cell>
          <cell r="AF498" t="str">
            <v/>
          </cell>
          <cell r="AI498" t="str">
            <v xml:space="preserve"> of </v>
          </cell>
          <cell r="AJ498" t="str">
            <v xml:space="preserve"> of </v>
          </cell>
          <cell r="AL498" t="str">
            <v/>
          </cell>
          <cell r="AM498">
            <v>0.70833333333333304</v>
          </cell>
          <cell r="AN498" t="str">
            <v>Adaro Minerals Indonesia Tbk, PT</v>
          </cell>
          <cell r="AO498" t="str">
            <v/>
          </cell>
          <cell r="AP498" t="str">
            <v>6100-PC0625-00091</v>
          </cell>
          <cell r="AQ498">
            <v>70491533</v>
          </cell>
          <cell r="AT498">
            <v>45986</v>
          </cell>
          <cell r="AU498">
            <v>46016</v>
          </cell>
          <cell r="AV498">
            <v>45992</v>
          </cell>
          <cell r="AW498">
            <v>46022</v>
          </cell>
          <cell r="AX498">
            <v>4.2857142857142856</v>
          </cell>
          <cell r="AZ498" t="str">
            <v/>
          </cell>
          <cell r="BA498" t="str">
            <v/>
          </cell>
          <cell r="BB498" t="str">
            <v>Completed</v>
          </cell>
          <cell r="BC498" t="str">
            <v>PC0125-000000577</v>
          </cell>
        </row>
        <row r="499">
          <cell r="B499" t="str">
            <v>PC0125-000000577 (Nov 25)</v>
          </cell>
          <cell r="C499" t="str">
            <v>Sewa Trafo JPI meliputi Transformer</v>
          </cell>
          <cell r="D499" t="str">
            <v>Alamtri Minerals Indonesia Tbk, PT</v>
          </cell>
          <cell r="E499" t="str">
            <v>Alamtri Minerals Indonesia Tbk, PT</v>
          </cell>
          <cell r="F499" t="str">
            <v/>
          </cell>
          <cell r="G499" t="str">
            <v/>
          </cell>
          <cell r="H499" t="str">
            <v>GUNARA FERY FAHNANI</v>
          </cell>
          <cell r="I499">
            <v>45965</v>
          </cell>
          <cell r="J499" t="str">
            <v>6100DB412</v>
          </cell>
          <cell r="K499" t="str">
            <v>B</v>
          </cell>
          <cell r="L499" t="str">
            <v>CTR</v>
          </cell>
          <cell r="N499" t="str">
            <v>RH</v>
          </cell>
          <cell r="O499" t="str">
            <v>robertiagus.haposan@alamtri.com</v>
          </cell>
          <cell r="P499">
            <v>800</v>
          </cell>
          <cell r="Q499">
            <v>12800000</v>
          </cell>
          <cell r="R499" t="str">
            <v>PO Sign Vendor</v>
          </cell>
          <cell r="T499" t="str">
            <v>MSW</v>
          </cell>
          <cell r="U499" t="str">
            <v>Alamtri Minerals Indonesia Tbk, PT</v>
          </cell>
          <cell r="V499" t="str">
            <v>Alamtri Minerals Indonesia Tbk, PT</v>
          </cell>
          <cell r="W499" t="str">
            <v>1 of 1</v>
          </cell>
          <cell r="X499" t="str">
            <v>1 of 1</v>
          </cell>
          <cell r="Z499" t="str">
            <v/>
          </cell>
          <cell r="AC499" t="str">
            <v xml:space="preserve"> of </v>
          </cell>
          <cell r="AD499" t="str">
            <v xml:space="preserve"> of </v>
          </cell>
          <cell r="AF499" t="str">
            <v/>
          </cell>
          <cell r="AI499" t="str">
            <v xml:space="preserve"> of </v>
          </cell>
          <cell r="AJ499" t="str">
            <v xml:space="preserve"> of </v>
          </cell>
          <cell r="AL499" t="str">
            <v/>
          </cell>
          <cell r="AM499">
            <v>0.70833333333333304</v>
          </cell>
          <cell r="AN499" t="str">
            <v>Adaro Minerals Indonesia Tbk, PT</v>
          </cell>
          <cell r="AO499" t="str">
            <v/>
          </cell>
          <cell r="AP499" t="str">
            <v>6100-PC0625-00143</v>
          </cell>
          <cell r="AQ499">
            <v>70920324</v>
          </cell>
          <cell r="AT499">
            <v>45994</v>
          </cell>
          <cell r="AU499">
            <v>46027</v>
          </cell>
          <cell r="AV499">
            <v>46001</v>
          </cell>
          <cell r="AW499">
            <v>46034</v>
          </cell>
          <cell r="AX499">
            <v>4.7142857142857144</v>
          </cell>
          <cell r="AZ499" t="str">
            <v/>
          </cell>
          <cell r="BA499" t="str">
            <v/>
          </cell>
          <cell r="BB499" t="str">
            <v>Completed</v>
          </cell>
          <cell r="BC499" t="str">
            <v>PC0125-000000577</v>
          </cell>
        </row>
        <row r="500">
          <cell r="B500" t="str">
            <v>PC0125-000000577 (Des 25)</v>
          </cell>
          <cell r="C500" t="str">
            <v>Sewa Trafo JPI meliputi Transformer</v>
          </cell>
          <cell r="D500" t="str">
            <v>Alamtri Minerals Indonesia Tbk, PT</v>
          </cell>
          <cell r="E500" t="str">
            <v/>
          </cell>
          <cell r="F500" t="str">
            <v/>
          </cell>
          <cell r="G500" t="str">
            <v/>
          </cell>
          <cell r="H500" t="str">
            <v>GUNARA FERY FAHNANI</v>
          </cell>
          <cell r="I500">
            <v>45965</v>
          </cell>
          <cell r="J500" t="str">
            <v>6100DB412</v>
          </cell>
          <cell r="K500" t="str">
            <v>B</v>
          </cell>
          <cell r="L500" t="str">
            <v>CTR</v>
          </cell>
          <cell r="N500" t="str">
            <v>RH</v>
          </cell>
          <cell r="O500" t="str">
            <v>robertiagus.haposan@alamtri.com</v>
          </cell>
          <cell r="P500">
            <v>800</v>
          </cell>
          <cell r="Q500">
            <v>12800000</v>
          </cell>
          <cell r="R500" t="str">
            <v>CANCEL</v>
          </cell>
          <cell r="T500" t="str">
            <v>MSW</v>
          </cell>
          <cell r="U500" t="str">
            <v>Alamtri Minerals Indonesia Tbk, PT</v>
          </cell>
          <cell r="V500" t="str">
            <v>Alamtri Minerals Indonesia Tbk, PT</v>
          </cell>
          <cell r="W500" t="str">
            <v>1 of 1</v>
          </cell>
          <cell r="X500" t="str">
            <v>1 of 1</v>
          </cell>
          <cell r="Z500" t="str">
            <v/>
          </cell>
          <cell r="AC500" t="str">
            <v xml:space="preserve"> of </v>
          </cell>
          <cell r="AD500" t="str">
            <v xml:space="preserve"> of </v>
          </cell>
          <cell r="AF500" t="str">
            <v/>
          </cell>
          <cell r="AI500" t="str">
            <v xml:space="preserve"> of </v>
          </cell>
          <cell r="AJ500" t="str">
            <v xml:space="preserve"> of </v>
          </cell>
          <cell r="AL500" t="str">
            <v/>
          </cell>
          <cell r="AM500">
            <v>0.70833333333333304</v>
          </cell>
          <cell r="AN500" t="str">
            <v>Adaro Minerals Indonesia Tbk, PT</v>
          </cell>
          <cell r="AO500" t="str">
            <v/>
          </cell>
          <cell r="AW500" t="str">
            <v/>
          </cell>
          <cell r="AX500" t="str">
            <v/>
          </cell>
          <cell r="AZ500" t="str">
            <v/>
          </cell>
          <cell r="BA500" t="str">
            <v/>
          </cell>
          <cell r="BB500" t="str">
            <v/>
          </cell>
          <cell r="BC500" t="str">
            <v>PC0125-000000577</v>
          </cell>
        </row>
        <row r="501">
          <cell r="B501" t="str">
            <v>PC0125-000000338</v>
          </cell>
          <cell r="C501" t="str">
            <v>Mutasi tagihan rental 3 Notebook</v>
          </cell>
          <cell r="D501" t="str">
            <v>Mitra Integrasi Informatika, PT</v>
          </cell>
          <cell r="E501" t="str">
            <v>Mitra Integrasi Informatika, PT</v>
          </cell>
          <cell r="F501" t="str">
            <v/>
          </cell>
          <cell r="G501" t="str">
            <v/>
          </cell>
          <cell r="H501" t="str">
            <v>BASUKI SETIYO WIDODO</v>
          </cell>
          <cell r="I501">
            <v>45959</v>
          </cell>
          <cell r="J501" t="str">
            <v>6100DB402</v>
          </cell>
          <cell r="K501" t="str">
            <v>B</v>
          </cell>
          <cell r="L501" t="str">
            <v>CTR</v>
          </cell>
          <cell r="N501" t="str">
            <v>RH</v>
          </cell>
          <cell r="O501" t="str">
            <v>robertiagus.haposan@alamtri.com</v>
          </cell>
          <cell r="P501">
            <v>2001</v>
          </cell>
          <cell r="Q501">
            <v>32016000</v>
          </cell>
          <cell r="R501" t="str">
            <v>Completed Sign PO Contract</v>
          </cell>
          <cell r="T501" t="str">
            <v>MSW</v>
          </cell>
          <cell r="U501" t="str">
            <v>Mitra Integrasi Informatika, PT</v>
          </cell>
          <cell r="V501" t="str">
            <v>Mitra Integrasi Informatika, PT</v>
          </cell>
          <cell r="W501" t="str">
            <v>1 of 1</v>
          </cell>
          <cell r="X501" t="str">
            <v>1 of 1</v>
          </cell>
          <cell r="Z501" t="str">
            <v/>
          </cell>
          <cell r="AC501" t="str">
            <v xml:space="preserve"> of </v>
          </cell>
          <cell r="AD501" t="str">
            <v xml:space="preserve"> of </v>
          </cell>
          <cell r="AF501" t="str">
            <v/>
          </cell>
          <cell r="AI501" t="str">
            <v xml:space="preserve"> of </v>
          </cell>
          <cell r="AJ501" t="str">
            <v xml:space="preserve"> of </v>
          </cell>
          <cell r="AL501" t="str">
            <v/>
          </cell>
          <cell r="AM501">
            <v>0.70833333333333304</v>
          </cell>
          <cell r="AN501" t="str">
            <v>Mitra Integrasi Informatika, PT</v>
          </cell>
          <cell r="AO501" t="str">
            <v>Syifa.Maulia@mii.co.id</v>
          </cell>
          <cell r="AP501" t="str">
            <v>6100-PC0625-00078</v>
          </cell>
          <cell r="AQ501">
            <v>32479623</v>
          </cell>
          <cell r="AT501">
            <v>45985</v>
          </cell>
          <cell r="AU501">
            <v>46015</v>
          </cell>
          <cell r="AV501">
            <v>45987</v>
          </cell>
          <cell r="AW501">
            <v>46017</v>
          </cell>
          <cell r="AX501">
            <v>4.2857142857142856</v>
          </cell>
          <cell r="AZ501" t="str">
            <v/>
          </cell>
          <cell r="BA501" t="str">
            <v/>
          </cell>
          <cell r="BB501" t="str">
            <v>Completed</v>
          </cell>
          <cell r="BC501" t="str">
            <v>PC0125-000000338</v>
          </cell>
        </row>
        <row r="502">
          <cell r="B502" t="str">
            <v>PC0125-000000922</v>
          </cell>
          <cell r="C502" t="str">
            <v>Sparepart Panel Box RP-2001E</v>
          </cell>
          <cell r="E502" t="str">
            <v>ODG Indonesia, PT
Mitra Energi Abadi, PT
Antares Jaya Gemilang Prima, PT
Adhigana Perkasa Mandiri, PT
Totalfire Indonesia, PT
Monotaro Indonesia, PT
Norgantara Andalan Mandiri Indonesia, PT
Panca Global Solusindo, PT
Petrocom Nusa Synergy, PT
Jaga Karya Mandiri, PT
Berlian Sejahtera Teknik, PT
Berkat Keselamatan Dunia, PT
Honeywell Indonesia, PT
Multindo Technology Utama, PT
Mitra Cipta Hardi Elektrindo, PT
Depot Safety</v>
          </cell>
          <cell r="F502" t="str">
            <v>ODG Indonesia, PT
Norgantara Andalan Mandiri Indonesia, PT
Jaga Karya Mandiri, PT
Multindo Technology Utama, PT</v>
          </cell>
          <cell r="G502" t="str">
            <v>R1
4 of 16
29 Sep 25</v>
          </cell>
          <cell r="H502" t="str">
            <v>DEDE SUDARJI</v>
          </cell>
          <cell r="I502">
            <v>45981</v>
          </cell>
          <cell r="K502" t="str">
            <v>B</v>
          </cell>
          <cell r="L502" t="str">
            <v>BID</v>
          </cell>
          <cell r="M502">
            <v>249</v>
          </cell>
          <cell r="N502" t="str">
            <v>RH</v>
          </cell>
          <cell r="O502" t="str">
            <v>robertiagus.haposan@alamtri.com</v>
          </cell>
          <cell r="P502">
            <v>3591</v>
          </cell>
          <cell r="Q502">
            <v>57456000</v>
          </cell>
          <cell r="R502" t="str">
            <v>PO Sign Vendor</v>
          </cell>
          <cell r="S502" t="str">
            <v>PR100010658 replace PR MX</v>
          </cell>
          <cell r="T502" t="str">
            <v>MSW</v>
          </cell>
          <cell r="U502" t="str">
            <v>Putera Instrumenindo, PT
Vhipa Mulia Pratama, PT
Lienetic Jaya, PT
Gema Industrial, PT
Gading Mas Utama, PT
Norgantara Andalan Mandiri Indonesia, PT
Antares Jaya Gemilang Prima, PT
ODG Indonesia, PT
Swahusada Guna Instrumentasi, PT
Total Solusi Instrument, PT
Lima Makmur Jaya, PT
PM Control System, PT
Adhigana Perkasa Mandiri, PT
Kin Kitra Kencana, PT</v>
          </cell>
          <cell r="V502" t="str">
            <v>ODG Indonesia, PT</v>
          </cell>
          <cell r="W502" t="str">
            <v>14 of 14</v>
          </cell>
          <cell r="X502" t="str">
            <v>1 of 14</v>
          </cell>
          <cell r="Y502">
            <v>45904</v>
          </cell>
          <cell r="Z502">
            <v>45911</v>
          </cell>
          <cell r="AA502" t="str">
            <v>ODG Indonesia, PT
Mitra Energi Abadi, PT
Antares Jaya Gemilang Prima, PT
Adhigana Perkasa Mandiri, PT
Totalfire Indonesia, PT
Monotaro Indonesia, PT
Norgantara Andalan Mandiri Indonesia, PT
Panca Global Solusindo, PT
Petrocom Nusa Synergy, PT
Jaga Karya Mandiri, PT
Berlian Sejahtera Teknik, PT
Berkat Keselamatan Dunia, PT
Honeywell Indonesia, PT
Multindo Technology Utama, PT
Mitra Cipta Hardi Elektrindo, PT
Depot Safety</v>
          </cell>
          <cell r="AB502" t="str">
            <v>ODG Indonesia, PT
Norgantara Andalan Mandiri Indonesia, PT
Jaga Karya Mandiri, PT
Multindo Technology Utama, PT</v>
          </cell>
          <cell r="AC502" t="str">
            <v>16 of 16</v>
          </cell>
          <cell r="AD502" t="str">
            <v>4 of 16</v>
          </cell>
          <cell r="AE502">
            <v>45922</v>
          </cell>
          <cell r="AF502">
            <v>45929</v>
          </cell>
          <cell r="AI502" t="str">
            <v xml:space="preserve"> of </v>
          </cell>
          <cell r="AJ502" t="str">
            <v xml:space="preserve"> of </v>
          </cell>
          <cell r="AL502" t="str">
            <v/>
          </cell>
          <cell r="AM502">
            <v>0.70833333333333304</v>
          </cell>
          <cell r="AN502" t="str">
            <v>ODG Nusantara Jaya, PT</v>
          </cell>
          <cell r="AO502" t="str">
            <v>igirsang@protk.co.id</v>
          </cell>
          <cell r="AP502" t="str">
            <v>6100-PC0625-00080</v>
          </cell>
          <cell r="AQ502">
            <v>58988000</v>
          </cell>
          <cell r="AR502">
            <v>45931</v>
          </cell>
          <cell r="AS502">
            <v>45958</v>
          </cell>
          <cell r="AT502">
            <v>45985</v>
          </cell>
          <cell r="AU502">
            <v>46101</v>
          </cell>
          <cell r="AV502">
            <v>45993</v>
          </cell>
          <cell r="AW502">
            <v>46109</v>
          </cell>
          <cell r="AX502">
            <v>16.571428571428573</v>
          </cell>
          <cell r="AZ502" t="str">
            <v/>
          </cell>
          <cell r="BA502" t="str">
            <v/>
          </cell>
          <cell r="BB502" t="str">
            <v>Completed</v>
          </cell>
          <cell r="BC502" t="str">
            <v>PC0125-000000922</v>
          </cell>
        </row>
        <row r="503">
          <cell r="B503" t="str">
            <v>PC0125-000000352</v>
          </cell>
          <cell r="C503" t="str">
            <v>Sparepart Proximity for Actuator Boiler Turbine</v>
          </cell>
          <cell r="E503" t="str">
            <v>Elang Mas Indoasia, PT
Antares Jaya Gemilang Prima, PT
Gema Industrial, PT
Kin Kitra Kencana, PT
Rande Buana Teknik, PT
Trimitra Bangun Karyatama, PT
Sola Anugerah Oilfield, PT
Adika Mitra Sehati, PT
Gading Mas Utama, PT
Promitra Prima Indonesia, PT</v>
          </cell>
          <cell r="F503" t="str">
            <v>Elang Mas Indoasia, PT
Trimitra Bangun Karyatama, PT</v>
          </cell>
          <cell r="G503" t="str">
            <v>R2
2 of 10
27 Oct 25</v>
          </cell>
          <cell r="H503" t="str">
            <v>DEDE SUDARJI</v>
          </cell>
          <cell r="I503">
            <v>45972</v>
          </cell>
          <cell r="J503" t="str">
            <v>6100DB402</v>
          </cell>
          <cell r="K503" t="str">
            <v>B</v>
          </cell>
          <cell r="L503" t="str">
            <v>BID</v>
          </cell>
          <cell r="M503">
            <v>234</v>
          </cell>
          <cell r="N503" t="str">
            <v>RH</v>
          </cell>
          <cell r="O503" t="str">
            <v>robertiagus.haposan@alamtri.com</v>
          </cell>
          <cell r="P503">
            <v>4107</v>
          </cell>
          <cell r="Q503">
            <v>65712000</v>
          </cell>
          <cell r="R503" t="str">
            <v>PO Sign Vendor</v>
          </cell>
          <cell r="S503" t="str">
            <v>from PR100010514 (Line 1-2)</v>
          </cell>
          <cell r="T503" t="str">
            <v>MSW</v>
          </cell>
          <cell r="U503" t="str">
            <v>Antares Jaya Gemilang Prima, PT
Kin Kitra Kencana, PT
Indoparts, CV
Elang Mas Indoasia, PT
Gema Industrial, PT
Sahabat Mitra Intrabuana, PT
Karya Energi Indonesia, PT
Afghan Jaya Abadi, PT
Gevana, PT
Sola Anugerah Oilfield, PT
Axel Jaya Cakraniaga, PT
Alpha Bumi Persada, PT
Gading Mas Utama, PT</v>
          </cell>
          <cell r="V503" t="str">
            <v>Antares Jaya Gemilang Prima, PT
Elang Mas Indoasia, PT</v>
          </cell>
          <cell r="W503" t="str">
            <v>13 of 13</v>
          </cell>
          <cell r="X503" t="str">
            <v>2 of 13</v>
          </cell>
          <cell r="Y503">
            <v>45887</v>
          </cell>
          <cell r="Z503">
            <v>45894</v>
          </cell>
          <cell r="AA503" t="str">
            <v>Antares Jaya Gemilang Prima, PT
Elang Mas Indoasia, PT
Promitra Prima Indonesia, PT
Control Systems Arena Para Nusa, PT
Alfa Teknik Mandiri Makmur, PT
Perwira Sentra Officindo, PT
Indo Tehnik Tanjung Tabalong, PT
Vhipa Mulia Pratama, PT</v>
          </cell>
          <cell r="AB503" t="str">
            <v>Antares Jaya Gemilang Prima, PT
Elang Mas Indoasia, PT
Promitra Prima Indonesia, PT</v>
          </cell>
          <cell r="AC503" t="str">
            <v>8 of 8</v>
          </cell>
          <cell r="AD503" t="str">
            <v>3 of 8</v>
          </cell>
          <cell r="AE503">
            <v>45896</v>
          </cell>
          <cell r="AF503">
            <v>45903</v>
          </cell>
          <cell r="AG503" t="str">
            <v>Elang Mas Indoasia, PT
Antares Jaya Gemilang Prima, PT
Gema Industrial, PT
Kin Kitra Kencana, PT
Rande Buana Teknik, PT
Trimitra Bangun Karyatama, PT
Sola Anugerah Oilfield, PT
Adika Mitra Sehati, PT
Gading Mas Utama, PT
Promitra Prima Indonesia, PT</v>
          </cell>
          <cell r="AH503" t="str">
            <v>Elang Mas Indoasia, PT
Trimitra Bangun Karyatama, PT</v>
          </cell>
          <cell r="AI503" t="str">
            <v>10 of 10</v>
          </cell>
          <cell r="AJ503" t="str">
            <v>2 of 10</v>
          </cell>
          <cell r="AK503">
            <v>45950</v>
          </cell>
          <cell r="AL503">
            <v>45957</v>
          </cell>
          <cell r="AM503">
            <v>0.70833333333333304</v>
          </cell>
          <cell r="AN503" t="str">
            <v>Trimitra Bangun Karyatama, PT</v>
          </cell>
          <cell r="AO503" t="str">
            <v>devid@tribama.com; lusiana@tribama.com</v>
          </cell>
          <cell r="AP503" t="str">
            <v>6100-PC0625-00195</v>
          </cell>
          <cell r="AQ503">
            <v>29140000</v>
          </cell>
          <cell r="AR503">
            <v>45987</v>
          </cell>
          <cell r="AS503">
            <v>46010</v>
          </cell>
          <cell r="AT503">
            <v>46013</v>
          </cell>
          <cell r="AU503">
            <v>46129</v>
          </cell>
          <cell r="AV503">
            <v>46015</v>
          </cell>
          <cell r="AW503">
            <v>46131</v>
          </cell>
          <cell r="AX503">
            <v>16.571428571428573</v>
          </cell>
          <cell r="AZ503" t="str">
            <v/>
          </cell>
          <cell r="BA503" t="str">
            <v/>
          </cell>
          <cell r="BB503" t="str">
            <v>Late Completed</v>
          </cell>
          <cell r="BC503" t="str">
            <v>PC0125-000000352</v>
          </cell>
        </row>
        <row r="504">
          <cell r="B504" t="str">
            <v>PC0125-000000363 (Line 2,4)</v>
          </cell>
          <cell r="C504" t="str">
            <v>Pengadaan Sparepart Genset Tanjung</v>
          </cell>
          <cell r="D504" t="str">
            <v>Sehati, CV - Line 1-4
Bima Kaltim Utama, PT - Line 5</v>
          </cell>
          <cell r="E504" t="str">
            <v/>
          </cell>
          <cell r="F504" t="str">
            <v/>
          </cell>
          <cell r="G504" t="str">
            <v/>
          </cell>
          <cell r="H504" t="str">
            <v>NAUFAL INAS FIKRI</v>
          </cell>
          <cell r="I504">
            <v>45972</v>
          </cell>
          <cell r="J504" t="str">
            <v>6100DB433</v>
          </cell>
          <cell r="K504" t="str">
            <v>B</v>
          </cell>
          <cell r="L504" t="str">
            <v>BID</v>
          </cell>
          <cell r="M504">
            <v>302</v>
          </cell>
          <cell r="N504" t="str">
            <v>RH</v>
          </cell>
          <cell r="O504" t="str">
            <v>robertiagus.haposan@alamtri.com</v>
          </cell>
          <cell r="P504">
            <v>1378</v>
          </cell>
          <cell r="Q504">
            <v>22048000</v>
          </cell>
          <cell r="R504" t="str">
            <v>CANCEL</v>
          </cell>
          <cell r="S504" t="str">
            <v>permasalahan budget, dipindahkan ke Pak Raju</v>
          </cell>
          <cell r="T504" t="str">
            <v>MSW</v>
          </cell>
          <cell r="U504" t="str">
            <v>Sehati, CV
Alfa Teknik Mandiri Makmur, PT
Berkat Pratama Teknik, CV
Bima Kaltim Utama, PT
Sentrapart Niaga Utama, PT
Aneka Mitra Cipta, PT
Lotus Inti Pratama, PT
Blessindo Prima Sarana, PT</v>
          </cell>
          <cell r="V504" t="str">
            <v>Sehati, CV
Bima Kaltim Utama, PT
Aneka Mitra Cipta, PT
Lotus Inti Pratama, PT</v>
          </cell>
          <cell r="W504" t="str">
            <v>8 of 8</v>
          </cell>
          <cell r="X504" t="str">
            <v>4 of 8</v>
          </cell>
          <cell r="Y504">
            <v>45986</v>
          </cell>
          <cell r="Z504">
            <v>45993</v>
          </cell>
          <cell r="AC504" t="str">
            <v xml:space="preserve"> of </v>
          </cell>
          <cell r="AD504" t="str">
            <v xml:space="preserve"> of </v>
          </cell>
          <cell r="AF504" t="str">
            <v/>
          </cell>
          <cell r="AI504" t="str">
            <v xml:space="preserve"> of </v>
          </cell>
          <cell r="AJ504" t="str">
            <v xml:space="preserve"> of </v>
          </cell>
          <cell r="AL504" t="str">
            <v/>
          </cell>
          <cell r="AM504">
            <v>0.70833333333333304</v>
          </cell>
          <cell r="AN504" t="str">
            <v>Sehati, CV</v>
          </cell>
          <cell r="AO504" t="str">
            <v/>
          </cell>
          <cell r="AR504">
            <v>45994</v>
          </cell>
          <cell r="AS504">
            <v>46001</v>
          </cell>
          <cell r="AW504" t="str">
            <v/>
          </cell>
          <cell r="AX504" t="str">
            <v/>
          </cell>
          <cell r="AZ504" t="str">
            <v/>
          </cell>
          <cell r="BA504" t="str">
            <v/>
          </cell>
          <cell r="BB504" t="str">
            <v/>
          </cell>
          <cell r="BC504" t="str">
            <v>PC0125-000000363</v>
          </cell>
        </row>
        <row r="505">
          <cell r="B505" t="str">
            <v>PC0125-000000443</v>
          </cell>
          <cell r="C505" t="str">
            <v>Pembelian Material DG AI</v>
          </cell>
          <cell r="D505" t="str">
            <v>Indo Tehnik Tanjung Tabalong, PT - Line 1
Sehati, CV - Line 2</v>
          </cell>
          <cell r="E505" t="str">
            <v>Indo Tehnik Tanjung Tabalong, PT
Bima Kaltim Utama, PT
Petrocom Nusa Synergy, PT
Sehati, CV
Budi Anugrah Bersama, PT
Sarana Prima Lestari, CV
Gevana, PT
Alfa Teknik Mandiri Makmur, PT
Perwira Sentra Officindo, PT</v>
          </cell>
          <cell r="F505" t="str">
            <v>Indo Tehnik Tanjung Tabalong, PT
Bima Kaltim Utama, PT
Sehati, CV
Sarana Prima Lestari, CV
Perwira Sentra Officindo, PT</v>
          </cell>
          <cell r="G505" t="str">
            <v>R0
5 of 9
02 Dec 25</v>
          </cell>
          <cell r="H505" t="str">
            <v>SLAMET</v>
          </cell>
          <cell r="I505">
            <v>45972</v>
          </cell>
          <cell r="J505" t="str">
            <v>6100DB431</v>
          </cell>
          <cell r="K505" t="str">
            <v>B</v>
          </cell>
          <cell r="L505" t="str">
            <v>BID</v>
          </cell>
          <cell r="M505">
            <v>303</v>
          </cell>
          <cell r="N505" t="str">
            <v>RH</v>
          </cell>
          <cell r="O505" t="str">
            <v>robertiagus.haposan@alamtri.com</v>
          </cell>
          <cell r="P505">
            <v>348</v>
          </cell>
          <cell r="Q505">
            <v>5568000</v>
          </cell>
          <cell r="R505" t="str">
            <v>PO Sign Vendor</v>
          </cell>
          <cell r="S505" t="str">
            <v>Menunggu feedback penawaran dari Vendor</v>
          </cell>
          <cell r="T505" t="str">
            <v>MSW</v>
          </cell>
          <cell r="U505" t="str">
            <v>Indo Tehnik Tanjung Tabalong, PT
Bima Kaltim Utama, PT
Petrocom Nusa Synergy, PT
Sehati, CV
Budi Anugrah Bersama, PT
Sarana Prima Lestari, CV
Gevana, PT
Alfa Teknik Mandiri Makmur, PT
Perwira Sentra Officindo, PT</v>
          </cell>
          <cell r="V505" t="str">
            <v>Indo Tehnik Tanjung Tabalong, PT
Bima Kaltim Utama, PT
Sehati, CV
Sarana Prima Lestari, CV
Perwira Sentra Officindo, PT</v>
          </cell>
          <cell r="W505" t="str">
            <v>9 of 9</v>
          </cell>
          <cell r="X505" t="str">
            <v>5 of 9</v>
          </cell>
          <cell r="Y505">
            <v>45986</v>
          </cell>
          <cell r="Z505">
            <v>45993</v>
          </cell>
          <cell r="AC505" t="str">
            <v xml:space="preserve"> of </v>
          </cell>
          <cell r="AD505" t="str">
            <v xml:space="preserve"> of </v>
          </cell>
          <cell r="AF505" t="str">
            <v/>
          </cell>
          <cell r="AI505" t="str">
            <v xml:space="preserve"> of </v>
          </cell>
          <cell r="AJ505" t="str">
            <v xml:space="preserve"> of </v>
          </cell>
          <cell r="AL505" t="str">
            <v/>
          </cell>
          <cell r="AM505">
            <v>0.70833333333333304</v>
          </cell>
          <cell r="AN505" t="str">
            <v>Sarana Prima Lestari, CV</v>
          </cell>
          <cell r="AO505" t="str">
            <v>krisma@saranaprimalestari.com; spl@indo.net.id</v>
          </cell>
          <cell r="AP505" t="str">
            <v>6100-PC0625-00186</v>
          </cell>
          <cell r="AQ505">
            <v>924000</v>
          </cell>
          <cell r="AR505">
            <v>45994</v>
          </cell>
          <cell r="AS505">
            <v>46001</v>
          </cell>
          <cell r="AT505">
            <v>46010</v>
          </cell>
          <cell r="AU505">
            <v>46038</v>
          </cell>
          <cell r="AV505">
            <v>46015</v>
          </cell>
          <cell r="AW505">
            <v>46043</v>
          </cell>
          <cell r="AX505">
            <v>4</v>
          </cell>
          <cell r="AZ505" t="str">
            <v/>
          </cell>
          <cell r="BA505" t="str">
            <v/>
          </cell>
          <cell r="BB505" t="str">
            <v>Late Completed</v>
          </cell>
          <cell r="BC505" t="str">
            <v>PC0125-000000443</v>
          </cell>
        </row>
        <row r="506">
          <cell r="B506" t="str">
            <v>PC0125-000000454</v>
          </cell>
          <cell r="C506" t="str">
            <v>Spare Part Limit Switch for WO10821048</v>
          </cell>
          <cell r="D506" t="str">
            <v>Gema Industrial, PT</v>
          </cell>
          <cell r="E506" t="str">
            <v>Gema Industrial, PT
Panca Global Solusindo, PT
Gevana, PT
Trimitra Bangun Karyatama, PT
Gading Mas Utama, PT
Petrocom Nusa Synergy, PT
Promitra Prima Indonesia, PT
Gading Mas Utama, PT
Viktori Profindo Automation, PT</v>
          </cell>
          <cell r="F506" t="str">
            <v>Gevana, PT
Trimitra Bangun Karyatama, PT
Gading Mas Utama, PT</v>
          </cell>
          <cell r="G506" t="str">
            <v>R1
3 of 9
20 Feb 26</v>
          </cell>
          <cell r="H506" t="str">
            <v>BASUKI SETIYO WIDODO</v>
          </cell>
          <cell r="I506">
            <v>45972</v>
          </cell>
          <cell r="J506" t="str">
            <v>6100DB402</v>
          </cell>
          <cell r="K506" t="str">
            <v>B</v>
          </cell>
          <cell r="L506" t="str">
            <v>BID</v>
          </cell>
          <cell r="M506">
            <v>326</v>
          </cell>
          <cell r="N506" t="str">
            <v>RH</v>
          </cell>
          <cell r="O506" t="str">
            <v>robertiagus.haposan@alamtri.com</v>
          </cell>
          <cell r="Q506">
            <v>7500000</v>
          </cell>
          <cell r="R506" t="str">
            <v>PO Sign Vendor</v>
          </cell>
          <cell r="S506" t="str">
            <v>from PR100010776
6100-PC0626-00001 di CANCEL krn ada kenaikan harga</v>
          </cell>
          <cell r="T506" t="str">
            <v>MSW</v>
          </cell>
          <cell r="U506" t="str">
            <v>Gema Industrial, PT
Panca Global Solusindo, PT
Putera Instrumenindo, PT
Gevana, PT
Trimitra Bangun Karyatama, PT
Gading Mas Utama, PT
Petrocom Nusa Synergy, PT
Central Elektrindo Mandiri, PT</v>
          </cell>
          <cell r="V506" t="str">
            <v>Gema Industrial, PT
Panca Global Solusindo, PT
Gevana, PT
Trimitra Bangun Karyatama, PT
Gading Mas Utama, PT
Petrocom Nusa Synergy, PT</v>
          </cell>
          <cell r="W506" t="str">
            <v>8 of 8</v>
          </cell>
          <cell r="X506" t="str">
            <v>6 of 8</v>
          </cell>
          <cell r="Y506">
            <v>45995</v>
          </cell>
          <cell r="Z506">
            <v>46002</v>
          </cell>
          <cell r="AA506" t="str">
            <v>Gema Industrial, PT
Panca Global Solusindo, PT
Gevana, PT
Trimitra Bangun Karyatama, PT
Gading Mas Utama, PT
Petrocom Nusa Synergy, PT
Promitra Prima Indonesia, PT
Gading Mas Utama, PT
Viktori Profindo Automation, PT</v>
          </cell>
          <cell r="AB506" t="str">
            <v>Gevana, PT
Trimitra Bangun Karyatama, PT
Gading Mas Utama, PT</v>
          </cell>
          <cell r="AC506" t="str">
            <v>9 of 9</v>
          </cell>
          <cell r="AD506" t="str">
            <v>3 of 9</v>
          </cell>
          <cell r="AE506">
            <v>46065</v>
          </cell>
          <cell r="AF506">
            <v>46073</v>
          </cell>
          <cell r="AI506" t="str">
            <v xml:space="preserve"> of </v>
          </cell>
          <cell r="AJ506" t="str">
            <v xml:space="preserve"> of </v>
          </cell>
          <cell r="AL506" t="str">
            <v/>
          </cell>
          <cell r="AM506">
            <v>0.70833333333333304</v>
          </cell>
          <cell r="AN506" t="str">
            <v>Gading Mas Utama, PT</v>
          </cell>
          <cell r="AO506" t="str">
            <v>sales@gmu.co.id; marta.l@cbn.net.id</v>
          </cell>
          <cell r="AP506" t="str">
            <v>6100-PC0626-00001</v>
          </cell>
          <cell r="AQ506">
            <v>10250000</v>
          </cell>
          <cell r="AR506">
            <v>46122</v>
          </cell>
          <cell r="AS506">
            <v>46133</v>
          </cell>
          <cell r="AT506">
            <v>46133</v>
          </cell>
          <cell r="AU506">
            <v>46241</v>
          </cell>
          <cell r="AV506">
            <v>46134</v>
          </cell>
          <cell r="AW506">
            <v>46242</v>
          </cell>
          <cell r="AX506">
            <v>15.428571428571429</v>
          </cell>
          <cell r="AZ506" t="str">
            <v/>
          </cell>
          <cell r="BA506" t="str">
            <v/>
          </cell>
          <cell r="BB506" t="str">
            <v>Late Completed</v>
          </cell>
          <cell r="BC506" t="str">
            <v>PC0125-000000454</v>
          </cell>
        </row>
        <row r="507">
          <cell r="B507" t="str">
            <v>PC0125-000000658</v>
          </cell>
          <cell r="C507" t="str">
            <v>DG SOS FUEL ANALYSIS</v>
          </cell>
          <cell r="D507" t="str">
            <v>Trakindo Utama, PT</v>
          </cell>
          <cell r="E507" t="str">
            <v>Trakindo Utama, PT</v>
          </cell>
          <cell r="F507" t="str">
            <v/>
          </cell>
          <cell r="G507" t="str">
            <v/>
          </cell>
          <cell r="H507" t="str">
            <v>SLAMET</v>
          </cell>
          <cell r="I507">
            <v>45972</v>
          </cell>
          <cell r="K507" t="str">
            <v>J</v>
          </cell>
          <cell r="L507" t="str">
            <v>CTR</v>
          </cell>
          <cell r="M507">
            <v>14</v>
          </cell>
          <cell r="N507" t="str">
            <v>RH</v>
          </cell>
          <cell r="O507" t="str">
            <v>robertiagus.haposan@alamtri.com</v>
          </cell>
          <cell r="P507">
            <v>82.29</v>
          </cell>
          <cell r="Q507">
            <v>1316640</v>
          </cell>
          <cell r="R507" t="str">
            <v>PO Sign Vendor</v>
          </cell>
          <cell r="T507" t="str">
            <v>MSW</v>
          </cell>
          <cell r="U507" t="str">
            <v>Trakindo Utama, PT</v>
          </cell>
          <cell r="V507" t="str">
            <v>Trakindo Utama, PT</v>
          </cell>
          <cell r="W507" t="str">
            <v>1 of 1</v>
          </cell>
          <cell r="X507" t="str">
            <v>1 of 1</v>
          </cell>
          <cell r="Y507">
            <v>45986</v>
          </cell>
          <cell r="Z507">
            <v>45987</v>
          </cell>
          <cell r="AC507" t="str">
            <v xml:space="preserve"> of </v>
          </cell>
          <cell r="AD507" t="str">
            <v xml:space="preserve"> of </v>
          </cell>
          <cell r="AF507" t="str">
            <v/>
          </cell>
          <cell r="AI507" t="str">
            <v xml:space="preserve"> of </v>
          </cell>
          <cell r="AJ507" t="str">
            <v xml:space="preserve"> of </v>
          </cell>
          <cell r="AL507" t="str">
            <v/>
          </cell>
          <cell r="AM507">
            <v>0.70833333333333304</v>
          </cell>
          <cell r="AN507" t="str">
            <v>Trakindo Utama, PT</v>
          </cell>
          <cell r="AO507" t="str">
            <v>hjuniater.sidauruk@trakindo.co.id</v>
          </cell>
          <cell r="AP507" t="str">
            <v>6100-PC0625-00115</v>
          </cell>
          <cell r="AQ507">
            <v>1294144</v>
          </cell>
          <cell r="AT507">
            <v>45992</v>
          </cell>
          <cell r="AU507">
            <v>46020</v>
          </cell>
          <cell r="AV507">
            <v>46015</v>
          </cell>
          <cell r="AW507">
            <v>46043</v>
          </cell>
          <cell r="AX507">
            <v>4</v>
          </cell>
          <cell r="AY507">
            <v>46020</v>
          </cell>
          <cell r="AZ507" t="str">
            <v/>
          </cell>
          <cell r="BA507" t="str">
            <v/>
          </cell>
          <cell r="BB507" t="str">
            <v>Completed</v>
          </cell>
          <cell r="BC507" t="str">
            <v>PC0125-000000658</v>
          </cell>
        </row>
        <row r="508">
          <cell r="B508" t="str">
            <v>PC0125-000000750</v>
          </cell>
          <cell r="C508" t="str">
            <v>Sparepart lampu Highbay Chimney dan Fitting</v>
          </cell>
          <cell r="D508" t="str">
            <v>Borneo Maju Jaya, PT - Line 1
Perwira Sentra Officindo, PT - Line 2</v>
          </cell>
          <cell r="E508" t="str">
            <v/>
          </cell>
          <cell r="F508" t="str">
            <v/>
          </cell>
          <cell r="G508" t="str">
            <v/>
          </cell>
          <cell r="H508" t="str">
            <v>BASUKI SETIYO WIDODO</v>
          </cell>
          <cell r="I508">
            <v>45975</v>
          </cell>
          <cell r="J508" t="str">
            <v>6100DB402</v>
          </cell>
          <cell r="K508" t="str">
            <v>B</v>
          </cell>
          <cell r="L508" t="str">
            <v>BID</v>
          </cell>
          <cell r="M508">
            <v>304</v>
          </cell>
          <cell r="N508" t="str">
            <v>RH</v>
          </cell>
          <cell r="O508" t="str">
            <v>robertiagus.haposan@alamtri.com</v>
          </cell>
          <cell r="P508">
            <v>374</v>
          </cell>
          <cell r="Q508">
            <v>5984000</v>
          </cell>
          <cell r="R508" t="str">
            <v>CANCEL</v>
          </cell>
          <cell r="S508" t="str">
            <v>Menunggu PR baru 2026</v>
          </cell>
          <cell r="T508" t="str">
            <v>MSW</v>
          </cell>
          <cell r="U508" t="str">
            <v>Borneo Maju Jaya, PT
Gema Industrial, PT
Alfa Teknik Mandiri Makmur, PT
Perwira Sentra Officindo, PT
Raja Listrik Indonesia, PT
Sehati, CV</v>
          </cell>
          <cell r="V508" t="str">
            <v>Borneo Maju Jaya, PT
Gema Industrial, PT
Perwira Sentra Officindo, PT</v>
          </cell>
          <cell r="W508" t="str">
            <v>6 of 6</v>
          </cell>
          <cell r="X508" t="str">
            <v>3 of 6</v>
          </cell>
          <cell r="Y508">
            <v>45986</v>
          </cell>
          <cell r="Z508">
            <v>45993</v>
          </cell>
          <cell r="AC508" t="str">
            <v xml:space="preserve"> of </v>
          </cell>
          <cell r="AD508" t="str">
            <v xml:space="preserve"> of </v>
          </cell>
          <cell r="AF508" t="str">
            <v/>
          </cell>
          <cell r="AI508" t="str">
            <v xml:space="preserve"> of </v>
          </cell>
          <cell r="AJ508" t="str">
            <v xml:space="preserve"> of </v>
          </cell>
          <cell r="AL508" t="str">
            <v/>
          </cell>
          <cell r="AM508">
            <v>0.70833333333333304</v>
          </cell>
          <cell r="AN508" t="str">
            <v>Perwira Sentra Officindo, PT</v>
          </cell>
          <cell r="AO508" t="str">
            <v/>
          </cell>
          <cell r="AR508">
            <v>45995</v>
          </cell>
          <cell r="AS508">
            <v>46027</v>
          </cell>
          <cell r="AW508" t="str">
            <v/>
          </cell>
          <cell r="AX508" t="str">
            <v/>
          </cell>
          <cell r="AZ508" t="str">
            <v/>
          </cell>
          <cell r="BA508" t="str">
            <v/>
          </cell>
          <cell r="BB508" t="str">
            <v/>
          </cell>
          <cell r="BC508" t="str">
            <v>PC0125-000000750</v>
          </cell>
        </row>
        <row r="509">
          <cell r="B509" t="str">
            <v>PC0125-000000851 (Line 1)</v>
          </cell>
          <cell r="C509" t="str">
            <v>Sparepart Oxygen Analyzer Boiler</v>
          </cell>
          <cell r="E509" t="str">
            <v/>
          </cell>
          <cell r="F509" t="str">
            <v/>
          </cell>
          <cell r="G509" t="str">
            <v/>
          </cell>
          <cell r="H509" t="str">
            <v>BASUKI SETIYO WIDODO</v>
          </cell>
          <cell r="I509">
            <v>45981</v>
          </cell>
          <cell r="J509" t="str">
            <v>6100DB402</v>
          </cell>
          <cell r="K509" t="str">
            <v>B</v>
          </cell>
          <cell r="L509" t="str">
            <v>BID</v>
          </cell>
          <cell r="M509">
            <v>266</v>
          </cell>
          <cell r="N509" t="str">
            <v>RH</v>
          </cell>
          <cell r="O509" t="str">
            <v>robertiagus.haposan@alamtri.com</v>
          </cell>
          <cell r="P509">
            <v>4669.26</v>
          </cell>
          <cell r="Q509">
            <v>74708160</v>
          </cell>
          <cell r="R509" t="str">
            <v>CANCEL</v>
          </cell>
          <cell r="S509" t="str">
            <v>from PR100010715, masih menunggu dari Dayaniaga Ekaselaras
Change to PC0126-000000579</v>
          </cell>
          <cell r="T509" t="str">
            <v>MSW</v>
          </cell>
          <cell r="U509" t="str">
            <v>Dayaniaga Ekaselaras, PT
Putra Andalan Perkasa, PT
Mulia Solusindo, PT
Alfa Teknik Mandiri Makmur, PT
Perwira Sentra Officindo, PT
Gevana, PT
Sola Anugerah Oilfield, PT
Putera Instrumenindo, PT
Vhipa Mulia Pratama, PT
Lienetic Jaya, PT</v>
          </cell>
          <cell r="V509" t="str">
            <v>Dayaniaga Ekaselaras, PT
Gevana, PT
Putera Instrumenindo, PT
Lienetic Jaya, PT</v>
          </cell>
          <cell r="W509" t="str">
            <v>10 of 10</v>
          </cell>
          <cell r="X509" t="str">
            <v>4 of 10</v>
          </cell>
          <cell r="Y509">
            <v>45926</v>
          </cell>
          <cell r="Z509">
            <v>45933</v>
          </cell>
          <cell r="AA509" t="str">
            <v>Dayaniaga Ekaselaras, PT
Yokogawa Indonesia, PT
Antares Jaya Gemilang Prima, PT
Sola Anugerah Oilfield, PT
Petro Gama Industri, PT</v>
          </cell>
          <cell r="AB509" t="str">
            <v>Yokogawa Indonesia, PT</v>
          </cell>
          <cell r="AC509" t="str">
            <v>5 of 5</v>
          </cell>
          <cell r="AD509" t="str">
            <v>1 of 5</v>
          </cell>
          <cell r="AE509">
            <v>46097</v>
          </cell>
          <cell r="AF509">
            <v>46112</v>
          </cell>
          <cell r="AI509" t="str">
            <v xml:space="preserve"> of </v>
          </cell>
          <cell r="AJ509" t="str">
            <v xml:space="preserve"> of </v>
          </cell>
          <cell r="AL509" t="str">
            <v/>
          </cell>
          <cell r="AM509">
            <v>0.70833333333333304</v>
          </cell>
          <cell r="AO509" t="str">
            <v/>
          </cell>
          <cell r="AR509">
            <v>45938</v>
          </cell>
          <cell r="AS509">
            <v>45993</v>
          </cell>
          <cell r="AW509" t="str">
            <v/>
          </cell>
          <cell r="AX509" t="str">
            <v/>
          </cell>
          <cell r="AZ509" t="str">
            <v/>
          </cell>
          <cell r="BA509" t="str">
            <v/>
          </cell>
          <cell r="BB509" t="str">
            <v/>
          </cell>
          <cell r="BC509" t="str">
            <v>PC0125-000000851</v>
          </cell>
        </row>
        <row r="510">
          <cell r="B510" t="str">
            <v>PC0125-000000789</v>
          </cell>
          <cell r="C510" t="str">
            <v>Spare part motor rotary feeder Boiler</v>
          </cell>
          <cell r="D510" t="str">
            <v>Multi Mas, CV</v>
          </cell>
          <cell r="E510" t="str">
            <v/>
          </cell>
          <cell r="F510" t="str">
            <v/>
          </cell>
          <cell r="G510" t="str">
            <v/>
          </cell>
          <cell r="H510" t="str">
            <v>BASUKI SETIYO WIDODO</v>
          </cell>
          <cell r="I510">
            <v>46002</v>
          </cell>
          <cell r="J510" t="str">
            <v>6100DB402</v>
          </cell>
          <cell r="K510" t="str">
            <v>B</v>
          </cell>
          <cell r="L510" t="str">
            <v>BID</v>
          </cell>
          <cell r="M510">
            <v>310</v>
          </cell>
          <cell r="N510" t="str">
            <v>RH</v>
          </cell>
          <cell r="O510" t="str">
            <v>robertiagus.haposan@alamtri.com</v>
          </cell>
          <cell r="P510">
            <v>2693.6430030000001</v>
          </cell>
          <cell r="Q510">
            <v>43098288.048</v>
          </cell>
          <cell r="R510" t="str">
            <v>CANCEL</v>
          </cell>
          <cell r="S510" t="str">
            <v>Menunggu dari User untuk dibuatkan PC0126-000000452</v>
          </cell>
          <cell r="T510" t="str">
            <v>MSW</v>
          </cell>
          <cell r="U510" t="str">
            <v>Kin Kitra Kencana, PT
Multi Mas, CV
Gevana, PT
Petrocom Nusa Synergy, PT
Dwihasta Pirusa, PT
Stanindo Artha Langgeng, PT
Gridtech Indonesia, PT
Triputra Electric Abadi, PT
Emkaha, PT</v>
          </cell>
          <cell r="V510" t="str">
            <v>Kin Kitra Kencana, PT
Multi Mas, CV
Gevana, PT</v>
          </cell>
          <cell r="W510" t="str">
            <v>9 of 9</v>
          </cell>
          <cell r="X510" t="str">
            <v>3 of 9</v>
          </cell>
          <cell r="Y510">
            <v>45993</v>
          </cell>
          <cell r="Z510">
            <v>46000</v>
          </cell>
          <cell r="AC510" t="str">
            <v xml:space="preserve"> of </v>
          </cell>
          <cell r="AD510" t="str">
            <v xml:space="preserve"> of </v>
          </cell>
          <cell r="AF510" t="str">
            <v/>
          </cell>
          <cell r="AI510" t="str">
            <v xml:space="preserve"> of </v>
          </cell>
          <cell r="AJ510" t="str">
            <v xml:space="preserve"> of </v>
          </cell>
          <cell r="AL510" t="str">
            <v/>
          </cell>
          <cell r="AM510">
            <v>0.70833333333333304</v>
          </cell>
          <cell r="AO510" t="str">
            <v/>
          </cell>
          <cell r="AR510">
            <v>46002</v>
          </cell>
          <cell r="AS510">
            <v>46050</v>
          </cell>
          <cell r="AW510" t="str">
            <v/>
          </cell>
          <cell r="AX510" t="str">
            <v/>
          </cell>
          <cell r="AZ510" t="str">
            <v/>
          </cell>
          <cell r="BA510" t="str">
            <v/>
          </cell>
          <cell r="BB510" t="str">
            <v/>
          </cell>
          <cell r="BC510" t="str">
            <v>PC0125-000000789</v>
          </cell>
        </row>
        <row r="511">
          <cell r="B511" t="str">
            <v>PC0125-000000804</v>
          </cell>
          <cell r="C511" t="str">
            <v>Spare part Computer OS-1 Turbine</v>
          </cell>
          <cell r="E511" t="str">
            <v/>
          </cell>
          <cell r="F511" t="str">
            <v/>
          </cell>
          <cell r="G511" t="str">
            <v/>
          </cell>
          <cell r="H511" t="str">
            <v>BASUKI SETIYO WIDODO</v>
          </cell>
          <cell r="I511">
            <v>45978</v>
          </cell>
          <cell r="J511" t="str">
            <v>6100DB402</v>
          </cell>
          <cell r="K511" t="str">
            <v>B</v>
          </cell>
          <cell r="L511" t="str">
            <v>BID</v>
          </cell>
          <cell r="M511">
            <v>311</v>
          </cell>
          <cell r="N511" t="str">
            <v>RH</v>
          </cell>
          <cell r="O511" t="str">
            <v>robertiagus.haposan@alamtri.com</v>
          </cell>
          <cell r="P511">
            <v>2727</v>
          </cell>
          <cell r="Q511">
            <v>43632000</v>
          </cell>
          <cell r="R511" t="str">
            <v>CANCEL</v>
          </cell>
          <cell r="S511" t="str">
            <v>Change to PC0126-000000552</v>
          </cell>
          <cell r="T511" t="str">
            <v>MSW</v>
          </cell>
          <cell r="U511" t="str">
            <v>Perwira Sentra Officindo, PT
Vhipa Mulia Pratama, PT
Gevana, PT
Gema Industrial, PT
Gridtech Indonesia, PT
Multi Mas, CV
Niaga Prima Paramitra, PT
Aka Prima Komputindo, PT
Century, CV</v>
          </cell>
          <cell r="V511" t="str">
            <v>Gevana, PT</v>
          </cell>
          <cell r="W511" t="str">
            <v>9 of 9</v>
          </cell>
          <cell r="X511" t="str">
            <v>1 of 9</v>
          </cell>
          <cell r="Y511">
            <v>45993</v>
          </cell>
          <cell r="Z511">
            <v>46000</v>
          </cell>
          <cell r="AA511" t="str">
            <v>Gevana, PT
Kin Kitra Kencana, PT
Simenteknindo, PT
Gema Industrial, PT
Panca Global Solusindo, PT
Sola Anugerah Oilfield, PT
Axel Jaya Cakraniaga, PT
Quartee Technologies, PT</v>
          </cell>
          <cell r="AB511" t="str">
            <v>Gevana, PT
Panca Global Solusindo, PT</v>
          </cell>
          <cell r="AC511" t="str">
            <v>8 of 8</v>
          </cell>
          <cell r="AD511" t="str">
            <v>2 of 8</v>
          </cell>
          <cell r="AE511">
            <v>46002</v>
          </cell>
          <cell r="AF511">
            <v>46009</v>
          </cell>
          <cell r="AG511" t="str">
            <v>Gevana, PT
Panca Global Solusindo, PT
Gading Mas Utama, PT
Antares Jaya Gemilang Prima, PT
Viktori Profindo Automation, PT
Greentek Elektrikal Indonesia, PT
Ganesha Wirya Pratama, PT
Sehati, CV
Gema Industrial, PT</v>
          </cell>
          <cell r="AH511" t="str">
            <v>Gevana, PT
Panca Global Solusindo, PT
Antares Jaya Gemilang Prima, PT</v>
          </cell>
          <cell r="AI511" t="str">
            <v>9 of 9</v>
          </cell>
          <cell r="AJ511" t="str">
            <v>3 of 9</v>
          </cell>
          <cell r="AK511">
            <v>46042</v>
          </cell>
          <cell r="AL511">
            <v>46049</v>
          </cell>
          <cell r="AM511">
            <v>0.70833333333333304</v>
          </cell>
          <cell r="AO511" t="str">
            <v/>
          </cell>
          <cell r="AR511">
            <v>46051</v>
          </cell>
          <cell r="AW511" t="str">
            <v/>
          </cell>
          <cell r="AX511" t="str">
            <v/>
          </cell>
          <cell r="AZ511" t="str">
            <v/>
          </cell>
          <cell r="BA511" t="str">
            <v/>
          </cell>
          <cell r="BB511" t="str">
            <v/>
          </cell>
          <cell r="BC511" t="str">
            <v>PC0125-000000804</v>
          </cell>
        </row>
        <row r="512">
          <cell r="B512" t="str">
            <v>PC0125-000000937</v>
          </cell>
          <cell r="C512" t="str">
            <v>Spare Part Repair Kit Actuator PRDS</v>
          </cell>
          <cell r="D512" t="str">
            <v>Kin Kitra Kencana, PT - Line 1
Andalan Tiga Berlian, PT - Line 2</v>
          </cell>
          <cell r="E512" t="str">
            <v/>
          </cell>
          <cell r="F512" t="str">
            <v/>
          </cell>
          <cell r="G512" t="str">
            <v/>
          </cell>
          <cell r="H512" t="str">
            <v>BASUKI SETIYO WIDODO</v>
          </cell>
          <cell r="I512">
            <v>45988</v>
          </cell>
          <cell r="J512" t="str">
            <v>6100DB402</v>
          </cell>
          <cell r="K512" t="str">
            <v>B</v>
          </cell>
          <cell r="L512" t="str">
            <v>BID</v>
          </cell>
          <cell r="M512">
            <v>307</v>
          </cell>
          <cell r="N512" t="str">
            <v>RH</v>
          </cell>
          <cell r="O512" t="str">
            <v>robertiagus.haposan@alamtri.com</v>
          </cell>
          <cell r="P512">
            <v>4194.95</v>
          </cell>
          <cell r="Q512">
            <v>67119200</v>
          </cell>
          <cell r="R512" t="str">
            <v>CANCEL</v>
          </cell>
          <cell r="S512" t="str">
            <v>Change to PC0126-000000583</v>
          </cell>
          <cell r="T512" t="str">
            <v>MSW</v>
          </cell>
          <cell r="U512" t="str">
            <v>Kin Kitra Kencana, PT
Putera Instrumenindo, PT
Phoenix Bumiputera, PT
Lienetic Jaya, PT
Petrocom Nusa Synergy, PT
Trimitra Bangun Karyatama, PT
Indo Tehnik Tanjung Tabalong, PT
Alfa Teknik Mandiri Makmur, PT</v>
          </cell>
          <cell r="V512" t="str">
            <v>Kin Kitra Kencana, PT</v>
          </cell>
          <cell r="W512" t="str">
            <v>8 of 8</v>
          </cell>
          <cell r="X512" t="str">
            <v>1 of 8</v>
          </cell>
          <cell r="Y512">
            <v>45992</v>
          </cell>
          <cell r="Z512">
            <v>45999</v>
          </cell>
          <cell r="AA512" t="str">
            <v>Kin Kitra Kencana, PT
Putera Instrumenindo, PT
Outsourcindo, PT
Stanindo Artha Langgeng, PT
Aqpa Indonesia, PT
Sola Anugerah Oilfield, PT
Fadnov Airtech Indonesia, PT
Gevana, PT
Adijaya Mitra Perkasa, PT
Solusi Cita Mandala, PT
Dwijaya Sentral Sarana, PT</v>
          </cell>
          <cell r="AB512" t="str">
            <v>Kin Kitra Kencana, PT</v>
          </cell>
          <cell r="AC512" t="str">
            <v>11 of 11</v>
          </cell>
          <cell r="AD512" t="str">
            <v>1 of 11</v>
          </cell>
          <cell r="AE512">
            <v>46001</v>
          </cell>
          <cell r="AF512">
            <v>46008</v>
          </cell>
          <cell r="AG512" t="str">
            <v>Kin Kitra Kencana, PT
Andalan Tiga Berlian, PT
Norgantara Andalan Mandiri Indonesia, PT
Panca Global Solusindo, PT
Axel Jaya Cakraniaga, PT
ODG Nusantara Jaya, PT
Putra Andalan Perkasa, PT
Multitech Industrial Indonesia, PT
Mitra Wira Pratama, PT
Arita Prima Indonesia Tbk, PT</v>
          </cell>
          <cell r="AH512" t="str">
            <v>Kin Kitra Kencana, PT</v>
          </cell>
          <cell r="AI512" t="str">
            <v>10 of 10</v>
          </cell>
          <cell r="AJ512" t="str">
            <v>1 of 10</v>
          </cell>
          <cell r="AK512">
            <v>46027</v>
          </cell>
          <cell r="AL512">
            <v>46041</v>
          </cell>
          <cell r="AM512">
            <v>0.70833333333333304</v>
          </cell>
          <cell r="AO512" t="str">
            <v/>
          </cell>
          <cell r="AR512">
            <v>46051</v>
          </cell>
          <cell r="AW512" t="str">
            <v/>
          </cell>
          <cell r="AX512" t="str">
            <v/>
          </cell>
          <cell r="AZ512" t="str">
            <v/>
          </cell>
          <cell r="BA512" t="str">
            <v/>
          </cell>
          <cell r="BB512" t="str">
            <v/>
          </cell>
          <cell r="BC512" t="str">
            <v>PC0125-000000937</v>
          </cell>
        </row>
        <row r="513">
          <cell r="B513" t="str">
            <v>PC0125-000000930 (Line 1)</v>
          </cell>
          <cell r="C513" t="str">
            <v>DG Material DG IBT</v>
          </cell>
          <cell r="D513" t="str">
            <v>Trakindo Utama, PT - Line 1
Berkat Pratama Teknik, CV - Line 2</v>
          </cell>
          <cell r="E513" t="str">
            <v>Trakindo Utama, PT</v>
          </cell>
          <cell r="F513" t="str">
            <v/>
          </cell>
          <cell r="G513" t="str">
            <v/>
          </cell>
          <cell r="H513" t="str">
            <v>NAUFAL INAS FIKRI</v>
          </cell>
          <cell r="I513">
            <v>45986</v>
          </cell>
          <cell r="J513" t="str">
            <v>6100DB432</v>
          </cell>
          <cell r="K513" t="str">
            <v>B</v>
          </cell>
          <cell r="L513" t="str">
            <v>CTR</v>
          </cell>
          <cell r="M513">
            <v>15</v>
          </cell>
          <cell r="N513" t="str">
            <v>RH</v>
          </cell>
          <cell r="O513" t="str">
            <v>robertiagus.haposan@alamtri.com</v>
          </cell>
          <cell r="P513">
            <v>792</v>
          </cell>
          <cell r="Q513">
            <v>12672000</v>
          </cell>
          <cell r="R513" t="str">
            <v>PO Sign Vendor</v>
          </cell>
          <cell r="T513" t="str">
            <v>MSW</v>
          </cell>
          <cell r="U513" t="str">
            <v>Trakindo Utama, PT</v>
          </cell>
          <cell r="V513" t="str">
            <v>Trakindo Utama, PT</v>
          </cell>
          <cell r="W513" t="str">
            <v>1 of 1</v>
          </cell>
          <cell r="X513" t="str">
            <v>1 of 1</v>
          </cell>
          <cell r="Y513">
            <v>45992</v>
          </cell>
          <cell r="Z513">
            <v>45993</v>
          </cell>
          <cell r="AC513" t="str">
            <v xml:space="preserve"> of </v>
          </cell>
          <cell r="AD513" t="str">
            <v xml:space="preserve"> of </v>
          </cell>
          <cell r="AF513" t="str">
            <v/>
          </cell>
          <cell r="AI513" t="str">
            <v xml:space="preserve"> of </v>
          </cell>
          <cell r="AJ513" t="str">
            <v xml:space="preserve"> of </v>
          </cell>
          <cell r="AL513" t="str">
            <v/>
          </cell>
          <cell r="AM513">
            <v>0.70833333333333304</v>
          </cell>
          <cell r="AN513" t="str">
            <v>Trakindo Utama, PT</v>
          </cell>
          <cell r="AO513" t="str">
            <v>hjuniater.sidauruk@trakindo.co.id</v>
          </cell>
          <cell r="AP513" t="str">
            <v>6100-PC0625-00125</v>
          </cell>
          <cell r="AQ513">
            <v>7295804</v>
          </cell>
          <cell r="AT513">
            <v>45992</v>
          </cell>
          <cell r="AU513">
            <v>46020</v>
          </cell>
          <cell r="AV513">
            <v>46001</v>
          </cell>
          <cell r="AW513">
            <v>46029</v>
          </cell>
          <cell r="AX513">
            <v>4</v>
          </cell>
          <cell r="AZ513" t="str">
            <v/>
          </cell>
          <cell r="BA513" t="str">
            <v/>
          </cell>
          <cell r="BB513" t="str">
            <v>Completed</v>
          </cell>
          <cell r="BC513" t="str">
            <v>PC0125-000000930</v>
          </cell>
        </row>
        <row r="514">
          <cell r="B514" t="str">
            <v>PC0125-000001004</v>
          </cell>
          <cell r="C514" t="str">
            <v>Accelerometer, SLC 144 - DuoTech</v>
          </cell>
          <cell r="D514" t="str">
            <v>Promitra Prima Indonesia, PT</v>
          </cell>
          <cell r="E514" t="str">
            <v/>
          </cell>
          <cell r="F514" t="str">
            <v/>
          </cell>
          <cell r="G514" t="str">
            <v/>
          </cell>
          <cell r="H514" t="str">
            <v>SASTRA IRAWAN</v>
          </cell>
          <cell r="I514">
            <v>45988</v>
          </cell>
          <cell r="J514" t="str">
            <v>6100DB401</v>
          </cell>
          <cell r="K514" t="str">
            <v>B</v>
          </cell>
          <cell r="L514" t="str">
            <v>BID</v>
          </cell>
          <cell r="M514">
            <v>305</v>
          </cell>
          <cell r="N514" t="str">
            <v>RH</v>
          </cell>
          <cell r="O514" t="str">
            <v>robertiagus.haposan@alamtri.com</v>
          </cell>
          <cell r="P514">
            <v>1021.627435</v>
          </cell>
          <cell r="Q514">
            <v>16346038.959999999</v>
          </cell>
          <cell r="R514" t="str">
            <v>CANCEL</v>
          </cell>
          <cell r="S514" t="str">
            <v>SI 301225</v>
          </cell>
          <cell r="T514" t="str">
            <v>MSW</v>
          </cell>
          <cell r="U514" t="str">
            <v>Dwihasta Pirusa, PT
Promitra Prima Indonesia, PT
Petrocom Nusa Synergy, PT
Axel Jaya Cakraniaga, PT
Antares Jaya Gemilang Prima, PT
Gridtech Indonesia, PT
Karya Energi Indonesia, PT
Trimitra Bangun Karyatama, PT
Gading Mas Utama, PT
Sola Anugerah Oilfield, PT</v>
          </cell>
          <cell r="V514" t="str">
            <v>Promitra Prima Indonesia, PT
Axel Jaya Cakraniaga, PT</v>
          </cell>
          <cell r="W514" t="str">
            <v>10 of 10</v>
          </cell>
          <cell r="X514" t="str">
            <v>2 of 10</v>
          </cell>
          <cell r="Y514">
            <v>45989</v>
          </cell>
          <cell r="Z514">
            <v>45996</v>
          </cell>
          <cell r="AA514" t="str">
            <v>Promitra Prima Indonesia, PT
Axel Jaya Cakraniaga, PT
Dwihasta Pirusa, PT
Sola Anugerah Oilfield, PT
Outsourcindo, PT
Petrocom Nusa Synergy, PT
Outsourcindo, PT
Antares Jaya Gemilang Prima, PT
Kin Kitra Kencana, PT
Gevana, PT</v>
          </cell>
          <cell r="AB514" t="str">
            <v>Promitra Prima Indonesia, PT
Axel Jaya Cakraniaga, PT
Dwihasta Pirusa, PT
Antares Jaya Gemilang Prima, PT</v>
          </cell>
          <cell r="AC514" t="str">
            <v>10 of 10</v>
          </cell>
          <cell r="AD514" t="str">
            <v>4 of 10</v>
          </cell>
          <cell r="AE514">
            <v>46008</v>
          </cell>
          <cell r="AF514">
            <v>46014</v>
          </cell>
          <cell r="AI514" t="str">
            <v xml:space="preserve"> of </v>
          </cell>
          <cell r="AJ514" t="str">
            <v xml:space="preserve"> of </v>
          </cell>
          <cell r="AL514" t="str">
            <v/>
          </cell>
          <cell r="AM514">
            <v>0.70833333333333304</v>
          </cell>
          <cell r="AO514" t="str">
            <v/>
          </cell>
          <cell r="AR514">
            <v>46021</v>
          </cell>
          <cell r="AW514" t="str">
            <v/>
          </cell>
          <cell r="AX514" t="str">
            <v/>
          </cell>
          <cell r="AZ514" t="str">
            <v/>
          </cell>
          <cell r="BA514" t="str">
            <v/>
          </cell>
          <cell r="BB514" t="str">
            <v/>
          </cell>
          <cell r="BC514" t="str">
            <v>PC0125-000001004</v>
          </cell>
        </row>
        <row r="515">
          <cell r="B515" t="str">
            <v>PC0125-000000930 (Line 2)</v>
          </cell>
          <cell r="C515" t="str">
            <v>DG Material DG IBT</v>
          </cell>
          <cell r="D515" t="str">
            <v>Trakindo Utama, PT - Line 1
Berkat Pratama Teknik, CV - Line 2</v>
          </cell>
          <cell r="E515" t="str">
            <v/>
          </cell>
          <cell r="F515" t="str">
            <v/>
          </cell>
          <cell r="G515" t="str">
            <v/>
          </cell>
          <cell r="H515" t="str">
            <v>NAUFAL INAS FIKRI</v>
          </cell>
          <cell r="I515">
            <v>45986</v>
          </cell>
          <cell r="J515" t="str">
            <v>6100DB432</v>
          </cell>
          <cell r="K515" t="str">
            <v>B</v>
          </cell>
          <cell r="L515" t="str">
            <v>BID</v>
          </cell>
          <cell r="M515">
            <v>306</v>
          </cell>
          <cell r="N515" t="str">
            <v>RH</v>
          </cell>
          <cell r="O515" t="str">
            <v>robertiagus.haposan@alamtri.com</v>
          </cell>
          <cell r="P515">
            <v>225</v>
          </cell>
          <cell r="Q515">
            <v>3600000</v>
          </cell>
          <cell r="R515" t="str">
            <v>CANCEL</v>
          </cell>
          <cell r="S515" t="str">
            <v>NIF/S 301225</v>
          </cell>
          <cell r="T515" t="str">
            <v>MSW</v>
          </cell>
          <cell r="U515" t="str">
            <v>Berkat Pratama Teknik, CV
Bhakti Ratutama Jaya, PT
Sarana Prima Lestari, CV
Dunia Saftindo, PT
Prima Safety, CV
Wahana Safety Indonesia, PT
Berkat Keselamatan Dunia, PT
Cahaya Mitra Saftindo, PT</v>
          </cell>
          <cell r="V515" t="str">
            <v>Dunia Saftindo, PT
Wahana Safety Indonesia, PT</v>
          </cell>
          <cell r="W515" t="str">
            <v>8 of 8</v>
          </cell>
          <cell r="X515" t="str">
            <v>2 of 8</v>
          </cell>
          <cell r="Y515">
            <v>45992</v>
          </cell>
          <cell r="Z515">
            <v>45999</v>
          </cell>
          <cell r="AA515" t="str">
            <v>Bhakti Ratutama Jaya, PT
Dunia Saftindo, PT
Wahana Safety Indonesia, PT
Berkat Keselamatan Dunia, PT
Prima Safety, CV
Adhigana Perkasa Mandiri, PT
Bintang Anugrah Sehati, PT
Sarana Prima Lestari, CV
Berkat Pratama Teknik, CV</v>
          </cell>
          <cell r="AB515" t="str">
            <v>Bhakti Ratutama Jaya, PT
Dunia Saftindo, PT
Wahana Safety Indonesia, PT
Berkat Keselamatan Dunia, PT</v>
          </cell>
          <cell r="AC515" t="str">
            <v>9 of 9</v>
          </cell>
          <cell r="AD515" t="str">
            <v>4 of 9</v>
          </cell>
          <cell r="AE515">
            <v>46001</v>
          </cell>
          <cell r="AF515">
            <v>46008</v>
          </cell>
          <cell r="AI515" t="str">
            <v xml:space="preserve"> of </v>
          </cell>
          <cell r="AJ515" t="str">
            <v xml:space="preserve"> of </v>
          </cell>
          <cell r="AL515" t="str">
            <v/>
          </cell>
          <cell r="AM515">
            <v>0.70833333333333304</v>
          </cell>
          <cell r="AO515" t="str">
            <v/>
          </cell>
          <cell r="AR515">
            <v>46021</v>
          </cell>
          <cell r="AW515" t="str">
            <v/>
          </cell>
          <cell r="AX515" t="str">
            <v/>
          </cell>
          <cell r="AZ515" t="str">
            <v/>
          </cell>
          <cell r="BA515" t="str">
            <v/>
          </cell>
          <cell r="BB515" t="str">
            <v/>
          </cell>
          <cell r="BC515" t="str">
            <v>PC0125-000000930</v>
          </cell>
        </row>
        <row r="516">
          <cell r="B516" t="str">
            <v>PC0125-000001102</v>
          </cell>
          <cell r="C516" t="str">
            <v>DG (Reimburse IBT) Jasa dan Part GOH 3G2</v>
          </cell>
          <cell r="D516" t="str">
            <v>Trakindo Utama, PT</v>
          </cell>
          <cell r="E516" t="str">
            <v>Trakindo Utama, PT</v>
          </cell>
          <cell r="F516" t="str">
            <v/>
          </cell>
          <cell r="G516" t="str">
            <v/>
          </cell>
          <cell r="H516" t="str">
            <v>SLAMET</v>
          </cell>
          <cell r="I516">
            <v>45989</v>
          </cell>
          <cell r="J516" t="str">
            <v>6100DB432</v>
          </cell>
          <cell r="K516" t="str">
            <v>J</v>
          </cell>
          <cell r="L516" t="str">
            <v>CTR</v>
          </cell>
          <cell r="N516" t="str">
            <v>RH</v>
          </cell>
          <cell r="O516" t="str">
            <v>robertiagus.haposan@alamtri.com</v>
          </cell>
          <cell r="P516">
            <v>222425.28</v>
          </cell>
          <cell r="Q516">
            <v>3558804480</v>
          </cell>
          <cell r="R516" t="str">
            <v>PO Sign Vendor</v>
          </cell>
          <cell r="T516" t="str">
            <v>MSW</v>
          </cell>
          <cell r="U516" t="str">
            <v>Trakindo Utama, PT</v>
          </cell>
          <cell r="V516" t="str">
            <v>Trakindo Utama, PT</v>
          </cell>
          <cell r="W516" t="str">
            <v>1 of 1</v>
          </cell>
          <cell r="X516" t="str">
            <v>1 of 1</v>
          </cell>
          <cell r="Z516" t="str">
            <v/>
          </cell>
          <cell r="AC516" t="str">
            <v xml:space="preserve"> of </v>
          </cell>
          <cell r="AD516" t="str">
            <v xml:space="preserve"> of </v>
          </cell>
          <cell r="AF516" t="str">
            <v/>
          </cell>
          <cell r="AI516" t="str">
            <v xml:space="preserve"> of </v>
          </cell>
          <cell r="AJ516" t="str">
            <v xml:space="preserve"> of </v>
          </cell>
          <cell r="AL516" t="str">
            <v/>
          </cell>
          <cell r="AM516">
            <v>0.70833333333333304</v>
          </cell>
          <cell r="AN516" t="str">
            <v>Trakindo Utama, PT</v>
          </cell>
          <cell r="AO516" t="str">
            <v>hjuniater.sidauruk@trakindo.co.id</v>
          </cell>
          <cell r="AP516" t="str">
            <v>6100-PC0625-00122</v>
          </cell>
          <cell r="AQ516">
            <v>3722954299</v>
          </cell>
          <cell r="AT516">
            <v>45992</v>
          </cell>
          <cell r="AU516">
            <v>46020</v>
          </cell>
          <cell r="AV516">
            <v>45995</v>
          </cell>
          <cell r="AW516">
            <v>46023</v>
          </cell>
          <cell r="AX516">
            <v>4</v>
          </cell>
          <cell r="AZ516" t="str">
            <v/>
          </cell>
          <cell r="BA516" t="str">
            <v/>
          </cell>
          <cell r="BB516" t="str">
            <v>Completed</v>
          </cell>
          <cell r="BC516" t="str">
            <v>PC0125-000001102</v>
          </cell>
        </row>
        <row r="517">
          <cell r="B517" t="str">
            <v>PC0125-000000705</v>
          </cell>
          <cell r="C517" t="str">
            <v>DG Jasa Perbaikan 3G1 dan 3G3</v>
          </cell>
          <cell r="D517" t="str">
            <v>Trakindo Utama, PT</v>
          </cell>
          <cell r="E517" t="str">
            <v>Trakindo Utama, PT</v>
          </cell>
          <cell r="F517" t="str">
            <v/>
          </cell>
          <cell r="G517" t="str">
            <v/>
          </cell>
          <cell r="H517" t="str">
            <v>NAUFAL INAS FIKRI</v>
          </cell>
          <cell r="I517">
            <v>45989</v>
          </cell>
          <cell r="J517" t="str">
            <v>6100DB432</v>
          </cell>
          <cell r="K517" t="str">
            <v>J</v>
          </cell>
          <cell r="L517" t="str">
            <v>CTR</v>
          </cell>
          <cell r="N517" t="str">
            <v>RH</v>
          </cell>
          <cell r="O517" t="str">
            <v>robertiagus.haposan@alamtri.com</v>
          </cell>
          <cell r="P517">
            <v>8016.47</v>
          </cell>
          <cell r="Q517">
            <v>128263520</v>
          </cell>
          <cell r="R517" t="str">
            <v>PO Sign Vendor</v>
          </cell>
          <cell r="T517" t="str">
            <v>MSW</v>
          </cell>
          <cell r="U517" t="str">
            <v>Trakindo Utama, PT</v>
          </cell>
          <cell r="V517" t="str">
            <v>Trakindo Utama, PT</v>
          </cell>
          <cell r="W517" t="str">
            <v>1 of 1</v>
          </cell>
          <cell r="X517" t="str">
            <v>1 of 1</v>
          </cell>
          <cell r="Z517" t="str">
            <v/>
          </cell>
          <cell r="AC517" t="str">
            <v xml:space="preserve"> of </v>
          </cell>
          <cell r="AD517" t="str">
            <v xml:space="preserve"> of </v>
          </cell>
          <cell r="AF517" t="str">
            <v/>
          </cell>
          <cell r="AI517" t="str">
            <v xml:space="preserve"> of </v>
          </cell>
          <cell r="AJ517" t="str">
            <v xml:space="preserve"> of </v>
          </cell>
          <cell r="AL517" t="str">
            <v/>
          </cell>
          <cell r="AM517">
            <v>0.70833333333333304</v>
          </cell>
          <cell r="AN517" t="str">
            <v>Trakindo Utama, PT</v>
          </cell>
          <cell r="AO517" t="str">
            <v>hjuniater.sidauruk@trakindo.co.id</v>
          </cell>
          <cell r="AP517" t="str">
            <v>6100-PC0625-00131</v>
          </cell>
          <cell r="AQ517">
            <v>120882550</v>
          </cell>
          <cell r="AT517">
            <v>45993</v>
          </cell>
          <cell r="AU517">
            <v>46020</v>
          </cell>
          <cell r="AV517">
            <v>45994</v>
          </cell>
          <cell r="AW517">
            <v>46021</v>
          </cell>
          <cell r="AX517">
            <v>3.8571428571428572</v>
          </cell>
          <cell r="AZ517" t="str">
            <v/>
          </cell>
          <cell r="BA517" t="str">
            <v/>
          </cell>
          <cell r="BB517" t="str">
            <v>Completed</v>
          </cell>
          <cell r="BC517" t="str">
            <v>PC0125-000000705</v>
          </cell>
        </row>
        <row r="518">
          <cell r="B518" t="str">
            <v>PC0125-000001042</v>
          </cell>
          <cell r="C518" t="str">
            <v>Sparepart Hardisk Pi System PR100010187</v>
          </cell>
          <cell r="D518" t="str">
            <v>Aka Prima Komputindo, PT</v>
          </cell>
          <cell r="E518" t="str">
            <v/>
          </cell>
          <cell r="F518" t="str">
            <v/>
          </cell>
          <cell r="G518" t="str">
            <v/>
          </cell>
          <cell r="H518" t="str">
            <v>BASUKI SETIYO WIDODO</v>
          </cell>
          <cell r="I518">
            <v>45989</v>
          </cell>
          <cell r="J518" t="str">
            <v>6100DB402</v>
          </cell>
          <cell r="K518" t="str">
            <v>B</v>
          </cell>
          <cell r="L518" t="str">
            <v>BID</v>
          </cell>
          <cell r="M518">
            <v>308</v>
          </cell>
          <cell r="N518" t="str">
            <v>RH</v>
          </cell>
          <cell r="O518" t="str">
            <v>robertiagus.haposan@alamtri.com</v>
          </cell>
          <cell r="P518">
            <v>597.44000000000005</v>
          </cell>
          <cell r="Q518">
            <v>10455200.000000002</v>
          </cell>
          <cell r="R518" t="str">
            <v>CANCEL</v>
          </cell>
          <cell r="S518" t="str">
            <v>Change to PC0126-000001466 (Line 2)</v>
          </cell>
          <cell r="T518" t="str">
            <v>MSW</v>
          </cell>
          <cell r="U518" t="str">
            <v>Aka Prima Komputindo, PT
Berkat Jaya Komputindo, PT
Niaga Prima Paramitra, PT
Century, CV
Perwira Sentra Officindo, PT
Indo Tehnik Tanjung Tabalong, PT</v>
          </cell>
          <cell r="V518" t="str">
            <v>Aka Prima Komputindo, PT</v>
          </cell>
          <cell r="W518" t="str">
            <v>6 of 6</v>
          </cell>
          <cell r="X518" t="str">
            <v>1 of 6</v>
          </cell>
          <cell r="Y518">
            <v>45993</v>
          </cell>
          <cell r="Z518">
            <v>46000</v>
          </cell>
          <cell r="AA518" t="str">
            <v>Aka Prima Komputindo, PT
ALKS, CV
Berkat Jaya Komputindo, PT
Greentek Elektrikal Indonesia, PT
Gevana, PT
Radian Fokus Mandiri, CV</v>
          </cell>
          <cell r="AB518" t="str">
            <v>Aka Prima Komputindo, PT
Berkat Jaya Komputindo, PT</v>
          </cell>
          <cell r="AC518" t="str">
            <v>6 of 6</v>
          </cell>
          <cell r="AD518" t="str">
            <v>2 of 6</v>
          </cell>
          <cell r="AE518">
            <v>46020</v>
          </cell>
          <cell r="AF518">
            <v>46038</v>
          </cell>
          <cell r="AG518" t="str">
            <v>Aka Prima Komputindo, PT
Berkat Jaya Komputindo, PT
Perwira Sentra Officindo, PT
Anugrah Mandiri Putra Tabalong, PT
Haji Usnan Electric, CV
ALKS, CV
Axel Jaya Cakraniaga, PT</v>
          </cell>
          <cell r="AH518" t="str">
            <v>Aka Prima Komputindo, PT
Berkat Jaya Komputindo, PT</v>
          </cell>
          <cell r="AI518" t="str">
            <v>7 of 7</v>
          </cell>
          <cell r="AJ518" t="str">
            <v>2 of 7</v>
          </cell>
          <cell r="AK518">
            <v>46051</v>
          </cell>
          <cell r="AL518">
            <v>46058</v>
          </cell>
          <cell r="AM518">
            <v>0.70833333333333304</v>
          </cell>
          <cell r="AO518" t="str">
            <v/>
          </cell>
          <cell r="AR518">
            <v>46059</v>
          </cell>
          <cell r="AS518">
            <v>46121</v>
          </cell>
          <cell r="AW518" t="str">
            <v/>
          </cell>
          <cell r="AX518" t="str">
            <v/>
          </cell>
          <cell r="AZ518" t="str">
            <v/>
          </cell>
          <cell r="BA518" t="str">
            <v/>
          </cell>
          <cell r="BB518" t="str">
            <v/>
          </cell>
          <cell r="BC518" t="str">
            <v>PC0125-000001042</v>
          </cell>
        </row>
        <row r="519">
          <cell r="B519" t="str">
            <v>PC0125-000001101</v>
          </cell>
          <cell r="C519" t="str">
            <v>DG Proforma PO Jasa Perbaikan 3G3</v>
          </cell>
          <cell r="D519" t="str">
            <v>Trakindo Utama, PT</v>
          </cell>
          <cell r="E519" t="str">
            <v>Trakindo Utama, PT</v>
          </cell>
          <cell r="F519" t="str">
            <v/>
          </cell>
          <cell r="G519" t="str">
            <v/>
          </cell>
          <cell r="H519" t="str">
            <v>SLAMET</v>
          </cell>
          <cell r="I519">
            <v>45989</v>
          </cell>
          <cell r="J519" t="str">
            <v>6100DB432</v>
          </cell>
          <cell r="K519" t="str">
            <v>J</v>
          </cell>
          <cell r="L519" t="str">
            <v>CTR</v>
          </cell>
          <cell r="N519" t="str">
            <v>RH</v>
          </cell>
          <cell r="O519" t="str">
            <v>robertiagus.haposan@alamtri.com</v>
          </cell>
          <cell r="P519">
            <v>2687.14</v>
          </cell>
          <cell r="Q519">
            <v>42994240</v>
          </cell>
          <cell r="R519" t="str">
            <v>PO Sign Vendor</v>
          </cell>
          <cell r="T519" t="str">
            <v>MSW</v>
          </cell>
          <cell r="U519" t="str">
            <v>Trakindo Utama, PT</v>
          </cell>
          <cell r="V519" t="str">
            <v>Trakindo Utama, PT</v>
          </cell>
          <cell r="W519" t="str">
            <v>1 of 1</v>
          </cell>
          <cell r="X519" t="str">
            <v>1 of 1</v>
          </cell>
          <cell r="Z519" t="str">
            <v/>
          </cell>
          <cell r="AC519" t="str">
            <v xml:space="preserve"> of </v>
          </cell>
          <cell r="AD519" t="str">
            <v xml:space="preserve"> of </v>
          </cell>
          <cell r="AF519" t="str">
            <v/>
          </cell>
          <cell r="AI519" t="str">
            <v xml:space="preserve"> of </v>
          </cell>
          <cell r="AJ519" t="str">
            <v xml:space="preserve"> of </v>
          </cell>
          <cell r="AL519" t="str">
            <v/>
          </cell>
          <cell r="AM519">
            <v>0.70833333333333304</v>
          </cell>
          <cell r="AN519" t="str">
            <v>Trakindo Utama, PT</v>
          </cell>
          <cell r="AO519" t="str">
            <v>hjuniater.sidauruk@trakindo.co.id</v>
          </cell>
          <cell r="AP519" t="str">
            <v>6100-PC0625-00130</v>
          </cell>
          <cell r="AQ519">
            <v>44977380</v>
          </cell>
          <cell r="AT519">
            <v>45993</v>
          </cell>
          <cell r="AU519">
            <v>46020</v>
          </cell>
          <cell r="AV519">
            <v>45994</v>
          </cell>
          <cell r="AW519">
            <v>46021</v>
          </cell>
          <cell r="AX519">
            <v>3.8571428571428572</v>
          </cell>
          <cell r="AY519">
            <v>46020</v>
          </cell>
          <cell r="AZ519" t="str">
            <v/>
          </cell>
          <cell r="BA519" t="str">
            <v/>
          </cell>
          <cell r="BB519" t="str">
            <v>Completed</v>
          </cell>
          <cell r="BC519" t="str">
            <v>PC0125-000001101</v>
          </cell>
        </row>
        <row r="520">
          <cell r="B520" t="str">
            <v>PC0125-000000592</v>
          </cell>
          <cell r="C520" t="str">
            <v>Part For Boiler 2</v>
          </cell>
          <cell r="D520" t="str">
            <v>Gevana, PT</v>
          </cell>
          <cell r="E520" t="str">
            <v/>
          </cell>
          <cell r="F520" t="str">
            <v/>
          </cell>
          <cell r="G520" t="str">
            <v/>
          </cell>
          <cell r="H520" t="str">
            <v>RIZKY AGUSTINA</v>
          </cell>
          <cell r="I520">
            <v>45994</v>
          </cell>
          <cell r="J520" t="str">
            <v>6100DB401</v>
          </cell>
          <cell r="K520" t="str">
            <v>B</v>
          </cell>
          <cell r="L520" t="str">
            <v>BID</v>
          </cell>
          <cell r="M520">
            <v>309</v>
          </cell>
          <cell r="N520" t="str">
            <v>RH</v>
          </cell>
          <cell r="O520" t="str">
            <v>robertiagus.haposan@alamtri.com</v>
          </cell>
          <cell r="P520">
            <v>728</v>
          </cell>
          <cell r="Q520">
            <v>11648000</v>
          </cell>
          <cell r="R520" t="str">
            <v>CANCEL</v>
          </cell>
          <cell r="S520" t="str">
            <v>Dipindahkan ke Pak Fazal karena sudah close PR di Maximo</v>
          </cell>
          <cell r="T520" t="str">
            <v>MSW</v>
          </cell>
          <cell r="U520" t="str">
            <v>Gevana, PT
Alfa Teknik Mandiri Makmur, PT
Menara, CV
Sentra Tanjung Jaya, CV
Perwira Sentra Officindo, PT
Vhipa Mulia Pratama, PT
Petrocom Nusa Synergy, PT
Stanindo Artha Langgeng, PT</v>
          </cell>
          <cell r="V520" t="str">
            <v>Gevana, PT
Perwira Sentra Officindo, PT</v>
          </cell>
          <cell r="W520" t="str">
            <v>8 of 8</v>
          </cell>
          <cell r="X520" t="str">
            <v>2 of 8</v>
          </cell>
          <cell r="Y520">
            <v>45993</v>
          </cell>
          <cell r="Z520">
            <v>46000</v>
          </cell>
          <cell r="AC520" t="str">
            <v xml:space="preserve"> of </v>
          </cell>
          <cell r="AD520" t="str">
            <v xml:space="preserve"> of </v>
          </cell>
          <cell r="AF520" t="str">
            <v/>
          </cell>
          <cell r="AI520" t="str">
            <v xml:space="preserve"> of </v>
          </cell>
          <cell r="AJ520" t="str">
            <v xml:space="preserve"> of </v>
          </cell>
          <cell r="AL520" t="str">
            <v/>
          </cell>
          <cell r="AM520">
            <v>0.70833333333333304</v>
          </cell>
          <cell r="AO520" t="str">
            <v/>
          </cell>
          <cell r="AW520" t="str">
            <v/>
          </cell>
          <cell r="AX520" t="str">
            <v/>
          </cell>
          <cell r="AZ520" t="str">
            <v/>
          </cell>
          <cell r="BA520" t="str">
            <v/>
          </cell>
          <cell r="BB520" t="str">
            <v/>
          </cell>
          <cell r="BC520" t="str">
            <v>PC0125-000000592</v>
          </cell>
        </row>
        <row r="521">
          <cell r="B521" t="str">
            <v>PC0125-000000954 (Line 2-8)</v>
          </cell>
          <cell r="C521" t="str">
            <v>Material untuk pemasangan oksigen</v>
          </cell>
          <cell r="D521" t="str">
            <v>Gema Industrial, PT - Line 1,2,6
Antares Jaya Gemilang Prima, PT - Line 3
Gevana, PT - Line 5</v>
          </cell>
          <cell r="E521" t="str">
            <v/>
          </cell>
          <cell r="F521" t="str">
            <v/>
          </cell>
          <cell r="G521" t="str">
            <v/>
          </cell>
          <cell r="H521" t="str">
            <v>ZAINI YUSUF</v>
          </cell>
          <cell r="I521">
            <v>45981</v>
          </cell>
          <cell r="J521" t="str">
            <v>6100DB402</v>
          </cell>
          <cell r="K521" t="str">
            <v>B</v>
          </cell>
          <cell r="L521" t="str">
            <v>BID</v>
          </cell>
          <cell r="M521">
            <v>323</v>
          </cell>
          <cell r="N521" t="str">
            <v>RH</v>
          </cell>
          <cell r="O521" t="str">
            <v>robertiagus.haposan@alamtri.com</v>
          </cell>
          <cell r="P521">
            <v>2253.91</v>
          </cell>
          <cell r="Q521">
            <v>36062560</v>
          </cell>
          <cell r="R521" t="str">
            <v>CANCEL</v>
          </cell>
          <cell r="S521" t="str">
            <v>Sedang mintakan dokumen pendukung ke Vendor - done
Line 1 - Rebid
Line 2-8 Menunggu konfirmasi dari Gevana - Ok
PC0126-000000587</v>
          </cell>
          <cell r="T521" t="str">
            <v>MSW</v>
          </cell>
          <cell r="U521" t="str">
            <v>Gema Industrial, PT
Antares Jaya Gemilang Prima, PT
Gevana, PT
Putera Instrumenindo, PT
Kin Kitra Kencana, PT
Gridtech Indonesia, PT
Sola Anugerah Oilfield, PT
Axel Jaya Cakraniaga, PT
Petrocom Nusa Synergy, PT
Triputra Electric Abadi, PT</v>
          </cell>
          <cell r="V521" t="str">
            <v>Gevana, PT
Kin Kitra Kencana, PT</v>
          </cell>
          <cell r="W521" t="str">
            <v>10 of 10</v>
          </cell>
          <cell r="X521" t="str">
            <v>2 of 10</v>
          </cell>
          <cell r="Y521">
            <v>45994</v>
          </cell>
          <cell r="Z521">
            <v>46001</v>
          </cell>
          <cell r="AA521" t="str">
            <v>Gevana, PT
Kin Kitra Kencana, PT
Antares Jaya Gemilang Prima, PT
Gema Industrial, PT
Putranata Adi Mandiri, PT
Outsourcindo, PT
Siwali Swantika, PT
Arita Prima Indonesia Tbk, PT
Indoparts, CV
Sehati, CV
Fajar Mas Murni, PT
Pacific Tractor Indonesia, PT</v>
          </cell>
          <cell r="AB521" t="str">
            <v>Gevana, PT
Kin Kitra Kencana, PT
Outsourcindo, PT</v>
          </cell>
          <cell r="AC521" t="str">
            <v>12 of 12</v>
          </cell>
          <cell r="AD521" t="str">
            <v>3 of 12</v>
          </cell>
          <cell r="AE521">
            <v>46003</v>
          </cell>
          <cell r="AF521">
            <v>46010</v>
          </cell>
          <cell r="AI521" t="str">
            <v xml:space="preserve"> of </v>
          </cell>
          <cell r="AJ521" t="str">
            <v xml:space="preserve"> of </v>
          </cell>
          <cell r="AL521" t="str">
            <v/>
          </cell>
          <cell r="AM521">
            <v>0.70833333333333304</v>
          </cell>
          <cell r="AN521" t="str">
            <v>Gevana, PT</v>
          </cell>
          <cell r="AO521" t="str">
            <v/>
          </cell>
          <cell r="AR521">
            <v>46021</v>
          </cell>
          <cell r="AS521">
            <v>46055</v>
          </cell>
          <cell r="AW521" t="str">
            <v/>
          </cell>
          <cell r="AX521" t="str">
            <v/>
          </cell>
          <cell r="AZ521" t="str">
            <v/>
          </cell>
          <cell r="BA521" t="str">
            <v/>
          </cell>
          <cell r="BB521" t="str">
            <v/>
          </cell>
          <cell r="BC521" t="str">
            <v>PC0125-000000954</v>
          </cell>
        </row>
        <row r="522">
          <cell r="B522" t="str">
            <v>PC0125-000001141</v>
          </cell>
          <cell r="C522" t="str">
            <v>Spare Part PTT Radio m8260</v>
          </cell>
          <cell r="D522" t="str">
            <v>ALKS, CV - Line 1
Alfa Teknik Mandiri Makmur, PT - Line 2</v>
          </cell>
          <cell r="E522" t="str">
            <v/>
          </cell>
          <cell r="F522" t="str">
            <v/>
          </cell>
          <cell r="G522" t="str">
            <v/>
          </cell>
          <cell r="H522" t="str">
            <v>BASUKI SETIYO WIDODO</v>
          </cell>
          <cell r="I522">
            <v>45988</v>
          </cell>
          <cell r="J522" t="str">
            <v>6100DB402</v>
          </cell>
          <cell r="K522" t="str">
            <v>B</v>
          </cell>
          <cell r="L522" t="str">
            <v>BID</v>
          </cell>
          <cell r="M522">
            <v>324</v>
          </cell>
          <cell r="N522" t="str">
            <v>RH</v>
          </cell>
          <cell r="O522" t="str">
            <v>robertiagus.haposan@alamtri.com</v>
          </cell>
          <cell r="P522">
            <v>377.87</v>
          </cell>
          <cell r="Q522">
            <v>6045920</v>
          </cell>
          <cell r="R522" t="str">
            <v>CANCEL</v>
          </cell>
          <cell r="S522" t="str">
            <v xml:space="preserve">Dipindahkan ke PC0126-000000428 </v>
          </cell>
          <cell r="T522" t="str">
            <v>MSW</v>
          </cell>
          <cell r="U522" t="str">
            <v>Niaga Prima Paramitra, PT
Century, CV
Berkat Jaya Komputindo, PT
Aka Prima Komputindo, PT
Central Elektrindo Mandiri, PT
Perwira Sentra Officindo, PT
Menara, CV
Alfa Teknik Mandiri Makmur, PT
ALKS, CV</v>
          </cell>
          <cell r="V522" t="str">
            <v>Century, CV
Berkat Jaya Komputindo, PT
Aka Prima Komputindo, PT
Perwira Sentra Officindo, PT
ALKS, CV</v>
          </cell>
          <cell r="W522" t="str">
            <v>9 of 9</v>
          </cell>
          <cell r="X522" t="str">
            <v>5 of 9</v>
          </cell>
          <cell r="Y522">
            <v>46007</v>
          </cell>
          <cell r="Z522">
            <v>46010</v>
          </cell>
          <cell r="AC522" t="str">
            <v xml:space="preserve"> of </v>
          </cell>
          <cell r="AD522" t="str">
            <v xml:space="preserve"> of </v>
          </cell>
          <cell r="AF522" t="str">
            <v/>
          </cell>
          <cell r="AI522" t="str">
            <v xml:space="preserve"> of </v>
          </cell>
          <cell r="AJ522" t="str">
            <v xml:space="preserve"> of </v>
          </cell>
          <cell r="AL522" t="str">
            <v/>
          </cell>
          <cell r="AM522">
            <v>0.70833333333333304</v>
          </cell>
          <cell r="AN522" t="str">
            <v>ALKS, CV</v>
          </cell>
          <cell r="AO522" t="str">
            <v/>
          </cell>
          <cell r="AQ522">
            <v>7495000</v>
          </cell>
          <cell r="AR522">
            <v>46021</v>
          </cell>
          <cell r="AS522">
            <v>46049</v>
          </cell>
          <cell r="AW522" t="str">
            <v/>
          </cell>
          <cell r="AX522" t="str">
            <v/>
          </cell>
          <cell r="AZ522" t="str">
            <v/>
          </cell>
          <cell r="BA522" t="str">
            <v/>
          </cell>
          <cell r="BB522" t="str">
            <v/>
          </cell>
          <cell r="BC522" t="str">
            <v>PC0125-000001141</v>
          </cell>
        </row>
        <row r="523">
          <cell r="B523" t="str">
            <v>PC0125-000001039</v>
          </cell>
          <cell r="C523" t="str">
            <v>Spare Part Trim Set Pneumatic</v>
          </cell>
          <cell r="D523" t="str">
            <v>Andalan Tiga Berlian, PT - Line 1
Outsourcindo, PT - Line 2
Sola Anugerah Oilfield, PT - Line 3</v>
          </cell>
          <cell r="E523" t="str">
            <v/>
          </cell>
          <cell r="F523" t="str">
            <v/>
          </cell>
          <cell r="G523" t="str">
            <v/>
          </cell>
          <cell r="H523" t="str">
            <v>ZAINI YUSUF</v>
          </cell>
          <cell r="I523">
            <v>45986</v>
          </cell>
          <cell r="J523" t="str">
            <v>6100DB402</v>
          </cell>
          <cell r="K523" t="str">
            <v>B</v>
          </cell>
          <cell r="L523" t="str">
            <v>BID</v>
          </cell>
          <cell r="M523">
            <v>325</v>
          </cell>
          <cell r="N523" t="str">
            <v>RH</v>
          </cell>
          <cell r="O523" t="str">
            <v>robertiagus.haposan@alamtri.com</v>
          </cell>
          <cell r="P523">
            <v>4051.22</v>
          </cell>
          <cell r="Q523">
            <v>64819520</v>
          </cell>
          <cell r="R523" t="str">
            <v>CANCEL</v>
          </cell>
          <cell r="S523" t="str">
            <v>PC0126-000000321</v>
          </cell>
          <cell r="T523" t="str">
            <v>MSW</v>
          </cell>
          <cell r="U523" t="str">
            <v>Andalan Tiga Berlian, PT
Sola Anugerah Oilfield, PT
Gevana, PT
Gema Industrial, PT
Gading Mas Utama, PT
Petrocom Nusa Synergy, PT
Adijaya Mitra Perkasa, PT
Fajar Mas Murni, PT
Fadnov Airtech Indonesia, PT</v>
          </cell>
          <cell r="V523" t="str">
            <v>Gading Mas Utama, PT
Petrocom Nusa Synergy, PT</v>
          </cell>
          <cell r="W523" t="str">
            <v>9 of 9</v>
          </cell>
          <cell r="X523" t="str">
            <v>2 of 9</v>
          </cell>
          <cell r="Y523">
            <v>45995</v>
          </cell>
          <cell r="Z523">
            <v>46002</v>
          </cell>
          <cell r="AA523" t="str">
            <v>Gading Mas Utama, PT
Petrocom Nusa Synergy, PT
Putera Instrumenindo, PT
Outsourcindo, PT
Andalan Tiga Berlian, PT
Sola Anugerah Oilfield, PT
Kin Kitra Kencana, PT
Gema Industrial, PT</v>
          </cell>
          <cell r="AB523" t="str">
            <v>Gading Mas Utama, PT
Petrocom Nusa Synergy, PT
Kin Kitra Kencana, PT</v>
          </cell>
          <cell r="AC523" t="str">
            <v>8 of 8</v>
          </cell>
          <cell r="AD523" t="str">
            <v>3 of 8</v>
          </cell>
          <cell r="AE523">
            <v>46003</v>
          </cell>
          <cell r="AF523">
            <v>46010</v>
          </cell>
          <cell r="AI523" t="str">
            <v xml:space="preserve"> of </v>
          </cell>
          <cell r="AJ523" t="str">
            <v xml:space="preserve"> of </v>
          </cell>
          <cell r="AL523" t="str">
            <v/>
          </cell>
          <cell r="AM523">
            <v>0.70833333333333304</v>
          </cell>
          <cell r="AO523" t="str">
            <v/>
          </cell>
          <cell r="AR523">
            <v>46021</v>
          </cell>
          <cell r="AS523">
            <v>46091</v>
          </cell>
          <cell r="AW523" t="str">
            <v/>
          </cell>
          <cell r="AX523" t="str">
            <v/>
          </cell>
          <cell r="AZ523" t="str">
            <v/>
          </cell>
          <cell r="BA523" t="str">
            <v/>
          </cell>
          <cell r="BB523" t="str">
            <v/>
          </cell>
          <cell r="BC523" t="str">
            <v>PC0125-000001039</v>
          </cell>
        </row>
        <row r="524">
          <cell r="B524" t="str">
            <v>PC0125-000001040</v>
          </cell>
          <cell r="C524" t="str">
            <v>Spare Part Instrumentation dan Burner</v>
          </cell>
          <cell r="D524" t="str">
            <v>Karya Energi Indonesia, PT - Line 1
Putera Instrumenindo, PT - Line 2
ABB Sakti Industri, PT - Line 3
Petrocom Nusa Synergy, PT - Line 6 
Siwali Swantika, PT - Line 7</v>
          </cell>
          <cell r="E524" t="str">
            <v/>
          </cell>
          <cell r="F524" t="str">
            <v/>
          </cell>
          <cell r="G524" t="str">
            <v/>
          </cell>
          <cell r="H524" t="str">
            <v>ZAINI YUSUF</v>
          </cell>
          <cell r="I524">
            <v>45994</v>
          </cell>
          <cell r="J524" t="str">
            <v>6100DB402</v>
          </cell>
          <cell r="K524" t="str">
            <v>B</v>
          </cell>
          <cell r="L524" t="str">
            <v>BID</v>
          </cell>
          <cell r="M524">
            <v>328</v>
          </cell>
          <cell r="N524" t="str">
            <v>RH</v>
          </cell>
          <cell r="O524" t="str">
            <v>robertiagus.haposan@alamtri.com</v>
          </cell>
          <cell r="P524">
            <v>1790.24</v>
          </cell>
          <cell r="Q524">
            <v>28643840</v>
          </cell>
          <cell r="R524" t="str">
            <v>CANCEL</v>
          </cell>
          <cell r="S524" t="str">
            <v>PC0126-000000591</v>
          </cell>
          <cell r="T524" t="str">
            <v>MSW</v>
          </cell>
          <cell r="U524" t="str">
            <v>Karya Energi Indonesia, PT
Norgantara Andalan Mandiri Indonesia, PT
Putera Instrumenindo, PT
ABB Sakti Industri, PT
Gema Industrial, PT
Petrocom Nusa Synergy, PT
Sehati, CV
Andalan Tiga Berlian, PT
Golden Pratama Engineering, PT
Siwali Swantika, PT
Trimitra Bangun Karyatama, PT
Gevana, PT</v>
          </cell>
          <cell r="V524" t="str">
            <v>Putera Instrumenindo, PT
Gema Industrial, PT
Golden Pratama Engineering, PT
Siwali Swantika, PT
Trimitra Bangun Karyatama, PT
Gevana, PT</v>
          </cell>
          <cell r="W524" t="str">
            <v>12 of 12</v>
          </cell>
          <cell r="X524" t="str">
            <v>6 of 12</v>
          </cell>
          <cell r="Y524">
            <v>45999</v>
          </cell>
          <cell r="Z524">
            <v>46006</v>
          </cell>
          <cell r="AC524" t="str">
            <v xml:space="preserve"> of </v>
          </cell>
          <cell r="AD524" t="str">
            <v xml:space="preserve"> of </v>
          </cell>
          <cell r="AF524" t="str">
            <v/>
          </cell>
          <cell r="AI524" t="str">
            <v xml:space="preserve"> of </v>
          </cell>
          <cell r="AJ524" t="str">
            <v xml:space="preserve"> of </v>
          </cell>
          <cell r="AL524" t="str">
            <v/>
          </cell>
          <cell r="AM524">
            <v>0.70833333333333304</v>
          </cell>
          <cell r="AO524" t="str">
            <v/>
          </cell>
          <cell r="AR524">
            <v>46010</v>
          </cell>
          <cell r="AS524">
            <v>46119</v>
          </cell>
          <cell r="AW524" t="str">
            <v/>
          </cell>
          <cell r="AX524" t="str">
            <v/>
          </cell>
          <cell r="AZ524" t="str">
            <v/>
          </cell>
          <cell r="BA524" t="str">
            <v/>
          </cell>
          <cell r="BB524" t="str">
            <v/>
          </cell>
          <cell r="BC524" t="str">
            <v>PC0125-000001040</v>
          </cell>
        </row>
        <row r="525">
          <cell r="B525" t="str">
            <v>PC0125-000001228</v>
          </cell>
          <cell r="C525" t="str">
            <v>Spare Part Consumable EIC</v>
          </cell>
          <cell r="D525" t="str">
            <v>Antares Jaya Gemilang Prima, PT - Line 1
Haji Usnan Electric, CV - Line 3
Berkat Keselamatan Dunia, PT - Line 4
Alfa Teknik Mandiri Makmur, PT - Line 5
Perwira Sentra Officindo, PT - Line 6</v>
          </cell>
          <cell r="E525" t="str">
            <v/>
          </cell>
          <cell r="F525" t="str">
            <v/>
          </cell>
          <cell r="G525" t="str">
            <v/>
          </cell>
          <cell r="H525" t="str">
            <v>BASUKI SETIYO WIDODO</v>
          </cell>
          <cell r="I525">
            <v>45999</v>
          </cell>
          <cell r="J525" t="str">
            <v>6100DB402</v>
          </cell>
          <cell r="K525" t="str">
            <v>B</v>
          </cell>
          <cell r="L525" t="str">
            <v>BID</v>
          </cell>
          <cell r="M525">
            <v>327</v>
          </cell>
          <cell r="N525" t="str">
            <v>RH</v>
          </cell>
          <cell r="O525" t="str">
            <v>robertiagus.haposan@alamtri.com</v>
          </cell>
          <cell r="P525">
            <v>261</v>
          </cell>
          <cell r="Q525">
            <v>4176000</v>
          </cell>
          <cell r="R525" t="str">
            <v>CANCEL</v>
          </cell>
          <cell r="S525" t="str">
            <v>BSW 301225
Di CANCEL karena tidak sesuai dengan PR yang diterima</v>
          </cell>
          <cell r="T525" t="str">
            <v>MSW</v>
          </cell>
          <cell r="U525" t="str">
            <v>Antares Jaya Gemilang Prima, PT
Haji Usnan Electric, CV
Alfa Teknik Mandiri Makmur, PT
Bhakti Ratutama Jaya, PT
Sarana Prima Lestari, CV
Berkat Keselamatan Dunia, PT
Wahana Safety Indonesia, PT
Sehati, CV
Perwira Sentra Officindo, PT</v>
          </cell>
          <cell r="V525" t="str">
            <v>Bhakti Ratutama Jaya, PT
Wahana Safety Indonesia, PT</v>
          </cell>
          <cell r="W525" t="str">
            <v>9 of 9</v>
          </cell>
          <cell r="X525" t="str">
            <v>2 of 9</v>
          </cell>
          <cell r="Y525">
            <v>45999</v>
          </cell>
          <cell r="Z525">
            <v>46006</v>
          </cell>
          <cell r="AA525" t="str">
            <v>Bhakti Ratutama Jaya, PT
Wahana Safety Indonesia, PT
Perwira Sentra Officindo, PT
Menara, CV
Rahmat Parna Sakti, CV
Sentra Tanjung Jaya, CV
Perwira Sentra Officindo, PT
Gevana, PT
Antares Jaya Gemilang Prima, PT
Gema Industrial, PT
Outsourcindo, PT
Dunia Saftindo, PT</v>
          </cell>
          <cell r="AB525" t="str">
            <v>Bhakti Ratutama Jaya, PT
Wahana Safety Indonesia, PT
Perwira Sentra Officindo, PT
Gevana, PT
Outsourcindo, PT</v>
          </cell>
          <cell r="AC525" t="str">
            <v>12 of 12</v>
          </cell>
          <cell r="AD525" t="str">
            <v>5 of 12</v>
          </cell>
          <cell r="AE525">
            <v>46007</v>
          </cell>
          <cell r="AF525">
            <v>46014</v>
          </cell>
          <cell r="AI525" t="str">
            <v xml:space="preserve"> of </v>
          </cell>
          <cell r="AJ525" t="str">
            <v xml:space="preserve"> of </v>
          </cell>
          <cell r="AL525" t="str">
            <v/>
          </cell>
          <cell r="AM525">
            <v>0.70833333333333304</v>
          </cell>
          <cell r="AO525" t="str">
            <v/>
          </cell>
          <cell r="AR525">
            <v>46021</v>
          </cell>
          <cell r="AW525" t="str">
            <v/>
          </cell>
          <cell r="AX525" t="str">
            <v/>
          </cell>
          <cell r="AZ525" t="str">
            <v/>
          </cell>
          <cell r="BA525" t="str">
            <v/>
          </cell>
          <cell r="BB525" t="str">
            <v/>
          </cell>
          <cell r="BC525" t="str">
            <v>PC0125-000001228</v>
          </cell>
        </row>
        <row r="526">
          <cell r="B526" t="str">
            <v>PC0125-000001231</v>
          </cell>
          <cell r="C526" t="str">
            <v>JASA PENGUJIAN ATAU ASSESMENT FOR OM</v>
          </cell>
          <cell r="D526" t="str">
            <v>Trakindo Utama, PT</v>
          </cell>
          <cell r="E526" t="str">
            <v>Trakindo Utama, PT</v>
          </cell>
          <cell r="F526" t="str">
            <v/>
          </cell>
          <cell r="G526" t="str">
            <v/>
          </cell>
          <cell r="H526" t="str">
            <v>SLAMET</v>
          </cell>
          <cell r="I526">
            <v>45993</v>
          </cell>
          <cell r="J526" t="str">
            <v>6100DB432</v>
          </cell>
          <cell r="K526" t="str">
            <v>J</v>
          </cell>
          <cell r="L526" t="str">
            <v>CTR</v>
          </cell>
          <cell r="N526" t="str">
            <v>RH</v>
          </cell>
          <cell r="O526" t="str">
            <v>robertiagus.haposan@alamtri.com</v>
          </cell>
          <cell r="P526">
            <v>49757.440000000002</v>
          </cell>
          <cell r="Q526">
            <v>796119040</v>
          </cell>
          <cell r="R526" t="str">
            <v>PO Sign Vendor</v>
          </cell>
          <cell r="T526" t="str">
            <v>MSW</v>
          </cell>
          <cell r="U526" t="str">
            <v>Trakindo Utama, PT</v>
          </cell>
          <cell r="V526" t="str">
            <v>Trakindo Utama, PT</v>
          </cell>
          <cell r="W526" t="str">
            <v>1 of 1</v>
          </cell>
          <cell r="X526" t="str">
            <v>1 of 1</v>
          </cell>
          <cell r="Z526" t="str">
            <v/>
          </cell>
          <cell r="AC526" t="str">
            <v xml:space="preserve"> of </v>
          </cell>
          <cell r="AD526" t="str">
            <v xml:space="preserve"> of </v>
          </cell>
          <cell r="AF526" t="str">
            <v/>
          </cell>
          <cell r="AI526" t="str">
            <v xml:space="preserve"> of </v>
          </cell>
          <cell r="AJ526" t="str">
            <v xml:space="preserve"> of </v>
          </cell>
          <cell r="AL526" t="str">
            <v/>
          </cell>
          <cell r="AM526">
            <v>0.70833333333333304</v>
          </cell>
          <cell r="AN526" t="str">
            <v>Trakindo Utama, PT</v>
          </cell>
          <cell r="AO526" t="str">
            <v>hjuniater.sidauruk@trakindo.co.id</v>
          </cell>
          <cell r="AP526" t="str">
            <v>6100-PC0625-00182</v>
          </cell>
          <cell r="AQ526">
            <v>793038221</v>
          </cell>
          <cell r="AT526">
            <v>46009</v>
          </cell>
          <cell r="AU526">
            <v>46022</v>
          </cell>
          <cell r="AV526">
            <v>46010</v>
          </cell>
          <cell r="AW526">
            <v>46023</v>
          </cell>
          <cell r="AX526">
            <v>1.8571428571428572</v>
          </cell>
          <cell r="AZ526" t="str">
            <v/>
          </cell>
          <cell r="BA526" t="str">
            <v/>
          </cell>
          <cell r="BB526" t="str">
            <v>Completed</v>
          </cell>
          <cell r="BC526" t="str">
            <v>PC0125-000001231</v>
          </cell>
        </row>
        <row r="527">
          <cell r="B527" t="str">
            <v>PC0125-000001210</v>
          </cell>
          <cell r="C527" t="str">
            <v>Over Haul DG Perkins 80 Kva</v>
          </cell>
          <cell r="E527" t="str">
            <v/>
          </cell>
          <cell r="F527" t="str">
            <v/>
          </cell>
          <cell r="G527" t="str">
            <v/>
          </cell>
          <cell r="H527" t="str">
            <v>SLAMET</v>
          </cell>
          <cell r="I527">
            <v>45993</v>
          </cell>
          <cell r="J527" t="str">
            <v>6100DB432</v>
          </cell>
          <cell r="K527" t="str">
            <v>B &amp; J</v>
          </cell>
          <cell r="L527" t="str">
            <v>BID</v>
          </cell>
          <cell r="M527">
            <v>227</v>
          </cell>
          <cell r="N527" t="str">
            <v>RH</v>
          </cell>
          <cell r="O527" t="str">
            <v>robertiagus.haposan@alamtri.com</v>
          </cell>
          <cell r="Q527">
            <v>128000000</v>
          </cell>
          <cell r="R527" t="str">
            <v>CANCEL</v>
          </cell>
          <cell r="S527" t="str">
            <v>from PR100010545
krn ada tambahan scope</v>
          </cell>
          <cell r="T527" t="str">
            <v>MSW</v>
          </cell>
          <cell r="U527" t="str">
            <v>Bima Kaltim Utama, PT
Gala Jaya (Banjarmasin), PT
Central Diesel, PT
Cipta Dua Power Frans Diesel, PT
Xservice, CV
Catek Jaya, CV
Jaya Induksi Elektrik, PT
Genindo Berkat Utama, PT</v>
          </cell>
          <cell r="V527" t="str">
            <v>Bima Kaltim Utama, PT
Gala Jaya (Banjarmasin), PT
Xservice, CV
Jaya Induksi Elektrik, PT</v>
          </cell>
          <cell r="W527" t="str">
            <v>8 of 8</v>
          </cell>
          <cell r="X527" t="str">
            <v>4 of 8</v>
          </cell>
          <cell r="Y527">
            <v>45881</v>
          </cell>
          <cell r="Z527">
            <v>45891</v>
          </cell>
          <cell r="AC527" t="str">
            <v xml:space="preserve"> of </v>
          </cell>
          <cell r="AD527" t="str">
            <v xml:space="preserve"> of </v>
          </cell>
          <cell r="AF527" t="str">
            <v/>
          </cell>
          <cell r="AI527" t="str">
            <v xml:space="preserve"> of </v>
          </cell>
          <cell r="AJ527" t="str">
            <v xml:space="preserve"> of </v>
          </cell>
          <cell r="AL527" t="str">
            <v/>
          </cell>
          <cell r="AM527">
            <v>0.70833333333333304</v>
          </cell>
          <cell r="AN527" t="str">
            <v>Bima Kaltim Utama, PT</v>
          </cell>
          <cell r="AO527" t="str">
            <v/>
          </cell>
          <cell r="AR527">
            <v>45902</v>
          </cell>
          <cell r="AS527">
            <v>45985</v>
          </cell>
          <cell r="AW527" t="str">
            <v/>
          </cell>
          <cell r="AX527" t="str">
            <v/>
          </cell>
          <cell r="AZ527" t="str">
            <v/>
          </cell>
          <cell r="BA527" t="str">
            <v/>
          </cell>
          <cell r="BB527" t="str">
            <v/>
          </cell>
          <cell r="BC527" t="str">
            <v>PC0125-000001210</v>
          </cell>
        </row>
        <row r="528">
          <cell r="B528" t="str">
            <v>PC0125-000001296 (Line 1)</v>
          </cell>
          <cell r="C528" t="str">
            <v>Rental Genset 2 x 40 Kva Support Lab.Paringin</v>
          </cell>
          <cell r="D528" t="str">
            <v>Bima Kaltim Utama, PT</v>
          </cell>
          <cell r="E528" t="str">
            <v>Bima Kaltim Utama, PT</v>
          </cell>
          <cell r="F528" t="str">
            <v/>
          </cell>
          <cell r="G528" t="str">
            <v/>
          </cell>
          <cell r="H528" t="str">
            <v>SLAMET</v>
          </cell>
          <cell r="I528">
            <v>45996</v>
          </cell>
          <cell r="J528" t="str">
            <v>6100DB431</v>
          </cell>
          <cell r="K528" t="str">
            <v>B</v>
          </cell>
          <cell r="L528" t="str">
            <v>CTR</v>
          </cell>
          <cell r="N528" t="str">
            <v>RH</v>
          </cell>
          <cell r="O528" t="str">
            <v>robertiagus.haposan@alamtri.com</v>
          </cell>
          <cell r="Q528">
            <v>30000000</v>
          </cell>
          <cell r="R528" t="str">
            <v>PO Sign Vendor</v>
          </cell>
          <cell r="T528" t="str">
            <v>MSW</v>
          </cell>
          <cell r="U528" t="str">
            <v>Bima Kaltim Utama, PT</v>
          </cell>
          <cell r="V528" t="str">
            <v>Bima Kaltim Utama, PT</v>
          </cell>
          <cell r="W528" t="str">
            <v>1 of 1</v>
          </cell>
          <cell r="X528" t="str">
            <v>1 of 1</v>
          </cell>
          <cell r="Z528" t="str">
            <v/>
          </cell>
          <cell r="AC528" t="str">
            <v xml:space="preserve"> of </v>
          </cell>
          <cell r="AD528" t="str">
            <v xml:space="preserve"> of </v>
          </cell>
          <cell r="AF528" t="str">
            <v/>
          </cell>
          <cell r="AI528" t="str">
            <v xml:space="preserve"> of </v>
          </cell>
          <cell r="AJ528" t="str">
            <v xml:space="preserve"> of </v>
          </cell>
          <cell r="AL528" t="str">
            <v/>
          </cell>
          <cell r="AM528">
            <v>0.70833333333333304</v>
          </cell>
          <cell r="AN528" t="str">
            <v>Bima Kaltim Utama, PT</v>
          </cell>
          <cell r="AO528" t="str">
            <v>rera.bimakaltim@yahoo.com; albert.bimautama@yahoo.com; rya_bimakaltim@yahoo.com</v>
          </cell>
          <cell r="AP528" t="str">
            <v>6100-PC0625-00206</v>
          </cell>
          <cell r="AQ528">
            <v>30000000</v>
          </cell>
          <cell r="AT528">
            <v>46020</v>
          </cell>
          <cell r="AU528">
            <v>46052</v>
          </cell>
          <cell r="AV528">
            <v>46029</v>
          </cell>
          <cell r="AW528">
            <v>46061</v>
          </cell>
          <cell r="AX528">
            <v>4.5714285714285712</v>
          </cell>
          <cell r="AZ528" t="str">
            <v/>
          </cell>
          <cell r="BA528" t="str">
            <v/>
          </cell>
          <cell r="BB528" t="str">
            <v>Completed</v>
          </cell>
          <cell r="BC528" t="str">
            <v>PC0125-000001296</v>
          </cell>
        </row>
        <row r="529">
          <cell r="B529" t="str">
            <v>PC0125-000001361</v>
          </cell>
          <cell r="C529" t="str">
            <v>Sparepart Soft Stater Pompa Intake WTP</v>
          </cell>
          <cell r="D529" t="str">
            <v>Greentek Elektrikal Indonesia, PT</v>
          </cell>
          <cell r="E529" t="str">
            <v/>
          </cell>
          <cell r="F529" t="str">
            <v/>
          </cell>
          <cell r="G529" t="str">
            <v/>
          </cell>
          <cell r="H529" t="str">
            <v>DEDE SUDARJI</v>
          </cell>
          <cell r="I529">
            <v>46002</v>
          </cell>
          <cell r="J529" t="str">
            <v>6100DB402</v>
          </cell>
          <cell r="K529" t="str">
            <v>B</v>
          </cell>
          <cell r="L529" t="str">
            <v>BID</v>
          </cell>
          <cell r="M529">
            <v>329</v>
          </cell>
          <cell r="N529" t="str">
            <v>RH</v>
          </cell>
          <cell r="O529" t="str">
            <v>robertiagus.haposan@alamtri.com</v>
          </cell>
          <cell r="P529">
            <v>2159.4385459999999</v>
          </cell>
          <cell r="Q529">
            <v>34551016.736000001</v>
          </cell>
          <cell r="R529" t="str">
            <v>CANCEL</v>
          </cell>
          <cell r="S529" t="str">
            <v>DS 291225
Menunggu dok. Pendukung dr vendor - Done
PCO126-000000374</v>
          </cell>
          <cell r="T529" t="str">
            <v>MSW</v>
          </cell>
          <cell r="U529" t="str">
            <v>Greentek Elektrikal Indonesia, PT
Gading Mas Utama, PT
Antares Jaya Gemilang Prima, PT
Gema Industrial, PT
Gevana, PT
Stanindo Artha Langgeng, PT
Raja Listrik Indonesia, PT
Ganesha Wirya Pratama, PT
Sola Anugerah Oilfield, PT
Promitra Prima Indonesia, PT</v>
          </cell>
          <cell r="V529" t="str">
            <v>Greentek Elektrikal Indonesia, PT
Gading Mas Utama, PT
Antares Jaya Gemilang Prima, PT
Gema Industrial, PT
Gevana, PT
Raja Listrik Indonesia, PT
Promitra Prima Indonesia, PT</v>
          </cell>
          <cell r="W529" t="str">
            <v>10 of 10</v>
          </cell>
          <cell r="X529" t="str">
            <v>7 of 10</v>
          </cell>
          <cell r="Y529">
            <v>46003</v>
          </cell>
          <cell r="Z529">
            <v>46010</v>
          </cell>
          <cell r="AC529" t="str">
            <v xml:space="preserve"> of </v>
          </cell>
          <cell r="AD529" t="str">
            <v xml:space="preserve"> of </v>
          </cell>
          <cell r="AF529" t="str">
            <v/>
          </cell>
          <cell r="AI529" t="str">
            <v xml:space="preserve"> of </v>
          </cell>
          <cell r="AJ529" t="str">
            <v xml:space="preserve"> of </v>
          </cell>
          <cell r="AL529" t="str">
            <v/>
          </cell>
          <cell r="AM529">
            <v>0.70833333333333304</v>
          </cell>
          <cell r="AO529" t="str">
            <v/>
          </cell>
          <cell r="AR529">
            <v>46020</v>
          </cell>
          <cell r="AS529">
            <v>46047</v>
          </cell>
          <cell r="AW529" t="str">
            <v/>
          </cell>
          <cell r="AX529" t="str">
            <v/>
          </cell>
          <cell r="AZ529" t="str">
            <v/>
          </cell>
          <cell r="BA529" t="str">
            <v/>
          </cell>
          <cell r="BB529" t="str">
            <v/>
          </cell>
          <cell r="BC529" t="str">
            <v>PC0125-000001361</v>
          </cell>
        </row>
        <row r="530">
          <cell r="B530" t="str">
            <v>PC0125-000000363 (Line 1,3,5)</v>
          </cell>
          <cell r="C530" t="str">
            <v>Pengadaan Sparepart Genset Tanjung</v>
          </cell>
          <cell r="D530" t="str">
            <v>Sehati, CV - Line 1-4
Bima Kaltim Utama, PT - Line 5</v>
          </cell>
          <cell r="E530" t="str">
            <v/>
          </cell>
          <cell r="F530" t="str">
            <v/>
          </cell>
          <cell r="G530" t="str">
            <v/>
          </cell>
          <cell r="H530" t="str">
            <v>NAUFAL INAS FIKRI</v>
          </cell>
          <cell r="I530">
            <v>45972</v>
          </cell>
          <cell r="J530" t="str">
            <v>6100DB433</v>
          </cell>
          <cell r="K530" t="str">
            <v>B</v>
          </cell>
          <cell r="L530" t="str">
            <v>BID</v>
          </cell>
          <cell r="M530">
            <v>302</v>
          </cell>
          <cell r="N530" t="str">
            <v>RH</v>
          </cell>
          <cell r="O530" t="str">
            <v>robertiagus.haposan@alamtri.com</v>
          </cell>
          <cell r="P530">
            <v>1378</v>
          </cell>
          <cell r="Q530">
            <v>22048000</v>
          </cell>
          <cell r="R530" t="str">
            <v>CANCEL</v>
          </cell>
          <cell r="S530" t="str">
            <v>permasalahan budget, dipindahkan ke Pak Raju</v>
          </cell>
          <cell r="T530" t="str">
            <v>MSW</v>
          </cell>
          <cell r="U530" t="str">
            <v>Sehati, CV
Alfa Teknik Mandiri Makmur, PT
Berkat Pratama Teknik, CV
Bima Kaltim Utama, PT
Sentrapart Niaga Utama, PT
Aneka Mitra Cipta, PT
Lotus Inti Pratama, PT
Blessindo Prima Sarana, PT</v>
          </cell>
          <cell r="V530" t="str">
            <v>Sehati, CV
Bima Kaltim Utama, PT
Aneka Mitra Cipta, PT
Lotus Inti Pratama, PT</v>
          </cell>
          <cell r="W530" t="str">
            <v>8 of 8</v>
          </cell>
          <cell r="X530" t="str">
            <v>4 of 8</v>
          </cell>
          <cell r="Y530">
            <v>45986</v>
          </cell>
          <cell r="Z530">
            <v>45993</v>
          </cell>
          <cell r="AC530" t="str">
            <v xml:space="preserve"> of </v>
          </cell>
          <cell r="AD530" t="str">
            <v xml:space="preserve"> of </v>
          </cell>
          <cell r="AF530" t="str">
            <v/>
          </cell>
          <cell r="AI530" t="str">
            <v xml:space="preserve"> of </v>
          </cell>
          <cell r="AJ530" t="str">
            <v xml:space="preserve"> of </v>
          </cell>
          <cell r="AL530" t="str">
            <v/>
          </cell>
          <cell r="AM530">
            <v>0.70833333333333304</v>
          </cell>
          <cell r="AN530" t="str">
            <v>Bima Kaltim Utama, PT</v>
          </cell>
          <cell r="AO530" t="str">
            <v/>
          </cell>
          <cell r="AR530">
            <v>45994</v>
          </cell>
          <cell r="AS530">
            <v>46001</v>
          </cell>
          <cell r="AW530" t="str">
            <v/>
          </cell>
          <cell r="AX530" t="str">
            <v/>
          </cell>
          <cell r="AZ530" t="str">
            <v/>
          </cell>
          <cell r="BA530" t="str">
            <v/>
          </cell>
          <cell r="BB530" t="str">
            <v/>
          </cell>
          <cell r="BC530" t="str">
            <v>PC0125-000000363</v>
          </cell>
        </row>
        <row r="531">
          <cell r="B531" t="str">
            <v>PC0125-000000932</v>
          </cell>
          <cell r="C531" t="str">
            <v>Spare Part Transmitter EIC</v>
          </cell>
          <cell r="D531" t="str">
            <v>Kin Kitra Kencana, PT (Line 1-2)
Sahara Persada (Line 3)
Gema Industrial, PT (Line 4)</v>
          </cell>
          <cell r="E531" t="str">
            <v/>
          </cell>
          <cell r="F531" t="str">
            <v/>
          </cell>
          <cell r="G531" t="str">
            <v/>
          </cell>
          <cell r="H531" t="str">
            <v>BASUKI SETIYO WIDODO</v>
          </cell>
          <cell r="I531">
            <v>45986</v>
          </cell>
          <cell r="J531" t="str">
            <v>6100DB402</v>
          </cell>
          <cell r="K531" t="str">
            <v>B</v>
          </cell>
          <cell r="L531" t="str">
            <v>BID</v>
          </cell>
          <cell r="M531">
            <v>330</v>
          </cell>
          <cell r="N531" t="str">
            <v>RH</v>
          </cell>
          <cell r="O531" t="str">
            <v>robertiagus.haposan@alamtri.com</v>
          </cell>
          <cell r="P531">
            <v>3816.5</v>
          </cell>
          <cell r="Q531">
            <v>61064000</v>
          </cell>
          <cell r="R531" t="str">
            <v>CANCEL</v>
          </cell>
          <cell r="S531" t="str">
            <v>Menunggu dok. Pendukung dr vendor - Done
PC0126-000000580 PO</v>
          </cell>
          <cell r="T531" t="str">
            <v>MSW</v>
          </cell>
          <cell r="U531" t="str">
            <v>Kin Kitra Kencana, PT
Gema Industrial, PT
Axel Jaya Cakraniaga, PT
Gading Mas Utama, PT
Promitra Prima Indonesia, PT
Gevana, PT
Putera Instrumenindo, PT
Vhipa Mulia Pratama, PT
Viktori Profindo Automation, PT
Trimitra Bangun Karyatama, PT
Dayaniaga Ekaselaras, PT</v>
          </cell>
          <cell r="V531" t="str">
            <v>Gading Mas Utama, PT
Gevana, PT
Dayaniaga Ekaselaras, PT</v>
          </cell>
          <cell r="W531" t="str">
            <v>11 of 11</v>
          </cell>
          <cell r="X531" t="str">
            <v>3 of 11</v>
          </cell>
          <cell r="Y531">
            <v>46008</v>
          </cell>
          <cell r="Z531">
            <v>46014</v>
          </cell>
          <cell r="AC531" t="str">
            <v xml:space="preserve"> of </v>
          </cell>
          <cell r="AD531" t="str">
            <v xml:space="preserve"> of </v>
          </cell>
          <cell r="AF531" t="str">
            <v/>
          </cell>
          <cell r="AI531" t="str">
            <v xml:space="preserve"> of </v>
          </cell>
          <cell r="AJ531" t="str">
            <v xml:space="preserve"> of </v>
          </cell>
          <cell r="AL531" t="str">
            <v/>
          </cell>
          <cell r="AM531">
            <v>0.70833333333333304</v>
          </cell>
          <cell r="AN531" t="str">
            <v>Gevana, PT</v>
          </cell>
          <cell r="AO531" t="str">
            <v/>
          </cell>
          <cell r="AP531" t="str">
            <v>6100-PC0626-00142</v>
          </cell>
          <cell r="AQ531">
            <v>88119300</v>
          </cell>
          <cell r="AR531">
            <v>46011</v>
          </cell>
          <cell r="AS531">
            <v>46065</v>
          </cell>
          <cell r="AT531">
            <v>46083</v>
          </cell>
          <cell r="AU531">
            <v>46191</v>
          </cell>
          <cell r="AV531">
            <v>46090</v>
          </cell>
          <cell r="AW531">
            <v>46198</v>
          </cell>
          <cell r="AX531">
            <v>15.428571428571429</v>
          </cell>
          <cell r="AZ531" t="str">
            <v/>
          </cell>
          <cell r="BA531" t="str">
            <v/>
          </cell>
          <cell r="BB531" t="str">
            <v>Late Completed</v>
          </cell>
          <cell r="BC531" t="str">
            <v>PC0125-000000932</v>
          </cell>
        </row>
        <row r="532">
          <cell r="B532" t="str">
            <v>PC0125-000000934</v>
          </cell>
          <cell r="C532" t="str">
            <v>Spare Part Pneumatic Positioner EIC</v>
          </cell>
          <cell r="D532" t="str">
            <v>Gema Industrial, PT - Line 1
Gevana, PT - Line 2</v>
          </cell>
          <cell r="E532" t="str">
            <v/>
          </cell>
          <cell r="F532" t="str">
            <v/>
          </cell>
          <cell r="G532" t="str">
            <v/>
          </cell>
          <cell r="H532" t="str">
            <v>BASUKI SETIYO WIDODO</v>
          </cell>
          <cell r="I532">
            <v>45986</v>
          </cell>
          <cell r="J532" t="str">
            <v>6100DB402</v>
          </cell>
          <cell r="K532" t="str">
            <v>B</v>
          </cell>
          <cell r="L532" t="str">
            <v>BID</v>
          </cell>
          <cell r="M532">
            <v>331</v>
          </cell>
          <cell r="N532" t="str">
            <v>RH</v>
          </cell>
          <cell r="O532" t="str">
            <v>robertiagus.haposan@alamtri.com</v>
          </cell>
          <cell r="P532">
            <v>3835.44</v>
          </cell>
          <cell r="Q532">
            <v>61367040</v>
          </cell>
          <cell r="R532" t="str">
            <v>CANCEL</v>
          </cell>
          <cell r="S532" t="str">
            <v>ES 090226
Menunggu dok. pendukung dr vendor - Done
PC0126-000000581</v>
          </cell>
          <cell r="T532" t="str">
            <v>MSW</v>
          </cell>
          <cell r="U532" t="str">
            <v>Gema Industrial, PT
Viktori Profindo Automation, PT
Gading Mas Utama, PT
Simenteknindo, PT
Gevana, PT
Antares Jaya Gemilang Prima, PT
Kin Kitra Kencana, PT
Putera Instrumenindo, PT
Dayaniaga Ekaselaras, PT
Kin Kitra Kencana, PT</v>
          </cell>
          <cell r="V532" t="str">
            <v>Viktori Profindo Automation, PT
Gading Mas Utama, PT
Gevana, PT
Antares Jaya Gemilang Prima, PT
Kin Kitra Kencana, PT</v>
          </cell>
          <cell r="W532" t="str">
            <v>10 of 10</v>
          </cell>
          <cell r="X532" t="str">
            <v>5 of 10</v>
          </cell>
          <cell r="Y532">
            <v>46008</v>
          </cell>
          <cell r="Z532">
            <v>46014</v>
          </cell>
          <cell r="AC532" t="str">
            <v xml:space="preserve"> of </v>
          </cell>
          <cell r="AD532" t="str">
            <v xml:space="preserve"> of </v>
          </cell>
          <cell r="AF532" t="str">
            <v/>
          </cell>
          <cell r="AI532" t="str">
            <v xml:space="preserve"> of </v>
          </cell>
          <cell r="AJ532" t="str">
            <v xml:space="preserve"> of </v>
          </cell>
          <cell r="AL532" t="str">
            <v/>
          </cell>
          <cell r="AM532">
            <v>0.70833333333333304</v>
          </cell>
          <cell r="AN532" t="str">
            <v>Viktori Profindo Automation, PT</v>
          </cell>
          <cell r="AO532" t="str">
            <v/>
          </cell>
          <cell r="AR532">
            <v>46021</v>
          </cell>
          <cell r="AS532">
            <v>46090</v>
          </cell>
          <cell r="AW532" t="str">
            <v/>
          </cell>
          <cell r="AX532" t="str">
            <v/>
          </cell>
          <cell r="AZ532" t="str">
            <v/>
          </cell>
          <cell r="BA532" t="str">
            <v/>
          </cell>
          <cell r="BB532" t="str">
            <v/>
          </cell>
          <cell r="BC532" t="str">
            <v>PC0125-000000934</v>
          </cell>
        </row>
        <row r="533">
          <cell r="B533" t="str">
            <v>PC0125-000000938</v>
          </cell>
          <cell r="C533" t="str">
            <v>Spare Part MIL Actuator Valve Diaphragm EIC</v>
          </cell>
          <cell r="D533" t="str">
            <v>Andalan Tiga Berlian, PT - Line 3-4</v>
          </cell>
          <cell r="E533" t="str">
            <v/>
          </cell>
          <cell r="F533" t="str">
            <v/>
          </cell>
          <cell r="G533" t="str">
            <v/>
          </cell>
          <cell r="H533" t="str">
            <v>BASUKI SETIYO WIDODO</v>
          </cell>
          <cell r="I533">
            <v>45986</v>
          </cell>
          <cell r="J533" t="str">
            <v>6100DB402</v>
          </cell>
          <cell r="K533" t="str">
            <v>B</v>
          </cell>
          <cell r="L533" t="str">
            <v>BID</v>
          </cell>
          <cell r="M533">
            <v>3</v>
          </cell>
          <cell r="N533" t="str">
            <v>RH</v>
          </cell>
          <cell r="O533" t="str">
            <v>robertiagus.haposan@alamtri.com</v>
          </cell>
          <cell r="P533">
            <v>5462.44</v>
          </cell>
          <cell r="Q533">
            <v>87399040</v>
          </cell>
          <cell r="R533" t="str">
            <v>CANCEL</v>
          </cell>
          <cell r="S533" t="str">
            <v>PC0126-000000585</v>
          </cell>
          <cell r="T533" t="str">
            <v>MSW</v>
          </cell>
          <cell r="U533" t="str">
            <v>Andalan Tiga Berlian, PT
Putera Instrumenindo, PT
KSB Sales Indonesia, PT
Artam Borneo Automatika, PT
Gading Mas Utama, PT
Golden Pratama Engineering, PT
Petrocom Nusa Synergy, PT
Wiya System Solution, PT
Kin Kitra Kencana, PT
Adijaya Mitra Perkasa, PT
Axel Jaya Cakraniaga, PT
Gevana, PT
Petro Gama Industri, PT</v>
          </cell>
          <cell r="V533" t="str">
            <v>Andalan Tiga Berlian, PT
Artam Borneo Automatika, PT
Kin Kitra Kencana, PT</v>
          </cell>
          <cell r="W533" t="str">
            <v>13 of 13</v>
          </cell>
          <cell r="X533" t="str">
            <v>3 of 13</v>
          </cell>
          <cell r="Y533">
            <v>46028</v>
          </cell>
          <cell r="Z533">
            <v>46035</v>
          </cell>
          <cell r="AC533" t="str">
            <v xml:space="preserve"> of </v>
          </cell>
          <cell r="AD533" t="str">
            <v xml:space="preserve"> of </v>
          </cell>
          <cell r="AF533" t="str">
            <v/>
          </cell>
          <cell r="AI533" t="str">
            <v xml:space="preserve"> of </v>
          </cell>
          <cell r="AJ533" t="str">
            <v xml:space="preserve"> of </v>
          </cell>
          <cell r="AL533" t="str">
            <v/>
          </cell>
          <cell r="AM533">
            <v>0.70833333333333304</v>
          </cell>
          <cell r="AO533" t="str">
            <v/>
          </cell>
          <cell r="AR533">
            <v>46037</v>
          </cell>
          <cell r="AW533" t="str">
            <v/>
          </cell>
          <cell r="AX533" t="str">
            <v/>
          </cell>
          <cell r="AZ533" t="str">
            <v/>
          </cell>
          <cell r="BA533" t="str">
            <v/>
          </cell>
          <cell r="BB533" t="str">
            <v/>
          </cell>
          <cell r="BC533" t="str">
            <v>PC0125-000000938</v>
          </cell>
        </row>
        <row r="534">
          <cell r="B534" t="str">
            <v>PC0125-000000940</v>
          </cell>
          <cell r="C534" t="str">
            <v>Spare Part Repair Kit Pneumatic EIC</v>
          </cell>
          <cell r="D534" t="str">
            <v>Alfa Teknik Mandiri Makmur, PT - Line 2
Kin Kitra Kencana, PT - Line 3,4
Solusi Cita Mandala, PT - Line 5
Rande Buana Teknik, PT - Line 6
Festo, PT - Line 7
Invaltech System Indonesia, PT - Line 8</v>
          </cell>
          <cell r="E534" t="str">
            <v/>
          </cell>
          <cell r="F534" t="str">
            <v/>
          </cell>
          <cell r="G534" t="str">
            <v/>
          </cell>
          <cell r="H534" t="str">
            <v>BASUKI SETIYO WIDODO</v>
          </cell>
          <cell r="I534">
            <v>45986</v>
          </cell>
          <cell r="J534" t="str">
            <v>6100DB402</v>
          </cell>
          <cell r="K534" t="str">
            <v>B</v>
          </cell>
          <cell r="L534" t="str">
            <v>BID</v>
          </cell>
          <cell r="M534">
            <v>332</v>
          </cell>
          <cell r="N534" t="str">
            <v>RH</v>
          </cell>
          <cell r="O534" t="str">
            <v>robertiagus.haposan@alamtri.com</v>
          </cell>
          <cell r="P534">
            <v>4749.96</v>
          </cell>
          <cell r="Q534">
            <v>75999360</v>
          </cell>
          <cell r="R534" t="str">
            <v>CANCEL</v>
          </cell>
          <cell r="S534" t="str">
            <v>Pindah PC0126-000000531</v>
          </cell>
          <cell r="T534" t="str">
            <v>MSW</v>
          </cell>
          <cell r="U534" t="str">
            <v>Invaltech System Indonesia, PT
Casa Terra Mandiri Indonesia, PT
Greentek Elektrikal Indonesia, PT
Festo, PT
Dayaniaga Ekaselaras, PT
Yabestindo Mitra Utama, PT
Kin Kitra Kencana, PT
Gevana, PT
Alfa Teknik Mandiri Makmur, PT
Kin Kitra Kencana, PT
Antares Jaya Gemilang Prima, PT
Solusi Cita Mandala, PT
Rande Buana Teknik, PT</v>
          </cell>
          <cell r="V534" t="str">
            <v>Invaltech System Indonesia, PT
Kin Kitra Kencana, PT</v>
          </cell>
          <cell r="W534" t="str">
            <v>13 of 13</v>
          </cell>
          <cell r="X534" t="str">
            <v>2 of 13</v>
          </cell>
          <cell r="Y534">
            <v>46009</v>
          </cell>
          <cell r="Z534">
            <v>46021</v>
          </cell>
          <cell r="AA534" t="str">
            <v>Invaltech System Indonesia, PT
Kin Kitra Kencana, PT
Pruftechnik Condition Monitoring Indonesia, PT
Casa Terra Mandiri Indonesia, PT
Alfa Teknik Mandiri Makmur, PT
Solusi Cita Mandala, PT
Rande Buana Teknik, PT
Alfa Teknik Mandiri Makmur, PT
Lienetic Jaya, PT</v>
          </cell>
          <cell r="AB534" t="str">
            <v>Invaltech System Indonesia, PT
Kin Kitra Kencana, PT
Casa Terra Mandiri Indonesia, PT
Solusi Cita Mandala, PT</v>
          </cell>
          <cell r="AC534" t="str">
            <v>9 of 9</v>
          </cell>
          <cell r="AD534" t="str">
            <v>4 of 9</v>
          </cell>
          <cell r="AE534">
            <v>46034</v>
          </cell>
          <cell r="AF534">
            <v>46041</v>
          </cell>
          <cell r="AI534" t="str">
            <v xml:space="preserve"> of </v>
          </cell>
          <cell r="AJ534" t="str">
            <v xml:space="preserve"> of </v>
          </cell>
          <cell r="AL534" t="str">
            <v/>
          </cell>
          <cell r="AM534">
            <v>0.70833333333333304</v>
          </cell>
          <cell r="AO534" t="str">
            <v/>
          </cell>
          <cell r="AR534">
            <v>46051</v>
          </cell>
          <cell r="AW534" t="str">
            <v/>
          </cell>
          <cell r="AX534" t="str">
            <v/>
          </cell>
          <cell r="AZ534" t="str">
            <v/>
          </cell>
          <cell r="BA534" t="str">
            <v/>
          </cell>
          <cell r="BB534" t="str">
            <v/>
          </cell>
          <cell r="BC534" t="str">
            <v>PC0125-000000940</v>
          </cell>
        </row>
        <row r="535">
          <cell r="B535" t="str">
            <v>PC0125-000001296 (Line 2)</v>
          </cell>
          <cell r="C535" t="str">
            <v>Rental Genset 2 x 40 Kva Support Lab.Paringin</v>
          </cell>
          <cell r="D535" t="str">
            <v>Bima Kaltim Utama, PT</v>
          </cell>
          <cell r="E535" t="str">
            <v/>
          </cell>
          <cell r="F535" t="str">
            <v/>
          </cell>
          <cell r="G535" t="str">
            <v/>
          </cell>
          <cell r="H535" t="str">
            <v>SLAMET</v>
          </cell>
          <cell r="I535">
            <v>45996</v>
          </cell>
          <cell r="J535" t="str">
            <v>6100DB431</v>
          </cell>
          <cell r="K535" t="str">
            <v>B</v>
          </cell>
          <cell r="L535" t="str">
            <v>CTR</v>
          </cell>
          <cell r="N535" t="str">
            <v>RH</v>
          </cell>
          <cell r="O535" t="str">
            <v>robertiagus.haposan@alamtri.com</v>
          </cell>
          <cell r="Q535">
            <v>30000000</v>
          </cell>
          <cell r="R535" t="str">
            <v>CANCEL</v>
          </cell>
          <cell r="S535" t="str">
            <v>CANCEL karena harus membuat PR baru</v>
          </cell>
          <cell r="T535" t="str">
            <v>MSW</v>
          </cell>
          <cell r="U535" t="str">
            <v>Bima Kaltim Utama, PT</v>
          </cell>
          <cell r="V535" t="str">
            <v>Bima Kaltim Utama, PT</v>
          </cell>
          <cell r="W535" t="str">
            <v>1 of 1</v>
          </cell>
          <cell r="X535" t="str">
            <v>1 of 1</v>
          </cell>
          <cell r="Z535" t="str">
            <v/>
          </cell>
          <cell r="AC535" t="str">
            <v xml:space="preserve"> of </v>
          </cell>
          <cell r="AD535" t="str">
            <v xml:space="preserve"> of </v>
          </cell>
          <cell r="AF535" t="str">
            <v/>
          </cell>
          <cell r="AI535" t="str">
            <v xml:space="preserve"> of </v>
          </cell>
          <cell r="AJ535" t="str">
            <v xml:space="preserve"> of </v>
          </cell>
          <cell r="AL535" t="str">
            <v/>
          </cell>
          <cell r="AM535">
            <v>0.70833333333333304</v>
          </cell>
          <cell r="AN535" t="str">
            <v>Bima Kaltim Utama, PT</v>
          </cell>
          <cell r="AO535" t="str">
            <v/>
          </cell>
          <cell r="AW535" t="str">
            <v/>
          </cell>
          <cell r="AX535" t="str">
            <v/>
          </cell>
          <cell r="AZ535" t="str">
            <v/>
          </cell>
          <cell r="BA535" t="str">
            <v/>
          </cell>
          <cell r="BB535" t="str">
            <v/>
          </cell>
          <cell r="BC535" t="str">
            <v>PC0125-000001296</v>
          </cell>
        </row>
        <row r="536">
          <cell r="B536" t="str">
            <v>PC0125-000001296 (Line 3)</v>
          </cell>
          <cell r="C536" t="str">
            <v>Rental Genset 2 x 40 Kva Support Lab.Paringin</v>
          </cell>
          <cell r="D536" t="str">
            <v>Bima Kaltim Utama, PT</v>
          </cell>
          <cell r="E536" t="str">
            <v/>
          </cell>
          <cell r="F536" t="str">
            <v/>
          </cell>
          <cell r="G536" t="str">
            <v/>
          </cell>
          <cell r="H536" t="str">
            <v>SLAMET</v>
          </cell>
          <cell r="I536">
            <v>45996</v>
          </cell>
          <cell r="J536" t="str">
            <v>6100DB431</v>
          </cell>
          <cell r="K536" t="str">
            <v>B</v>
          </cell>
          <cell r="L536" t="str">
            <v>CTR</v>
          </cell>
          <cell r="N536" t="str">
            <v>RH</v>
          </cell>
          <cell r="O536" t="str">
            <v>robertiagus.haposan@alamtri.com</v>
          </cell>
          <cell r="Q536">
            <v>30000000</v>
          </cell>
          <cell r="R536" t="str">
            <v>CANCEL</v>
          </cell>
          <cell r="S536" t="str">
            <v>CANCEL karena harus membuat PR baru</v>
          </cell>
          <cell r="T536" t="str">
            <v>MSW</v>
          </cell>
          <cell r="U536" t="str">
            <v>Bima Kaltim Utama, PT</v>
          </cell>
          <cell r="V536" t="str">
            <v>Bima Kaltim Utama, PT</v>
          </cell>
          <cell r="W536" t="str">
            <v>1 of 1</v>
          </cell>
          <cell r="X536" t="str">
            <v>1 of 1</v>
          </cell>
          <cell r="Z536" t="str">
            <v/>
          </cell>
          <cell r="AC536" t="str">
            <v xml:space="preserve"> of </v>
          </cell>
          <cell r="AD536" t="str">
            <v xml:space="preserve"> of </v>
          </cell>
          <cell r="AF536" t="str">
            <v/>
          </cell>
          <cell r="AI536" t="str">
            <v xml:space="preserve"> of </v>
          </cell>
          <cell r="AJ536" t="str">
            <v xml:space="preserve"> of </v>
          </cell>
          <cell r="AL536" t="str">
            <v/>
          </cell>
          <cell r="AM536">
            <v>0.70833333333333304</v>
          </cell>
          <cell r="AN536" t="str">
            <v>Bima Kaltim Utama, PT</v>
          </cell>
          <cell r="AO536" t="str">
            <v/>
          </cell>
          <cell r="AW536" t="str">
            <v/>
          </cell>
          <cell r="AX536" t="str">
            <v/>
          </cell>
          <cell r="AZ536" t="str">
            <v/>
          </cell>
          <cell r="BA536" t="str">
            <v/>
          </cell>
          <cell r="BB536" t="str">
            <v/>
          </cell>
          <cell r="BC536" t="str">
            <v>PC0125-000001296</v>
          </cell>
        </row>
        <row r="537">
          <cell r="B537" t="str">
            <v>PC0125-000000135</v>
          </cell>
          <cell r="C537" t="str">
            <v>pekerjaan overhaul gearbox CT fan</v>
          </cell>
          <cell r="E537" t="str">
            <v/>
          </cell>
          <cell r="F537" t="str">
            <v/>
          </cell>
          <cell r="G537" t="str">
            <v/>
          </cell>
          <cell r="H537" t="str">
            <v>RIZKY AGUSTINA</v>
          </cell>
          <cell r="I537">
            <v>46020</v>
          </cell>
          <cell r="J537" t="str">
            <v>6100DB401</v>
          </cell>
          <cell r="K537" t="str">
            <v>B &amp; J</v>
          </cell>
          <cell r="L537" t="str">
            <v>BID</v>
          </cell>
          <cell r="M537">
            <v>1</v>
          </cell>
          <cell r="N537" t="str">
            <v>RH</v>
          </cell>
          <cell r="O537" t="str">
            <v>robertiagus.haposan@alamtri.com</v>
          </cell>
          <cell r="P537">
            <v>36364</v>
          </cell>
          <cell r="Q537">
            <v>581824000</v>
          </cell>
          <cell r="R537" t="str">
            <v>CANCEL</v>
          </cell>
          <cell r="S537" t="str">
            <v>from DBS
Replacement to PC0126-000001579</v>
          </cell>
          <cell r="T537" t="str">
            <v>MSW</v>
          </cell>
          <cell r="U537" t="str">
            <v>Catek Jaya, CV
Xservice, CV
Jaya Induksi Elektrik, PT
Mitra Safa Senusantara, CV
Pola Proserve Engineering, PT
Duta Sarana Engineering, PT
Taka Turbomachinery Indonesia, PT
Raihan Teknik Utama, PT
Gamma Energi Pratama, PT
Tentra Eka Pratama, PT
Taka Precision Manufacturing Indonesia, PT
Proteknik Mega Persada, PT
CBC Indonesia, PT</v>
          </cell>
          <cell r="V537" t="str">
            <v>Xservice, CV
Pola Proserve Engineering, PT
Taka Turbomachinery Indonesia, PT
Raihan Teknik Utama, PT</v>
          </cell>
          <cell r="W537" t="str">
            <v>13 of 13</v>
          </cell>
          <cell r="X537" t="str">
            <v>4 of 13</v>
          </cell>
          <cell r="Y537">
            <v>46027</v>
          </cell>
          <cell r="Z537">
            <v>46037</v>
          </cell>
          <cell r="AC537" t="str">
            <v xml:space="preserve"> of </v>
          </cell>
          <cell r="AD537" t="str">
            <v xml:space="preserve"> of </v>
          </cell>
          <cell r="AF537" t="str">
            <v/>
          </cell>
          <cell r="AI537" t="str">
            <v xml:space="preserve"> of </v>
          </cell>
          <cell r="AJ537" t="str">
            <v xml:space="preserve"> of </v>
          </cell>
          <cell r="AL537" t="str">
            <v/>
          </cell>
          <cell r="AM537">
            <v>0.70833333333333304</v>
          </cell>
          <cell r="AN537" t="str">
            <v>Pola Proserve Engineering, PT</v>
          </cell>
          <cell r="AO537" t="str">
            <v/>
          </cell>
          <cell r="AP537" t="str">
            <v>6100-PC0626-00334</v>
          </cell>
          <cell r="AQ537">
            <v>425000000</v>
          </cell>
          <cell r="AR537">
            <v>46042</v>
          </cell>
          <cell r="AS537">
            <v>46142</v>
          </cell>
          <cell r="AW537" t="str">
            <v/>
          </cell>
          <cell r="AX537" t="str">
            <v/>
          </cell>
          <cell r="AZ537" t="str">
            <v/>
          </cell>
          <cell r="BA537" t="str">
            <v/>
          </cell>
          <cell r="BB537" t="str">
            <v/>
          </cell>
          <cell r="BC537" t="str">
            <v>PC0125-000000135</v>
          </cell>
        </row>
        <row r="538">
          <cell r="B538" t="str">
            <v>PC0125-000001301</v>
          </cell>
          <cell r="C538" t="str">
            <v>Material Aksesoris Digitalisasi Tambang</v>
          </cell>
          <cell r="D538" t="str">
            <v>Perwira Sentra Officindo, PT (Line 1,2,13)
Vhipa Mulia Pratama, PT (Line 3)
Berkat Pratama Teknik, CV (Line 4,5)
Borneo Maju Jaya, PT (Line 6)
Axel Jaya Cakraniaga, PT (Line 7-9,11)
Alfa Teknik Mandiri Makmur, PT (Line 10)
Indostar Security, PT (Line 12)</v>
          </cell>
          <cell r="E538" t="str">
            <v/>
          </cell>
          <cell r="F538" t="str">
            <v/>
          </cell>
          <cell r="G538" t="str">
            <v/>
          </cell>
          <cell r="H538" t="str">
            <v>GUNARA FERY FAHNANI</v>
          </cell>
          <cell r="I538">
            <v>46028</v>
          </cell>
          <cell r="J538" t="str">
            <v>6100DB411</v>
          </cell>
          <cell r="K538" t="str">
            <v>B</v>
          </cell>
          <cell r="L538" t="str">
            <v>BID</v>
          </cell>
          <cell r="M538">
            <v>2</v>
          </cell>
          <cell r="N538" t="str">
            <v>RH</v>
          </cell>
          <cell r="O538" t="str">
            <v>robertiagus.haposan@alamtri.com</v>
          </cell>
          <cell r="P538">
            <v>11244</v>
          </cell>
          <cell r="Q538">
            <v>179904000</v>
          </cell>
          <cell r="R538" t="str">
            <v>CANCEL</v>
          </cell>
          <cell r="S538" t="str">
            <v>Menunggu PR 2026 - PC0126-000000420</v>
          </cell>
          <cell r="T538" t="str">
            <v>MSW</v>
          </cell>
          <cell r="U538" t="str">
            <v>Greentek Elektrikal Indonesia, PT
ALKS, CV
Gevana, PT
Gema Industrial, PT
Antares Jaya Gemilang Prima, PT
Perwira Sentra Officindo, PT
Indostar Security, PT
Berkat Pratama Teknik, CV
Vhipa Mulia Pratama, PT
Borneo Maju Jaya, PT
Axel Jaya Cakraniaga, PT
Alfa Teknik Mandiri Makmur, PT
Ganesha Wirya Pratama, PT
Pacific Tractor Indonesia, PT
Aka Prima Komputindo, PT
Niaga Prima Paramitra, PT
Berkat Jaya Komputindo, PT</v>
          </cell>
          <cell r="V538" t="str">
            <v>Greentek Elektrikal Indonesia, PT
ALKS, CV
Gevana, PT
Antares Jaya Gemilang Prima, PT
Perwira Sentra Officindo, PT
Axel Jaya Cakraniaga, PT
Ganesha Wirya Pratama, PT
Aka Prima Komputindo, PT
Berkat Jaya Komputindo, PT</v>
          </cell>
          <cell r="W538" t="str">
            <v>17 of 17</v>
          </cell>
          <cell r="X538" t="str">
            <v>9 of 17</v>
          </cell>
          <cell r="Y538">
            <v>46028</v>
          </cell>
          <cell r="Z538">
            <v>46035</v>
          </cell>
          <cell r="AC538" t="str">
            <v xml:space="preserve"> of </v>
          </cell>
          <cell r="AD538" t="str">
            <v xml:space="preserve"> of </v>
          </cell>
          <cell r="AF538" t="str">
            <v/>
          </cell>
          <cell r="AI538" t="str">
            <v xml:space="preserve"> of </v>
          </cell>
          <cell r="AJ538" t="str">
            <v xml:space="preserve"> of </v>
          </cell>
          <cell r="AL538" t="str">
            <v/>
          </cell>
          <cell r="AM538">
            <v>0.70833333333333304</v>
          </cell>
          <cell r="AO538" t="str">
            <v/>
          </cell>
          <cell r="AW538" t="str">
            <v/>
          </cell>
          <cell r="AX538" t="str">
            <v/>
          </cell>
          <cell r="AZ538" t="str">
            <v/>
          </cell>
          <cell r="BA538" t="str">
            <v/>
          </cell>
          <cell r="BB538" t="str">
            <v/>
          </cell>
          <cell r="BC538" t="str">
            <v>PC0125-000001301</v>
          </cell>
        </row>
        <row r="539">
          <cell r="B539" t="str">
            <v>PC0125-000001521</v>
          </cell>
          <cell r="C539" t="str">
            <v>Part for Turbine</v>
          </cell>
          <cell r="D539" t="str">
            <v>Gevana, PT</v>
          </cell>
          <cell r="E539" t="str">
            <v>Gevana, PT
Axel Jaya Cakraniaga, PT
Outsourcindo, PT
Andalan Tiga Berlian, PT
Pacific Tractor Indonesia, PT
Kin Kitra Kencana, PT
Sola Anugerah Oilfield, PT
Tentra Eka Pratama, PT
Aqpa Indonesia, PT</v>
          </cell>
          <cell r="F539" t="str">
            <v>Gevana, PT
Axel Jaya Cakraniaga, PT
Outsourcindo, PT
Pacific Tractor Indonesia, PT
Kin Kitra Kencana, PT</v>
          </cell>
          <cell r="G539" t="str">
            <v>R0
5 of 9
14 Jan 26</v>
          </cell>
          <cell r="H539" t="str">
            <v>RIZKY AGUSTINA</v>
          </cell>
          <cell r="I539">
            <v>46028</v>
          </cell>
          <cell r="J539" t="str">
            <v>6100DB401</v>
          </cell>
          <cell r="K539" t="str">
            <v>B</v>
          </cell>
          <cell r="L539" t="str">
            <v>BID</v>
          </cell>
          <cell r="M539">
            <v>4</v>
          </cell>
          <cell r="N539" t="str">
            <v>RH</v>
          </cell>
          <cell r="O539" t="str">
            <v>robertiagus.haposan@alamtri.com</v>
          </cell>
          <cell r="P539">
            <v>1520</v>
          </cell>
          <cell r="Q539">
            <v>24320000</v>
          </cell>
          <cell r="R539" t="str">
            <v>Completed Sign PO</v>
          </cell>
          <cell r="T539" t="str">
            <v>MSW</v>
          </cell>
          <cell r="U539" t="str">
            <v>Gevana, PT
Axel Jaya Cakraniaga, PT
Outsourcindo, PT
Andalan Tiga Berlian, PT
Pacific Tractor Indonesia, PT
Kin Kitra Kencana, PT
Sola Anugerah Oilfield, PT
Tentra Eka Pratama, PT
Aqpa Indonesia, PT</v>
          </cell>
          <cell r="V539" t="str">
            <v>Gevana, PT
Axel Jaya Cakraniaga, PT
Outsourcindo, PT
Pacific Tractor Indonesia, PT
Kin Kitra Kencana, PT</v>
          </cell>
          <cell r="W539" t="str">
            <v>9 of 9</v>
          </cell>
          <cell r="X539" t="str">
            <v>5 of 9</v>
          </cell>
          <cell r="Y539">
            <v>46029</v>
          </cell>
          <cell r="Z539">
            <v>46036</v>
          </cell>
          <cell r="AC539" t="str">
            <v xml:space="preserve"> of </v>
          </cell>
          <cell r="AD539" t="str">
            <v xml:space="preserve"> of </v>
          </cell>
          <cell r="AF539" t="str">
            <v/>
          </cell>
          <cell r="AI539" t="str">
            <v xml:space="preserve"> of </v>
          </cell>
          <cell r="AJ539" t="str">
            <v xml:space="preserve"> of </v>
          </cell>
          <cell r="AL539" t="str">
            <v/>
          </cell>
          <cell r="AM539">
            <v>0.70833333333333304</v>
          </cell>
          <cell r="AN539" t="str">
            <v>Axel Jaya Cakraniaga, PT</v>
          </cell>
          <cell r="AO539" t="str">
            <v>ajcakraniaga@gmail.com; sales@ajcakraniaga.com</v>
          </cell>
          <cell r="AP539" t="str">
            <v>6100-PC0626-00245</v>
          </cell>
          <cell r="AQ539">
            <v>35200000</v>
          </cell>
          <cell r="AR539">
            <v>46037</v>
          </cell>
          <cell r="AS539">
            <v>46056</v>
          </cell>
          <cell r="AT539">
            <v>46125</v>
          </cell>
          <cell r="AU539">
            <v>46213</v>
          </cell>
          <cell r="AV539">
            <v>46132</v>
          </cell>
          <cell r="AW539">
            <v>46220</v>
          </cell>
          <cell r="AX539">
            <v>12.571428571428571</v>
          </cell>
          <cell r="AZ539" t="str">
            <v/>
          </cell>
          <cell r="BA539" t="str">
            <v/>
          </cell>
          <cell r="BB539" t="str">
            <v>Late Completed</v>
          </cell>
          <cell r="BC539" t="str">
            <v>PC0125-000001521</v>
          </cell>
        </row>
        <row r="540">
          <cell r="B540" t="str">
            <v>PC0125-000000637</v>
          </cell>
          <cell r="C540" t="str">
            <v>Spare part Network CCTV Operational</v>
          </cell>
          <cell r="D540" t="str">
            <v>Alfa Teknik Mandiri Makmur, PT (Line 1)
Berkat Pratama Teknik, CV (Line 2,5)
Indostar Security, PT (Line 3)
Greentek Elektrikal Indonesia, PT (Line 4)</v>
          </cell>
          <cell r="E540" t="str">
            <v>Alfa Teknik Mandiri Makmur, PT
JJ-LAPP Cable Indonesia, PT
Gema Industrial, PT
Berkat Pratama Teknik, CV
ALKS, CV
Vhipa Mulia Pratama, PT
Indostar Security, PT
Greentek Elektrikal Indonesia, PT
Gevana, PT
Perwira Sentra Officindo, PT</v>
          </cell>
          <cell r="F540" t="str">
            <v>JJ-LAPP Cable Indonesia, PT
ALKS, CV
Vhipa Mulia Pratama, PT
Indostar Security, PT
Gevana, PT
Perwira Sentra Officindo, PT</v>
          </cell>
          <cell r="G540" t="str">
            <v>R0
6 of 10
15 Jan 26</v>
          </cell>
          <cell r="H540" t="str">
            <v>BASUKI SETIYO WIDODO</v>
          </cell>
          <cell r="I540">
            <v>46030</v>
          </cell>
          <cell r="J540" t="str">
            <v>6100DB402</v>
          </cell>
          <cell r="K540" t="str">
            <v>B</v>
          </cell>
          <cell r="L540" t="str">
            <v>BID</v>
          </cell>
          <cell r="M540">
            <v>5</v>
          </cell>
          <cell r="N540" t="str">
            <v>RH</v>
          </cell>
          <cell r="O540" t="str">
            <v>robertiagus.haposan@alamtri.com</v>
          </cell>
          <cell r="P540">
            <v>2311</v>
          </cell>
          <cell r="Q540">
            <v>36976000</v>
          </cell>
          <cell r="R540" t="str">
            <v>PO Sign Vendor</v>
          </cell>
          <cell r="T540" t="str">
            <v>MSW</v>
          </cell>
          <cell r="U540" t="str">
            <v>Alfa Teknik Mandiri Makmur, PT
JJ-LAPP Cable Indonesia, PT
Gema Industrial, PT
Berkat Pratama Teknik, CV
ALKS, CV
Vhipa Mulia Pratama, PT
Indostar Security, PT
Greentek Elektrikal Indonesia, PT
Gevana, PT
Perwira Sentra Officindo, PT</v>
          </cell>
          <cell r="V540" t="str">
            <v>JJ-LAPP Cable Indonesia, PT
ALKS, CV
Vhipa Mulia Pratama, PT
Indostar Security, PT
Gevana, PT
Perwira Sentra Officindo, PT</v>
          </cell>
          <cell r="W540" t="str">
            <v>10 of 10</v>
          </cell>
          <cell r="X540" t="str">
            <v>6 of 10</v>
          </cell>
          <cell r="Y540">
            <v>46030</v>
          </cell>
          <cell r="Z540">
            <v>46037</v>
          </cell>
          <cell r="AC540" t="str">
            <v xml:space="preserve"> of </v>
          </cell>
          <cell r="AD540" t="str">
            <v xml:space="preserve"> of </v>
          </cell>
          <cell r="AF540" t="str">
            <v/>
          </cell>
          <cell r="AI540" t="str">
            <v xml:space="preserve"> of </v>
          </cell>
          <cell r="AJ540" t="str">
            <v xml:space="preserve"> of </v>
          </cell>
          <cell r="AL540" t="str">
            <v/>
          </cell>
          <cell r="AM540">
            <v>0.70833333333333304</v>
          </cell>
          <cell r="AN540" t="str">
            <v>Perwira Sentra Officindo, PT</v>
          </cell>
          <cell r="AO540" t="str">
            <v>d_santos63@yahoo.com</v>
          </cell>
          <cell r="AP540" t="str">
            <v>6100-PC0626-00270</v>
          </cell>
          <cell r="AQ540">
            <v>35645400</v>
          </cell>
          <cell r="AR540">
            <v>46042</v>
          </cell>
          <cell r="AS540">
            <v>46127</v>
          </cell>
          <cell r="AT540">
            <v>46133</v>
          </cell>
          <cell r="AU540">
            <v>46164</v>
          </cell>
          <cell r="AV540">
            <v>46134</v>
          </cell>
          <cell r="AW540">
            <v>46165</v>
          </cell>
          <cell r="AX540">
            <v>4.4285714285714288</v>
          </cell>
          <cell r="AZ540" t="str">
            <v/>
          </cell>
          <cell r="BA540" t="str">
            <v/>
          </cell>
          <cell r="BB540" t="str">
            <v>Late Completed</v>
          </cell>
          <cell r="BC540" t="str">
            <v>PC0125-000000637</v>
          </cell>
        </row>
        <row r="541">
          <cell r="B541" t="str">
            <v>PC0126-000000021 (Line 1-2)</v>
          </cell>
          <cell r="C541" t="str">
            <v>Spare part CCTV Operational</v>
          </cell>
          <cell r="D541" t="str">
            <v>Vhipa Mulia Pratama, PT (Line 2)
Kin Kitra Kencana, PT (Line 3)
Perwira Sentra Officindo, PT (Line 4)</v>
          </cell>
          <cell r="E541" t="str">
            <v>Greentek Elektrikal Indonesia, PT
Aka Prima Komputindo, PT
Berkat Jaya Komputindo, PT
Berkat Pratama Teknik, CV
ALKS, CV
Jaya Multi Usaha, CV
Perwira Sentra Officindo, PT
Indostar Security, PT</v>
          </cell>
          <cell r="F541" t="str">
            <v>Greentek Elektrikal Indonesia, PT
Aka Prima Komputindo, PT
Perwira Sentra Officindo, PT
Indostar Security, PT</v>
          </cell>
          <cell r="G541" t="str">
            <v>R1
4 of 8
09 Feb 26</v>
          </cell>
          <cell r="H541" t="str">
            <v>BASUKI SETIYO WIDODO</v>
          </cell>
          <cell r="I541">
            <v>46030</v>
          </cell>
          <cell r="J541" t="str">
            <v>6100DB402</v>
          </cell>
          <cell r="K541" t="str">
            <v>B</v>
          </cell>
          <cell r="L541" t="str">
            <v>BID</v>
          </cell>
          <cell r="M541">
            <v>6</v>
          </cell>
          <cell r="N541" t="str">
            <v>RH</v>
          </cell>
          <cell r="O541" t="str">
            <v>robertiagus.haposan@alamtri.com</v>
          </cell>
          <cell r="P541">
            <v>3644</v>
          </cell>
          <cell r="Q541">
            <v>58304000</v>
          </cell>
          <cell r="R541" t="str">
            <v>PO Sign Vendor</v>
          </cell>
          <cell r="S541" t="str">
            <v>R0 di cancel krn ada permintaan dari user untuk mengikuti Note dalam PR</v>
          </cell>
          <cell r="T541" t="str">
            <v>MSW</v>
          </cell>
          <cell r="U541" t="str">
            <v>Kin Kitra Kencana, PT
Perwira Sentra Officindo, PT
Gema Industrial, PT
Berkat Pratama Teknik, CV
ALKS, CV
Vhipa Mulia Pratama, PT
Indostar Security, PT
Greentek Elektrikal Indonesia, PT
Gevana, PT
Aka Prima Komputindo, PT
Niaga Prima Paramitra, PT
Berkat Jaya Komputindo, PT</v>
          </cell>
          <cell r="V541" t="str">
            <v>Greentek Elektrikal Indonesia, PT
Aka Prima Komputindo, PT
Berkat Jaya Komputindo, PT</v>
          </cell>
          <cell r="W541" t="str">
            <v>12 of 12</v>
          </cell>
          <cell r="X541" t="str">
            <v>3 of 12</v>
          </cell>
          <cell r="Y541">
            <v>46030</v>
          </cell>
          <cell r="Z541">
            <v>46037</v>
          </cell>
          <cell r="AA541" t="str">
            <v>Greentek Elektrikal Indonesia, PT
Aka Prima Komputindo, PT
Berkat Jaya Komputindo, PT
Berkat Pratama Teknik, CV
ALKS, CV
Jaya Multi Usaha, CV
Perwira Sentra Officindo, PT
Indostar Security, PT</v>
          </cell>
          <cell r="AB541" t="str">
            <v>Greentek Elektrikal Indonesia, PT
Aka Prima Komputindo, PT
Perwira Sentra Officindo, PT
Indostar Security, PT</v>
          </cell>
          <cell r="AC541" t="str">
            <v>8 of 8</v>
          </cell>
          <cell r="AD541" t="str">
            <v>4 of 8</v>
          </cell>
          <cell r="AE541">
            <v>46055</v>
          </cell>
          <cell r="AF541">
            <v>46062</v>
          </cell>
          <cell r="AI541" t="str">
            <v xml:space="preserve"> of </v>
          </cell>
          <cell r="AJ541" t="str">
            <v xml:space="preserve"> of </v>
          </cell>
          <cell r="AL541" t="str">
            <v/>
          </cell>
          <cell r="AM541">
            <v>0.70833333333333304</v>
          </cell>
          <cell r="AN541" t="str">
            <v>Indostar Security, PT</v>
          </cell>
          <cell r="AO541" t="str">
            <v>linayanti@indostarsecurity.co.id; marketing@indostarsecurity.co.id; tech.support@indostarsecurity.co.id</v>
          </cell>
          <cell r="AP541" t="str">
            <v>6100-PC0626-00341</v>
          </cell>
          <cell r="AQ541">
            <v>104945500</v>
          </cell>
          <cell r="AR541">
            <v>46064</v>
          </cell>
          <cell r="AS541">
            <v>46146</v>
          </cell>
          <cell r="AT541">
            <v>46160</v>
          </cell>
          <cell r="AU541">
            <v>46297</v>
          </cell>
          <cell r="AV541">
            <v>46161</v>
          </cell>
          <cell r="AW541">
            <v>46298</v>
          </cell>
          <cell r="AX541">
            <v>19.571428571428573</v>
          </cell>
          <cell r="AZ541" t="str">
            <v/>
          </cell>
          <cell r="BA541" t="str">
            <v/>
          </cell>
          <cell r="BB541" t="str">
            <v>Late Completed</v>
          </cell>
          <cell r="BC541" t="str">
            <v>PC0126-000000021</v>
          </cell>
        </row>
        <row r="542">
          <cell r="B542" t="str">
            <v>PC0125-000001471</v>
          </cell>
          <cell r="C542" t="str">
            <v>Pengadaan Terminal Bushing flag Tembaga Trafo Tambang</v>
          </cell>
          <cell r="D542" t="str">
            <v>Gridtech Indonesia, PT (Line 1)</v>
          </cell>
          <cell r="E542" t="str">
            <v/>
          </cell>
          <cell r="F542" t="str">
            <v/>
          </cell>
          <cell r="G542" t="str">
            <v/>
          </cell>
          <cell r="H542" t="str">
            <v>GUNARA FERY FAHNANI</v>
          </cell>
          <cell r="I542">
            <v>46030</v>
          </cell>
          <cell r="J542" t="str">
            <v>6100DB411</v>
          </cell>
          <cell r="K542" t="str">
            <v>B</v>
          </cell>
          <cell r="L542" t="str">
            <v>BID</v>
          </cell>
          <cell r="M542">
            <v>7</v>
          </cell>
          <cell r="N542" t="str">
            <v>RH</v>
          </cell>
          <cell r="O542" t="str">
            <v>robertiagus.haposan@alamtri.com</v>
          </cell>
          <cell r="P542">
            <v>580</v>
          </cell>
          <cell r="Q542">
            <v>9280000</v>
          </cell>
          <cell r="R542" t="str">
            <v>CANCEL</v>
          </cell>
          <cell r="S542" t="str">
            <v>Menunggu PR 2026 dan ABA
PC0126-000000300 terlalu lama sehingga dibidding ulang</v>
          </cell>
          <cell r="T542" t="str">
            <v>MSW</v>
          </cell>
          <cell r="U542" t="str">
            <v>Gridtech Indonesia, PT
Gema Industrial, PT
Gevana, PT
Axel Jaya Cakraniaga, PT
Triputra Electric Abadi, PT
Sola Anugerah Oilfield, PT
Greentek Elektrikal Indonesia, PT
Ganesha Wirya Pratama, PT
Berkat Pratama Teknik, CV
Gading Mas Utama, PT</v>
          </cell>
          <cell r="V542" t="str">
            <v>Gridtech Indonesia, PT
Axel Jaya Cakraniaga, PT
Ganesha Wirya Pratama, PT</v>
          </cell>
          <cell r="W542" t="str">
            <v>10 of 10</v>
          </cell>
          <cell r="X542" t="str">
            <v>3 of 10</v>
          </cell>
          <cell r="Y542">
            <v>46030</v>
          </cell>
          <cell r="Z542">
            <v>46037</v>
          </cell>
          <cell r="AC542" t="str">
            <v xml:space="preserve"> of </v>
          </cell>
          <cell r="AD542" t="str">
            <v xml:space="preserve"> of </v>
          </cell>
          <cell r="AF542" t="str">
            <v/>
          </cell>
          <cell r="AI542" t="str">
            <v xml:space="preserve"> of </v>
          </cell>
          <cell r="AJ542" t="str">
            <v xml:space="preserve"> of </v>
          </cell>
          <cell r="AL542" t="str">
            <v/>
          </cell>
          <cell r="AM542">
            <v>0.70833333333333304</v>
          </cell>
          <cell r="AO542" t="str">
            <v/>
          </cell>
          <cell r="AW542" t="str">
            <v/>
          </cell>
          <cell r="AX542" t="str">
            <v/>
          </cell>
          <cell r="AZ542" t="str">
            <v/>
          </cell>
          <cell r="BA542" t="str">
            <v/>
          </cell>
          <cell r="BB542" t="str">
            <v/>
          </cell>
          <cell r="BC542" t="str">
            <v>PC0125-000001471</v>
          </cell>
        </row>
        <row r="543">
          <cell r="B543" t="str">
            <v>PC0125-000001408</v>
          </cell>
          <cell r="C543" t="str">
            <v>pengadaan clip material O&amp;M PLTS</v>
          </cell>
          <cell r="D543" t="str">
            <v>Sehati, CV (Line 2,5-7)
Berkat Pratama Teknik, CV (Line 3)
Indo Tehnik Tanjung Tabalong, PT (Line 4)
Perwira Sentra Officindo, PT (Line 8)</v>
          </cell>
          <cell r="E543" t="str">
            <v/>
          </cell>
          <cell r="F543" t="str">
            <v/>
          </cell>
          <cell r="G543" t="str">
            <v/>
          </cell>
          <cell r="H543" t="str">
            <v>GUNARA FERY FAHNANI</v>
          </cell>
          <cell r="I543">
            <v>46030</v>
          </cell>
          <cell r="J543" t="str">
            <v>6100DB412</v>
          </cell>
          <cell r="K543" t="str">
            <v>B</v>
          </cell>
          <cell r="L543" t="str">
            <v>BID</v>
          </cell>
          <cell r="M543">
            <v>8</v>
          </cell>
          <cell r="N543" t="str">
            <v>RH</v>
          </cell>
          <cell r="O543" t="str">
            <v>robertiagus.haposan@alamtri.com</v>
          </cell>
          <cell r="P543">
            <v>16433</v>
          </cell>
          <cell r="Q543">
            <v>262928000</v>
          </cell>
          <cell r="R543" t="str">
            <v>CANCEL</v>
          </cell>
          <cell r="T543" t="str">
            <v>MSW</v>
          </cell>
          <cell r="U543" t="str">
            <v>Sehati, CV
Perwira Sentra Officindo, PT
Tiga Saudara Teknik, PT
Berkat Pratama Teknik, CV
Berkat Amira, CV
Gevana, PT
Menara, CV
Indo Tehnik Tanjung Tabalong, PT
Greentek Elektrikal Indonesia, PT
Pacific Tractor Indonesia, PT
Cahaya Murni, CV</v>
          </cell>
          <cell r="V543" t="str">
            <v>Sehati, CV
Perwira Sentra Officindo, PT
Tiga Saudara Teknik, PT
Berkat Amira, CV</v>
          </cell>
          <cell r="W543" t="str">
            <v>11 of 11</v>
          </cell>
          <cell r="X543" t="str">
            <v>4 of 11</v>
          </cell>
          <cell r="Y543">
            <v>46030</v>
          </cell>
          <cell r="Z543">
            <v>46037</v>
          </cell>
          <cell r="AC543" t="str">
            <v xml:space="preserve"> of </v>
          </cell>
          <cell r="AD543" t="str">
            <v xml:space="preserve"> of </v>
          </cell>
          <cell r="AF543" t="str">
            <v/>
          </cell>
          <cell r="AI543" t="str">
            <v xml:space="preserve"> of </v>
          </cell>
          <cell r="AJ543" t="str">
            <v xml:space="preserve"> of </v>
          </cell>
          <cell r="AL543" t="str">
            <v/>
          </cell>
          <cell r="AM543">
            <v>0.70833333333333304</v>
          </cell>
          <cell r="AO543" t="str">
            <v/>
          </cell>
          <cell r="AW543" t="str">
            <v/>
          </cell>
          <cell r="AX543" t="str">
            <v/>
          </cell>
          <cell r="AZ543" t="str">
            <v/>
          </cell>
          <cell r="BA543" t="str">
            <v/>
          </cell>
          <cell r="BB543" t="str">
            <v/>
          </cell>
          <cell r="BC543" t="str">
            <v>PC0125-000001408</v>
          </cell>
        </row>
        <row r="544">
          <cell r="B544" t="str">
            <v>PC0125-000001241</v>
          </cell>
          <cell r="C544" t="str">
            <v>Operator Workstation Computer for Demin Plant</v>
          </cell>
          <cell r="D544" t="str">
            <v>Aka Prima Komputindo, PT</v>
          </cell>
          <cell r="E544" t="str">
            <v>Aka Prima Komputindo, PT
ALKS, CV
Niaga Prima Paramitra, PT
Alfa Teknik Mandiri Makmur, PT
Afghan Jaya Abadi, PT
Perwira Sentra Officindo, PT
Gevana, PT
Anugrah Mandiri Putra Tabalong, PT
Vhipa Mulia Pratama, PT
Sola Anugerah Oilfield, PT</v>
          </cell>
          <cell r="F544" t="str">
            <v>Aka Prima Komputindo, PT
Alfa Teknik Mandiri Makmur, PT
Gevana, PT</v>
          </cell>
          <cell r="G544" t="str">
            <v>R0
3 of 10
19 Jan 26</v>
          </cell>
          <cell r="H544" t="str">
            <v>BASUKI SETIYO WIDODO</v>
          </cell>
          <cell r="I544">
            <v>46031</v>
          </cell>
          <cell r="J544" t="str">
            <v>6100DB402</v>
          </cell>
          <cell r="K544" t="str">
            <v>B</v>
          </cell>
          <cell r="L544" t="str">
            <v>BID</v>
          </cell>
          <cell r="M544">
            <v>9</v>
          </cell>
          <cell r="N544" t="str">
            <v>RH</v>
          </cell>
          <cell r="O544" t="str">
            <v>robertiagus.haposan@alamtri.com</v>
          </cell>
          <cell r="P544">
            <v>2238</v>
          </cell>
          <cell r="Q544">
            <v>35808000</v>
          </cell>
          <cell r="R544" t="str">
            <v>Completed Sign PO</v>
          </cell>
          <cell r="S544" t="str">
            <v>Change to PC0126-000001482</v>
          </cell>
          <cell r="T544" t="str">
            <v>MSW</v>
          </cell>
          <cell r="U544" t="str">
            <v>Aka Prima Komputindo, PT
ALKS, CV
Niaga Prima Paramitra, PT
Alfa Teknik Mandiri Makmur, PT
Afghan Jaya Abadi, PT
Perwira Sentra Officindo, PT
Gevana, PT
Anugrah Mandiri Putra Tabalong, PT
Vhipa Mulia Pratama, PT
Sola Anugerah Oilfield, PT</v>
          </cell>
          <cell r="V544" t="str">
            <v>Aka Prima Komputindo, PT
Alfa Teknik Mandiri Makmur, PT
Gevana, PT</v>
          </cell>
          <cell r="W544" t="str">
            <v>10 of 10</v>
          </cell>
          <cell r="X544" t="str">
            <v>3 of 10</v>
          </cell>
          <cell r="Y544">
            <v>46031</v>
          </cell>
          <cell r="Z544">
            <v>46041</v>
          </cell>
          <cell r="AC544" t="str">
            <v xml:space="preserve"> of </v>
          </cell>
          <cell r="AD544" t="str">
            <v xml:space="preserve"> of </v>
          </cell>
          <cell r="AF544" t="str">
            <v/>
          </cell>
          <cell r="AI544" t="str">
            <v xml:space="preserve"> of </v>
          </cell>
          <cell r="AJ544" t="str">
            <v xml:space="preserve"> of </v>
          </cell>
          <cell r="AL544" t="str">
            <v/>
          </cell>
          <cell r="AM544">
            <v>0.70833333333333304</v>
          </cell>
          <cell r="AN544" t="str">
            <v>Aka Prima Komputindo, PT</v>
          </cell>
          <cell r="AO544" t="str">
            <v>alkoriach@aprikom.com; endah@aprikom.com</v>
          </cell>
          <cell r="AP544" t="str">
            <v>6100-PC0626-00313</v>
          </cell>
          <cell r="AQ544">
            <v>31300000</v>
          </cell>
          <cell r="AR544">
            <v>46045</v>
          </cell>
          <cell r="AS544">
            <v>46091</v>
          </cell>
          <cell r="AT544">
            <v>46141</v>
          </cell>
          <cell r="AU544">
            <v>46157</v>
          </cell>
          <cell r="AV544">
            <v>46146</v>
          </cell>
          <cell r="AW544">
            <v>46162</v>
          </cell>
          <cell r="AX544">
            <v>2.2857142857142856</v>
          </cell>
          <cell r="AZ544" t="str">
            <v/>
          </cell>
          <cell r="BA544" t="str">
            <v/>
          </cell>
          <cell r="BB544" t="str">
            <v>Late Completed</v>
          </cell>
          <cell r="BC544" t="str">
            <v>PC0125-000001241</v>
          </cell>
        </row>
        <row r="545">
          <cell r="B545" t="str">
            <v>PC0125-000001465 (Jan 26)</v>
          </cell>
          <cell r="C545" t="str">
            <v>Rental Genset 2 x 40 Kva Support Lab.Paringin</v>
          </cell>
          <cell r="D545" t="str">
            <v>Bima Kaltim Utama, PT</v>
          </cell>
          <cell r="E545" t="str">
            <v/>
          </cell>
          <cell r="F545" t="str">
            <v/>
          </cell>
          <cell r="G545" t="str">
            <v/>
          </cell>
          <cell r="H545" t="str">
            <v>SLAMET</v>
          </cell>
          <cell r="I545">
            <v>46031</v>
          </cell>
          <cell r="J545" t="str">
            <v>6100DB431</v>
          </cell>
          <cell r="K545" t="str">
            <v>B</v>
          </cell>
          <cell r="L545" t="str">
            <v>CTR</v>
          </cell>
          <cell r="N545" t="str">
            <v>RH</v>
          </cell>
          <cell r="O545" t="str">
            <v>robertiagus.haposan@alamtri.com</v>
          </cell>
          <cell r="Q545">
            <v>30000000</v>
          </cell>
          <cell r="R545" t="str">
            <v>CANCEL</v>
          </cell>
          <cell r="T545" t="str">
            <v>MSW</v>
          </cell>
          <cell r="U545" t="str">
            <v>Bima Kaltim Utama, PT</v>
          </cell>
          <cell r="V545" t="str">
            <v>Tiga Saudara Teknik, PT</v>
          </cell>
          <cell r="W545" t="str">
            <v>1 of 1</v>
          </cell>
          <cell r="X545" t="str">
            <v>1 of 1</v>
          </cell>
          <cell r="Z545" t="str">
            <v/>
          </cell>
          <cell r="AC545" t="str">
            <v xml:space="preserve"> of </v>
          </cell>
          <cell r="AD545" t="str">
            <v xml:space="preserve"> of </v>
          </cell>
          <cell r="AF545" t="str">
            <v/>
          </cell>
          <cell r="AI545" t="str">
            <v xml:space="preserve"> of </v>
          </cell>
          <cell r="AJ545" t="str">
            <v xml:space="preserve"> of </v>
          </cell>
          <cell r="AL545" t="str">
            <v/>
          </cell>
          <cell r="AM545">
            <v>0.70833333333333304</v>
          </cell>
          <cell r="AO545" t="str">
            <v/>
          </cell>
          <cell r="AW545" t="str">
            <v/>
          </cell>
          <cell r="AX545" t="str">
            <v/>
          </cell>
          <cell r="AZ545" t="str">
            <v/>
          </cell>
          <cell r="BA545" t="str">
            <v/>
          </cell>
          <cell r="BB545" t="str">
            <v/>
          </cell>
          <cell r="BC545" t="str">
            <v>PC0125-000001465</v>
          </cell>
        </row>
        <row r="546">
          <cell r="B546" t="str">
            <v>PC0125-000001465 (Feb 26)</v>
          </cell>
          <cell r="C546" t="str">
            <v>Rental Genset 2 x 40 Kva Support Lab.Paringin</v>
          </cell>
          <cell r="D546" t="str">
            <v>Bima Kaltim Utama, PT</v>
          </cell>
          <cell r="E546" t="str">
            <v/>
          </cell>
          <cell r="F546" t="str">
            <v/>
          </cell>
          <cell r="G546" t="str">
            <v/>
          </cell>
          <cell r="H546" t="str">
            <v>SLAMET</v>
          </cell>
          <cell r="I546">
            <v>46031</v>
          </cell>
          <cell r="J546" t="str">
            <v>6100DB431</v>
          </cell>
          <cell r="K546" t="str">
            <v>B</v>
          </cell>
          <cell r="L546" t="str">
            <v>CTR</v>
          </cell>
          <cell r="N546" t="str">
            <v>RH</v>
          </cell>
          <cell r="O546" t="str">
            <v>robertiagus.haposan@alamtri.com</v>
          </cell>
          <cell r="Q546">
            <v>30000000</v>
          </cell>
          <cell r="R546" t="str">
            <v>CANCEL</v>
          </cell>
          <cell r="T546" t="str">
            <v>MSW</v>
          </cell>
          <cell r="U546" t="str">
            <v>Bima Kaltim Utama, PT</v>
          </cell>
          <cell r="V546" t="str">
            <v>Bima Kaltim Utama, PT</v>
          </cell>
          <cell r="W546" t="str">
            <v>1 of 1</v>
          </cell>
          <cell r="X546" t="str">
            <v>1 of 1</v>
          </cell>
          <cell r="Z546" t="str">
            <v/>
          </cell>
          <cell r="AC546" t="str">
            <v xml:space="preserve"> of </v>
          </cell>
          <cell r="AD546" t="str">
            <v xml:space="preserve"> of </v>
          </cell>
          <cell r="AF546" t="str">
            <v/>
          </cell>
          <cell r="AI546" t="str">
            <v xml:space="preserve"> of </v>
          </cell>
          <cell r="AJ546" t="str">
            <v xml:space="preserve"> of </v>
          </cell>
          <cell r="AL546" t="str">
            <v/>
          </cell>
          <cell r="AM546">
            <v>0.70833333333333304</v>
          </cell>
          <cell r="AO546" t="str">
            <v/>
          </cell>
          <cell r="AW546" t="str">
            <v/>
          </cell>
          <cell r="AX546" t="str">
            <v/>
          </cell>
          <cell r="AZ546" t="str">
            <v/>
          </cell>
          <cell r="BA546" t="str">
            <v/>
          </cell>
          <cell r="BB546" t="str">
            <v/>
          </cell>
          <cell r="BC546" t="str">
            <v>PC0125-000001465</v>
          </cell>
        </row>
        <row r="547">
          <cell r="B547" t="str">
            <v>PC0126-000000014</v>
          </cell>
          <cell r="C547" t="str">
            <v>Spare part Main Motor Compressor Gardner Denver</v>
          </cell>
          <cell r="D547" t="str">
            <v>Gading Mas Utama, PT</v>
          </cell>
          <cell r="E547" t="str">
            <v>Promitra Prima Indonesia, PT
Teco Multiguna Elektro, PT
Gridtech Indonesia, PT
Phoenix Bumiputera, PT</v>
          </cell>
          <cell r="F547" t="str">
            <v>Teco Multiguna Elektro, PT
Phoenix Bumiputera, PT</v>
          </cell>
          <cell r="G547" t="str">
            <v>R3
2 of 4
26 May 26</v>
          </cell>
          <cell r="H547" t="str">
            <v>DEDE SUDARJI</v>
          </cell>
          <cell r="I547">
            <v>46035</v>
          </cell>
          <cell r="J547" t="str">
            <v>6100DB402</v>
          </cell>
          <cell r="K547" t="str">
            <v>B</v>
          </cell>
          <cell r="L547" t="str">
            <v>BID</v>
          </cell>
          <cell r="M547">
            <v>10</v>
          </cell>
          <cell r="N547" t="str">
            <v>RH</v>
          </cell>
          <cell r="O547" t="str">
            <v>robertiagus.haposan@alamtri.com</v>
          </cell>
          <cell r="Q547">
            <v>385000000</v>
          </cell>
          <cell r="R547" t="str">
            <v>CQS</v>
          </cell>
          <cell r="S547" t="str">
            <v>Menunggu dokumen pendukung dari User perihal jarak baut</v>
          </cell>
          <cell r="T547" t="str">
            <v>MSW</v>
          </cell>
          <cell r="U547" t="str">
            <v>ABB Sakti Industri, PT
Gading Mas Utama, PT
Promitra Prima Indonesia, PT
Hitachi Sakti Energy Indonesia, PT
Lienetic Jaya, PT
Sinar Surya Lestari, PT
Gevana, PT
Kin Kitra Kencana, PT
Teco Multiguna Elektro, PT
Multi Mas, CV
Rinas Bangun Sejahtera, PT
Stanindo Artha Langgeng, PT</v>
          </cell>
          <cell r="V547" t="str">
            <v>Promitra Prima Indonesia, PT
Teco Multiguna Elektro, PT</v>
          </cell>
          <cell r="W547" t="str">
            <v>12 of 12</v>
          </cell>
          <cell r="X547" t="str">
            <v>2 of 12</v>
          </cell>
          <cell r="Y547">
            <v>46035</v>
          </cell>
          <cell r="Z547">
            <v>46042</v>
          </cell>
          <cell r="AA547" t="str">
            <v>Promitra Prima Indonesia, PT
Teco Multiguna Elektro, PT
Gading Mas Utama, PT
Gridtech Indonesia, PT
Greentek Elektrikal Indonesia, PT
Outsourcindo, PT
Borneo Maju Jaya, PT
Gema Industrial, PT
Jaya Induksi Elektrik, PT
Buana Cahayatama, PT</v>
          </cell>
          <cell r="AB547" t="str">
            <v>Promitra Prima Indonesia, PT
Teco Multiguna Elektro, PT
Gridtech Indonesia, PT</v>
          </cell>
          <cell r="AC547" t="str">
            <v>10 of 10</v>
          </cell>
          <cell r="AD547" t="str">
            <v>3 of 10</v>
          </cell>
          <cell r="AE547">
            <v>46045</v>
          </cell>
          <cell r="AF547">
            <v>46052</v>
          </cell>
          <cell r="AG547" t="str">
            <v>Phoenix Bumiputera, PT
Lotus Inti Pratama, PT
Taka Precision Manufacturing Indonesia, PT
Jaya Induksi Elektrik, PT
Central Elektrindo Mandiri, PT
Total Solusi Instrument, PT
Gama Tritunggal Pratama, PT
Tentra Eka Pratama, PT
Putera Instrumenindo, PT
Alfa Teknik Mandiri Makmur, PT
Fadnov Airtech Indonesia, PT</v>
          </cell>
          <cell r="AH547" t="str">
            <v>Teco Multiguna Elektro, PT</v>
          </cell>
          <cell r="AI547" t="str">
            <v>11 of 11</v>
          </cell>
          <cell r="AJ547" t="str">
            <v>1 of 11</v>
          </cell>
          <cell r="AK547">
            <v>46146</v>
          </cell>
          <cell r="AL547">
            <v>46153</v>
          </cell>
          <cell r="AM547">
            <v>0.70833333333333304</v>
          </cell>
          <cell r="AO547" t="str">
            <v/>
          </cell>
          <cell r="AR547">
            <v>46171</v>
          </cell>
          <cell r="AW547" t="str">
            <v/>
          </cell>
          <cell r="AX547" t="str">
            <v/>
          </cell>
          <cell r="AZ547" t="str">
            <v/>
          </cell>
          <cell r="BA547" t="str">
            <v/>
          </cell>
          <cell r="BB547" t="str">
            <v/>
          </cell>
          <cell r="BC547" t="str">
            <v>PC0126-000000014</v>
          </cell>
        </row>
        <row r="548">
          <cell r="B548" t="str">
            <v>PC0126-000000026</v>
          </cell>
          <cell r="C548" t="str">
            <v>Pengadaan Lime Stone Untuk Tahun 2026</v>
          </cell>
          <cell r="D548" t="str">
            <v>Sembilan Jaya Abadi Resources, PT</v>
          </cell>
          <cell r="E548" t="str">
            <v>Sembilan Jaya Abadi Resources, PT
Rinas Bangun Sejahtera, PT
Kiko Energy Indonesia, PT
Rembang Bangun Persada, PT
Wangun Sari Pratama, PT
Bumi Alam Seraya, PT</v>
          </cell>
          <cell r="F548" t="str">
            <v>Sembilan Jaya Abadi Resources, PT
Rinas Bangun Sejahtera, PT
Kiko Energy Indonesia, PT</v>
          </cell>
          <cell r="G548" t="str">
            <v>R2
3 of 6
30 Apr 26</v>
          </cell>
          <cell r="H548" t="str">
            <v>ARIES KURNIAWAN</v>
          </cell>
          <cell r="I548">
            <v>46041</v>
          </cell>
          <cell r="J548" t="str">
            <v>6100DA301</v>
          </cell>
          <cell r="K548" t="str">
            <v>B</v>
          </cell>
          <cell r="L548" t="str">
            <v>BID</v>
          </cell>
          <cell r="M548">
            <v>12</v>
          </cell>
          <cell r="N548" t="str">
            <v>RH</v>
          </cell>
          <cell r="O548" t="str">
            <v>robertiagus.haposan@alamtri.com</v>
          </cell>
          <cell r="P548">
            <v>8570</v>
          </cell>
          <cell r="Q548">
            <v>137120000</v>
          </cell>
          <cell r="R548" t="str">
            <v>CQS</v>
          </cell>
          <cell r="S548" t="str">
            <v>Menunggu feedback dari user perihal penunjukan langsung ke sembilan jaya</v>
          </cell>
          <cell r="T548" t="str">
            <v>MSW</v>
          </cell>
          <cell r="U548" t="str">
            <v>Sembilan Jaya Abadi Resources, PT
Alfa Teknik Mandiri Makmur, PT
Anugrah Mandiri Putra Tabalong, PT
Indo Tehnik Tanjung Tabalong, PT
Fahri Bersaudara, CV
Kalimantan Teknik Mandiri, PT
Rinas Bangun Sejahtera, PT
Berkat Pratama Teknik, CV</v>
          </cell>
          <cell r="V548" t="str">
            <v>Sembilan Jaya Abadi Resources, PT</v>
          </cell>
          <cell r="W548" t="str">
            <v>8 of 8</v>
          </cell>
          <cell r="X548" t="str">
            <v>1 of 8</v>
          </cell>
          <cell r="Y548">
            <v>46041</v>
          </cell>
          <cell r="Z548">
            <v>46048</v>
          </cell>
          <cell r="AA548" t="str">
            <v>Sembilan Jaya Abadi Resources, PT
Rinas Bangun Sejahtera, PT
Sola Anugerah Oilfield, PT
Alfa Teknik Mandiri Makmur, PT
Adijaya Mitra Perkasa, PT</v>
          </cell>
          <cell r="AB548" t="str">
            <v>Sembilan Jaya Abadi Resources, PT
Rinas Bangun Sejahtera, PT</v>
          </cell>
          <cell r="AC548" t="str">
            <v>5 of 5</v>
          </cell>
          <cell r="AD548" t="str">
            <v>2 of 5</v>
          </cell>
          <cell r="AE548">
            <v>46084</v>
          </cell>
          <cell r="AF548">
            <v>46091</v>
          </cell>
          <cell r="AG548" t="str">
            <v>Sembilan Jaya Abadi Resources, PT
Rinas Bangun Sejahtera, PT
Kiko Energy Indonesia, PT
Rembang Bangun Persada, PT
Wangun Sari Pratama, PT
Bumi Alam Seraya, PT</v>
          </cell>
          <cell r="AH548" t="str">
            <v>Sembilan Jaya Abadi Resources, PT
Rinas Bangun Sejahtera, PT
Kiko Energy Indonesia, PT</v>
          </cell>
          <cell r="AI548" t="str">
            <v>6 of 6</v>
          </cell>
          <cell r="AJ548" t="str">
            <v>3 of 6</v>
          </cell>
          <cell r="AK548">
            <v>46135</v>
          </cell>
          <cell r="AL548">
            <v>46142</v>
          </cell>
          <cell r="AM548">
            <v>0.70833333333333304</v>
          </cell>
          <cell r="AO548" t="str">
            <v/>
          </cell>
          <cell r="AR548">
            <v>46146</v>
          </cell>
          <cell r="AW548" t="str">
            <v/>
          </cell>
          <cell r="AX548" t="str">
            <v/>
          </cell>
          <cell r="AZ548" t="str">
            <v/>
          </cell>
          <cell r="BA548" t="str">
            <v/>
          </cell>
          <cell r="BB548" t="str">
            <v/>
          </cell>
          <cell r="BC548" t="str">
            <v>PC0126-000000026</v>
          </cell>
        </row>
        <row r="549">
          <cell r="B549" t="str">
            <v>PC0126-000000074</v>
          </cell>
          <cell r="C549" t="str">
            <v>Assesment dan perbaikan relay Recloser 20kv</v>
          </cell>
          <cell r="E549" t="str">
            <v/>
          </cell>
          <cell r="F549" t="str">
            <v/>
          </cell>
          <cell r="G549" t="str">
            <v/>
          </cell>
          <cell r="H549" t="str">
            <v>GUNARA FERY FAHNANI</v>
          </cell>
          <cell r="I549">
            <v>46121</v>
          </cell>
          <cell r="J549" t="str">
            <v>6100DB412</v>
          </cell>
          <cell r="K549" t="str">
            <v>B</v>
          </cell>
          <cell r="L549" t="str">
            <v>BID</v>
          </cell>
          <cell r="M549">
            <v>51</v>
          </cell>
          <cell r="N549" t="str">
            <v>RH</v>
          </cell>
          <cell r="O549" t="str">
            <v>robertiagus.haposan@alamtri.com</v>
          </cell>
          <cell r="P549">
            <v>1761.25</v>
          </cell>
          <cell r="Q549">
            <v>29060625</v>
          </cell>
          <cell r="R549" t="str">
            <v>CANCEL</v>
          </cell>
          <cell r="S549" t="str">
            <v>Menunggu informasi lebih lanjut dari User</v>
          </cell>
          <cell r="T549" t="str">
            <v>MSW</v>
          </cell>
          <cell r="U549" t="str">
            <v>Jashen Mitra Sinergi, PT
Graha Usaha Teknik, PT
Gridtech Indonesia, PT
Borneo Power Services, PT
Rinas Bangun Sejahtera, PT
Borneo Maju Jaya, PT
Jaya Listrik, CV
Tabalong Inti Mitra, PT
Powerindo Prima Perkasa, PT
Jaya Induksi Elektrik, PT
Mytech Engineering, PT</v>
          </cell>
          <cell r="W549" t="str">
            <v>11 of 11</v>
          </cell>
          <cell r="X549" t="str">
            <v xml:space="preserve"> of 11</v>
          </cell>
          <cell r="Y549">
            <v>46121</v>
          </cell>
          <cell r="Z549">
            <v>46128</v>
          </cell>
          <cell r="AA549" t="str">
            <v>Jashen Mitra Sinergi, PT</v>
          </cell>
          <cell r="AC549" t="str">
            <v>1 of 1</v>
          </cell>
          <cell r="AD549" t="str">
            <v xml:space="preserve"> of 1</v>
          </cell>
          <cell r="AF549" t="str">
            <v/>
          </cell>
          <cell r="AI549" t="str">
            <v xml:space="preserve"> of </v>
          </cell>
          <cell r="AJ549" t="str">
            <v xml:space="preserve"> of </v>
          </cell>
          <cell r="AL549" t="str">
            <v/>
          </cell>
          <cell r="AM549">
            <v>0.70833333333333304</v>
          </cell>
          <cell r="AO549" t="str">
            <v/>
          </cell>
          <cell r="AW549" t="str">
            <v/>
          </cell>
          <cell r="AX549" t="str">
            <v/>
          </cell>
          <cell r="AZ549" t="str">
            <v/>
          </cell>
          <cell r="BA549" t="str">
            <v/>
          </cell>
          <cell r="BB549" t="str">
            <v/>
          </cell>
          <cell r="BC549" t="str">
            <v>PC0126-000000074</v>
          </cell>
        </row>
        <row r="550">
          <cell r="B550" t="str">
            <v>PC0126-000000132</v>
          </cell>
          <cell r="C550" t="str">
            <v>Sparepart untuk Rotary Air Lock Feeder</v>
          </cell>
          <cell r="D550" t="str">
            <v>Multi Mas, CV</v>
          </cell>
          <cell r="E550" t="str">
            <v>Multi Mas, CV
Outsourcindo, PT
Gevana, PT
Kin Kitra Kencana, PT
Andalan Tiga Berlian, PT
Lienetic Jaya, PT</v>
          </cell>
          <cell r="F550" t="str">
            <v>Multi Mas, CV
Outsourcindo, PT
Gevana, PT
Lienetic Jaya, PT</v>
          </cell>
          <cell r="G550" t="str">
            <v>R2
4 of 6
25 Feb 26</v>
          </cell>
          <cell r="H550" t="str">
            <v>RIZKY AGUSTINA</v>
          </cell>
          <cell r="I550">
            <v>46043</v>
          </cell>
          <cell r="J550" t="str">
            <v>6100DB401</v>
          </cell>
          <cell r="K550" t="str">
            <v>B</v>
          </cell>
          <cell r="L550" t="str">
            <v>BID</v>
          </cell>
          <cell r="M550">
            <v>13</v>
          </cell>
          <cell r="N550" t="str">
            <v>RH</v>
          </cell>
          <cell r="O550" t="str">
            <v>robertiagus.haposan@alamtri.com</v>
          </cell>
          <cell r="P550">
            <v>3500</v>
          </cell>
          <cell r="Q550">
            <v>56000000</v>
          </cell>
          <cell r="R550" t="str">
            <v>Completed Sign PO</v>
          </cell>
          <cell r="T550" t="str">
            <v>MSW</v>
          </cell>
          <cell r="U550" t="str">
            <v>Multi Mas, CV
Kin Kitra Kencana, PT
Gevana, PT
Stanindo Artha Langgeng, PT
Gridtech Indonesia, PT
Greentek Elektrikal Indonesia, PT
Ganesha Wirya Pratama, PT
Outsourcindo, PT
Pacific Tractor Indonesia, PT
Tentra Eka Pratama, PT</v>
          </cell>
          <cell r="V550" t="str">
            <v>Gevana, PT
Outsourcindo, PT</v>
          </cell>
          <cell r="W550" t="str">
            <v>10 of 10</v>
          </cell>
          <cell r="X550" t="str">
            <v>2 of 10</v>
          </cell>
          <cell r="Y550">
            <v>46043</v>
          </cell>
          <cell r="Z550">
            <v>46050</v>
          </cell>
          <cell r="AA550" t="str">
            <v>Multi Mas, CV
Gevana, PT
Outsourcindo, PT
Kin Kitra Kencana, PT
ODG Nusantara Jaya, PT</v>
          </cell>
          <cell r="AB550" t="str">
            <v>Multi Mas, CV
Outsourcindo, PT</v>
          </cell>
          <cell r="AC550" t="str">
            <v>5 of 5</v>
          </cell>
          <cell r="AD550" t="str">
            <v>2 of 5</v>
          </cell>
          <cell r="AE550">
            <v>46062</v>
          </cell>
          <cell r="AF550">
            <v>46066</v>
          </cell>
          <cell r="AG550" t="str">
            <v>Multi Mas, CV
Outsourcindo, PT
Gevana, PT
Kin Kitra Kencana, PT
Andalan Tiga Berlian, PT
Lienetic Jaya, PT</v>
          </cell>
          <cell r="AH550" t="str">
            <v>Multi Mas, CV
Outsourcindo, PT
Gevana, PT
Lienetic Jaya, PT</v>
          </cell>
          <cell r="AI550" t="str">
            <v>6 of 6</v>
          </cell>
          <cell r="AJ550" t="str">
            <v>4 of 6</v>
          </cell>
          <cell r="AK550">
            <v>46071</v>
          </cell>
          <cell r="AL550">
            <v>46078</v>
          </cell>
          <cell r="AM550">
            <v>0.70833333333333304</v>
          </cell>
          <cell r="AN550" t="str">
            <v>Multi Mas, CV</v>
          </cell>
          <cell r="AO550" t="str">
            <v>sianhwa@sby.centrin.net.id</v>
          </cell>
          <cell r="AP550" t="str">
            <v>6100-PC0626-00254</v>
          </cell>
          <cell r="AQ550">
            <v>53920000</v>
          </cell>
          <cell r="AR550">
            <v>46090</v>
          </cell>
          <cell r="AS550">
            <v>46118</v>
          </cell>
          <cell r="AT550">
            <v>46126</v>
          </cell>
          <cell r="AU550">
            <v>46241</v>
          </cell>
          <cell r="AV550">
            <v>46126</v>
          </cell>
          <cell r="AW550">
            <v>46241</v>
          </cell>
          <cell r="AX550">
            <v>16.428571428571427</v>
          </cell>
          <cell r="AZ550" t="str">
            <v/>
          </cell>
          <cell r="BA550" t="str">
            <v/>
          </cell>
          <cell r="BB550" t="str">
            <v>Late Completed</v>
          </cell>
          <cell r="BC550" t="str">
            <v>PC0126-000000132</v>
          </cell>
        </row>
        <row r="551">
          <cell r="B551" t="str">
            <v>PC0126-000000191</v>
          </cell>
          <cell r="C551" t="str">
            <v>Jasa Perbaikan dan part DG 3G1</v>
          </cell>
          <cell r="D551" t="str">
            <v>Trakindo Utama, PT</v>
          </cell>
          <cell r="E551" t="str">
            <v>Trakindo Utama, PT</v>
          </cell>
          <cell r="F551" t="str">
            <v/>
          </cell>
          <cell r="G551" t="str">
            <v/>
          </cell>
          <cell r="H551" t="str">
            <v>SLAMET</v>
          </cell>
          <cell r="I551">
            <v>46043</v>
          </cell>
          <cell r="J551" t="str">
            <v>6100DB432</v>
          </cell>
          <cell r="K551" t="str">
            <v>B</v>
          </cell>
          <cell r="L551" t="str">
            <v>CTR</v>
          </cell>
          <cell r="N551" t="str">
            <v>RH</v>
          </cell>
          <cell r="O551" t="str">
            <v>robertiagus.haposan@alamtri.com</v>
          </cell>
          <cell r="P551">
            <v>1893</v>
          </cell>
          <cell r="Q551">
            <v>30288000</v>
          </cell>
          <cell r="R551" t="str">
            <v>Completed Sign PO Contract</v>
          </cell>
          <cell r="T551" t="str">
            <v>MSW</v>
          </cell>
          <cell r="U551" t="str">
            <v>Trakindo Utama, PT</v>
          </cell>
          <cell r="V551" t="str">
            <v>Trakindo Utama, PT</v>
          </cell>
          <cell r="W551" t="str">
            <v>1 of 1</v>
          </cell>
          <cell r="X551" t="str">
            <v>1 of 1</v>
          </cell>
          <cell r="Z551" t="str">
            <v/>
          </cell>
          <cell r="AC551" t="str">
            <v xml:space="preserve"> of </v>
          </cell>
          <cell r="AD551" t="str">
            <v xml:space="preserve"> of </v>
          </cell>
          <cell r="AF551" t="str">
            <v/>
          </cell>
          <cell r="AI551" t="str">
            <v xml:space="preserve"> of </v>
          </cell>
          <cell r="AJ551" t="str">
            <v xml:space="preserve"> of </v>
          </cell>
          <cell r="AL551" t="str">
            <v/>
          </cell>
          <cell r="AM551">
            <v>0.70833333333333304</v>
          </cell>
          <cell r="AN551" t="str">
            <v>Trakindo Utama, PT</v>
          </cell>
          <cell r="AO551" t="str">
            <v>hjuniater.sidauruk@trakindo.co.id</v>
          </cell>
          <cell r="AP551" t="str">
            <v>6100-PC0626-00034</v>
          </cell>
          <cell r="AQ551">
            <v>28907572</v>
          </cell>
          <cell r="AT551">
            <v>46044</v>
          </cell>
          <cell r="AU551">
            <v>46073</v>
          </cell>
          <cell r="AV551">
            <v>46045</v>
          </cell>
          <cell r="AW551">
            <v>46074</v>
          </cell>
          <cell r="AX551">
            <v>4.1428571428571432</v>
          </cell>
          <cell r="AZ551" t="str">
            <v/>
          </cell>
          <cell r="BA551" t="str">
            <v/>
          </cell>
          <cell r="BB551" t="str">
            <v>Completed</v>
          </cell>
          <cell r="BC551" t="str">
            <v>PC0126-000000191</v>
          </cell>
        </row>
        <row r="552">
          <cell r="B552" t="str">
            <v>PC0126-000000206</v>
          </cell>
          <cell r="C552" t="str">
            <v>Spare Part VSD Limestone</v>
          </cell>
          <cell r="D552" t="str">
            <v>Borneo Maju Jaya, PT</v>
          </cell>
          <cell r="E552" t="str">
            <v>Antares Jaya Gemilang Prima, PT
Perwira Sentra Officindo, PT
Axel Jaya Cakraniaga, PT
Gridtech Indonesia, PT
Sola Anugerah Oilfield, PT
Borneo Maju Jaya, PT
Greentek Elektrikal Indonesia, PT
Gading Mas Utama, PT
Putera Instrumenindo, PT
Stanindo Artha Langgeng, PT</v>
          </cell>
          <cell r="F552" t="str">
            <v>Antares Jaya Gemilang Prima, PT
Borneo Maju Jaya, PT
Greentek Elektrikal Indonesia, PT
Gading Mas Utama, PT</v>
          </cell>
          <cell r="G552" t="str">
            <v>R1
4 of 10
27 Apr 26</v>
          </cell>
          <cell r="H552" t="str">
            <v>DEDE SUDARJI</v>
          </cell>
          <cell r="I552">
            <v>46048</v>
          </cell>
          <cell r="J552" t="str">
            <v>6100DB402</v>
          </cell>
          <cell r="K552" t="str">
            <v>B</v>
          </cell>
          <cell r="L552" t="str">
            <v>BID</v>
          </cell>
          <cell r="M552">
            <v>14</v>
          </cell>
          <cell r="N552" t="str">
            <v>RH</v>
          </cell>
          <cell r="O552" t="str">
            <v>robertiagus.haposan@alamtri.com</v>
          </cell>
          <cell r="P552">
            <v>1400</v>
          </cell>
          <cell r="Q552">
            <v>22400000</v>
          </cell>
          <cell r="R552" t="str">
            <v>PO Sign Vendor</v>
          </cell>
          <cell r="T552" t="str">
            <v>MSW</v>
          </cell>
          <cell r="U552" t="str">
            <v>Antares Jaya Gemilang Prima, PT
Perwira Sentra Officindo, PT
Axel Jaya Cakraniaga, PT
Gridtech Indonesia, PT
Sola Anugerah Oilfield, PT
Borneo Maju Jaya, PT
DCN Indonesia, PT
Greentek Elektrikal Indonesia, PT
Ganesha Wirya Pratama, PT
Kin Kitra Kencana, PT
Gading Mas Utama, PT
Gema Industrial, PT
Raja Listrik Indonesia, PT</v>
          </cell>
          <cell r="V552" t="str">
            <v>Antares Jaya Gemilang Prima, PT
Perwira Sentra Officindo, PT
Axel Jaya Cakraniaga, PT
Gridtech Indonesia, PT
Sola Anugerah Oilfield, PT
Borneo Maju Jaya, PT
Greentek Elektrikal Indonesia, PT
Gading Mas Utama, PT</v>
          </cell>
          <cell r="W552" t="str">
            <v>13 of 13</v>
          </cell>
          <cell r="X552" t="str">
            <v>8 of 13</v>
          </cell>
          <cell r="Y552">
            <v>46062</v>
          </cell>
          <cell r="Z552">
            <v>46069</v>
          </cell>
          <cell r="AA552" t="str">
            <v>Antares Jaya Gemilang Prima, PT
Perwira Sentra Officindo, PT
Axel Jaya Cakraniaga, PT
Gridtech Indonesia, PT
Sola Anugerah Oilfield, PT
Borneo Maju Jaya, PT
Greentek Elektrikal Indonesia, PT
Gading Mas Utama, PT
Putera Instrumenindo, PT
Stanindo Artha Langgeng, PT</v>
          </cell>
          <cell r="AB552" t="str">
            <v>Antares Jaya Gemilang Prima, PT
Borneo Maju Jaya, PT
Greentek Elektrikal Indonesia, PT
Gading Mas Utama, PT</v>
          </cell>
          <cell r="AC552" t="str">
            <v>10 of 10</v>
          </cell>
          <cell r="AD552" t="str">
            <v>4 of 10</v>
          </cell>
          <cell r="AE552">
            <v>46132</v>
          </cell>
          <cell r="AF552">
            <v>46139</v>
          </cell>
          <cell r="AI552" t="str">
            <v xml:space="preserve"> of </v>
          </cell>
          <cell r="AJ552" t="str">
            <v xml:space="preserve"> of </v>
          </cell>
          <cell r="AL552" t="str">
            <v/>
          </cell>
          <cell r="AM552">
            <v>0.70833333333333304</v>
          </cell>
          <cell r="AN552" t="str">
            <v>Borneo Maju Jaya, PT</v>
          </cell>
          <cell r="AO552" t="str">
            <v>welas@borneomajujaya.com</v>
          </cell>
          <cell r="AP552" t="str">
            <v>6100-PC0626-00343</v>
          </cell>
          <cell r="AQ552">
            <v>18425600</v>
          </cell>
          <cell r="AR552">
            <v>46140</v>
          </cell>
          <cell r="AS552">
            <v>46147</v>
          </cell>
          <cell r="AT552">
            <v>46153</v>
          </cell>
          <cell r="AU552">
            <v>46241</v>
          </cell>
          <cell r="AV552">
            <v>46162</v>
          </cell>
          <cell r="AW552">
            <v>46250</v>
          </cell>
          <cell r="AX552">
            <v>12.571428571428571</v>
          </cell>
          <cell r="AZ552" t="str">
            <v/>
          </cell>
          <cell r="BA552" t="str">
            <v/>
          </cell>
          <cell r="BB552" t="str">
            <v>Late Completed</v>
          </cell>
          <cell r="BC552" t="str">
            <v>PC0126-000000206</v>
          </cell>
        </row>
        <row r="553">
          <cell r="B553" t="str">
            <v>PC0126-000000016 (Line 1)</v>
          </cell>
          <cell r="C553" t="str">
            <v>UPS System Trafo CSS</v>
          </cell>
          <cell r="E553" t="str">
            <v>Perwira Sentra Officindo, PT
Gevana, PT
Anugrah Mandiri Putra Tabalong, PT
Pacific Tractor Indonesia, PT
Vhipa Mulia Pratama, PT
Sola Anugerah Oilfield, PT
Stanindo Artha Langgeng, PT
Promitra Prima Indonesia, PT
Indo Tehnik Tanjung Tabalong, PT</v>
          </cell>
          <cell r="F553" t="str">
            <v>Perwira Sentra Officindo, PT
Gevana, PT
Anugrah Mandiri Putra Tabalong, PT
Pacific Tractor Indonesia, PT
Sola Anugerah Oilfield, PT
Promitra Prima Indonesia, PT</v>
          </cell>
          <cell r="G553" t="str">
            <v>R1
6 of 9
24 Sep 25</v>
          </cell>
          <cell r="H553" t="str">
            <v>NAUFAL INAS FIKRI</v>
          </cell>
          <cell r="I553">
            <v>46051</v>
          </cell>
          <cell r="J553" t="str">
            <v>6100DB412</v>
          </cell>
          <cell r="K553" t="str">
            <v>B</v>
          </cell>
          <cell r="L553" t="str">
            <v>BID</v>
          </cell>
          <cell r="M553">
            <v>241</v>
          </cell>
          <cell r="N553" t="str">
            <v>RH</v>
          </cell>
          <cell r="O553" t="str">
            <v>robertiagus.haposan@alamtri.com</v>
          </cell>
          <cell r="P553">
            <v>277</v>
          </cell>
          <cell r="Q553">
            <v>4432000</v>
          </cell>
          <cell r="R553" t="str">
            <v>Completed Sign PO</v>
          </cell>
          <cell r="T553" t="str">
            <v>MSW</v>
          </cell>
          <cell r="U553" t="str">
            <v>Kin Kitra Kencana, PT
Gema Industrial, PT
Gading Mas Utama, PT
Perwira Sentra Officindo, PT
Alfa Teknik Mandiri Makmur, PT
Afghan Jaya Abadi, PT
Petrocom Nusa Synergy, PT
Antares Jaya Gemilang Prima, PT</v>
          </cell>
          <cell r="V553" t="str">
            <v>Perwira Sentra Officindo, PT</v>
          </cell>
          <cell r="W553" t="str">
            <v>8 of 8</v>
          </cell>
          <cell r="X553" t="str">
            <v>1 of 8</v>
          </cell>
          <cell r="Y553">
            <v>45897</v>
          </cell>
          <cell r="Z553">
            <v>45904</v>
          </cell>
          <cell r="AA553" t="str">
            <v>Perwira Sentra Officindo, PT
Gevana, PT
Anugrah Mandiri Putra Tabalong, PT
Pacific Tractor Indonesia, PT
Vhipa Mulia Pratama, PT
Sola Anugerah Oilfield, PT
Stanindo Artha Langgeng, PT
Promitra Prima Indonesia, PT
Indo Tehnik Tanjung Tabalong, PT</v>
          </cell>
          <cell r="AB553" t="str">
            <v>Perwira Sentra Officindo, PT
Gevana, PT
Anugrah Mandiri Putra Tabalong, PT
Pacific Tractor Indonesia, PT
Sola Anugerah Oilfield, PT
Promitra Prima Indonesia, PT</v>
          </cell>
          <cell r="AC553" t="str">
            <v>9 of 9</v>
          </cell>
          <cell r="AD553" t="str">
            <v>6 of 9</v>
          </cell>
          <cell r="AE553">
            <v>45917</v>
          </cell>
          <cell r="AF553">
            <v>45924</v>
          </cell>
          <cell r="AI553" t="str">
            <v xml:space="preserve"> of </v>
          </cell>
          <cell r="AJ553" t="str">
            <v xml:space="preserve"> of </v>
          </cell>
          <cell r="AL553" t="str">
            <v/>
          </cell>
          <cell r="AM553">
            <v>0.70833333333333304</v>
          </cell>
          <cell r="AN553" t="str">
            <v>Perwira Sentra Officindo, PT</v>
          </cell>
          <cell r="AO553" t="str">
            <v>d_santos63@yahoo.com</v>
          </cell>
          <cell r="AP553" t="str">
            <v>6100-PC0626-00057</v>
          </cell>
          <cell r="AQ553">
            <v>4409000</v>
          </cell>
          <cell r="AR553">
            <v>45929</v>
          </cell>
          <cell r="AS553">
            <v>45995</v>
          </cell>
          <cell r="AT553">
            <v>46051</v>
          </cell>
          <cell r="AU553">
            <v>46081</v>
          </cell>
          <cell r="AV553">
            <v>46058</v>
          </cell>
          <cell r="AW553">
            <v>46088</v>
          </cell>
          <cell r="AX553">
            <v>4.2857142857142856</v>
          </cell>
          <cell r="AZ553" t="str">
            <v/>
          </cell>
          <cell r="BA553" t="str">
            <v/>
          </cell>
          <cell r="BB553" t="str">
            <v>Completed</v>
          </cell>
          <cell r="BC553" t="str">
            <v>PC0126-000000016</v>
          </cell>
        </row>
        <row r="554">
          <cell r="B554" t="str">
            <v>PC0126-000000194</v>
          </cell>
          <cell r="C554" t="str">
            <v>Sparepart lampu Highbay Chimney &amp; Fitting E27 Extender</v>
          </cell>
          <cell r="D554" t="str">
            <v>Borneo Maju Jaya, PT - Line 1
Perwira Sentra Officindo, PT - Line 2</v>
          </cell>
          <cell r="E554" t="str">
            <v>Borneo Maju Jaya, PT
Gema Industrial, PT
Alfa Teknik Mandiri Makmur, PT
Perwira Sentra Officindo, PT
Raja Listrik Indonesia, PT
Sehati, CV</v>
          </cell>
          <cell r="F554" t="str">
            <v>Borneo Maju Jaya, PT
Gema Industrial, PT
Perwira Sentra Officindo, PT</v>
          </cell>
          <cell r="G554" t="str">
            <v>R0
3 of 6
02 Dec 25</v>
          </cell>
          <cell r="H554" t="str">
            <v>DEDE SUDARJI</v>
          </cell>
          <cell r="I554">
            <v>46048</v>
          </cell>
          <cell r="J554" t="str">
            <v>6100DB402</v>
          </cell>
          <cell r="K554" t="str">
            <v>B</v>
          </cell>
          <cell r="L554" t="str">
            <v>BID</v>
          </cell>
          <cell r="M554">
            <v>304</v>
          </cell>
          <cell r="N554" t="str">
            <v>RH</v>
          </cell>
          <cell r="O554" t="str">
            <v>robertiagus.haposan@alamtri.com</v>
          </cell>
          <cell r="P554">
            <v>374</v>
          </cell>
          <cell r="Q554">
            <v>5984000</v>
          </cell>
          <cell r="R554" t="str">
            <v>Completed Sign PO</v>
          </cell>
          <cell r="S554" t="str">
            <v>PC0125-000000750</v>
          </cell>
          <cell r="T554" t="str">
            <v>MSW</v>
          </cell>
          <cell r="U554" t="str">
            <v>Borneo Maju Jaya, PT
Gema Industrial, PT
Alfa Teknik Mandiri Makmur, PT
Perwira Sentra Officindo, PT
Raja Listrik Indonesia, PT
Sehati, CV</v>
          </cell>
          <cell r="V554" t="str">
            <v>Borneo Maju Jaya, PT
Gema Industrial, PT
Perwira Sentra Officindo, PT</v>
          </cell>
          <cell r="W554" t="str">
            <v>6 of 6</v>
          </cell>
          <cell r="X554" t="str">
            <v>3 of 6</v>
          </cell>
          <cell r="Y554">
            <v>45986</v>
          </cell>
          <cell r="Z554">
            <v>45993</v>
          </cell>
          <cell r="AC554" t="str">
            <v xml:space="preserve"> of </v>
          </cell>
          <cell r="AD554" t="str">
            <v xml:space="preserve"> of </v>
          </cell>
          <cell r="AF554" t="str">
            <v/>
          </cell>
          <cell r="AI554" t="str">
            <v xml:space="preserve"> of </v>
          </cell>
          <cell r="AJ554" t="str">
            <v xml:space="preserve"> of </v>
          </cell>
          <cell r="AL554" t="str">
            <v/>
          </cell>
          <cell r="AM554">
            <v>0.70833333333333304</v>
          </cell>
          <cell r="AN554" t="str">
            <v>Perwira Sentra Officindo, PT</v>
          </cell>
          <cell r="AO554" t="str">
            <v>d_santos63@yahoo.com</v>
          </cell>
          <cell r="AP554" t="str">
            <v>6100-PC0626-00041</v>
          </cell>
          <cell r="AQ554">
            <v>3240000</v>
          </cell>
          <cell r="AR554">
            <v>45995</v>
          </cell>
          <cell r="AS554">
            <v>46027</v>
          </cell>
          <cell r="AT554">
            <v>46048</v>
          </cell>
          <cell r="AU554">
            <v>46168</v>
          </cell>
          <cell r="AV554">
            <v>46051</v>
          </cell>
          <cell r="AW554">
            <v>46171</v>
          </cell>
          <cell r="AX554">
            <v>17.142857142857142</v>
          </cell>
          <cell r="AZ554" t="str">
            <v/>
          </cell>
          <cell r="BA554" t="str">
            <v/>
          </cell>
          <cell r="BB554" t="str">
            <v>Completed</v>
          </cell>
          <cell r="BC554" t="str">
            <v>PC0126-000000194</v>
          </cell>
        </row>
        <row r="555">
          <cell r="B555" t="str">
            <v>PC0125-000000954 (Line 1)</v>
          </cell>
          <cell r="C555" t="str">
            <v>Material untuk pemasangan oksigen</v>
          </cell>
          <cell r="D555" t="str">
            <v>Gema Industrial, PT - Line 1,2,6
Antares Jaya Gemilang Prima, PT - Line 3
Gevana, PT - Line 5</v>
          </cell>
          <cell r="E555" t="str">
            <v/>
          </cell>
          <cell r="F555" t="str">
            <v/>
          </cell>
          <cell r="G555" t="str">
            <v/>
          </cell>
          <cell r="H555" t="str">
            <v>ZAINI YUSUF</v>
          </cell>
          <cell r="I555">
            <v>45981</v>
          </cell>
          <cell r="J555" t="str">
            <v>6100DB402</v>
          </cell>
          <cell r="K555" t="str">
            <v>B</v>
          </cell>
          <cell r="L555" t="str">
            <v>BID</v>
          </cell>
          <cell r="M555">
            <v>323</v>
          </cell>
          <cell r="N555" t="str">
            <v>RH</v>
          </cell>
          <cell r="O555" t="str">
            <v>robertiagus.haposan@alamtri.com</v>
          </cell>
          <cell r="P555">
            <v>91.07</v>
          </cell>
          <cell r="Q555">
            <v>1457120</v>
          </cell>
          <cell r="R555" t="str">
            <v>CANCEL</v>
          </cell>
          <cell r="S555" t="str">
            <v>PC0126-000000626 dipindahkan ke Pak Rajudin</v>
          </cell>
          <cell r="T555" t="str">
            <v>MSW</v>
          </cell>
          <cell r="U555" t="str">
            <v>Gema Industrial, PT
Antares Jaya Gemilang Prima, PT
Gevana, PT
Putera Instrumenindo, PT
Kin Kitra Kencana, PT
Gridtech Indonesia, PT
Sola Anugerah Oilfield, PT
Axel Jaya Cakraniaga, PT
Petrocom Nusa Synergy, PT
Triputra Electric Abadi, PT</v>
          </cell>
          <cell r="V555" t="str">
            <v>Gevana, PT
Kin Kitra Kencana, PT</v>
          </cell>
          <cell r="W555" t="str">
            <v>10 of 10</v>
          </cell>
          <cell r="X555" t="str">
            <v>2 of 10</v>
          </cell>
          <cell r="Y555">
            <v>45994</v>
          </cell>
          <cell r="Z555">
            <v>46001</v>
          </cell>
          <cell r="AA555" t="str">
            <v>Gevana, PT
Kin Kitra Kencana, PT
Antares Jaya Gemilang Prima, PT
Gema Industrial, PT
Putranata Adi Mandiri, PT
Outsourcindo, PT
Siwali Swantika, PT
Arita Prima Indonesia Tbk, PT
Indoparts, CV
Sehati, CV
Fajar Mas Murni, PT
Pacific Tractor Indonesia, PT</v>
          </cell>
          <cell r="AB555" t="str">
            <v>Gevana, PT
Kin Kitra Kencana, PT
Outsourcindo, PT</v>
          </cell>
          <cell r="AC555" t="str">
            <v>12 of 12</v>
          </cell>
          <cell r="AD555" t="str">
            <v>3 of 12</v>
          </cell>
          <cell r="AE555">
            <v>46003</v>
          </cell>
          <cell r="AF555">
            <v>46010</v>
          </cell>
          <cell r="AG555" t="str">
            <v>Gevana, PT
Kin Kitra Kencana, PT
Outsourcindo, PT
Gema Industrial, PT
Indoparts, CV
Bizar Abdi Prima, PT
Antares Jaya Gemilang Prima, PT
Quartee Technologies, PT
Stanindo Artha Langgeng, PT
Perwira Sentra Officindo, PT</v>
          </cell>
          <cell r="AI555" t="str">
            <v>10 of 10</v>
          </cell>
          <cell r="AJ555" t="str">
            <v xml:space="preserve"> of 10</v>
          </cell>
          <cell r="AK555">
            <v>46049</v>
          </cell>
          <cell r="AL555">
            <v>46056</v>
          </cell>
          <cell r="AM555">
            <v>0.70833333333333304</v>
          </cell>
          <cell r="AO555" t="str">
            <v/>
          </cell>
          <cell r="AR555">
            <v>46021</v>
          </cell>
          <cell r="AS555">
            <v>46055</v>
          </cell>
          <cell r="AW555" t="str">
            <v/>
          </cell>
          <cell r="AX555" t="str">
            <v/>
          </cell>
          <cell r="AZ555" t="str">
            <v/>
          </cell>
          <cell r="BA555" t="str">
            <v/>
          </cell>
          <cell r="BB555" t="str">
            <v/>
          </cell>
          <cell r="BC555" t="str">
            <v>PC0125-000000954</v>
          </cell>
        </row>
        <row r="556">
          <cell r="B556" t="str">
            <v>PC0126-000000152</v>
          </cell>
          <cell r="C556" t="str">
            <v>Spare part CEMS Sample Gas Pump Envea</v>
          </cell>
          <cell r="D556" t="str">
            <v>Kin Kitra Kencana, PT</v>
          </cell>
          <cell r="E556" t="str">
            <v>Kin Kitra Kencana, PT
Putera Instrumenindo, PT
Gema Industrial, PT
Gridtech Indonesia, PT
Gevana, PT
Greentek Elektrikal Indonesia, PT
Jashen Mitra Sinergi, PT
Panca Global Solusindo, PT
Axel Jaya Cakraniaga, PT</v>
          </cell>
          <cell r="F556" t="str">
            <v>Kin Kitra Kencana, PT
Putera Instrumenindo, PT
Gridtech Indonesia, PT
Gevana, PT
Panca Global Solusindo, PT
Axel Jaya Cakraniaga, PT</v>
          </cell>
          <cell r="G556" t="str">
            <v>R0
6 of 9
03 Feb 26</v>
          </cell>
          <cell r="H556" t="str">
            <v>DEDE SUDARJI</v>
          </cell>
          <cell r="I556">
            <v>46049</v>
          </cell>
          <cell r="J556" t="str">
            <v>6100DB402</v>
          </cell>
          <cell r="K556" t="str">
            <v>B</v>
          </cell>
          <cell r="L556" t="str">
            <v>BID</v>
          </cell>
          <cell r="M556">
            <v>17</v>
          </cell>
          <cell r="N556" t="str">
            <v>RH</v>
          </cell>
          <cell r="O556" t="str">
            <v>robertiagus.haposan@alamtri.com</v>
          </cell>
          <cell r="P556">
            <v>878</v>
          </cell>
          <cell r="Q556">
            <v>14487000</v>
          </cell>
          <cell r="R556" t="str">
            <v>PO Sign Vendor</v>
          </cell>
          <cell r="T556" t="str">
            <v>MSW</v>
          </cell>
          <cell r="U556" t="str">
            <v>Kin Kitra Kencana, PT
Putera Instrumenindo, PT
Gema Industrial, PT
Gridtech Indonesia, PT
Gevana, PT
Greentek Elektrikal Indonesia, PT
Jashen Mitra Sinergi, PT
Panca Global Solusindo, PT
Axel Jaya Cakraniaga, PT</v>
          </cell>
          <cell r="V556" t="str">
            <v>Kin Kitra Kencana, PT
Putera Instrumenindo, PT
Gridtech Indonesia, PT
Gevana, PT
Panca Global Solusindo, PT
Axel Jaya Cakraniaga, PT</v>
          </cell>
          <cell r="W556" t="str">
            <v>9 of 9</v>
          </cell>
          <cell r="X556" t="str">
            <v>6 of 9</v>
          </cell>
          <cell r="Y556">
            <v>46049</v>
          </cell>
          <cell r="Z556">
            <v>46056</v>
          </cell>
          <cell r="AC556" t="str">
            <v xml:space="preserve"> of </v>
          </cell>
          <cell r="AD556" t="str">
            <v xml:space="preserve"> of </v>
          </cell>
          <cell r="AF556" t="str">
            <v/>
          </cell>
          <cell r="AI556" t="str">
            <v xml:space="preserve"> of </v>
          </cell>
          <cell r="AJ556" t="str">
            <v xml:space="preserve"> of </v>
          </cell>
          <cell r="AL556" t="str">
            <v/>
          </cell>
          <cell r="AM556">
            <v>0.70833333333333304</v>
          </cell>
          <cell r="AN556" t="str">
            <v>Gridtech Indonesia, PT</v>
          </cell>
          <cell r="AO556" t="str">
            <v>yulius@gridtech.co.id</v>
          </cell>
          <cell r="AP556" t="str">
            <v>6100-PC0626-00312</v>
          </cell>
          <cell r="AQ556">
            <v>68958000</v>
          </cell>
          <cell r="AR556">
            <v>46059</v>
          </cell>
          <cell r="AS556">
            <v>46136</v>
          </cell>
          <cell r="AT556">
            <v>46142</v>
          </cell>
          <cell r="AU556">
            <v>46269</v>
          </cell>
          <cell r="AV556">
            <v>46150</v>
          </cell>
          <cell r="AW556">
            <v>46277</v>
          </cell>
          <cell r="AX556">
            <v>18.142857142857142</v>
          </cell>
          <cell r="AZ556" t="str">
            <v/>
          </cell>
          <cell r="BA556" t="str">
            <v/>
          </cell>
          <cell r="BB556" t="str">
            <v>Late Completed</v>
          </cell>
          <cell r="BC556" t="str">
            <v>PC0126-000000152</v>
          </cell>
        </row>
        <row r="557">
          <cell r="B557" t="str">
            <v>PC0126-000000289</v>
          </cell>
          <cell r="C557" t="str">
            <v>Spare Part BAPCON Controller ESP</v>
          </cell>
          <cell r="D557" t="str">
            <v>Kin Kitra Kencana, PT</v>
          </cell>
          <cell r="E557" t="str">
            <v>Viktori Profindo Automation, PT
Putera Instrumenindo, PT
Borneo Maju Jaya, PT
Adijaya Mitra Perkasa, PT
Mff Oilfield Services and Engineering, PT
Gridtech Indonesia, PT
Lotus Inti Pratama, PT
Control Systems Arena Para Nusa, PT
Total Solusi Instrument, PT
Powerindo Prima Perkasa, PT
Central Elektrindo Mandiri, PT
Greentek Elektrikal Indonesia, PT
Gevana, PT
Panca Global Solusindo, PT</v>
          </cell>
          <cell r="F557" t="str">
            <v>Lotus Inti Pratama, PT</v>
          </cell>
          <cell r="G557" t="str">
            <v>R3
1 of 14
30 Apr 26</v>
          </cell>
          <cell r="H557" t="str">
            <v>DEDE SUDARJI</v>
          </cell>
          <cell r="I557">
            <v>46050</v>
          </cell>
          <cell r="J557" t="str">
            <v>6100DB402</v>
          </cell>
          <cell r="K557" t="str">
            <v>B</v>
          </cell>
          <cell r="L557" t="str">
            <v>BID</v>
          </cell>
          <cell r="M557">
            <v>18</v>
          </cell>
          <cell r="N557" t="str">
            <v>RH</v>
          </cell>
          <cell r="O557" t="str">
            <v>robertiagus.haposan@alamtri.com</v>
          </cell>
          <cell r="Q557">
            <v>600000000</v>
          </cell>
          <cell r="R557" t="str">
            <v>CQS</v>
          </cell>
          <cell r="T557" t="str">
            <v>MSW</v>
          </cell>
          <cell r="U557" t="str">
            <v>Kin Kitra Kencana, PT
Putera Instrumenindo, PT
Antares Jaya Gemilang Prima, PT
Gema Industrial, PT
Gading Mas Utama, PT
Greentek Elektrikal Indonesia, PT
Panca Global Solusindo, PT
Axel Jaya Cakraniaga, PT
Buana Cahayatama, PT
Borneo Maju Jaya, PT
SMC Automation Indonesia, PT</v>
          </cell>
          <cell r="V557" t="str">
            <v>Kin Kitra Kencana, PT</v>
          </cell>
          <cell r="W557" t="str">
            <v>11 of 11</v>
          </cell>
          <cell r="X557" t="str">
            <v>1 of 11</v>
          </cell>
          <cell r="Y557">
            <v>46050</v>
          </cell>
          <cell r="Z557">
            <v>46064</v>
          </cell>
          <cell r="AA557" t="str">
            <v>Kin Kitra Kencana, PT
Putera Instrumenindo, PT
Outsourcindo, PT
Karya Energi Indonesia, PT
Greentek Elektrikal Indonesia, PT
Adika Mitra Sehati, PT</v>
          </cell>
          <cell r="AB557" t="str">
            <v>Kin Kitra Kencana, PT</v>
          </cell>
          <cell r="AC557" t="str">
            <v>6 of 6</v>
          </cell>
          <cell r="AD557" t="str">
            <v>1 of 6</v>
          </cell>
          <cell r="AE557">
            <v>46084</v>
          </cell>
          <cell r="AF557">
            <v>46091</v>
          </cell>
          <cell r="AG557" t="str">
            <v>Kin Kitra Kencana, PT
Putera Instrumenindo, PT
Borneo Maju Jaya, PT
Adijaya Mitra Perkasa, PT
Mff Oilfield Services and Engineering, PT
Gridtech Indonesia, PT
Stanindo Artha Langgeng, PT</v>
          </cell>
          <cell r="AH557" t="str">
            <v>Kin Kitra Kencana, PT</v>
          </cell>
          <cell r="AI557" t="str">
            <v>7 of 7</v>
          </cell>
          <cell r="AJ557" t="str">
            <v>1 of 7</v>
          </cell>
          <cell r="AK557">
            <v>46092</v>
          </cell>
          <cell r="AL557">
            <v>46112</v>
          </cell>
          <cell r="AM557">
            <v>0.70833333333333304</v>
          </cell>
          <cell r="AN557" t="str">
            <v>Lotus Inti Pratama, PT</v>
          </cell>
          <cell r="AO557" t="str">
            <v/>
          </cell>
          <cell r="AP557" t="str">
            <v>6100-PC0626-00401</v>
          </cell>
          <cell r="AQ557">
            <v>626000000</v>
          </cell>
          <cell r="AR557">
            <v>46146</v>
          </cell>
          <cell r="AS557">
            <v>46175</v>
          </cell>
          <cell r="AT557">
            <v>46182</v>
          </cell>
          <cell r="AU557">
            <v>46549</v>
          </cell>
          <cell r="AV557">
            <v>46184</v>
          </cell>
          <cell r="AW557" t="str">
            <v/>
          </cell>
          <cell r="AX557" t="str">
            <v/>
          </cell>
          <cell r="AZ557" t="str">
            <v/>
          </cell>
          <cell r="BA557" t="str">
            <v/>
          </cell>
          <cell r="BB557" t="str">
            <v/>
          </cell>
          <cell r="BC557" t="str">
            <v>PC0126-000000289</v>
          </cell>
        </row>
        <row r="558">
          <cell r="B558" t="str">
            <v>PC0126-000000192</v>
          </cell>
          <cell r="C558" t="str">
            <v>Jasa &amp; Part Penggantian seal  O-Ring manifold oli</v>
          </cell>
          <cell r="D558" t="str">
            <v>Trakindo Utama, PT</v>
          </cell>
          <cell r="E558" t="str">
            <v>Trakindo Utama, PT</v>
          </cell>
          <cell r="F558" t="str">
            <v/>
          </cell>
          <cell r="G558" t="str">
            <v/>
          </cell>
          <cell r="H558" t="str">
            <v>SLAMET</v>
          </cell>
          <cell r="I558">
            <v>46048</v>
          </cell>
          <cell r="J558" t="str">
            <v>6100DB432</v>
          </cell>
          <cell r="K558" t="str">
            <v>J</v>
          </cell>
          <cell r="L558" t="str">
            <v>CTR</v>
          </cell>
          <cell r="N558" t="str">
            <v>RH</v>
          </cell>
          <cell r="O558" t="str">
            <v>robertiagus.haposan@alamtri.com</v>
          </cell>
          <cell r="P558">
            <v>976</v>
          </cell>
          <cell r="Q558">
            <v>16104000</v>
          </cell>
          <cell r="R558" t="str">
            <v>Completed Sign PO Contract</v>
          </cell>
          <cell r="T558" t="str">
            <v>MSW</v>
          </cell>
          <cell r="U558" t="str">
            <v>Trakindo Utama, PT</v>
          </cell>
          <cell r="V558" t="str">
            <v>Trakindo Utama, PT</v>
          </cell>
          <cell r="W558" t="str">
            <v>1 of 1</v>
          </cell>
          <cell r="X558" t="str">
            <v>1 of 1</v>
          </cell>
          <cell r="Z558" t="str">
            <v/>
          </cell>
          <cell r="AC558" t="str">
            <v xml:space="preserve"> of </v>
          </cell>
          <cell r="AD558" t="str">
            <v xml:space="preserve"> of </v>
          </cell>
          <cell r="AF558" t="str">
            <v/>
          </cell>
          <cell r="AI558" t="str">
            <v xml:space="preserve"> of </v>
          </cell>
          <cell r="AJ558" t="str">
            <v xml:space="preserve"> of </v>
          </cell>
          <cell r="AL558" t="str">
            <v/>
          </cell>
          <cell r="AM558">
            <v>0.70833333333333304</v>
          </cell>
          <cell r="AN558" t="str">
            <v>Trakindo Utama, PT</v>
          </cell>
          <cell r="AO558" t="str">
            <v>hjuniater.sidauruk@trakindo.co.id</v>
          </cell>
          <cell r="AP558" t="str">
            <v>6100-PC0626-00042</v>
          </cell>
          <cell r="AQ558">
            <v>22153549</v>
          </cell>
          <cell r="AT558">
            <v>46051</v>
          </cell>
          <cell r="AU558">
            <v>46079</v>
          </cell>
          <cell r="AV558">
            <v>46051</v>
          </cell>
          <cell r="AW558">
            <v>46079</v>
          </cell>
          <cell r="AX558">
            <v>4</v>
          </cell>
          <cell r="AZ558" t="str">
            <v/>
          </cell>
          <cell r="BA558" t="str">
            <v/>
          </cell>
          <cell r="BB558" t="str">
            <v>Completed</v>
          </cell>
          <cell r="BC558" t="str">
            <v>PC0126-000000192</v>
          </cell>
        </row>
        <row r="559">
          <cell r="B559" t="str">
            <v>PC0126-000000016 (Line 2-3)</v>
          </cell>
          <cell r="C559" t="str">
            <v>UPS System Trafo CSS</v>
          </cell>
          <cell r="E559" t="str">
            <v>Perwira Sentra Officindo, PT
Gevana, PT
Anugrah Mandiri Putra Tabalong, PT
Pacific Tractor Indonesia, PT
Vhipa Mulia Pratama, PT
Sola Anugerah Oilfield, PT
Stanindo Artha Langgeng, PT
Promitra Prima Indonesia, PT
Indo Tehnik Tanjung Tabalong, PT</v>
          </cell>
          <cell r="F559" t="str">
            <v>Perwira Sentra Officindo, PT
Gevana, PT
Anugrah Mandiri Putra Tabalong, PT
Pacific Tractor Indonesia, PT
Sola Anugerah Oilfield, PT
Promitra Prima Indonesia, PT</v>
          </cell>
          <cell r="G559" t="str">
            <v>R1
6 of 9
24 Sep 25</v>
          </cell>
          <cell r="H559" t="str">
            <v>NAUFAL INAS FIKRI</v>
          </cell>
          <cell r="I559">
            <v>46051</v>
          </cell>
          <cell r="J559" t="str">
            <v>6100DB412</v>
          </cell>
          <cell r="K559" t="str">
            <v>B</v>
          </cell>
          <cell r="L559" t="str">
            <v>BID</v>
          </cell>
          <cell r="M559">
            <v>241</v>
          </cell>
          <cell r="N559" t="str">
            <v>RH</v>
          </cell>
          <cell r="O559" t="str">
            <v>robertiagus.haposan@alamtri.com</v>
          </cell>
          <cell r="P559">
            <v>880</v>
          </cell>
          <cell r="Q559">
            <v>14520000</v>
          </cell>
          <cell r="R559" t="str">
            <v>Completed Sign PO</v>
          </cell>
          <cell r="T559" t="str">
            <v>MSW</v>
          </cell>
          <cell r="U559" t="str">
            <v>Kin Kitra Kencana, PT
Gema Industrial, PT
Gading Mas Utama, PT
Perwira Sentra Officindo, PT
Alfa Teknik Mandiri Makmur, PT
Afghan Jaya Abadi, PT
Petrocom Nusa Synergy, PT
Antares Jaya Gemilang Prima, PT</v>
          </cell>
          <cell r="V559" t="str">
            <v>Perwira Sentra Officindo, PT</v>
          </cell>
          <cell r="W559" t="str">
            <v>8 of 8</v>
          </cell>
          <cell r="X559" t="str">
            <v>1 of 8</v>
          </cell>
          <cell r="Y559">
            <v>45897</v>
          </cell>
          <cell r="Z559">
            <v>45904</v>
          </cell>
          <cell r="AA559" t="str">
            <v>Perwira Sentra Officindo, PT
Gevana, PT
Anugrah Mandiri Putra Tabalong, PT
Pacific Tractor Indonesia, PT
Vhipa Mulia Pratama, PT
Sola Anugerah Oilfield, PT
Stanindo Artha Langgeng, PT
Promitra Prima Indonesia, PT
Indo Tehnik Tanjung Tabalong, PT</v>
          </cell>
          <cell r="AB559" t="str">
            <v>Perwira Sentra Officindo, PT
Gevana, PT
Anugrah Mandiri Putra Tabalong, PT
Pacific Tractor Indonesia, PT
Sola Anugerah Oilfield, PT
Promitra Prima Indonesia, PT</v>
          </cell>
          <cell r="AC559" t="str">
            <v>9 of 9</v>
          </cell>
          <cell r="AD559" t="str">
            <v>6 of 9</v>
          </cell>
          <cell r="AE559">
            <v>45917</v>
          </cell>
          <cell r="AF559">
            <v>45924</v>
          </cell>
          <cell r="AI559" t="str">
            <v xml:space="preserve"> of </v>
          </cell>
          <cell r="AJ559" t="str">
            <v xml:space="preserve"> of </v>
          </cell>
          <cell r="AL559" t="str">
            <v/>
          </cell>
          <cell r="AM559">
            <v>0.70833333333333304</v>
          </cell>
          <cell r="AN559" t="str">
            <v>Sola Anugerah Oilfield, PT</v>
          </cell>
          <cell r="AO559" t="str">
            <v>mgr3@sola-oilfield.com;
sales3@sola-oilfield.com; admsolaanugerah@gmail.com; sales6@sola-oilfield.com</v>
          </cell>
          <cell r="AP559" t="str">
            <v>6100-PC0626-00058</v>
          </cell>
          <cell r="AQ559">
            <v>64400000</v>
          </cell>
          <cell r="AR559">
            <v>45929</v>
          </cell>
          <cell r="AS559">
            <v>45995</v>
          </cell>
          <cell r="AT559">
            <v>46051</v>
          </cell>
          <cell r="AU559">
            <v>46122</v>
          </cell>
          <cell r="AV559">
            <v>46058</v>
          </cell>
          <cell r="AW559">
            <v>46129</v>
          </cell>
          <cell r="AX559">
            <v>10.142857142857142</v>
          </cell>
          <cell r="AZ559" t="str">
            <v/>
          </cell>
          <cell r="BA559" t="str">
            <v/>
          </cell>
          <cell r="BB559" t="str">
            <v>Completed</v>
          </cell>
          <cell r="BC559" t="str">
            <v>PC0126-000000016</v>
          </cell>
        </row>
        <row r="560">
          <cell r="B560" t="str">
            <v>PC0126-000000374</v>
          </cell>
          <cell r="C560" t="str">
            <v>Pengganti PR 2025 PC0125-000001361 Sparepart Soft Stater Pompa Intake WTP</v>
          </cell>
          <cell r="D560" t="str">
            <v>Greentek Elektrikal Indonesia, PT</v>
          </cell>
          <cell r="E560" t="str">
            <v>Greentek Elektrikal Indonesia, PT
Gading Mas Utama, PT
Antares Jaya Gemilang Prima, PT
Gema Industrial, PT
Gevana, PT
Stanindo Artha Langgeng, PT
Raja Listrik Indonesia, PT
Ganesha Wirya Pratama, PT
Sola Anugerah Oilfield, PT
Promitra Prima Indonesia, PT</v>
          </cell>
          <cell r="F560" t="str">
            <v>Greentek Elektrikal Indonesia, PT
Gading Mas Utama, PT
Antares Jaya Gemilang Prima, PT
Gema Industrial, PT
Gevana, PT
Raja Listrik Indonesia, PT
Promitra Prima Indonesia, PT</v>
          </cell>
          <cell r="G560" t="str">
            <v>R0
7 of 10
19 Dec 25</v>
          </cell>
          <cell r="H560" t="str">
            <v>DEDE SUDARJI</v>
          </cell>
          <cell r="I560">
            <v>46052</v>
          </cell>
          <cell r="J560" t="str">
            <v>6100DB402</v>
          </cell>
          <cell r="K560" t="str">
            <v>B</v>
          </cell>
          <cell r="L560" t="str">
            <v>BID</v>
          </cell>
          <cell r="M560">
            <v>329</v>
          </cell>
          <cell r="N560" t="str">
            <v>RH</v>
          </cell>
          <cell r="O560" t="str">
            <v>robertiagus.haposan@alamtri.com</v>
          </cell>
          <cell r="P560">
            <v>2658</v>
          </cell>
          <cell r="Q560">
            <v>43857000</v>
          </cell>
          <cell r="R560" t="str">
            <v>Completed Sign PO</v>
          </cell>
          <cell r="T560" t="str">
            <v>MSW</v>
          </cell>
          <cell r="U560" t="str">
            <v>Greentek Elektrikal Indonesia, PT
Gading Mas Utama, PT
Antares Jaya Gemilang Prima, PT
Gema Industrial, PT
Gevana, PT
Stanindo Artha Langgeng, PT
Raja Listrik Indonesia, PT
Ganesha Wirya Pratama, PT
Sola Anugerah Oilfield, PT
Promitra Prima Indonesia, PT</v>
          </cell>
          <cell r="V560" t="str">
            <v>Greentek Elektrikal Indonesia, PT
Gading Mas Utama, PT
Antares Jaya Gemilang Prima, PT
Gema Industrial, PT
Gevana, PT
Raja Listrik Indonesia, PT
Promitra Prima Indonesia, PT</v>
          </cell>
          <cell r="W560" t="str">
            <v>10 of 10</v>
          </cell>
          <cell r="X560" t="str">
            <v>7 of 10</v>
          </cell>
          <cell r="Y560">
            <v>46003</v>
          </cell>
          <cell r="Z560">
            <v>46010</v>
          </cell>
          <cell r="AC560" t="str">
            <v xml:space="preserve"> of </v>
          </cell>
          <cell r="AD560" t="str">
            <v xml:space="preserve"> of </v>
          </cell>
          <cell r="AF560" t="str">
            <v/>
          </cell>
          <cell r="AI560" t="str">
            <v xml:space="preserve"> of </v>
          </cell>
          <cell r="AJ560" t="str">
            <v xml:space="preserve"> of </v>
          </cell>
          <cell r="AL560" t="str">
            <v/>
          </cell>
          <cell r="AM560">
            <v>0.70833333333333304</v>
          </cell>
          <cell r="AN560" t="str">
            <v>Antares Jaya Gemilang Prima, PT</v>
          </cell>
          <cell r="AO560" t="str">
            <v>info@pt-antares.com; antares.jgp@gmail.com</v>
          </cell>
          <cell r="AP560" t="str">
            <v>6100-PC0626-00060</v>
          </cell>
          <cell r="AQ560">
            <v>26100000</v>
          </cell>
          <cell r="AR560">
            <v>46020</v>
          </cell>
          <cell r="AS560">
            <v>46047</v>
          </cell>
          <cell r="AT560">
            <v>46052</v>
          </cell>
          <cell r="AU560">
            <v>46083</v>
          </cell>
          <cell r="AV560">
            <v>46055</v>
          </cell>
          <cell r="AW560">
            <v>46086</v>
          </cell>
          <cell r="AX560">
            <v>4.4285714285714288</v>
          </cell>
          <cell r="AZ560" t="str">
            <v/>
          </cell>
          <cell r="BA560" t="str">
            <v/>
          </cell>
          <cell r="BB560" t="str">
            <v>Completed</v>
          </cell>
          <cell r="BC560" t="str">
            <v>PC0126-000000374</v>
          </cell>
        </row>
        <row r="561">
          <cell r="B561" t="str">
            <v>PC0126-000000452</v>
          </cell>
          <cell r="C561" t="str">
            <v>Pengganti PR 2025 Spare part motor rotary feeder</v>
          </cell>
          <cell r="D561" t="str">
            <v>Multi Mas, CV</v>
          </cell>
          <cell r="E561" t="str">
            <v>Kin Kitra Kencana, PT
Multi Mas, CV
Gevana, PT
Petrocom Nusa Synergy, PT
Dwihasta Pirusa, PT
Stanindo Artha Langgeng, PT
Gridtech Indonesia, PT
Triputra Electric Abadi, PT
Emkaha, PT</v>
          </cell>
          <cell r="F561" t="str">
            <v>Kin Kitra Kencana, PT
Multi Mas, CV
Gevana, PT</v>
          </cell>
          <cell r="G561" t="str">
            <v>R0
3 of 9
09 Dec 25</v>
          </cell>
          <cell r="H561" t="str">
            <v>DEDE SUDARJI</v>
          </cell>
          <cell r="I561">
            <v>46059</v>
          </cell>
          <cell r="J561" t="str">
            <v>6100DB402</v>
          </cell>
          <cell r="K561" t="str">
            <v>B</v>
          </cell>
          <cell r="L561" t="str">
            <v>BID</v>
          </cell>
          <cell r="M561">
            <v>310</v>
          </cell>
          <cell r="N561" t="str">
            <v>RH</v>
          </cell>
          <cell r="O561" t="str">
            <v>robertiagus.haposan@alamtri.com</v>
          </cell>
          <cell r="Q561">
            <v>60000000</v>
          </cell>
          <cell r="R561" t="str">
            <v>Completed Sign PO</v>
          </cell>
          <cell r="S561" t="str">
            <v>PC0125-000000789 (previous)</v>
          </cell>
          <cell r="T561" t="str">
            <v>MSW</v>
          </cell>
          <cell r="U561" t="str">
            <v>Kin Kitra Kencana, PT
Multi Mas, CV
Gevana, PT
Petrocom Nusa Synergy, PT
Dwihasta Pirusa, PT
Stanindo Artha Langgeng, PT
Gridtech Indonesia, PT
Triputra Electric Abadi, PT
Emkaha, PT</v>
          </cell>
          <cell r="V561" t="str">
            <v>Kin Kitra Kencana, PT
Multi Mas, CV
Gevana, PT</v>
          </cell>
          <cell r="W561" t="str">
            <v>9 of 9</v>
          </cell>
          <cell r="X561" t="str">
            <v>3 of 9</v>
          </cell>
          <cell r="Y561">
            <v>45993</v>
          </cell>
          <cell r="Z561">
            <v>46000</v>
          </cell>
          <cell r="AC561" t="str">
            <v xml:space="preserve"> of </v>
          </cell>
          <cell r="AD561" t="str">
            <v xml:space="preserve"> of </v>
          </cell>
          <cell r="AF561" t="str">
            <v/>
          </cell>
          <cell r="AI561" t="str">
            <v xml:space="preserve"> of </v>
          </cell>
          <cell r="AJ561" t="str">
            <v xml:space="preserve"> of </v>
          </cell>
          <cell r="AL561" t="str">
            <v/>
          </cell>
          <cell r="AM561">
            <v>0.70833333333333304</v>
          </cell>
          <cell r="AN561" t="str">
            <v>Multi Mas, CV</v>
          </cell>
          <cell r="AO561" t="str">
            <v>sianhwa@sby.centrin.net.id</v>
          </cell>
          <cell r="AP561" t="str">
            <v>6100-PC0626-00082</v>
          </cell>
          <cell r="AQ561">
            <v>53920000</v>
          </cell>
          <cell r="AR561">
            <v>46002</v>
          </cell>
          <cell r="AS561">
            <v>46050</v>
          </cell>
          <cell r="AT561">
            <v>46059</v>
          </cell>
          <cell r="AU561">
            <v>46213</v>
          </cell>
          <cell r="AV561">
            <v>46063</v>
          </cell>
          <cell r="AW561">
            <v>46217</v>
          </cell>
          <cell r="AX561">
            <v>22</v>
          </cell>
          <cell r="AZ561" t="str">
            <v/>
          </cell>
          <cell r="BA561" t="str">
            <v/>
          </cell>
          <cell r="BB561" t="str">
            <v>Completed</v>
          </cell>
          <cell r="BC561" t="str">
            <v>PC0126-000000452</v>
          </cell>
        </row>
        <row r="562">
          <cell r="B562" t="str">
            <v>PC0126-000000486 (Line 1-2)</v>
          </cell>
          <cell r="C562" t="str">
            <v>Spare Part Oil Seal Motor Rotary</v>
          </cell>
          <cell r="E562" t="str">
            <v>Sarana Prima Lestari, CV
Banjar Bearing Sentosa, PT
Perwira Sentra Officindo, PT
SLS Bearindo, PT
Sehati, CV
Sola Anugerah Oilfield, PT
Kogelahar Borneo, PT
Berkat Pratama Teknik, CV
Petrocom Nusa Synergy, PT
Antares Jaya Gemilang Prima, PT
Alfa Teknik Mandiri Makmur, PT</v>
          </cell>
          <cell r="F562" t="str">
            <v>Banjar Bearing Sentosa, PT
Perwira Sentra Officindo, PT
SLS Bearindo, PT
Alfa Teknik Mandiri Makmur, PT</v>
          </cell>
          <cell r="G562" t="str">
            <v>R0
4 of 11
20 Feb 26</v>
          </cell>
          <cell r="H562" t="str">
            <v>DEDE SUDARJI</v>
          </cell>
          <cell r="I562">
            <v>46063</v>
          </cell>
          <cell r="J562" t="str">
            <v>6100DB402</v>
          </cell>
          <cell r="K562" t="str">
            <v>B</v>
          </cell>
          <cell r="L562" t="str">
            <v>BID</v>
          </cell>
          <cell r="M562">
            <v>23</v>
          </cell>
          <cell r="N562" t="str">
            <v>RH</v>
          </cell>
          <cell r="O562" t="str">
            <v>robertiagus.haposan@alamtri.com</v>
          </cell>
          <cell r="P562">
            <v>66</v>
          </cell>
          <cell r="Q562">
            <v>1089000</v>
          </cell>
          <cell r="R562" t="str">
            <v>Completed Sign PO</v>
          </cell>
          <cell r="T562" t="str">
            <v>MSW</v>
          </cell>
          <cell r="U562" t="str">
            <v>Sarana Prima Lestari, CV
Banjar Bearing Sentosa, PT
Perwira Sentra Officindo, PT
SLS Bearindo, PT
Sehati, CV
Sola Anugerah Oilfield, PT
Kogelahar Borneo, PT
Berkat Pratama Teknik, CV
Petrocom Nusa Synergy, PT
Antares Jaya Gemilang Prima, PT
Alfa Teknik Mandiri Makmur, PT</v>
          </cell>
          <cell r="V562" t="str">
            <v>Banjar Bearing Sentosa, PT
Perwira Sentra Officindo, PT
SLS Bearindo, PT
Alfa Teknik Mandiri Makmur, PT</v>
          </cell>
          <cell r="W562" t="str">
            <v>11 of 11</v>
          </cell>
          <cell r="X562" t="str">
            <v>4 of 11</v>
          </cell>
          <cell r="Y562">
            <v>46063</v>
          </cell>
          <cell r="Z562">
            <v>46073</v>
          </cell>
          <cell r="AC562" t="str">
            <v xml:space="preserve"> of </v>
          </cell>
          <cell r="AD562" t="str">
            <v xml:space="preserve"> of </v>
          </cell>
          <cell r="AF562" t="str">
            <v/>
          </cell>
          <cell r="AI562" t="str">
            <v xml:space="preserve"> of </v>
          </cell>
          <cell r="AJ562" t="str">
            <v xml:space="preserve"> of </v>
          </cell>
          <cell r="AL562" t="str">
            <v/>
          </cell>
          <cell r="AM562">
            <v>0.70833333333333304</v>
          </cell>
          <cell r="AN562" t="str">
            <v>Banjar Bearing Sentosa, PT</v>
          </cell>
          <cell r="AO562" t="str">
            <v>bbsbjm@banjarbearing.com; eddy@bbs.banjarbearing.com; surya@bbs.banjarbearing.com</v>
          </cell>
          <cell r="AP562" t="str">
            <v>6100-PC0626-00273</v>
          </cell>
          <cell r="AQ562">
            <v>300000</v>
          </cell>
          <cell r="AR562">
            <v>46083</v>
          </cell>
          <cell r="AS562">
            <v>46098</v>
          </cell>
          <cell r="AT562">
            <v>46133</v>
          </cell>
          <cell r="AU562">
            <v>46150</v>
          </cell>
          <cell r="AV562">
            <v>46134</v>
          </cell>
          <cell r="AW562">
            <v>46151</v>
          </cell>
          <cell r="AX562">
            <v>2.4285714285714284</v>
          </cell>
          <cell r="AZ562" t="str">
            <v/>
          </cell>
          <cell r="BA562" t="str">
            <v/>
          </cell>
          <cell r="BB562" t="str">
            <v>Late Completed</v>
          </cell>
          <cell r="BC562" t="str">
            <v>PC0126-000000486</v>
          </cell>
        </row>
        <row r="563">
          <cell r="B563" t="str">
            <v>PC0126-000000490</v>
          </cell>
          <cell r="C563" t="str">
            <v>Spare Part Ram Workstation ISB</v>
          </cell>
          <cell r="E563" t="str">
            <v>Berkat Jaya Komputindo, PT
Aka Prima Komputindo, PT
Axel Jaya Cakraniaga, PT
Indoparts, CV
Rahmat Parna Sakti, CV
Gevana, PT
Niaga Prima Paramitra, PT
Quartee Technologies, PT
Alfa Teknik Mandiri Makmur, PT</v>
          </cell>
          <cell r="F563" t="str">
            <v>Aka Prima Komputindo, PT
Rahmat Parna Sakti, CV
Gevana, PT</v>
          </cell>
          <cell r="G563" t="str">
            <v>R1
3 of 9
25 May 26</v>
          </cell>
          <cell r="H563" t="str">
            <v>DEDE SUDARJI</v>
          </cell>
          <cell r="I563">
            <v>46064</v>
          </cell>
          <cell r="J563" t="str">
            <v>6100DB402</v>
          </cell>
          <cell r="K563" t="str">
            <v>B</v>
          </cell>
          <cell r="L563" t="str">
            <v>BID</v>
          </cell>
          <cell r="M563">
            <v>26</v>
          </cell>
          <cell r="N563" t="str">
            <v>RH</v>
          </cell>
          <cell r="O563" t="str">
            <v>robertiagus.haposan@alamtri.com</v>
          </cell>
          <cell r="P563">
            <v>413.6</v>
          </cell>
          <cell r="Q563">
            <v>7238000</v>
          </cell>
          <cell r="R563" t="str">
            <v>CQS</v>
          </cell>
          <cell r="T563" t="str">
            <v>MSW</v>
          </cell>
          <cell r="U563" t="str">
            <v>ALKS, CV
Century, CV
Berkat Jaya Komputindo, PT
Aka Prima Komputindo, PT
Perwira Sentra Officindo, PT
Sehati, CV
Axel Jaya Cakraniaga, PT
Pacific Tractor Indonesia, PT</v>
          </cell>
          <cell r="V563" t="str">
            <v>Berkat Jaya Komputindo, PT
Aka Prima Komputindo, PT
Axel Jaya Cakraniaga, PT</v>
          </cell>
          <cell r="W563" t="str">
            <v>8 of 8</v>
          </cell>
          <cell r="X563" t="str">
            <v>3 of 8</v>
          </cell>
          <cell r="Y563">
            <v>46064</v>
          </cell>
          <cell r="Z563">
            <v>46073</v>
          </cell>
          <cell r="AA563" t="str">
            <v>Berkat Jaya Komputindo, PT
Aka Prima Komputindo, PT
Axel Jaya Cakraniaga, PT
Indoparts, CV
Rahmat Parna Sakti, CV
Gevana, PT
Niaga Prima Paramitra, PT
Quartee Technologies, PT
Alfa Teknik Mandiri Makmur, PT</v>
          </cell>
          <cell r="AB563" t="str">
            <v>Aka Prima Komputindo, PT
Rahmat Parna Sakti, CV
Gevana, PT</v>
          </cell>
          <cell r="AC563" t="str">
            <v>9 of 9</v>
          </cell>
          <cell r="AD563" t="str">
            <v>3 of 9</v>
          </cell>
          <cell r="AE563">
            <v>46160</v>
          </cell>
          <cell r="AF563">
            <v>46167</v>
          </cell>
          <cell r="AI563" t="str">
            <v xml:space="preserve"> of </v>
          </cell>
          <cell r="AJ563" t="str">
            <v xml:space="preserve"> of </v>
          </cell>
          <cell r="AL563" t="str">
            <v/>
          </cell>
          <cell r="AM563">
            <v>0.70833333333333304</v>
          </cell>
          <cell r="AO563" t="str">
            <v/>
          </cell>
          <cell r="AR563">
            <v>46168</v>
          </cell>
          <cell r="AW563" t="str">
            <v/>
          </cell>
          <cell r="AX563" t="str">
            <v/>
          </cell>
          <cell r="AZ563" t="str">
            <v/>
          </cell>
          <cell r="BA563" t="str">
            <v/>
          </cell>
          <cell r="BB563" t="str">
            <v/>
          </cell>
          <cell r="BC563" t="str">
            <v>PC0126-000000490</v>
          </cell>
        </row>
        <row r="564">
          <cell r="B564" t="str">
            <v>PC0126-000000531 (Line 1-4,6)</v>
          </cell>
          <cell r="C564" t="str">
            <v>Spare Part Repair Kit Pneumatic</v>
          </cell>
          <cell r="D564" t="str">
            <v>Alfa Teknik Mandiri Makmur, PT - Line 2
Kin Kitra Kencana, PT - Line 3,4
Solusi Cita Mandala, PT - Line 5
Rande Buana Teknik, PT - Line 6
Festo, PT - Line 7
Invaltech System Indonesia, PT - Line 8</v>
          </cell>
          <cell r="E564" t="str">
            <v>Forbes Marshall Indonesia, PT
Lienetic Jaya, PT
Lotus Inti Pratama, PT
Gading Mas Utama, PT
Artam Borneo Automatika, PT
Gamako Ekakarsa, PT
Putera Instrumenindo, PT
Rande Buana Teknik, PT
Alfa Teknik Mandiri Makmur, PT</v>
          </cell>
          <cell r="F564" t="str">
            <v>Forbes Marshall Indonesia, PT
Lienetic Jaya, PT
Lotus Inti Pratama, PT</v>
          </cell>
          <cell r="G564" t="str">
            <v>R2
3 of 9
25 May 26</v>
          </cell>
          <cell r="H564" t="str">
            <v>DEDE SUDARJI</v>
          </cell>
          <cell r="I564">
            <v>46073</v>
          </cell>
          <cell r="J564" t="str">
            <v>6100DB402</v>
          </cell>
          <cell r="K564" t="str">
            <v>B</v>
          </cell>
          <cell r="L564" t="str">
            <v>BID</v>
          </cell>
          <cell r="M564">
            <v>37</v>
          </cell>
          <cell r="N564" t="str">
            <v>RH</v>
          </cell>
          <cell r="O564" t="str">
            <v>robertiagus.haposan@alamtri.com</v>
          </cell>
          <cell r="P564">
            <v>10253.129999999999</v>
          </cell>
          <cell r="Q564">
            <v>169176645</v>
          </cell>
          <cell r="R564" t="str">
            <v>CQS</v>
          </cell>
          <cell r="S564" t="str">
            <v>Previous PR PC0125-000000940</v>
          </cell>
          <cell r="T564" t="str">
            <v>MSW</v>
          </cell>
          <cell r="U564" t="str">
            <v>Casa Terra Mandiri Indonesia, PT
Invaltech System Indonesia, PT
Forbes Marshall Indonesia, PT
Solusi Cita Mandala, PT
Berkat Pratama Teknik, CV
Kin Kitra Kencana, PT
Rande Buana Teknik, PT
Alfa Teknik Mandiri Makmur, PT
Lienetic Jaya, PT
Multitech Industrial Indonesia, PT
Antares Jaya Gemilang Prima, PT
Adijaya Mitra Perkasa, PT</v>
          </cell>
          <cell r="V564" t="str">
            <v>Casa Terra Mandiri Indonesia, PT
Invaltech System Indonesia, PT
Solusi Cita Mandala, PT
Kin Kitra Kencana, PT
Alfa Teknik Mandiri Makmur, PT
Antares Jaya Gemilang Prima, PT</v>
          </cell>
          <cell r="W564" t="str">
            <v>12 of 12</v>
          </cell>
          <cell r="X564" t="str">
            <v>6 of 12</v>
          </cell>
          <cell r="Y564">
            <v>46073</v>
          </cell>
          <cell r="Z564">
            <v>46080</v>
          </cell>
          <cell r="AA564" t="str">
            <v>Forbes Marshall Indonesia, PT
Antares Jaya Gemilang Prima, PT
Lienetic Jaya, PT
Alfa Teknik Mandiri Makmur, PT
Rande Buana Teknik, PT
Mff Oilfield Services and Engineering, PT
Multitech Industrial Indonesia, PT
Outsourcindo, PT</v>
          </cell>
          <cell r="AB564" t="str">
            <v>Forbes Marshall Indonesia, PT
Lienetic Jaya, PT</v>
          </cell>
          <cell r="AC564" t="str">
            <v>8 of 8</v>
          </cell>
          <cell r="AD564" t="str">
            <v>2 of 8</v>
          </cell>
          <cell r="AE564">
            <v>46141</v>
          </cell>
          <cell r="AF564">
            <v>46148</v>
          </cell>
          <cell r="AG564" t="str">
            <v>Forbes Marshall Indonesia, PT
Lienetic Jaya, PT
Lotus Inti Pratama, PT
Gading Mas Utama, PT
Artam Borneo Automatika, PT
Gamako Ekakarsa, PT
Putera Instrumenindo, PT
Rande Buana Teknik, PT
Alfa Teknik Mandiri Makmur, PT</v>
          </cell>
          <cell r="AH564" t="str">
            <v>Forbes Marshall Indonesia, PT
Lienetic Jaya, PT
Lotus Inti Pratama, PT</v>
          </cell>
          <cell r="AI564" t="str">
            <v>9 of 9</v>
          </cell>
          <cell r="AJ564" t="str">
            <v>3 of 9</v>
          </cell>
          <cell r="AK564">
            <v>46160</v>
          </cell>
          <cell r="AL564">
            <v>46167</v>
          </cell>
          <cell r="AM564">
            <v>0.70833333333333304</v>
          </cell>
          <cell r="AN564" t="str">
            <v>Lotus Inti Pratama, PT</v>
          </cell>
          <cell r="AO564" t="str">
            <v/>
          </cell>
          <cell r="AP564" t="str">
            <v>6100-PC0626-00467</v>
          </cell>
          <cell r="AQ564">
            <v>4800000</v>
          </cell>
          <cell r="AR564">
            <v>46168</v>
          </cell>
          <cell r="AS564">
            <v>46182</v>
          </cell>
          <cell r="AT564">
            <v>46202</v>
          </cell>
          <cell r="AU564">
            <v>46241</v>
          </cell>
          <cell r="AV564">
            <v>46203</v>
          </cell>
          <cell r="AW564" t="str">
            <v/>
          </cell>
          <cell r="AX564" t="str">
            <v/>
          </cell>
          <cell r="AZ564" t="str">
            <v/>
          </cell>
          <cell r="BA564" t="str">
            <v/>
          </cell>
          <cell r="BB564" t="str">
            <v/>
          </cell>
          <cell r="BC564" t="str">
            <v>Folder tidak ditemukan</v>
          </cell>
        </row>
        <row r="565">
          <cell r="B565" t="str">
            <v>PC0126-000000510</v>
          </cell>
          <cell r="C565" t="str">
            <v>Sparepart Cable Electrical Instrument</v>
          </cell>
          <cell r="D565" t="str">
            <v>Alfa Teknik Mandiri Makmur, PT (Line 3)</v>
          </cell>
          <cell r="E565" t="str">
            <v>Gema Industrial, PT
Perwira Sentra Officindo, PT
Gevana, PT
Ganesha Wirya Pratama, PT
Axel Jaya Cakraniaga, PT
Alfa Teknik Mandiri Makmur, PT
Sutrakabel Intimandiri, PT</v>
          </cell>
          <cell r="F565" t="str">
            <v>Perwira Sentra Officindo, PT
Gevana, PT
Axel Jaya Cakraniaga, PT
Alfa Teknik Mandiri Makmur, PT
Sutrakabel Intimandiri, PT</v>
          </cell>
          <cell r="G565" t="str">
            <v>R0
5 of 7
24 Feb 26</v>
          </cell>
          <cell r="H565" t="str">
            <v>DEDE SUDARJI</v>
          </cell>
          <cell r="I565">
            <v>46066</v>
          </cell>
          <cell r="J565" t="str">
            <v>6100DB402</v>
          </cell>
          <cell r="K565" t="str">
            <v>B</v>
          </cell>
          <cell r="L565" t="str">
            <v>BID</v>
          </cell>
          <cell r="M565">
            <v>30</v>
          </cell>
          <cell r="N565" t="str">
            <v>RH</v>
          </cell>
          <cell r="O565" t="str">
            <v>robertiagus.haposan@alamtri.com</v>
          </cell>
          <cell r="Q565">
            <v>80000000</v>
          </cell>
          <cell r="R565" t="str">
            <v>Completed Sign PO</v>
          </cell>
          <cell r="S565" t="str">
            <v>PR100010340 (Line 1,2,6)</v>
          </cell>
          <cell r="T565" t="str">
            <v>MSW</v>
          </cell>
          <cell r="U565" t="str">
            <v>Gema Industrial, PT
Perwira Sentra Officindo, PT
Gevana, PT
Ganesha Wirya Pratama, PT
Axel Jaya Cakraniaga, PT
Alfa Teknik Mandiri Makmur, PT
Sutrakabel Intimandiri, PT</v>
          </cell>
          <cell r="V565" t="str">
            <v>Perwira Sentra Officindo, PT
Gevana, PT
Axel Jaya Cakraniaga, PT
Alfa Teknik Mandiri Makmur, PT
Sutrakabel Intimandiri, PT</v>
          </cell>
          <cell r="W565" t="str">
            <v>7 of 7</v>
          </cell>
          <cell r="X565" t="str">
            <v>5 of 7</v>
          </cell>
          <cell r="Y565">
            <v>46066</v>
          </cell>
          <cell r="Z565">
            <v>46077</v>
          </cell>
          <cell r="AC565" t="str">
            <v xml:space="preserve"> of </v>
          </cell>
          <cell r="AD565" t="str">
            <v xml:space="preserve"> of </v>
          </cell>
          <cell r="AF565" t="str">
            <v/>
          </cell>
          <cell r="AI565" t="str">
            <v xml:space="preserve"> of </v>
          </cell>
          <cell r="AJ565" t="str">
            <v xml:space="preserve"> of </v>
          </cell>
          <cell r="AL565" t="str">
            <v/>
          </cell>
          <cell r="AM565">
            <v>0.70833333333333304</v>
          </cell>
          <cell r="AN565" t="str">
            <v>Axel Jaya Cakraniaga, PT</v>
          </cell>
          <cell r="AO565" t="str">
            <v>ajcakraniaga@gmail.com; sales@ajcakraniaga.com</v>
          </cell>
          <cell r="AP565" t="str">
            <v>6100-PC0626-00328</v>
          </cell>
          <cell r="AQ565">
            <v>48500000</v>
          </cell>
          <cell r="AR565">
            <v>46091</v>
          </cell>
          <cell r="AS565">
            <v>46146</v>
          </cell>
          <cell r="AT565">
            <v>46153</v>
          </cell>
          <cell r="AU565">
            <v>46192</v>
          </cell>
          <cell r="AV565">
            <v>46155</v>
          </cell>
          <cell r="AW565">
            <v>46194</v>
          </cell>
          <cell r="AX565">
            <v>5.5714285714285712</v>
          </cell>
          <cell r="AZ565" t="str">
            <v/>
          </cell>
          <cell r="BA565" t="str">
            <v/>
          </cell>
          <cell r="BB565" t="str">
            <v>Late Completed</v>
          </cell>
          <cell r="BC565" t="str">
            <v>PC0126-000000510</v>
          </cell>
        </row>
        <row r="566">
          <cell r="B566" t="str">
            <v>PC0126-000000484</v>
          </cell>
          <cell r="C566" t="str">
            <v>Stock Electrical E27 Extender &amp; Floodlight</v>
          </cell>
          <cell r="D566" t="str">
            <v>Perwira Sentra Officindo, PT - Line 2</v>
          </cell>
          <cell r="E566" t="str">
            <v>Perwira Sentra Officindo, PT
Gema Industrial, PT
Alfa Teknik Mandiri Makmur, PT
Greentek Elektrikal Indonesia, PT
Anugrah Mandiri Putra Tabalong, PT
Axel Jaya Cakraniaga, PT
Sarana Prima Lestari, CV
Antares Jaya Gemilang Prima, PT
Sehati, CV</v>
          </cell>
          <cell r="F566" t="str">
            <v>Perwira Sentra Officindo, PT
Alfa Teknik Mandiri Makmur, PT
Greentek Elektrikal Indonesia, PT
Axel Jaya Cakraniaga, PT</v>
          </cell>
          <cell r="G566" t="str">
            <v>R0
4 of 9
20 Feb 26</v>
          </cell>
          <cell r="H566" t="str">
            <v>DEDE SUDARJI</v>
          </cell>
          <cell r="I566">
            <v>46064</v>
          </cell>
          <cell r="J566" t="str">
            <v>6100DB402</v>
          </cell>
          <cell r="K566" t="str">
            <v>B</v>
          </cell>
          <cell r="L566" t="str">
            <v>BID</v>
          </cell>
          <cell r="M566">
            <v>27</v>
          </cell>
          <cell r="N566" t="str">
            <v>RH</v>
          </cell>
          <cell r="O566" t="str">
            <v>robertiagus.haposan@alamtri.com</v>
          </cell>
          <cell r="P566">
            <v>418</v>
          </cell>
          <cell r="Q566">
            <v>6897000</v>
          </cell>
          <cell r="R566" t="str">
            <v>Completed Sign PO</v>
          </cell>
          <cell r="T566" t="str">
            <v>MSW</v>
          </cell>
          <cell r="U566" t="str">
            <v>Perwira Sentra Officindo, PT
Gema Industrial, PT
Alfa Teknik Mandiri Makmur, PT
Greentek Elektrikal Indonesia, PT
Anugrah Mandiri Putra Tabalong, PT
Axel Jaya Cakraniaga, PT
Sarana Prima Lestari, CV
Antares Jaya Gemilang Prima, PT
Sehati, CV</v>
          </cell>
          <cell r="V566" t="str">
            <v>Perwira Sentra Officindo, PT
Alfa Teknik Mandiri Makmur, PT
Greentek Elektrikal Indonesia, PT
Axel Jaya Cakraniaga, PT</v>
          </cell>
          <cell r="W566" t="str">
            <v>9 of 9</v>
          </cell>
          <cell r="X566" t="str">
            <v>4 of 9</v>
          </cell>
          <cell r="Y566">
            <v>46064</v>
          </cell>
          <cell r="Z566">
            <v>46073</v>
          </cell>
          <cell r="AC566" t="str">
            <v xml:space="preserve"> of </v>
          </cell>
          <cell r="AD566" t="str">
            <v xml:space="preserve"> of </v>
          </cell>
          <cell r="AF566" t="str">
            <v/>
          </cell>
          <cell r="AI566" t="str">
            <v xml:space="preserve"> of </v>
          </cell>
          <cell r="AJ566" t="str">
            <v xml:space="preserve"> of </v>
          </cell>
          <cell r="AL566" t="str">
            <v/>
          </cell>
          <cell r="AM566">
            <v>0.70833333333333304</v>
          </cell>
          <cell r="AN566" t="str">
            <v>Perwira Sentra Officindo, PT</v>
          </cell>
          <cell r="AO566" t="str">
            <v>d_santos63@yahoo.com</v>
          </cell>
          <cell r="AP566" t="str">
            <v>6100-PC0626-00196</v>
          </cell>
          <cell r="AQ566">
            <v>4538800</v>
          </cell>
          <cell r="AR566">
            <v>46083</v>
          </cell>
          <cell r="AS566">
            <v>46092</v>
          </cell>
          <cell r="AT566">
            <v>46098</v>
          </cell>
          <cell r="AU566">
            <v>46143</v>
          </cell>
          <cell r="AV566">
            <v>46126</v>
          </cell>
          <cell r="AW566">
            <v>46171</v>
          </cell>
          <cell r="AX566">
            <v>6.4285714285714288</v>
          </cell>
          <cell r="AZ566" t="str">
            <v/>
          </cell>
          <cell r="BA566" t="str">
            <v/>
          </cell>
          <cell r="BB566" t="str">
            <v>Late Completed</v>
          </cell>
          <cell r="BC566" t="str">
            <v>PC0126-000000484</v>
          </cell>
        </row>
        <row r="567">
          <cell r="B567" t="str">
            <v>PC0126-000000502</v>
          </cell>
          <cell r="C567" t="str">
            <v>Spare Part Display Silica Analyzer HACH</v>
          </cell>
          <cell r="E567" t="str">
            <v/>
          </cell>
          <cell r="F567" t="str">
            <v/>
          </cell>
          <cell r="G567" t="str">
            <v/>
          </cell>
          <cell r="H567" t="str">
            <v>DEDE SUDARJI</v>
          </cell>
          <cell r="I567">
            <v>46064</v>
          </cell>
          <cell r="J567" t="str">
            <v>6100DB402</v>
          </cell>
          <cell r="K567" t="str">
            <v>B</v>
          </cell>
          <cell r="L567" t="str">
            <v>BID</v>
          </cell>
          <cell r="M567">
            <v>28</v>
          </cell>
          <cell r="N567" t="str">
            <v>RH</v>
          </cell>
          <cell r="O567" t="str">
            <v>robertiagus.haposan@alamtri.com</v>
          </cell>
          <cell r="P567">
            <v>1772.63</v>
          </cell>
          <cell r="Q567">
            <v>29248395</v>
          </cell>
          <cell r="R567" t="str">
            <v>CANCEL</v>
          </cell>
          <cell r="T567" t="str">
            <v>MSW</v>
          </cell>
          <cell r="U567" t="str">
            <v>Alfa Pegasus, PT
Intraparr Nusantara, PT
Narmada Setia, PT
Perwira Sentra Officindo, PT
Alfa Teknik Mandiri Makmur, PT</v>
          </cell>
          <cell r="V567" t="str">
            <v>Alfa Pegasus, PT
Intraparr Nusantara, PT
Narmada Setia, PT
Perwira Sentra Officindo, PT</v>
          </cell>
          <cell r="W567" t="str">
            <v>5 of 5</v>
          </cell>
          <cell r="X567" t="str">
            <v>4 of 5</v>
          </cell>
          <cell r="Y567">
            <v>46064</v>
          </cell>
          <cell r="Z567">
            <v>46073</v>
          </cell>
          <cell r="AC567" t="str">
            <v xml:space="preserve"> of </v>
          </cell>
          <cell r="AD567" t="str">
            <v xml:space="preserve"> of </v>
          </cell>
          <cell r="AF567" t="str">
            <v/>
          </cell>
          <cell r="AI567" t="str">
            <v xml:space="preserve"> of </v>
          </cell>
          <cell r="AJ567" t="str">
            <v xml:space="preserve"> of </v>
          </cell>
          <cell r="AL567" t="str">
            <v/>
          </cell>
          <cell r="AM567">
            <v>0.70833333333333304</v>
          </cell>
          <cell r="AN567" t="str">
            <v>Alfa Pegasus, PT</v>
          </cell>
          <cell r="AO567" t="str">
            <v>amin.wahidi@alfapegasus.com; budi.setyawan@alfapegasus.com; rahmadhani.kurniawan@hach.com</v>
          </cell>
          <cell r="AR567">
            <v>46077</v>
          </cell>
          <cell r="AS567">
            <v>46121</v>
          </cell>
          <cell r="AW567" t="str">
            <v/>
          </cell>
          <cell r="AX567" t="str">
            <v/>
          </cell>
          <cell r="AZ567" t="str">
            <v/>
          </cell>
          <cell r="BA567" t="str">
            <v/>
          </cell>
          <cell r="BB567" t="str">
            <v/>
          </cell>
          <cell r="BC567" t="str">
            <v>PC0126-000000502</v>
          </cell>
        </row>
        <row r="568">
          <cell r="B568" t="str">
            <v>PC0126-000000487 (Jan 26)</v>
          </cell>
          <cell r="C568" t="str">
            <v>Rental Genset 2 x 40 Kva Support Lab. Paringin Periode Januari - November 2026</v>
          </cell>
          <cell r="D568" t="str">
            <v>Bima Kaltim Utama, PT</v>
          </cell>
          <cell r="E568">
            <v>0</v>
          </cell>
          <cell r="F568" t="str">
            <v/>
          </cell>
          <cell r="G568" t="str">
            <v/>
          </cell>
          <cell r="H568" t="str">
            <v>SLAMET</v>
          </cell>
          <cell r="I568">
            <v>46064</v>
          </cell>
          <cell r="J568" t="str">
            <v>6100DB431</v>
          </cell>
          <cell r="K568" t="str">
            <v>B</v>
          </cell>
          <cell r="L568" t="str">
            <v>CTR</v>
          </cell>
          <cell r="N568" t="str">
            <v>RH</v>
          </cell>
          <cell r="O568" t="str">
            <v>robertiagus.haposan@alamtri.com</v>
          </cell>
          <cell r="Q568">
            <v>30000000</v>
          </cell>
          <cell r="R568" t="str">
            <v>Completed Sign PO Contract</v>
          </cell>
          <cell r="T568" t="str">
            <v>MSW</v>
          </cell>
          <cell r="W568" t="str">
            <v xml:space="preserve"> of </v>
          </cell>
          <cell r="X568" t="str">
            <v xml:space="preserve"> of </v>
          </cell>
          <cell r="Z568" t="str">
            <v/>
          </cell>
          <cell r="AC568" t="str">
            <v xml:space="preserve"> of </v>
          </cell>
          <cell r="AD568" t="str">
            <v xml:space="preserve"> of </v>
          </cell>
          <cell r="AF568" t="str">
            <v/>
          </cell>
          <cell r="AI568" t="str">
            <v xml:space="preserve"> of </v>
          </cell>
          <cell r="AJ568" t="str">
            <v xml:space="preserve"> of </v>
          </cell>
          <cell r="AL568" t="str">
            <v/>
          </cell>
          <cell r="AM568">
            <v>0.70833333333333304</v>
          </cell>
          <cell r="AN568" t="str">
            <v>Bima Kaltim Utama, PT</v>
          </cell>
          <cell r="AO568" t="str">
            <v>rera.bimakaltim@yahoo.com; albert.bimautama@yahoo.com; rya_bimakaltim@yahoo.com</v>
          </cell>
          <cell r="AP568" t="str">
            <v>6100-PC0626-00147</v>
          </cell>
          <cell r="AQ568">
            <v>30000000</v>
          </cell>
          <cell r="AT568">
            <v>46092</v>
          </cell>
          <cell r="AU568">
            <v>46115</v>
          </cell>
          <cell r="AV568">
            <v>46140</v>
          </cell>
          <cell r="AW568">
            <v>46163</v>
          </cell>
          <cell r="AX568">
            <v>3.2857142857142856</v>
          </cell>
          <cell r="AZ568" t="str">
            <v/>
          </cell>
          <cell r="BA568" t="str">
            <v/>
          </cell>
          <cell r="BB568" t="str">
            <v>Completed</v>
          </cell>
          <cell r="BC568" t="str">
            <v>PC0126-000000487</v>
          </cell>
        </row>
        <row r="569">
          <cell r="B569" t="str">
            <v>PC0126-000000056</v>
          </cell>
          <cell r="C569" t="str">
            <v>Over Haul DG Perkins 80 Kva</v>
          </cell>
          <cell r="E569" t="str">
            <v/>
          </cell>
          <cell r="F569" t="str">
            <v/>
          </cell>
          <cell r="G569" t="str">
            <v/>
          </cell>
          <cell r="H569" t="str">
            <v>SLAMET</v>
          </cell>
          <cell r="I569">
            <v>46076</v>
          </cell>
          <cell r="J569" t="str">
            <v>6100DB431</v>
          </cell>
          <cell r="K569" t="str">
            <v>B &amp; J</v>
          </cell>
          <cell r="L569" t="str">
            <v>BID</v>
          </cell>
          <cell r="M569">
            <v>38</v>
          </cell>
          <cell r="N569" t="str">
            <v>RH</v>
          </cell>
          <cell r="O569" t="str">
            <v>robertiagus.haposan@alamtri.com</v>
          </cell>
          <cell r="P569">
            <v>7236.74</v>
          </cell>
          <cell r="Q569">
            <v>119406210</v>
          </cell>
          <cell r="R569" t="str">
            <v>CANCEL</v>
          </cell>
          <cell r="S569" t="str">
            <v>Changed to PC0126-000001565 due to an issue with the PR.</v>
          </cell>
          <cell r="T569" t="str">
            <v>MSW</v>
          </cell>
          <cell r="U569" t="str">
            <v>Bima Kaltim Utama, PT
Blessindo Prima Sarana, PT
Xservice, CV
Jaya Induksi Elektrik, PT
ODG Nusantara Jaya, PT
Gala Jaya (Banjarmasin), PT
Cipta Dua Power Frans Diesel, PT
Wiratama Sistem Integrasi, PT</v>
          </cell>
          <cell r="V569" t="str">
            <v>Xservice, CV
Gala Jaya (Banjarmasin), PT</v>
          </cell>
          <cell r="W569" t="str">
            <v>8 of 8</v>
          </cell>
          <cell r="X569" t="str">
            <v>2 of 8</v>
          </cell>
          <cell r="Y569">
            <v>46076</v>
          </cell>
          <cell r="Z569">
            <v>46083</v>
          </cell>
          <cell r="AA569" t="str">
            <v>Bima Kaltim Utama, PT
Xservice, CV
Gala Jaya (Banjarmasin), PT
Taman Baru, PT
Pola Proserve Engineering, PT</v>
          </cell>
          <cell r="AB569" t="str">
            <v>Bima Kaltim Utama, PT
Xservice, CV
Gala Jaya (Banjarmasin), PT</v>
          </cell>
          <cell r="AC569" t="str">
            <v>5 of 5</v>
          </cell>
          <cell r="AD569" t="str">
            <v>3 of 5</v>
          </cell>
          <cell r="AE569">
            <v>46093</v>
          </cell>
          <cell r="AF569">
            <v>46112</v>
          </cell>
          <cell r="AI569" t="str">
            <v xml:space="preserve"> of </v>
          </cell>
          <cell r="AJ569" t="str">
            <v xml:space="preserve"> of </v>
          </cell>
          <cell r="AL569" t="str">
            <v/>
          </cell>
          <cell r="AM569">
            <v>0.70833333333333304</v>
          </cell>
          <cell r="AN569" t="str">
            <v>Xservice, CV</v>
          </cell>
          <cell r="AO569" t="str">
            <v>xservic3@gmail.com</v>
          </cell>
          <cell r="AR569">
            <v>46120</v>
          </cell>
          <cell r="AS569">
            <v>46134</v>
          </cell>
          <cell r="AW569" t="str">
            <v/>
          </cell>
          <cell r="AX569" t="str">
            <v/>
          </cell>
          <cell r="AZ569" t="str">
            <v/>
          </cell>
          <cell r="BA569" t="str">
            <v/>
          </cell>
          <cell r="BB569" t="str">
            <v/>
          </cell>
          <cell r="BC569" t="str">
            <v>PC0126-000000056</v>
          </cell>
        </row>
        <row r="570">
          <cell r="B570" t="str">
            <v>PC0126-000000300 (Line 1-5)</v>
          </cell>
          <cell r="C570" t="str">
            <v>Pengadaan Terminal Bushing flag Tembaga Trafo Tambang attachment</v>
          </cell>
          <cell r="D570" t="str">
            <v>Gridtech Indonesia, PT (Line 1)</v>
          </cell>
          <cell r="E570" t="str">
            <v>Gridtech Indonesia, PT
Ganesha Wirya Pratama, PT
Axel Jaya Cakraniaga, PT
Borneo Maju Jaya, PT
Alfa Teknik Mandiri Makmur, PT
Outsourcindo, PT
Perwira Sentra Officindo, PT
Sehati, CV
Antares Jaya Gemilang Prima, PT
Jaya Listrik, CV
Sentra Tanjung Jaya, CV</v>
          </cell>
          <cell r="F570" t="str">
            <v>Gridtech Indonesia, PT
Ganesha Wirya Pratama, PT
Axel Jaya Cakraniaga, PT
Alfa Teknik Mandiri Makmur, PT
Perwira Sentra Officindo, PT</v>
          </cell>
          <cell r="G570" t="str">
            <v>R0
5 of 11
20 Feb 26</v>
          </cell>
          <cell r="H570" t="str">
            <v>GUNARA FERY FAHNANI</v>
          </cell>
          <cell r="I570">
            <v>46064</v>
          </cell>
          <cell r="J570" t="str">
            <v>6100DB412</v>
          </cell>
          <cell r="K570" t="str">
            <v>B</v>
          </cell>
          <cell r="L570" t="str">
            <v>BID</v>
          </cell>
          <cell r="M570">
            <v>29</v>
          </cell>
          <cell r="N570" t="str">
            <v>RH</v>
          </cell>
          <cell r="O570" t="str">
            <v>robertiagus.haposan@alamtri.com</v>
          </cell>
          <cell r="P570">
            <v>3268.92</v>
          </cell>
          <cell r="Q570">
            <v>53937180</v>
          </cell>
          <cell r="R570" t="str">
            <v>Completed Sign PO</v>
          </cell>
          <cell r="S570" t="str">
            <v>Previous PR PC0125-000001471</v>
          </cell>
          <cell r="T570" t="str">
            <v>MSW</v>
          </cell>
          <cell r="U570" t="str">
            <v>Gridtech Indonesia, PT
Ganesha Wirya Pratama, PT
Axel Jaya Cakraniaga, PT
Borneo Maju Jaya, PT
Alfa Teknik Mandiri Makmur, PT
Outsourcindo, PT
Perwira Sentra Officindo, PT
Sehati, CV
Antares Jaya Gemilang Prima, PT
Jaya Listrik, CV
Sentra Tanjung Jaya, CV</v>
          </cell>
          <cell r="V570" t="str">
            <v>Gridtech Indonesia, PT
Ganesha Wirya Pratama, PT
Axel Jaya Cakraniaga, PT
Alfa Teknik Mandiri Makmur, PT
Perwira Sentra Officindo, PT</v>
          </cell>
          <cell r="W570" t="str">
            <v>11 of 11</v>
          </cell>
          <cell r="X570" t="str">
            <v>5 of 11</v>
          </cell>
          <cell r="Y570">
            <v>46064</v>
          </cell>
          <cell r="Z570">
            <v>46073</v>
          </cell>
          <cell r="AC570" t="str">
            <v xml:space="preserve"> of </v>
          </cell>
          <cell r="AD570" t="str">
            <v xml:space="preserve"> of </v>
          </cell>
          <cell r="AF570" t="str">
            <v/>
          </cell>
          <cell r="AI570" t="str">
            <v xml:space="preserve"> of </v>
          </cell>
          <cell r="AJ570" t="str">
            <v xml:space="preserve"> of </v>
          </cell>
          <cell r="AL570" t="str">
            <v/>
          </cell>
          <cell r="AM570">
            <v>0.70833333333333304</v>
          </cell>
          <cell r="AN570" t="str">
            <v>Alfa Teknik Mandiri Makmur, PT</v>
          </cell>
          <cell r="AO570" t="str">
            <v>sales.atmm@gmail.com; alex_atmm@yahoo.com</v>
          </cell>
          <cell r="AP570" t="str">
            <v>6100-PC0626-00261</v>
          </cell>
          <cell r="AQ570">
            <v>20120000</v>
          </cell>
          <cell r="AR570">
            <v>46090</v>
          </cell>
          <cell r="AS570">
            <v>46119</v>
          </cell>
          <cell r="AT570">
            <v>46128</v>
          </cell>
          <cell r="AU570">
            <v>46185</v>
          </cell>
          <cell r="AV570">
            <v>46133</v>
          </cell>
          <cell r="AW570">
            <v>46190</v>
          </cell>
          <cell r="AX570">
            <v>8.1428571428571423</v>
          </cell>
          <cell r="AZ570" t="str">
            <v/>
          </cell>
          <cell r="BA570" t="str">
            <v/>
          </cell>
          <cell r="BB570" t="str">
            <v>Late Completed</v>
          </cell>
          <cell r="BC570" t="str">
            <v>PC0126-000000300</v>
          </cell>
        </row>
        <row r="571">
          <cell r="B571" t="str">
            <v>PC0126-000000250</v>
          </cell>
          <cell r="C571" t="str">
            <v>Upgrade Soft Starter FCMA Motor 950 kW – 6.6 kV for U2 Boiler Feed Pump 2</v>
          </cell>
          <cell r="E571" t="str">
            <v>Gridtech Indonesia, PT
Buana Cahayatama, PT
ABB Sakti Industri, PT
Total Prime Engineering, PT
Puspetindo, PT
Triputra Electric Abadi, PT
Central Elektrindo Mandiri, PT
Teco Multiguna Elektro, PT
Viktori Profindo Automation, PT
Hexa Integra Electrica, PT</v>
          </cell>
          <cell r="F571" t="str">
            <v>Gridtech Indonesia, PT
Buana Cahayatama, PT
ABB Sakti Industri, PT</v>
          </cell>
          <cell r="G571" t="str">
            <v>R2
3 of 10
13 May 26</v>
          </cell>
          <cell r="H571" t="str">
            <v>BASUKI SETIYO WIDODO</v>
          </cell>
          <cell r="I571">
            <v>46084</v>
          </cell>
          <cell r="J571" t="str">
            <v>6100DB402</v>
          </cell>
          <cell r="K571" t="str">
            <v>B &amp; J</v>
          </cell>
          <cell r="L571" t="str">
            <v>BID</v>
          </cell>
          <cell r="M571">
            <v>47</v>
          </cell>
          <cell r="N571" t="str">
            <v>RH</v>
          </cell>
          <cell r="O571" t="str">
            <v>robertiagus.haposan@alamtri.com</v>
          </cell>
          <cell r="P571">
            <v>79000</v>
          </cell>
          <cell r="Q571">
            <v>1303500000</v>
          </cell>
          <cell r="R571" t="str">
            <v>CQS</v>
          </cell>
          <cell r="S571" t="str">
            <v>PC0125-000001495 dan PR100008351</v>
          </cell>
          <cell r="T571" t="str">
            <v>MSW</v>
          </cell>
          <cell r="U571" t="str">
            <v>Gridtech Indonesia, PT
Emkaha, PT
Borneo Maju Jaya, PT
Berkat Mandiri Utama Tanjung, PT
Graha Usaha Teknik, PT
Prima Saftindo Elektrika, PT
Duta Sarana Engineering, PT
Arlisco Elektrika Perkasa, PT
Jashen Mitra Sinergi, PT
Gading Mas Utama, PT
ABB Sakti Industri, PT
Jaya Induksi Elektrik, PT</v>
          </cell>
          <cell r="V571" t="str">
            <v>Gridtech Indonesia, PT</v>
          </cell>
          <cell r="W571" t="str">
            <v>12 of 12</v>
          </cell>
          <cell r="X571" t="str">
            <v>1 of 12</v>
          </cell>
          <cell r="Y571">
            <v>46084</v>
          </cell>
          <cell r="Z571">
            <v>46094</v>
          </cell>
          <cell r="AA571" t="str">
            <v>Gridtech Indonesia, PT
Mff Oilfield Services and Engineering, PT
Cakra Instrumindo Utama, PT
Control Systems Arena Para Nusa, PT
Total Solusi Instrument, PT
Putera Instrumenindo, PT
Sinergi Indo Pranata, PT
Promitra Prima Indonesia, PT
JJ-LAPP Cable Indonesia, PT
Sutrakabel Intimandiri, PT
Buana Cahayatama, PT</v>
          </cell>
          <cell r="AB571" t="str">
            <v>Buana Cahayatama, PT
Gridtech Indonesia, PT</v>
          </cell>
          <cell r="AC571" t="str">
            <v>11 of 11</v>
          </cell>
          <cell r="AD571" t="str">
            <v>2 of 11</v>
          </cell>
          <cell r="AE571">
            <v>46135</v>
          </cell>
          <cell r="AF571">
            <v>46142</v>
          </cell>
          <cell r="AG571" t="str">
            <v>Gridtech Indonesia, PT
Buana Cahayatama, PT
ABB Sakti Industri, PT
Total Prime Engineering, PT
Puspetindo, PT
Triputra Electric Abadi, PT
Central Elektrindo Mandiri, PT
Teco Multiguna Elektro, PT
Viktori Profindo Automation, PT
Hexa Integra Electrica, PT</v>
          </cell>
          <cell r="AH571" t="str">
            <v>Gridtech Indonesia, PT
Buana Cahayatama, PT
ABB Sakti Industri, PT</v>
          </cell>
          <cell r="AI571" t="str">
            <v>10 of 10</v>
          </cell>
          <cell r="AJ571" t="str">
            <v>3 of 10</v>
          </cell>
          <cell r="AK571">
            <v>46147</v>
          </cell>
          <cell r="AL571">
            <v>46155</v>
          </cell>
          <cell r="AM571">
            <v>0.70833333333333304</v>
          </cell>
          <cell r="AO571" t="str">
            <v/>
          </cell>
          <cell r="AR571">
            <v>46160</v>
          </cell>
          <cell r="AW571" t="str">
            <v/>
          </cell>
          <cell r="AX571" t="str">
            <v/>
          </cell>
          <cell r="AZ571" t="str">
            <v/>
          </cell>
          <cell r="BA571" t="str">
            <v/>
          </cell>
          <cell r="BB571" t="str">
            <v/>
          </cell>
          <cell r="BC571" t="str">
            <v>PC0126-000000250</v>
          </cell>
        </row>
        <row r="572">
          <cell r="B572" t="str">
            <v>PC0126-000000447</v>
          </cell>
          <cell r="C572" t="str">
            <v>Service &amp; Calibration I&amp;C Tools 2026</v>
          </cell>
          <cell r="E572" t="str">
            <v>Prokalindo Global Presisi, PT
Gridtech Indonesia, PT
Mandiri Transforma Global, PT</v>
          </cell>
          <cell r="F572" t="str">
            <v>Mandiri Transforma Global, PT</v>
          </cell>
          <cell r="G572" t="str">
            <v>R3
1 of 3
25 May 26</v>
          </cell>
          <cell r="H572" t="str">
            <v>DEDE SUDARJI</v>
          </cell>
          <cell r="I572">
            <v>46121</v>
          </cell>
          <cell r="J572" t="str">
            <v>6100DB402</v>
          </cell>
          <cell r="K572" t="str">
            <v>J</v>
          </cell>
          <cell r="L572" t="str">
            <v>BID</v>
          </cell>
          <cell r="M572">
            <v>52</v>
          </cell>
          <cell r="N572" t="str">
            <v>RH</v>
          </cell>
          <cell r="O572" t="str">
            <v>robertiagus.haposan@alamtri.com</v>
          </cell>
          <cell r="P572">
            <v>856.77</v>
          </cell>
          <cell r="Q572">
            <v>14136705</v>
          </cell>
          <cell r="R572" t="str">
            <v>CQS</v>
          </cell>
          <cell r="T572" t="str">
            <v>MSW</v>
          </cell>
          <cell r="U572" t="str">
            <v>Prokalindo Global Presisi, PT
Siwali Swantika, PT
Greentek Elektrikal Indonesia, PT
Sucofindo, PT
Unilab Perdana, PT
Total Solusi Instrument, PT
Putera Instrumenindo, PT
Central Elektrindo Mandiri, PT
ITS Science Indonesia, PT</v>
          </cell>
          <cell r="W572" t="str">
            <v>9 of 9</v>
          </cell>
          <cell r="X572" t="str">
            <v xml:space="preserve"> of 9</v>
          </cell>
          <cell r="Y572">
            <v>46121</v>
          </cell>
          <cell r="Z572">
            <v>46128</v>
          </cell>
          <cell r="AA572" t="str">
            <v>Prokalindo Global Presisi, PT
Siwali Swantika, PT
Endress+Hauser Indonesia, PT
ITS Science Indonesia, PT
TUV SUD Indonesia, PT
Gridtech Indonesia, PT</v>
          </cell>
          <cell r="AB572" t="str">
            <v>Prokalindo Global Presisi, PT
Gridtech Indonesia, PT</v>
          </cell>
          <cell r="AC572" t="str">
            <v>6 of 6</v>
          </cell>
          <cell r="AD572" t="str">
            <v>2 of 6</v>
          </cell>
          <cell r="AE572">
            <v>46134</v>
          </cell>
          <cell r="AF572">
            <v>46141</v>
          </cell>
          <cell r="AG572" t="str">
            <v>Siwali Swantika, PT
Gridtech Indonesia, PT
Heksa Instrumen Sinergi, PT
Pruftechnik Condition, PT
Sucofindo, PT
Total Solusi Instrument, PT</v>
          </cell>
          <cell r="AH572" t="str">
            <v>Prokalindo Global Presisi, PT
Gridtech Indonesia, PT</v>
          </cell>
          <cell r="AI572" t="str">
            <v>6 of 6</v>
          </cell>
          <cell r="AJ572" t="str">
            <v>2 of 6</v>
          </cell>
          <cell r="AK572">
            <v>46146</v>
          </cell>
          <cell r="AL572">
            <v>46153</v>
          </cell>
          <cell r="AM572">
            <v>0.70833333333333304</v>
          </cell>
          <cell r="AO572" t="str">
            <v/>
          </cell>
          <cell r="AR572">
            <v>46171</v>
          </cell>
          <cell r="AW572" t="str">
            <v/>
          </cell>
          <cell r="AX572" t="str">
            <v/>
          </cell>
          <cell r="AZ572" t="str">
            <v/>
          </cell>
          <cell r="BA572" t="str">
            <v/>
          </cell>
          <cell r="BB572" t="str">
            <v/>
          </cell>
          <cell r="BC572" t="str">
            <v>PC0126-000000447</v>
          </cell>
        </row>
        <row r="573">
          <cell r="B573" t="str">
            <v>PC0126-000000459</v>
          </cell>
          <cell r="C573" t="str">
            <v>Spare Part MCCB ABB for CHP Motor</v>
          </cell>
          <cell r="E573" t="str">
            <v>Trimitra Bangun Karyatama, PT
Gading Mas Utama, PT
Kin Kitra Kencana, PT
Gema Industrial, PT
Antares Jaya Gemilang Prima, PT
Putera Instrumenindo, PT
Gevana, PT
Greentek Elektrikal Indonesia, PT
Perwira Sentra Officindo, PT
Promitra Prima Indonesia, PT
Buana Cahayatama, PT</v>
          </cell>
          <cell r="F573" t="str">
            <v>Gading Mas Utama, PT
Gema Industrial, PT
Antares Jaya Gemilang Prima, PT
Greentek Elektrikal Indonesia, PT
Perwira Sentra Officindo, PT</v>
          </cell>
          <cell r="G573" t="str">
            <v>R0
5 of 11
25 Feb 26</v>
          </cell>
          <cell r="H573" t="str">
            <v>DEDE SUDARJI</v>
          </cell>
          <cell r="I573">
            <v>46071</v>
          </cell>
          <cell r="J573" t="str">
            <v>6100DB402</v>
          </cell>
          <cell r="K573" t="str">
            <v>B</v>
          </cell>
          <cell r="L573" t="str">
            <v>BID</v>
          </cell>
          <cell r="M573">
            <v>31</v>
          </cell>
          <cell r="N573" t="str">
            <v>RH</v>
          </cell>
          <cell r="O573" t="str">
            <v>robertiagus.haposan@alamtri.com</v>
          </cell>
          <cell r="P573">
            <v>472.7</v>
          </cell>
          <cell r="Q573">
            <v>7799550</v>
          </cell>
          <cell r="R573" t="str">
            <v>Completed Sign PO</v>
          </cell>
          <cell r="T573" t="str">
            <v>MSW</v>
          </cell>
          <cell r="U573" t="str">
            <v>Trimitra Bangun Karyatama, PT
Gading Mas Utama, PT
Kin Kitra Kencana, PT
Gema Industrial, PT
Antares Jaya Gemilang Prima, PT
Putera Instrumenindo, PT
Gevana, PT
Greentek Elektrikal Indonesia, PT
Perwira Sentra Officindo, PT
Promitra Prima Indonesia, PT
Buana Cahayatama, PT</v>
          </cell>
          <cell r="V573" t="str">
            <v>Gading Mas Utama, PT
Gema Industrial, PT
Antares Jaya Gemilang Prima, PT
Greentek Elektrikal Indonesia, PT
Perwira Sentra Officindo, PT</v>
          </cell>
          <cell r="W573" t="str">
            <v>11 of 11</v>
          </cell>
          <cell r="X573" t="str">
            <v>5 of 11</v>
          </cell>
          <cell r="Y573">
            <v>46071</v>
          </cell>
          <cell r="Z573">
            <v>46078</v>
          </cell>
          <cell r="AC573" t="str">
            <v xml:space="preserve"> of </v>
          </cell>
          <cell r="AD573" t="str">
            <v xml:space="preserve"> of </v>
          </cell>
          <cell r="AF573" t="str">
            <v/>
          </cell>
          <cell r="AI573" t="str">
            <v xml:space="preserve"> of </v>
          </cell>
          <cell r="AJ573" t="str">
            <v xml:space="preserve"> of </v>
          </cell>
          <cell r="AL573" t="str">
            <v/>
          </cell>
          <cell r="AM573">
            <v>0.70833333333333304</v>
          </cell>
          <cell r="AN573" t="str">
            <v>Antares Jaya Gemilang Prima, PT</v>
          </cell>
          <cell r="AO573" t="str">
            <v>info@pt-antares.com; antares.jgp@gmail.com</v>
          </cell>
          <cell r="AP573" t="str">
            <v>6100-PC0626-00284</v>
          </cell>
          <cell r="AQ573">
            <v>3350000</v>
          </cell>
          <cell r="AR573">
            <v>46090</v>
          </cell>
          <cell r="AS573">
            <v>46135</v>
          </cell>
          <cell r="AT573">
            <v>46135</v>
          </cell>
          <cell r="AU573">
            <v>46178</v>
          </cell>
          <cell r="AV573">
            <v>46139</v>
          </cell>
          <cell r="AW573">
            <v>46182</v>
          </cell>
          <cell r="AX573">
            <v>6.1428571428571432</v>
          </cell>
          <cell r="AZ573" t="str">
            <v/>
          </cell>
          <cell r="BA573" t="str">
            <v/>
          </cell>
          <cell r="BB573" t="str">
            <v>Late Completed</v>
          </cell>
          <cell r="BC573" t="str">
            <v>PC0126-000000459</v>
          </cell>
        </row>
        <row r="574">
          <cell r="B574" t="str">
            <v>PC0126-000000321</v>
          </cell>
          <cell r="C574" t="str">
            <v>Spare Part Trim Set Pneumatic Additional</v>
          </cell>
          <cell r="D574" t="str">
            <v>Andalan Tiga Berlian, PT - Line 1
Outsourcindo, PT - Line 2
Sola Anugerah Oilfield, PT - Line 3</v>
          </cell>
          <cell r="E574" t="str">
            <v>Gading Mas Utama, PT
Petrocom Nusa Synergy, PT
Putera Instrumenindo, PT
Outsourcindo, PT
Andalan Tiga Berlian, PT
Sola Anugerah Oilfield, PT
Kin Kitra Kencana, PT
Gema Industrial, PT</v>
          </cell>
          <cell r="F574" t="str">
            <v>Gading Mas Utama, PT
Petrocom Nusa Synergy, PT
Kin Kitra Kencana, PT</v>
          </cell>
          <cell r="G574" t="str">
            <v>R1
3 of 8
19 Dec 25</v>
          </cell>
          <cell r="H574" t="str">
            <v>ZAINI YUSUF</v>
          </cell>
          <cell r="I574">
            <v>46092</v>
          </cell>
          <cell r="J574" t="str">
            <v>6100DB402</v>
          </cell>
          <cell r="K574" t="str">
            <v>B</v>
          </cell>
          <cell r="L574" t="str">
            <v>BID</v>
          </cell>
          <cell r="N574" t="str">
            <v>RH</v>
          </cell>
          <cell r="O574" t="str">
            <v>robertiagus.haposan@alamtri.com</v>
          </cell>
          <cell r="P574">
            <v>1705</v>
          </cell>
          <cell r="Q574">
            <v>28132500</v>
          </cell>
          <cell r="R574" t="str">
            <v>PO Sign Vendor</v>
          </cell>
          <cell r="S574" t="str">
            <v>PC0125-000001039</v>
          </cell>
          <cell r="T574" t="str">
            <v>MSW</v>
          </cell>
          <cell r="U574" t="str">
            <v>Andalan Tiga Berlian, PT
Sola Anugerah Oilfield, PT
Gevana, PT
Gema Industrial, PT
Gading Mas Utama, PT
Petrocom Nusa Synergy, PT
Adijaya Mitra Perkasa, PT
Fajar Mas Murni, PT
Fadnov Airtech Indonesia, PT</v>
          </cell>
          <cell r="V574" t="str">
            <v>Gading Mas Utama, PT
Petrocom Nusa Synergy, PT</v>
          </cell>
          <cell r="W574" t="str">
            <v>9 of 9</v>
          </cell>
          <cell r="X574" t="str">
            <v>2 of 9</v>
          </cell>
          <cell r="Y574">
            <v>45995</v>
          </cell>
          <cell r="Z574">
            <v>46002</v>
          </cell>
          <cell r="AA574" t="str">
            <v>Gading Mas Utama, PT
Petrocom Nusa Synergy, PT
Putera Instrumenindo, PT
Outsourcindo, PT
Andalan Tiga Berlian, PT
Sola Anugerah Oilfield, PT
Kin Kitra Kencana, PT
Gema Industrial, PT</v>
          </cell>
          <cell r="AB574" t="str">
            <v>Gading Mas Utama, PT
Petrocom Nusa Synergy, PT
Kin Kitra Kencana, PT</v>
          </cell>
          <cell r="AC574" t="str">
            <v>8 of 8</v>
          </cell>
          <cell r="AD574" t="str">
            <v>3 of 8</v>
          </cell>
          <cell r="AE574">
            <v>46003</v>
          </cell>
          <cell r="AF574">
            <v>46010</v>
          </cell>
          <cell r="AI574" t="str">
            <v xml:space="preserve"> of </v>
          </cell>
          <cell r="AJ574" t="str">
            <v xml:space="preserve"> of </v>
          </cell>
          <cell r="AL574" t="str">
            <v/>
          </cell>
          <cell r="AM574">
            <v>0.70833333333333304</v>
          </cell>
          <cell r="AN574" t="str">
            <v>Gading Mas Utama, PT</v>
          </cell>
          <cell r="AO574" t="str">
            <v>sales@gmu.co.id; marta.l@cbn.net.id</v>
          </cell>
          <cell r="AP574" t="str">
            <v>6100-PC0626-00189</v>
          </cell>
          <cell r="AQ574">
            <v>55736500</v>
          </cell>
          <cell r="AR574">
            <v>46021</v>
          </cell>
          <cell r="AS574">
            <v>46091</v>
          </cell>
          <cell r="AT574">
            <v>46097</v>
          </cell>
          <cell r="AU574">
            <v>46311</v>
          </cell>
          <cell r="AV574">
            <v>46118</v>
          </cell>
          <cell r="AW574">
            <v>46332</v>
          </cell>
          <cell r="AX574">
            <v>30.571428571428573</v>
          </cell>
          <cell r="AZ574" t="str">
            <v/>
          </cell>
          <cell r="BA574" t="str">
            <v/>
          </cell>
          <cell r="BB574" t="str">
            <v>Completed</v>
          </cell>
          <cell r="BC574" t="str">
            <v>PC0126-000000321</v>
          </cell>
        </row>
        <row r="575">
          <cell r="B575" t="str">
            <v>PC0126-000000428</v>
          </cell>
          <cell r="C575" t="str">
            <v>Spare Part PTT Radio M8260 pengganti</v>
          </cell>
          <cell r="D575" t="str">
            <v>ALKS, CV - Line 1
Alfa Teknik Mandiri Makmur, PT - Line 2</v>
          </cell>
          <cell r="E575" t="str">
            <v>Niaga Prima Paramitra, PT
Century, CV
Berkat Jaya Komputindo, PT
Aka Prima Komputindo, PT
Central Elektrindo Mandiri, PT
Perwira Sentra Officindo, PT
Menara, CV
Alfa Teknik Mandiri Makmur, PT
ALKS, CV</v>
          </cell>
          <cell r="F575" t="str">
            <v>Century, CV
Berkat Jaya Komputindo, PT
Aka Prima Komputindo, PT
Perwira Sentra Officindo, PT
ALKS, CV</v>
          </cell>
          <cell r="G575" t="str">
            <v>R0
5 of 9
19 Dec 25</v>
          </cell>
          <cell r="H575" t="str">
            <v>BASUKI SETIYO WIDODO</v>
          </cell>
          <cell r="I575">
            <v>46059</v>
          </cell>
          <cell r="J575" t="str">
            <v>6100DB402</v>
          </cell>
          <cell r="K575" t="str">
            <v>B</v>
          </cell>
          <cell r="L575" t="str">
            <v>BID</v>
          </cell>
          <cell r="M575">
            <v>324</v>
          </cell>
          <cell r="N575" t="str">
            <v>RH</v>
          </cell>
          <cell r="O575" t="str">
            <v>robertiagus.haposan@alamtri.com</v>
          </cell>
          <cell r="Q575">
            <v>7600000</v>
          </cell>
          <cell r="R575" t="str">
            <v>Completed Sign PO</v>
          </cell>
          <cell r="S575" t="str">
            <v>PC0125-000001141</v>
          </cell>
          <cell r="T575" t="str">
            <v>MSW</v>
          </cell>
          <cell r="U575" t="str">
            <v>Niaga Prima Paramitra, PT
Century, CV
Berkat Jaya Komputindo, PT
Aka Prima Komputindo, PT
Central Elektrindo Mandiri, PT
Perwira Sentra Officindo, PT
Menara, CV
Alfa Teknik Mandiri Makmur, PT
ALKS, CV</v>
          </cell>
          <cell r="V575" t="str">
            <v>Century, CV
Berkat Jaya Komputindo, PT
Aka Prima Komputindo, PT
Perwira Sentra Officindo, PT
ALKS, CV</v>
          </cell>
          <cell r="W575" t="str">
            <v>9 of 9</v>
          </cell>
          <cell r="X575" t="str">
            <v>5 of 9</v>
          </cell>
          <cell r="Y575">
            <v>46007</v>
          </cell>
          <cell r="Z575">
            <v>46010</v>
          </cell>
          <cell r="AC575" t="str">
            <v xml:space="preserve"> of </v>
          </cell>
          <cell r="AD575" t="str">
            <v xml:space="preserve"> of </v>
          </cell>
          <cell r="AF575" t="str">
            <v/>
          </cell>
          <cell r="AI575" t="str">
            <v xml:space="preserve"> of </v>
          </cell>
          <cell r="AJ575" t="str">
            <v xml:space="preserve"> of </v>
          </cell>
          <cell r="AL575" t="str">
            <v/>
          </cell>
          <cell r="AM575">
            <v>0.70833333333333304</v>
          </cell>
          <cell r="AN575" t="str">
            <v>ALKS, CV</v>
          </cell>
          <cell r="AO575" t="str">
            <v>kasins@gmail.com</v>
          </cell>
          <cell r="AP575" t="str">
            <v>6100-PC0626-00085</v>
          </cell>
          <cell r="AQ575">
            <v>7495000</v>
          </cell>
          <cell r="AR575">
            <v>46021</v>
          </cell>
          <cell r="AS575">
            <v>46049</v>
          </cell>
          <cell r="AT575">
            <v>46059</v>
          </cell>
          <cell r="AU575">
            <v>46087</v>
          </cell>
          <cell r="AV575">
            <v>46065</v>
          </cell>
          <cell r="AW575">
            <v>46093</v>
          </cell>
          <cell r="AX575">
            <v>4</v>
          </cell>
          <cell r="AZ575" t="str">
            <v/>
          </cell>
          <cell r="BA575" t="str">
            <v/>
          </cell>
          <cell r="BB575" t="str">
            <v>Completed</v>
          </cell>
          <cell r="BC575" t="str">
            <v>PC0126-000000428</v>
          </cell>
        </row>
        <row r="576">
          <cell r="B576" t="str">
            <v>PC0126-000000436</v>
          </cell>
          <cell r="C576" t="str">
            <v>Additional Part TOH DG 4G2 hasil TA dari Trakindo (Reimbursmment ke IBT)</v>
          </cell>
          <cell r="D576" t="str">
            <v>Trakindo Utama, PT</v>
          </cell>
          <cell r="E576" t="str">
            <v>Trakindo Utama, PT</v>
          </cell>
          <cell r="F576" t="str">
            <v/>
          </cell>
          <cell r="G576" t="str">
            <v/>
          </cell>
          <cell r="H576" t="str">
            <v>SLAMET</v>
          </cell>
          <cell r="I576">
            <v>46062</v>
          </cell>
          <cell r="J576" t="str">
            <v>6100DB432</v>
          </cell>
          <cell r="K576" t="str">
            <v>B</v>
          </cell>
          <cell r="L576" t="str">
            <v>CTR</v>
          </cell>
          <cell r="M576">
            <v>2</v>
          </cell>
          <cell r="N576" t="str">
            <v>RH</v>
          </cell>
          <cell r="O576" t="str">
            <v>robertiagus.haposan@alamtri.com</v>
          </cell>
          <cell r="P576">
            <v>389.81</v>
          </cell>
          <cell r="Q576">
            <v>6431865</v>
          </cell>
          <cell r="R576" t="str">
            <v>Completed Sign PO Contract</v>
          </cell>
          <cell r="S576" t="str">
            <v>Pengganti PC0126-000000716</v>
          </cell>
          <cell r="T576" t="str">
            <v>MSW</v>
          </cell>
          <cell r="U576" t="str">
            <v>Trakindo Utama, PT</v>
          </cell>
          <cell r="V576" t="str">
            <v>Trakindo Utama, PT</v>
          </cell>
          <cell r="W576" t="str">
            <v>1 of 1</v>
          </cell>
          <cell r="X576" t="str">
            <v>1 of 1</v>
          </cell>
          <cell r="Y576">
            <v>46062</v>
          </cell>
          <cell r="Z576">
            <v>46063</v>
          </cell>
          <cell r="AC576" t="str">
            <v xml:space="preserve"> of </v>
          </cell>
          <cell r="AD576" t="str">
            <v xml:space="preserve"> of </v>
          </cell>
          <cell r="AF576" t="str">
            <v/>
          </cell>
          <cell r="AI576" t="str">
            <v xml:space="preserve"> of </v>
          </cell>
          <cell r="AJ576" t="str">
            <v xml:space="preserve"> of </v>
          </cell>
          <cell r="AL576" t="str">
            <v/>
          </cell>
          <cell r="AM576">
            <v>0.70833333333333304</v>
          </cell>
          <cell r="AN576" t="str">
            <v>Trakindo Utama, PT</v>
          </cell>
          <cell r="AO576" t="str">
            <v>hjuniater.sidauruk@trakindo.co.id</v>
          </cell>
          <cell r="AP576" t="str">
            <v>6100-PC0626-00099</v>
          </cell>
          <cell r="AQ576">
            <v>39149430</v>
          </cell>
          <cell r="AT576">
            <v>46064</v>
          </cell>
          <cell r="AU576">
            <v>46101</v>
          </cell>
          <cell r="AV576">
            <v>46065</v>
          </cell>
          <cell r="AW576">
            <v>46102</v>
          </cell>
          <cell r="AX576">
            <v>5.2857142857142856</v>
          </cell>
          <cell r="AZ576" t="str">
            <v/>
          </cell>
          <cell r="BA576" t="str">
            <v/>
          </cell>
          <cell r="BB576" t="str">
            <v>Completed</v>
          </cell>
          <cell r="BC576" t="str">
            <v>PC0126-000000436</v>
          </cell>
        </row>
        <row r="577">
          <cell r="B577" t="str">
            <v>PC0126-000000893</v>
          </cell>
          <cell r="C577" t="str">
            <v>Sparepart Air Regulator &amp; Fire Alarm System [EIC]</v>
          </cell>
          <cell r="D577" t="str">
            <v>Kin Kitra Kencana, PT - Line 3</v>
          </cell>
          <cell r="E577" t="str">
            <v>Panca Global Solusindo, PT
Gema Industrial, PT
Kin Kitra Kencana, PT
Petrocom Nusa Synergy, PT
Indo Tehnik Tanjung Tabalong, PT
Alfa Teknik Mandiri Makmur, PT
Perwira Sentra Officindo, PT
Stanindo Artha Langgeng, PT
Ganesha Wirya Pratama, PT
Emkaha, PT</v>
          </cell>
          <cell r="F577" t="str">
            <v>Kin Kitra Kencana, PT</v>
          </cell>
          <cell r="G577" t="str">
            <v>R1
1 of 10
04 Dec 25</v>
          </cell>
          <cell r="H577" t="str">
            <v>DEDE SUDARJI</v>
          </cell>
          <cell r="I577">
            <v>46092</v>
          </cell>
          <cell r="J577" t="str">
            <v>6100DB402</v>
          </cell>
          <cell r="K577" t="str">
            <v>B</v>
          </cell>
          <cell r="L577" t="str">
            <v>BID</v>
          </cell>
          <cell r="M577">
            <v>261</v>
          </cell>
          <cell r="N577" t="str">
            <v>RH</v>
          </cell>
          <cell r="O577" t="str">
            <v>robertiagus.haposan@alamtri.com</v>
          </cell>
          <cell r="P577">
            <v>1779</v>
          </cell>
          <cell r="Q577">
            <v>29353500</v>
          </cell>
          <cell r="R577" t="str">
            <v>Completed Sign PO</v>
          </cell>
          <cell r="S577" t="str">
            <v>Pengganti PR100010691 (Line 3)R2</v>
          </cell>
          <cell r="T577" t="str">
            <v>MSW</v>
          </cell>
          <cell r="U577" t="str">
            <v>Kin Kitra Kencana, PT
Promitra Prima Indonesia, PT
Norgantara Andalan Mandiri Indonesia, PT
Perwira Sentra Officindo, PT
Alfa Teknik Mandiri Makmur, PT
Gading Mas Utama, PT
Sola Anugerah Oilfield, PT
Gema Industrial, PT
Putera Instrumenindo, PT
Afghan Jaya Abadi, PT
Mitra Energi Abadi, PT
Panca Global Solusindo, PT
ODG Indonesia, PT
Jaga Karya Mandiri, PT
Berkat Keselamatan Dunia, PT</v>
          </cell>
          <cell r="V577" t="str">
            <v>Norgantara Andalan Mandiri Indonesia, PT
Perwira Sentra Officindo, PT
Gading Mas Utama, PT
Panca Global Solusindo, PT</v>
          </cell>
          <cell r="W577" t="str">
            <v>15 of 15</v>
          </cell>
          <cell r="X577" t="str">
            <v>4 of 15</v>
          </cell>
          <cell r="Y577">
            <v>45918</v>
          </cell>
          <cell r="Z577">
            <v>45925</v>
          </cell>
          <cell r="AA577" t="str">
            <v>Panca Global Solusindo, PT
Gema Industrial, PT
Kin Kitra Kencana, PT
Petrocom Nusa Synergy, PT
Indo Tehnik Tanjung Tabalong, PT
Alfa Teknik Mandiri Makmur, PT
Perwira Sentra Officindo, PT
Stanindo Artha Langgeng, PT
Ganesha Wirya Pratama, PT
Emkaha, PT</v>
          </cell>
          <cell r="AB577" t="str">
            <v>Kin Kitra Kencana, PT</v>
          </cell>
          <cell r="AC577" t="str">
            <v>10 of 10</v>
          </cell>
          <cell r="AD577" t="str">
            <v>1 of 10</v>
          </cell>
          <cell r="AE577">
            <v>45988</v>
          </cell>
          <cell r="AF577">
            <v>45995</v>
          </cell>
          <cell r="AI577" t="str">
            <v xml:space="preserve"> of </v>
          </cell>
          <cell r="AJ577" t="str">
            <v xml:space="preserve"> of </v>
          </cell>
          <cell r="AL577" t="str">
            <v/>
          </cell>
          <cell r="AM577">
            <v>0.70833333333333304</v>
          </cell>
          <cell r="AN577" t="str">
            <v>Kin Kitra Kencana, PT</v>
          </cell>
          <cell r="AO577" t="str">
            <v>ptkinkitrakencana@gmail.com; teguhkin999@gmail.com</v>
          </cell>
          <cell r="AP577" t="str">
            <v>6100-PC0626-00165</v>
          </cell>
          <cell r="AQ577">
            <v>15900000</v>
          </cell>
          <cell r="AR577">
            <v>46021</v>
          </cell>
          <cell r="AS577">
            <v>46065</v>
          </cell>
          <cell r="AT577">
            <v>46092</v>
          </cell>
          <cell r="AU577">
            <v>46220</v>
          </cell>
          <cell r="AV577">
            <v>46092</v>
          </cell>
          <cell r="AW577">
            <v>46220</v>
          </cell>
          <cell r="AX577">
            <v>18.285714285714285</v>
          </cell>
          <cell r="AZ577" t="str">
            <v/>
          </cell>
          <cell r="BA577" t="str">
            <v/>
          </cell>
          <cell r="BB577" t="str">
            <v>Completed</v>
          </cell>
          <cell r="BC577" t="str">
            <v>PC0126-000000893</v>
          </cell>
        </row>
        <row r="578">
          <cell r="B578" t="str">
            <v>PC0126-000000424 (Line 1,4,6,7,8) (line 1,3,4)</v>
          </cell>
          <cell r="C578" t="str">
            <v>Material PM to All DG 3G IBT</v>
          </cell>
          <cell r="D578" t="str">
            <v>Aneka Mitra Cipta, PT - Line 1
Indo Tehnik Tanjung Tabalong, PT - Line 2
Ranadityo Sukses Makmur, PT - Line 3
Petrocom Nusa Synergy, PT - Line 4
Arthapusaka Mitra Sakti, PT - Line 5</v>
          </cell>
          <cell r="E578" t="str">
            <v>Aneka Mitra Cipta, PT
Indo Tehnik Tanjung Tabalong, PT
Petrocom Nusa Synergy, PT
Arthapusaka Mitra Sakti, PT
Ranadityo Sukses Makmur, PT
Bima Kaltim Utama, PT
Rollent Indonesia, PT
Perwira Sentra Officindo, PT
Sarana Prima Lestari, CV
Greentek Elektrikal Indonesia, PT</v>
          </cell>
          <cell r="F578" t="str">
            <v>Aneka Mitra Cipta, PT
Indo Tehnik Tanjung Tabalong, PT
Arthapusaka Mitra Sakti, PT
Ranadityo Sukses Makmur, PT
Bima Kaltim Utama, PT
Perwira Sentra Officindo, PT
Greentek Elektrikal Indonesia, PT</v>
          </cell>
          <cell r="G578" t="str">
            <v>R0
7 of 10
19 Feb 26</v>
          </cell>
          <cell r="H578" t="str">
            <v>SLAMET</v>
          </cell>
          <cell r="I578">
            <v>46062</v>
          </cell>
          <cell r="J578" t="str">
            <v>6100DB432</v>
          </cell>
          <cell r="K578" t="str">
            <v>B</v>
          </cell>
          <cell r="L578" t="str">
            <v>BID</v>
          </cell>
          <cell r="M578">
            <v>20</v>
          </cell>
          <cell r="N578" t="str">
            <v>RH</v>
          </cell>
          <cell r="O578" t="str">
            <v>robertiagus.haposan@alamtri.com</v>
          </cell>
          <cell r="P578">
            <v>620.88</v>
          </cell>
          <cell r="Q578">
            <v>10244520</v>
          </cell>
          <cell r="R578" t="str">
            <v>Completed Sign PO</v>
          </cell>
          <cell r="T578" t="str">
            <v>MSW</v>
          </cell>
          <cell r="U578" t="str">
            <v>Aneka Mitra Cipta, PT
Indo Tehnik Tanjung Tabalong, PT
Petrocom Nusa Synergy, PT
Arthapusaka Mitra Sakti, PT
Ranadityo Sukses Makmur, PT
Bima Kaltim Utama, PT
Rollent Indonesia, PT
Perwira Sentra Officindo, PT
Sarana Prima Lestari, CV
Greentek Elektrikal Indonesia, PT</v>
          </cell>
          <cell r="V578" t="str">
            <v>Aneka Mitra Cipta, PT
Indo Tehnik Tanjung Tabalong, PT
Arthapusaka Mitra Sakti, PT
Ranadityo Sukses Makmur, PT
Bima Kaltim Utama, PT
Perwira Sentra Officindo, PT
Greentek Elektrikal Indonesia, PT</v>
          </cell>
          <cell r="W578" t="str">
            <v>10 of 10</v>
          </cell>
          <cell r="X578" t="str">
            <v>7 of 10</v>
          </cell>
          <cell r="Y578">
            <v>46062</v>
          </cell>
          <cell r="Z578">
            <v>46072</v>
          </cell>
          <cell r="AC578" t="str">
            <v xml:space="preserve"> of </v>
          </cell>
          <cell r="AD578" t="str">
            <v xml:space="preserve"> of </v>
          </cell>
          <cell r="AF578" t="str">
            <v/>
          </cell>
          <cell r="AI578" t="str">
            <v xml:space="preserve"> of </v>
          </cell>
          <cell r="AJ578" t="str">
            <v xml:space="preserve"> of </v>
          </cell>
          <cell r="AL578" t="str">
            <v/>
          </cell>
          <cell r="AM578">
            <v>0.70833333333333304</v>
          </cell>
          <cell r="AN578" t="str">
            <v>Aneka Mitra Cipta, PT</v>
          </cell>
          <cell r="AO578" t="str">
            <v>krisnaadiputrawijaya164@gmail.com; anekamc@gmail.com</v>
          </cell>
          <cell r="AP578" t="str">
            <v>6100-PC0626-00185</v>
          </cell>
          <cell r="AQ578">
            <v>9780000</v>
          </cell>
          <cell r="AR578">
            <v>46079</v>
          </cell>
          <cell r="AS578">
            <v>46090</v>
          </cell>
          <cell r="AT578">
            <v>46097</v>
          </cell>
          <cell r="AU578">
            <v>46115</v>
          </cell>
          <cell r="AV578">
            <v>46126</v>
          </cell>
          <cell r="AW578">
            <v>46144</v>
          </cell>
          <cell r="AX578">
            <v>2.5714285714285716</v>
          </cell>
          <cell r="AZ578" t="str">
            <v/>
          </cell>
          <cell r="BA578" t="str">
            <v/>
          </cell>
          <cell r="BB578" t="str">
            <v>Late Completed</v>
          </cell>
          <cell r="BC578" t="str">
            <v>PC0126-000000424</v>
          </cell>
        </row>
        <row r="579">
          <cell r="B579" t="str">
            <v>PC0126-000000249</v>
          </cell>
          <cell r="C579" t="str">
            <v>Penyediaan Jasa &amp; Part Power Feeder Redundant Sistem Air Compressor</v>
          </cell>
          <cell r="E579" t="str">
            <v>Total Prime Engineering, PT
Trimitra Teknik Global, PT
Gridtech Indonesia, PT
ABB Sakti Industri, PT
Triputra Electric Abadi, PT
PLN Nusantara Power Services, PT
Hexa Integra Electrica, PT
Streamer Electric Indonesia, PT
Buana Cahayatama, PT</v>
          </cell>
          <cell r="F579" t="str">
            <v>Total Prime Engineering, PT</v>
          </cell>
          <cell r="G579" t="str">
            <v>R2
1 of 9
13 May 26</v>
          </cell>
          <cell r="H579" t="str">
            <v>BASUKI SETIYO WIDODO</v>
          </cell>
          <cell r="I579">
            <v>46121</v>
          </cell>
          <cell r="J579" t="str">
            <v>6100DB402</v>
          </cell>
          <cell r="K579" t="str">
            <v>B &amp; J</v>
          </cell>
          <cell r="L579" t="str">
            <v>BID</v>
          </cell>
          <cell r="M579">
            <v>53</v>
          </cell>
          <cell r="N579" t="str">
            <v>RH</v>
          </cell>
          <cell r="O579" t="str">
            <v>robertiagus.haposan@alamtri.com</v>
          </cell>
          <cell r="P579">
            <v>77000</v>
          </cell>
          <cell r="Q579">
            <v>1270500000</v>
          </cell>
          <cell r="R579" t="str">
            <v>CQS</v>
          </cell>
          <cell r="S579" t="str">
            <v>Previous PR PC0125-000001484</v>
          </cell>
          <cell r="T579" t="str">
            <v>MSW</v>
          </cell>
          <cell r="U579" t="str">
            <v>Rinas Bangun Sejahtera, PT
Graha Usaha Teknik, PT
Arjuna Mas Abadi, PT
Jashen Mitra Sinergi, PT
ODG Nusantara Jaya, PT
Powerindo Prima Perkasa, PT
Borneo Maju Jaya, PT
Gridtech Indonesia, PT
Mytech Engineering, PT
Sanggadelima Nusantara, PT
Sinergi Indo Pranata, PT
Hitachi Sakti Energy Indonesia, PT
Total Prime Engineering, PT</v>
          </cell>
          <cell r="V579" t="str">
            <v>Total Prime Engineering, PT</v>
          </cell>
          <cell r="W579" t="str">
            <v>13 of 13</v>
          </cell>
          <cell r="X579" t="str">
            <v>1 of 13</v>
          </cell>
          <cell r="Y579">
            <v>46121</v>
          </cell>
          <cell r="Z579">
            <v>46128</v>
          </cell>
          <cell r="AA579" t="str">
            <v>Total Prime Engineering, PT
Graha Usaha Teknik, PT
Jashen Mitra Sinergi, PT
Teknik Cahaya Mandiri, CV
Powerindo Prima Perkasa, PT
Putranata Adi Mandiri, PT
Borneo Maju Jaya, PT
Gridtech Indonesia, PT
Puspetindo, PT
Berkat Mandiri Utama Tanjung, PT
Emkaha, PT</v>
          </cell>
          <cell r="AB579" t="str">
            <v>Total Prime Engineering, PT</v>
          </cell>
          <cell r="AC579" t="str">
            <v>11 of 11</v>
          </cell>
          <cell r="AD579" t="str">
            <v>1 of 11</v>
          </cell>
          <cell r="AE579">
            <v>46134</v>
          </cell>
          <cell r="AF579">
            <v>46141</v>
          </cell>
          <cell r="AG579" t="str">
            <v>Total Prime Engineering, PT
Trimitra Teknik Global, PT
Gridtech Indonesia, PT
ABB Sakti Industri, PT
Triputra Electric Abadi, PT
PLN Nusantara Power Services, PT
Hexa Integra Electrica, PT
Streamer Electric Indonesia, PT
Buana Cahayatama, PT</v>
          </cell>
          <cell r="AH579" t="str">
            <v>Total Prime Engineering, PT</v>
          </cell>
          <cell r="AI579" t="str">
            <v>9 of 9</v>
          </cell>
          <cell r="AJ579" t="str">
            <v>1 of 9</v>
          </cell>
          <cell r="AK579">
            <v>46147</v>
          </cell>
          <cell r="AL579">
            <v>46155</v>
          </cell>
          <cell r="AM579">
            <v>0.70833333333333304</v>
          </cell>
          <cell r="AO579" t="str">
            <v/>
          </cell>
          <cell r="AR579">
            <v>46161</v>
          </cell>
          <cell r="AW579" t="str">
            <v/>
          </cell>
          <cell r="AX579" t="str">
            <v/>
          </cell>
          <cell r="AZ579" t="str">
            <v/>
          </cell>
          <cell r="BA579" t="str">
            <v/>
          </cell>
          <cell r="BB579" t="str">
            <v/>
          </cell>
          <cell r="BC579" t="str">
            <v>PC0126-000000249</v>
          </cell>
        </row>
        <row r="580">
          <cell r="B580" t="str">
            <v>PC0126-000000302</v>
          </cell>
          <cell r="C580" t="str">
            <v>Jasa Pengadaan &amp; Pemasang Battery Set for U2 DC Charger System AEG</v>
          </cell>
          <cell r="D580" t="str">
            <v>Westindo Esa Perkasa, PT</v>
          </cell>
          <cell r="E580" t="str">
            <v/>
          </cell>
          <cell r="F580" t="str">
            <v/>
          </cell>
          <cell r="G580" t="str">
            <v/>
          </cell>
          <cell r="H580" t="str">
            <v>BASUKI SETIYO WIDODO</v>
          </cell>
          <cell r="I580">
            <v>46121</v>
          </cell>
          <cell r="J580" t="str">
            <v>6100DB402</v>
          </cell>
          <cell r="K580" t="str">
            <v>B &amp; J</v>
          </cell>
          <cell r="L580" t="str">
            <v>IOM</v>
          </cell>
          <cell r="N580" t="str">
            <v>RH</v>
          </cell>
          <cell r="O580" t="str">
            <v>robertiagus.haposan@alamtri.com</v>
          </cell>
          <cell r="P580">
            <v>83000</v>
          </cell>
          <cell r="Q580">
            <v>1369500000</v>
          </cell>
          <cell r="R580" t="str">
            <v>Completed Contract</v>
          </cell>
          <cell r="T580" t="str">
            <v>MSW</v>
          </cell>
          <cell r="W580" t="str">
            <v xml:space="preserve"> of </v>
          </cell>
          <cell r="X580" t="str">
            <v xml:space="preserve"> of </v>
          </cell>
          <cell r="Z580" t="str">
            <v/>
          </cell>
          <cell r="AC580" t="str">
            <v xml:space="preserve"> of </v>
          </cell>
          <cell r="AD580" t="str">
            <v xml:space="preserve"> of </v>
          </cell>
          <cell r="AF580" t="str">
            <v/>
          </cell>
          <cell r="AI580" t="str">
            <v xml:space="preserve"> of </v>
          </cell>
          <cell r="AJ580" t="str">
            <v xml:space="preserve"> of </v>
          </cell>
          <cell r="AL580" t="str">
            <v/>
          </cell>
          <cell r="AM580">
            <v>0.70833333333333304</v>
          </cell>
          <cell r="AN580" t="str">
            <v>Westindo Esa Perkasa, PT</v>
          </cell>
          <cell r="AO580" t="str">
            <v>serpina@westindo.co.id</v>
          </cell>
          <cell r="AQ580">
            <v>1284600000</v>
          </cell>
          <cell r="AT580">
            <v>46167</v>
          </cell>
          <cell r="AU580">
            <v>46167</v>
          </cell>
          <cell r="AW580" t="str">
            <v/>
          </cell>
          <cell r="AX580" t="str">
            <v/>
          </cell>
          <cell r="AZ580" t="str">
            <v/>
          </cell>
          <cell r="BA580" t="str">
            <v/>
          </cell>
          <cell r="BB580" t="str">
            <v>Late Completed</v>
          </cell>
          <cell r="BC580" t="str">
            <v>PC0126-000000302</v>
          </cell>
        </row>
        <row r="581">
          <cell r="B581" t="str">
            <v>PC0126-000000281</v>
          </cell>
          <cell r="C581" t="str">
            <v>Accelerometer, SLC 144 - DuoTech</v>
          </cell>
          <cell r="D581" t="str">
            <v>Pruftechnik Condition, PT</v>
          </cell>
          <cell r="E581" t="str">
            <v>Pruftechnik Condition, PT
Promitra Prima Indonesia, PT
Greentek Elektrikal Indonesia, PT
Gridtech Indonesia, PT
Dwihasta Pirusa, PT</v>
          </cell>
          <cell r="F581" t="str">
            <v>Promitra Prima Indonesia, PT
Gridtech Indonesia, PT
Dwihasta Pirusa, PT</v>
          </cell>
          <cell r="G581" t="str">
            <v>R0
3 of 5
19 Feb 26</v>
          </cell>
          <cell r="H581" t="str">
            <v>SASTRA IRAWAN</v>
          </cell>
          <cell r="I581">
            <v>46064</v>
          </cell>
          <cell r="J581" t="str">
            <v>6100DB403</v>
          </cell>
          <cell r="K581" t="str">
            <v>B &amp; J</v>
          </cell>
          <cell r="L581" t="str">
            <v>BID</v>
          </cell>
          <cell r="M581">
            <v>21</v>
          </cell>
          <cell r="N581" t="str">
            <v>RH</v>
          </cell>
          <cell r="O581" t="str">
            <v>robertiagus.haposan@alamtri.com</v>
          </cell>
          <cell r="P581">
            <v>1240.8399999999999</v>
          </cell>
          <cell r="Q581">
            <v>20473860</v>
          </cell>
          <cell r="R581" t="str">
            <v>PO Sign Vendor</v>
          </cell>
          <cell r="T581" t="str">
            <v>MSW</v>
          </cell>
          <cell r="U581" t="str">
            <v>Pruftechnik Condition, PT
Promitra Prima Indonesia, PT
Greentek Elektrikal Indonesia, PT
Gridtech Indonesia, PT
Dwihasta Pirusa, PT</v>
          </cell>
          <cell r="V581" t="str">
            <v>Promitra Prima Indonesia, PT
Gridtech Indonesia, PT
Dwihasta Pirusa, PT</v>
          </cell>
          <cell r="W581" t="str">
            <v>5 of 5</v>
          </cell>
          <cell r="X581" t="str">
            <v>3 of 5</v>
          </cell>
          <cell r="Y581">
            <v>46063</v>
          </cell>
          <cell r="Z581">
            <v>46072</v>
          </cell>
          <cell r="AC581" t="str">
            <v xml:space="preserve"> of </v>
          </cell>
          <cell r="AD581" t="str">
            <v xml:space="preserve"> of </v>
          </cell>
          <cell r="AF581" t="str">
            <v/>
          </cell>
          <cell r="AI581" t="str">
            <v xml:space="preserve"> of </v>
          </cell>
          <cell r="AJ581" t="str">
            <v xml:space="preserve"> of </v>
          </cell>
          <cell r="AL581" t="str">
            <v/>
          </cell>
          <cell r="AM581">
            <v>0.70833333333333304</v>
          </cell>
          <cell r="AN581" t="str">
            <v>Dwihasta Pirusa, PT</v>
          </cell>
          <cell r="AO581" t="str">
            <v>dhpirusa@indo.net.id; ivan.salim@dhpirusa-spm.co.id</v>
          </cell>
          <cell r="AP581" t="str">
            <v>6100-PC0626-00190</v>
          </cell>
          <cell r="AQ581">
            <v>15840000</v>
          </cell>
          <cell r="AR581">
            <v>46077</v>
          </cell>
          <cell r="AS581">
            <v>46091</v>
          </cell>
          <cell r="AT581">
            <v>46118</v>
          </cell>
          <cell r="AU581">
            <v>46192</v>
          </cell>
          <cell r="AV581">
            <v>46126</v>
          </cell>
          <cell r="AW581">
            <v>46200</v>
          </cell>
          <cell r="AX581">
            <v>10.571428571428571</v>
          </cell>
          <cell r="AZ581" t="str">
            <v/>
          </cell>
          <cell r="BA581" t="str">
            <v/>
          </cell>
          <cell r="BB581" t="str">
            <v>Late Completed</v>
          </cell>
          <cell r="BC581" t="str">
            <v>PC0126-000000281</v>
          </cell>
        </row>
        <row r="582">
          <cell r="B582" t="str">
            <v>PC0126-000000424 (Line 2,3,5)</v>
          </cell>
          <cell r="C582" t="str">
            <v>Material PM to All DG 3G IBT</v>
          </cell>
          <cell r="D582" t="str">
            <v>Trakindo Utama, PT</v>
          </cell>
          <cell r="E582" t="str">
            <v>Trakindo Utama, PT</v>
          </cell>
          <cell r="F582" t="str">
            <v/>
          </cell>
          <cell r="G582" t="str">
            <v/>
          </cell>
          <cell r="H582" t="str">
            <v>SLAMET</v>
          </cell>
          <cell r="I582">
            <v>46062</v>
          </cell>
          <cell r="J582" t="str">
            <v>6100DB432</v>
          </cell>
          <cell r="K582" t="str">
            <v>B</v>
          </cell>
          <cell r="L582" t="str">
            <v>CTR</v>
          </cell>
          <cell r="M582">
            <v>1</v>
          </cell>
          <cell r="N582" t="str">
            <v>RH</v>
          </cell>
          <cell r="O582" t="str">
            <v>robertiagus.haposan@alamtri.com</v>
          </cell>
          <cell r="P582">
            <v>640.71</v>
          </cell>
          <cell r="Q582">
            <v>10571715</v>
          </cell>
          <cell r="R582" t="str">
            <v>Completed Sign PO Contract</v>
          </cell>
          <cell r="T582" t="str">
            <v>MSW</v>
          </cell>
          <cell r="U582" t="str">
            <v>Trakindo Utama, PT</v>
          </cell>
          <cell r="V582" t="str">
            <v>Trakindo Utama, PT</v>
          </cell>
          <cell r="W582" t="str">
            <v>1 of 1</v>
          </cell>
          <cell r="X582" t="str">
            <v>1 of 1</v>
          </cell>
          <cell r="Y582">
            <v>46062</v>
          </cell>
          <cell r="Z582">
            <v>46063</v>
          </cell>
          <cell r="AC582" t="str">
            <v xml:space="preserve"> of </v>
          </cell>
          <cell r="AD582" t="str">
            <v xml:space="preserve"> of </v>
          </cell>
          <cell r="AF582" t="str">
            <v/>
          </cell>
          <cell r="AI582" t="str">
            <v xml:space="preserve"> of </v>
          </cell>
          <cell r="AJ582" t="str">
            <v xml:space="preserve"> of </v>
          </cell>
          <cell r="AL582" t="str">
            <v/>
          </cell>
          <cell r="AM582">
            <v>0.70833333333333304</v>
          </cell>
          <cell r="AN582" t="str">
            <v>Trakindo Utama, PT</v>
          </cell>
          <cell r="AO582" t="str">
            <v>hjuniater.sidauruk@trakindo.co.id</v>
          </cell>
          <cell r="AP582" t="str">
            <v>6100-PC0626-00089</v>
          </cell>
          <cell r="AQ582">
            <v>11019645</v>
          </cell>
          <cell r="AT582">
            <v>46064</v>
          </cell>
          <cell r="AU582">
            <v>46094</v>
          </cell>
          <cell r="AV582">
            <v>46065</v>
          </cell>
          <cell r="AW582">
            <v>46095</v>
          </cell>
          <cell r="AX582">
            <v>4.2857142857142856</v>
          </cell>
          <cell r="AZ582" t="str">
            <v/>
          </cell>
          <cell r="BA582" t="str">
            <v/>
          </cell>
          <cell r="BB582" t="str">
            <v>Completed</v>
          </cell>
          <cell r="BC582" t="str">
            <v>PC0126-000000424</v>
          </cell>
        </row>
        <row r="583">
          <cell r="B583" t="str">
            <v>PC0126-000000591 (Line 6)</v>
          </cell>
          <cell r="C583" t="str">
            <v>Spare Part Instrumentation &amp; Burner</v>
          </cell>
          <cell r="D583" t="str">
            <v>Karya Energi Indonesia, PT - Line 1
Putera Instrumenindo, PT - Line 2
ABB Sakti Industri, PT - Line 3
Petrocom Nusa Synergy, PT - Line 6 
Siwali Swantika, PT - Line 7</v>
          </cell>
          <cell r="E583" t="str">
            <v>Karya Energi Indonesia, PT
Norgantara Andalan Mandiri Indonesia, PT
Putera Instrumenindo, PT
ABB Sakti Industri, PT
Gema Industrial, PT
Petrocom Nusa Synergy, PT
Sehati, CV
Andalan Tiga Berlian, PT
Golden Pratama Engineering, PT
Siwali Swantika, PT
Trimitra Bangun Karyatama, PT
Gevana, PT</v>
          </cell>
          <cell r="F583" t="str">
            <v>Putera Instrumenindo, PT
Gema Industrial, PT
Golden Pratama Engineering, PT
Siwali Swantika, PT
Trimitra Bangun Karyatama, PT
Gevana, PT</v>
          </cell>
          <cell r="G583" t="str">
            <v>R0
6 of 12
15 Dec 25</v>
          </cell>
          <cell r="H583" t="str">
            <v>DEDE SUDARJI</v>
          </cell>
          <cell r="I583">
            <v>46125</v>
          </cell>
          <cell r="J583" t="str">
            <v>6100DB402</v>
          </cell>
          <cell r="K583" t="str">
            <v>B</v>
          </cell>
          <cell r="L583" t="str">
            <v>BID</v>
          </cell>
          <cell r="M583">
            <v>328</v>
          </cell>
          <cell r="N583" t="str">
            <v>RH</v>
          </cell>
          <cell r="O583" t="str">
            <v>robertiagus.haposan@alamtri.com</v>
          </cell>
          <cell r="P583">
            <v>666</v>
          </cell>
          <cell r="Q583">
            <v>10989000</v>
          </cell>
          <cell r="R583" t="str">
            <v>Completed Sign PO</v>
          </cell>
          <cell r="S583" t="str">
            <v>Previous PR PC0125-000001040</v>
          </cell>
          <cell r="T583" t="str">
            <v>MSW</v>
          </cell>
          <cell r="U583" t="str">
            <v>Karya Energi Indonesia, PT
Norgantara Andalan Mandiri Indonesia, PT
Putera Instrumenindo, PT
ABB Sakti Industri, PT
Gema Industrial, PT
Petrocom Nusa Synergy, PT
Sehati, CV
Andalan Tiga Berlian, PT
Golden Pratama Engineering, PT
Siwali Swantika, PT
Trimitra Bangun Karyatama, PT
Gevana, PT</v>
          </cell>
          <cell r="V583" t="str">
            <v>Putera Instrumenindo, PT
Gema Industrial, PT
Golden Pratama Engineering, PT
Siwali Swantika, PT
Trimitra Bangun Karyatama, PT
Gevana, PT</v>
          </cell>
          <cell r="W583" t="str">
            <v>12 of 12</v>
          </cell>
          <cell r="X583" t="str">
            <v>6 of 12</v>
          </cell>
          <cell r="Y583">
            <v>45999</v>
          </cell>
          <cell r="Z583">
            <v>46006</v>
          </cell>
          <cell r="AC583" t="str">
            <v xml:space="preserve"> of </v>
          </cell>
          <cell r="AD583" t="str">
            <v xml:space="preserve"> of </v>
          </cell>
          <cell r="AF583" t="str">
            <v/>
          </cell>
          <cell r="AI583" t="str">
            <v xml:space="preserve"> of </v>
          </cell>
          <cell r="AJ583" t="str">
            <v xml:space="preserve"> of </v>
          </cell>
          <cell r="AL583" t="str">
            <v/>
          </cell>
          <cell r="AM583">
            <v>0.70833333333333304</v>
          </cell>
          <cell r="AN583" t="str">
            <v>Putera Instrumenindo, PT</v>
          </cell>
          <cell r="AO583" t="str">
            <v>vergi@pinst.co.id; linda@pinst.co.id; putri@pinst.co.id</v>
          </cell>
          <cell r="AP583" t="str">
            <v>6100-PC0626-00264</v>
          </cell>
          <cell r="AQ583">
            <v>22743000</v>
          </cell>
          <cell r="AR583">
            <v>46010</v>
          </cell>
          <cell r="AS583">
            <v>46119</v>
          </cell>
          <cell r="AT583">
            <v>46129</v>
          </cell>
          <cell r="AU583">
            <v>46241</v>
          </cell>
          <cell r="AV583">
            <v>46132</v>
          </cell>
          <cell r="AW583">
            <v>46244</v>
          </cell>
          <cell r="AX583">
            <v>16</v>
          </cell>
          <cell r="AZ583" t="str">
            <v/>
          </cell>
          <cell r="BA583" t="str">
            <v/>
          </cell>
          <cell r="BB583" t="str">
            <v>Completed</v>
          </cell>
          <cell r="BC583" t="str">
            <v>PC0126-000000591</v>
          </cell>
        </row>
        <row r="584">
          <cell r="B584" t="str">
            <v>PC0126-000000581</v>
          </cell>
          <cell r="C584" t="str">
            <v>Spare Part Pneumatic Positioner</v>
          </cell>
          <cell r="D584" t="str">
            <v>Gema Industrial, PT - Line 1
Gevana, PT - Line 2</v>
          </cell>
          <cell r="E584" t="str">
            <v>Gema Industrial, PT
Viktori Profindo Automation, PT
Gading Mas Utama, PT
Simenteknindo, PT
Gevana, PT
Antares Jaya Gemilang Prima, PT
Kin Kitra Kencana, PT
Putera Instrumenindo, PT
Dayaniaga Ekaselaras, PT
Kin Kitra Kencana, PT</v>
          </cell>
          <cell r="F584" t="str">
            <v>Viktori Profindo Automation, PT
Gading Mas Utama, PT
Gevana, PT
Antares Jaya Gemilang Prima, PT
Kin Kitra Kencana, PT</v>
          </cell>
          <cell r="G584" t="str">
            <v>R0
5 of 10
23 Dec 25</v>
          </cell>
          <cell r="H584" t="str">
            <v>DEDE SUDARJI</v>
          </cell>
          <cell r="I584">
            <v>46090</v>
          </cell>
          <cell r="J584" t="str">
            <v>6100DB402</v>
          </cell>
          <cell r="K584" t="str">
            <v>B</v>
          </cell>
          <cell r="L584" t="str">
            <v>BID</v>
          </cell>
          <cell r="M584">
            <v>331</v>
          </cell>
          <cell r="N584" t="str">
            <v>RH</v>
          </cell>
          <cell r="O584" t="str">
            <v>robertiagus.haposan@alamtri.com</v>
          </cell>
          <cell r="P584">
            <v>3900</v>
          </cell>
          <cell r="Q584">
            <v>64350000</v>
          </cell>
          <cell r="R584" t="str">
            <v>Completed Sign PO</v>
          </cell>
          <cell r="S584" t="str">
            <v>PC0125-000000934</v>
          </cell>
          <cell r="T584" t="str">
            <v>MSW</v>
          </cell>
          <cell r="U584" t="str">
            <v>Gema Industrial, PT
Viktori Profindo Automation, PT
Gading Mas Utama, PT
Simenteknindo, PT
Gevana, PT
Antares Jaya Gemilang Prima, PT
Kin Kitra Kencana, PT
Putera Instrumenindo, PT
Dayaniaga Ekaselaras, PT
Kin Kitra Kencana, PT</v>
          </cell>
          <cell r="V584" t="str">
            <v>Viktori Profindo Automation, PT
Gading Mas Utama, PT
Gevana, PT
Antares Jaya Gemilang Prima, PT
Kin Kitra Kencana, PT</v>
          </cell>
          <cell r="W584" t="str">
            <v>10 of 10</v>
          </cell>
          <cell r="X584" t="str">
            <v>5 of 10</v>
          </cell>
          <cell r="Y584">
            <v>46008</v>
          </cell>
          <cell r="Z584">
            <v>46014</v>
          </cell>
          <cell r="AC584" t="str">
            <v xml:space="preserve"> of </v>
          </cell>
          <cell r="AD584" t="str">
            <v xml:space="preserve"> of </v>
          </cell>
          <cell r="AF584" t="str">
            <v/>
          </cell>
          <cell r="AI584" t="str">
            <v xml:space="preserve"> of </v>
          </cell>
          <cell r="AJ584" t="str">
            <v xml:space="preserve"> of </v>
          </cell>
          <cell r="AL584" t="str">
            <v/>
          </cell>
          <cell r="AM584">
            <v>0.70833333333333304</v>
          </cell>
          <cell r="AN584" t="str">
            <v>Viktori Profindo Automation, PT</v>
          </cell>
          <cell r="AO584" t="str">
            <v>wahyu@viktori-automation.com; sales@viktori-automation.com; retno@viktori-automation.com; dini@viktori-automation.com; admin@viktori-automation.com</v>
          </cell>
          <cell r="AP584" t="str">
            <v>6100-PC0626-00195</v>
          </cell>
          <cell r="AQ584">
            <v>54500000</v>
          </cell>
          <cell r="AR584">
            <v>46021</v>
          </cell>
          <cell r="AS584">
            <v>46090</v>
          </cell>
          <cell r="AT584">
            <v>46098</v>
          </cell>
          <cell r="AU584">
            <v>46269</v>
          </cell>
          <cell r="AV584">
            <v>46118</v>
          </cell>
          <cell r="AW584">
            <v>46289</v>
          </cell>
          <cell r="AX584">
            <v>24.428571428571427</v>
          </cell>
          <cell r="AZ584" t="str">
            <v/>
          </cell>
          <cell r="BA584" t="str">
            <v/>
          </cell>
          <cell r="BB584" t="str">
            <v>Completed</v>
          </cell>
          <cell r="BC584" t="str">
            <v>PC0126-000000581</v>
          </cell>
        </row>
        <row r="585">
          <cell r="B585" t="str">
            <v>PC0126-000000580</v>
          </cell>
          <cell r="C585" t="str">
            <v>Spare Part Transmitter EIC</v>
          </cell>
          <cell r="D585" t="str">
            <v>Kin Kitra Kencana, PT (Line 1-2)
Sahara Persada (Line 3)
Gema Industrial, PT (Line 4)</v>
          </cell>
          <cell r="E585" t="str">
            <v>Kin Kitra Kencana, PT
Gema Industrial, PT
Axel Jaya Cakraniaga, PT
Gading Mas Utama, PT
Promitra Prima Indonesia, PT
Gevana, PT
Putera Instrumenindo, PT
Vhipa Mulia Pratama, PT
Viktori Profindo Automation, PT
Trimitra Bangun Karyatama, PT
Dayaniaga Ekaselaras, PT</v>
          </cell>
          <cell r="F585" t="str">
            <v>Gading Mas Utama, PT
Gevana, PT
Dayaniaga Ekaselaras, PT</v>
          </cell>
          <cell r="G585" t="str">
            <v>R0
3 of 11
23 Dec 25</v>
          </cell>
          <cell r="H585" t="str">
            <v>DEDE SUDARJI</v>
          </cell>
          <cell r="I585">
            <v>46083</v>
          </cell>
          <cell r="J585" t="str">
            <v>6100DB402</v>
          </cell>
          <cell r="K585" t="str">
            <v>B</v>
          </cell>
          <cell r="L585" t="str">
            <v>BID</v>
          </cell>
          <cell r="M585">
            <v>330</v>
          </cell>
          <cell r="N585" t="str">
            <v>RH</v>
          </cell>
          <cell r="O585" t="str">
            <v>robertiagus.haposan@alamtri.com</v>
          </cell>
          <cell r="P585">
            <v>3818</v>
          </cell>
          <cell r="Q585">
            <v>62997000</v>
          </cell>
          <cell r="R585" t="str">
            <v>Completed Sign PO</v>
          </cell>
          <cell r="S585" t="str">
            <v>PC0125-000000932</v>
          </cell>
          <cell r="T585" t="str">
            <v>MSW</v>
          </cell>
          <cell r="U585" t="str">
            <v>Kin Kitra Kencana, PT
Gema Industrial, PT
Axel Jaya Cakraniaga, PT
Gading Mas Utama, PT
Promitra Prima Indonesia, PT
Gevana, PT
Putera Instrumenindo, PT
Vhipa Mulia Pratama, PT
Viktori Profindo Automation, PT
Trimitra Bangun Karyatama, PT
Dayaniaga Ekaselaras, PT</v>
          </cell>
          <cell r="V585" t="str">
            <v>Gading Mas Utama, PT
Gevana, PT
Dayaniaga Ekaselaras, PT</v>
          </cell>
          <cell r="W585" t="str">
            <v>11 of 11</v>
          </cell>
          <cell r="X585" t="str">
            <v>3 of 11</v>
          </cell>
          <cell r="Y585">
            <v>46008</v>
          </cell>
          <cell r="Z585">
            <v>46014</v>
          </cell>
          <cell r="AC585" t="str">
            <v xml:space="preserve"> of </v>
          </cell>
          <cell r="AD585" t="str">
            <v xml:space="preserve"> of </v>
          </cell>
          <cell r="AF585" t="str">
            <v/>
          </cell>
          <cell r="AI585" t="str">
            <v xml:space="preserve"> of </v>
          </cell>
          <cell r="AJ585" t="str">
            <v xml:space="preserve"> of </v>
          </cell>
          <cell r="AL585" t="str">
            <v/>
          </cell>
          <cell r="AM585">
            <v>0.70833333333333304</v>
          </cell>
          <cell r="AN585" t="str">
            <v>Gevana, PT</v>
          </cell>
          <cell r="AO585" t="str">
            <v>charlierobiansa7@gmail.com; eviedenny277@gmail.com</v>
          </cell>
          <cell r="AP585" t="str">
            <v>6100-PC0626-00142R1</v>
          </cell>
          <cell r="AQ585">
            <v>36246200</v>
          </cell>
          <cell r="AR585">
            <v>46011</v>
          </cell>
          <cell r="AS585">
            <v>46065</v>
          </cell>
          <cell r="AT585">
            <v>46084</v>
          </cell>
          <cell r="AU585">
            <v>46128</v>
          </cell>
          <cell r="AV585">
            <v>46126</v>
          </cell>
          <cell r="AW585">
            <v>46170</v>
          </cell>
          <cell r="AX585">
            <v>6.2857142857142856</v>
          </cell>
          <cell r="AZ585" t="str">
            <v/>
          </cell>
          <cell r="BA585" t="str">
            <v/>
          </cell>
          <cell r="BB585" t="str">
            <v>Completed</v>
          </cell>
          <cell r="BC585" t="str">
            <v>PC0126-000000580</v>
          </cell>
        </row>
        <row r="586">
          <cell r="B586" t="str">
            <v>PC0126-000000585</v>
          </cell>
          <cell r="C586" t="str">
            <v>Spare Part MIL Actuator Valve Diaphragm</v>
          </cell>
          <cell r="D586" t="str">
            <v>Andalan Tiga Berlian, PT - Line 3-4</v>
          </cell>
          <cell r="E586" t="str">
            <v>Artam Borneo Automatika, PT
Andalan Tiga Berlian, PT
Kin Kitra Kencana, PT
Karya Energi Indonesia, PT
Solusi Cita Mandala, PT
Carakamas Intialam, PT
Lienetic Jaya, PT
Putera Instrumenindo, PT
Rande Buana Teknik, PT
Mitra Wira Pratama, PT
KSB Sales Indonesia, PT</v>
          </cell>
          <cell r="F586" t="str">
            <v>Artam Borneo Automatika, PT
Andalan Tiga Berlian, PT
Kin Kitra Kencana, PT</v>
          </cell>
          <cell r="G586" t="str">
            <v>R1
3 of 11
02 Mar 26</v>
          </cell>
          <cell r="H586" t="str">
            <v>DEDE SUDARJI</v>
          </cell>
          <cell r="I586">
            <v>46063</v>
          </cell>
          <cell r="J586" t="str">
            <v>6100DB402</v>
          </cell>
          <cell r="K586" t="str">
            <v>B</v>
          </cell>
          <cell r="L586" t="str">
            <v>BID</v>
          </cell>
          <cell r="M586">
            <v>22</v>
          </cell>
          <cell r="N586" t="str">
            <v>RH</v>
          </cell>
          <cell r="O586" t="str">
            <v>robertiagus.haposan@alamtri.com</v>
          </cell>
          <cell r="P586">
            <v>5465</v>
          </cell>
          <cell r="Q586">
            <v>90172500</v>
          </cell>
          <cell r="R586" t="str">
            <v>Completed Sign PO</v>
          </cell>
          <cell r="S586" t="str">
            <v>PC0125-000000938 - Di CANCEL</v>
          </cell>
          <cell r="T586" t="str">
            <v>MSW</v>
          </cell>
          <cell r="U586" t="str">
            <v>Kin Kitra Kencana, PT
Arita Prima Indonesia Tbk, PT
Andalan Tiga Berlian, PT
Berkat Pratama Teknik, CV
Adijaya Mitra Perkasa, PT
Stanindo Artha Langgeng, PT
Pacific Tractor Indonesia, PT
KSB Sales Indonesia, PT</v>
          </cell>
          <cell r="V586" t="str">
            <v>Andalan Tiga Berlian, PT</v>
          </cell>
          <cell r="W586" t="str">
            <v>8 of 8</v>
          </cell>
          <cell r="X586" t="str">
            <v>1 of 8</v>
          </cell>
          <cell r="Y586">
            <v>46063</v>
          </cell>
          <cell r="Z586">
            <v>46073</v>
          </cell>
          <cell r="AA586" t="str">
            <v>Artam Borneo Automatika, PT
Andalan Tiga Berlian, PT
Kin Kitra Kencana, PT
Karya Energi Indonesia, PT
Solusi Cita Mandala, PT
Carakamas Intialam, PT
Lienetic Jaya, PT
Putera Instrumenindo, PT
Rande Buana Teknik, PT
Mitra Wira Pratama, PT
KSB Sales Indonesia, PT</v>
          </cell>
          <cell r="AB586" t="str">
            <v>Artam Borneo Automatika, PT
Andalan Tiga Berlian, PT
Kin Kitra Kencana, PT</v>
          </cell>
          <cell r="AC586" t="str">
            <v>11 of 11</v>
          </cell>
          <cell r="AD586" t="str">
            <v>3 of 11</v>
          </cell>
          <cell r="AE586">
            <v>46076</v>
          </cell>
          <cell r="AF586">
            <v>46083</v>
          </cell>
          <cell r="AI586" t="str">
            <v xml:space="preserve"> of </v>
          </cell>
          <cell r="AJ586" t="str">
            <v xml:space="preserve"> of </v>
          </cell>
          <cell r="AL586" t="str">
            <v/>
          </cell>
          <cell r="AM586">
            <v>0.70833333333333304</v>
          </cell>
          <cell r="AN586" t="str">
            <v>Andalan Tiga Berlian, PT</v>
          </cell>
          <cell r="AO586" t="str">
            <v>basuki@ptatb.co.id; dinda.sabilah@ptatb.co.id; sales@ptatb.co.id; denny.suria@ptatb.co.id</v>
          </cell>
          <cell r="AP586" t="str">
            <v>6100-PC0626-00228</v>
          </cell>
          <cell r="AQ586">
            <v>79565000</v>
          </cell>
          <cell r="AR586">
            <v>46090</v>
          </cell>
          <cell r="AS586">
            <v>46098</v>
          </cell>
          <cell r="AT586">
            <v>46118</v>
          </cell>
          <cell r="AU586">
            <v>46269</v>
          </cell>
          <cell r="AV586">
            <v>46121</v>
          </cell>
          <cell r="AW586">
            <v>46272</v>
          </cell>
          <cell r="AX586">
            <v>21.571428571428573</v>
          </cell>
          <cell r="AZ586" t="str">
            <v/>
          </cell>
          <cell r="BA586" t="str">
            <v/>
          </cell>
          <cell r="BB586" t="str">
            <v>Late Completed</v>
          </cell>
          <cell r="BC586" t="str">
            <v>PC0126-000000585</v>
          </cell>
        </row>
        <row r="587">
          <cell r="B587" t="str">
            <v>PC0126-000000611</v>
          </cell>
          <cell r="C587" t="str">
            <v>Actuator As DG CAT 3G1</v>
          </cell>
          <cell r="D587" t="str">
            <v>Trakindo Utama, PT</v>
          </cell>
          <cell r="E587" t="str">
            <v>Trakindo Utama, PT</v>
          </cell>
          <cell r="F587" t="str">
            <v/>
          </cell>
          <cell r="G587" t="str">
            <v/>
          </cell>
          <cell r="H587" t="str">
            <v>SLAMET</v>
          </cell>
          <cell r="I587">
            <v>46073</v>
          </cell>
          <cell r="J587" t="str">
            <v>6100DB432</v>
          </cell>
          <cell r="K587" t="str">
            <v>B</v>
          </cell>
          <cell r="L587" t="str">
            <v>CTR</v>
          </cell>
          <cell r="M587">
            <v>3</v>
          </cell>
          <cell r="N587" t="str">
            <v>RH</v>
          </cell>
          <cell r="O587" t="str">
            <v>robertiagus.haposan@alamtri.com</v>
          </cell>
          <cell r="P587">
            <v>6686.56</v>
          </cell>
          <cell r="Q587">
            <v>110328240</v>
          </cell>
          <cell r="R587" t="str">
            <v>Completed Sign PO Contract</v>
          </cell>
          <cell r="T587" t="str">
            <v>MSW</v>
          </cell>
          <cell r="U587" t="str">
            <v>Trakindo Utama, PT</v>
          </cell>
          <cell r="V587" t="str">
            <v>Trakindo Utama, PT</v>
          </cell>
          <cell r="W587" t="str">
            <v>1 of 1</v>
          </cell>
          <cell r="X587" t="str">
            <v>1 of 1</v>
          </cell>
          <cell r="Y587">
            <v>46073</v>
          </cell>
          <cell r="Z587">
            <v>46076</v>
          </cell>
          <cell r="AC587" t="str">
            <v xml:space="preserve"> of </v>
          </cell>
          <cell r="AD587" t="str">
            <v xml:space="preserve"> of </v>
          </cell>
          <cell r="AF587" t="str">
            <v/>
          </cell>
          <cell r="AI587" t="str">
            <v xml:space="preserve"> of </v>
          </cell>
          <cell r="AJ587" t="str">
            <v xml:space="preserve"> of </v>
          </cell>
          <cell r="AL587" t="str">
            <v/>
          </cell>
          <cell r="AM587">
            <v>0.70833333333333304</v>
          </cell>
          <cell r="AN587" t="str">
            <v>Trakindo Utama, PT</v>
          </cell>
          <cell r="AO587" t="str">
            <v>hjuniater.sidauruk@trakindo.co.id</v>
          </cell>
          <cell r="AP587" t="str">
            <v>6100-PC0626-00123</v>
          </cell>
          <cell r="AQ587">
            <v>159297500</v>
          </cell>
          <cell r="AT587">
            <v>46073</v>
          </cell>
          <cell r="AU587">
            <v>46129</v>
          </cell>
          <cell r="AV587">
            <v>46076</v>
          </cell>
          <cell r="AW587">
            <v>46132</v>
          </cell>
          <cell r="AX587">
            <v>8</v>
          </cell>
          <cell r="AZ587" t="str">
            <v/>
          </cell>
          <cell r="BA587" t="str">
            <v/>
          </cell>
          <cell r="BB587" t="str">
            <v>Completed</v>
          </cell>
          <cell r="BC587" t="str">
            <v>PC0126-000000611</v>
          </cell>
        </row>
        <row r="588">
          <cell r="B588" t="str">
            <v>PC0126-000000420 (Line 3,4,5,7,8,11)</v>
          </cell>
          <cell r="C588" t="str">
            <v>Material Aksesoris Digitalisasi Tambang 2026</v>
          </cell>
          <cell r="D588" t="str">
            <v>Perwira Sentra Officindo, PT (Line 1,2,13)
Vhipa Mulia Pratama, PT (Line 3)
Berkat Pratama Teknik, CV (Line 4,5)
Borneo Maju Jaya, PT (Line 6)
Axel Jaya Cakraniaga, PT (Line 7-9,11)
Alfa Teknik Mandiri Makmur, PT (Line 10)
Indostar Security, PT (Line 12)</v>
          </cell>
          <cell r="E588" t="str">
            <v>Greentek Elektrikal Indonesia, PT
ALKS, CV
Gevana, PT
Gema Industrial, PT
Antares Jaya Gemilang Prima, PT
Perwira Sentra Officindo, PT
Indostar Security, PT
Berkat Pratama Teknik, CV
Vhipa Mulia Pratama, PT
Borneo Maju Jaya, PT
Axel Jaya Cakraniaga, PT
Alfa Teknik Mandiri Makmur, PT
Ganesha Wirya Pratama, PT
Pacific Tractor Indonesia, PT
Aka Prima Komputindo, PT
Niaga Prima Paramitra, PT
Berkat Jaya Komputindo, PT</v>
          </cell>
          <cell r="F588" t="str">
            <v>Greentek Elektrikal Indonesia, PT
ALKS, CV
Gevana, PT
Antares Jaya Gemilang Prima, PT
Perwira Sentra Officindo, PT
Axel Jaya Cakraniaga, PT
Ganesha Wirya Pratama, PT
Aka Prima Komputindo, PT
Berkat Jaya Komputindo, PT</v>
          </cell>
          <cell r="G588" t="str">
            <v>R0
9 of 17
13 Jan 26</v>
          </cell>
          <cell r="H588" t="str">
            <v>GUNARA FERY FAHNANI</v>
          </cell>
          <cell r="I588">
            <v>46078</v>
          </cell>
          <cell r="J588" t="str">
            <v>6100DB421</v>
          </cell>
          <cell r="K588" t="str">
            <v>B</v>
          </cell>
          <cell r="L588" t="str">
            <v>BID</v>
          </cell>
          <cell r="N588" t="str">
            <v>RH</v>
          </cell>
          <cell r="O588" t="str">
            <v>robertiagus.haposan@alamtri.com</v>
          </cell>
          <cell r="P588">
            <v>17813</v>
          </cell>
          <cell r="Q588">
            <v>293914500</v>
          </cell>
          <cell r="R588" t="str">
            <v>Completed Sign PO</v>
          </cell>
          <cell r="S588" t="str">
            <v>Replacement from PC0125-000001301</v>
          </cell>
          <cell r="T588" t="str">
            <v>MSW</v>
          </cell>
          <cell r="U588" t="str">
            <v>Greentek Elektrikal Indonesia, PT
ALKS, CV
Gevana, PT
Gema Industrial, PT
Antares Jaya Gemilang Prima, PT
Perwira Sentra Officindo, PT
Indostar Security, PT
Berkat Pratama Teknik, CV
Vhipa Mulia Pratama, PT
Borneo Maju Jaya, PT
Axel Jaya Cakraniaga, PT
Alfa Teknik Mandiri Makmur, PT
Ganesha Wirya Pratama, PT
Pacific Tractor Indonesia, PT
Aka Prima Komputindo, PT
Niaga Prima Paramitra, PT
Berkat Jaya Komputindo, PT</v>
          </cell>
          <cell r="V588" t="str">
            <v>Greentek Elektrikal Indonesia, PT
ALKS, CV
Gevana, PT
Antares Jaya Gemilang Prima, PT
Perwira Sentra Officindo, PT
Axel Jaya Cakraniaga, PT
Ganesha Wirya Pratama, PT
Aka Prima Komputindo, PT
Berkat Jaya Komputindo, PT</v>
          </cell>
          <cell r="W588" t="str">
            <v>17 of 17</v>
          </cell>
          <cell r="X588" t="str">
            <v>9 of 17</v>
          </cell>
          <cell r="Y588">
            <v>46028</v>
          </cell>
          <cell r="Z588">
            <v>46035</v>
          </cell>
          <cell r="AC588" t="str">
            <v xml:space="preserve"> of </v>
          </cell>
          <cell r="AD588" t="str">
            <v xml:space="preserve"> of </v>
          </cell>
          <cell r="AF588" t="str">
            <v/>
          </cell>
          <cell r="AI588" t="str">
            <v xml:space="preserve"> of </v>
          </cell>
          <cell r="AJ588" t="str">
            <v xml:space="preserve"> of </v>
          </cell>
          <cell r="AL588" t="str">
            <v/>
          </cell>
          <cell r="AM588">
            <v>0.70833333333333304</v>
          </cell>
          <cell r="AN588" t="str">
            <v>Axel Jaya Cakraniaga, PT</v>
          </cell>
          <cell r="AO588" t="str">
            <v>ajcakraniaga@gmail.com; sales@ajcakraniaga.com</v>
          </cell>
          <cell r="AP588" t="str">
            <v>6100-PC0626-00129</v>
          </cell>
          <cell r="AQ588">
            <v>65225000</v>
          </cell>
          <cell r="AR588">
            <v>46037</v>
          </cell>
          <cell r="AS588">
            <v>46047</v>
          </cell>
          <cell r="AT588">
            <v>46078</v>
          </cell>
          <cell r="AU588">
            <v>46126</v>
          </cell>
          <cell r="AV588">
            <v>46079</v>
          </cell>
          <cell r="AW588">
            <v>46127</v>
          </cell>
          <cell r="AX588">
            <v>6.8571428571428568</v>
          </cell>
          <cell r="AZ588" t="str">
            <v/>
          </cell>
          <cell r="BA588" t="str">
            <v/>
          </cell>
          <cell r="BB588" t="str">
            <v>Completed</v>
          </cell>
          <cell r="BC588" t="str">
            <v>PC0126-000000420</v>
          </cell>
        </row>
        <row r="589">
          <cell r="B589" t="str">
            <v>PC0126-000000456 (Line 1)</v>
          </cell>
          <cell r="C589" t="str">
            <v>Pengadaan clip material O&amp;M PLTS</v>
          </cell>
          <cell r="D589" t="str">
            <v>Sehati, CV (Line 2,5-7)
Berkat Pratama Teknik, CV (Line 3)
Indo Tehnik Tanjung Tabalong, PT (Line 4)
Perwira Sentra Officindo, PT (Line 8)</v>
          </cell>
          <cell r="E589" t="str">
            <v>Sehati, CV
Perwira Sentra Officindo, PT
Tiga Saudara Teknik, PT
Berkat Pratama Teknik, CV
Berkat Amira, CV
Gevana, PT
Menara, CV
Indo Tehnik Tanjung Tabalong, PT
Greentek Elektrikal Indonesia, PT
Pacific Tractor Indonesia, PT
Cahaya Murni, CV</v>
          </cell>
          <cell r="F589" t="str">
            <v>Sehati, CV
Perwira Sentra Officindo, PT
Tiga Saudara Teknik, PT
Berkat Amira, CV</v>
          </cell>
          <cell r="G589" t="str">
            <v>R0
4 of 11
15 Jan 26</v>
          </cell>
          <cell r="H589" t="str">
            <v>GUNARA FERY FAHNANI</v>
          </cell>
          <cell r="I589">
            <v>46127</v>
          </cell>
          <cell r="J589" t="str">
            <v>6100DB412</v>
          </cell>
          <cell r="K589" t="str">
            <v>B</v>
          </cell>
          <cell r="L589" t="str">
            <v>BID</v>
          </cell>
          <cell r="M589">
            <v>8</v>
          </cell>
          <cell r="N589" t="str">
            <v>RH</v>
          </cell>
          <cell r="O589" t="str">
            <v>robertiagus.haposan@alamtri.com</v>
          </cell>
          <cell r="P589">
            <v>16433</v>
          </cell>
          <cell r="Q589">
            <v>271144500</v>
          </cell>
          <cell r="R589" t="str">
            <v>PO Sign Vendor</v>
          </cell>
          <cell r="S589" t="str">
            <v>Replacement from PC0125-000001408</v>
          </cell>
          <cell r="T589" t="str">
            <v>MSW</v>
          </cell>
          <cell r="U589" t="str">
            <v>Sehati, CV
Perwira Sentra Officindo, PT
Tiga Saudara Teknik, PT
Berkat Pratama Teknik, CV
Berkat Amira, CV
Gevana, PT
Menara, CV
Indo Tehnik Tanjung Tabalong, PT
Greentek Elektrikal Indonesia, PT
Pacific Tractor Indonesia, PT
Cahaya Murni, CV</v>
          </cell>
          <cell r="V589" t="str">
            <v>Sehati, CV
Perwira Sentra Officindo, PT
Tiga Saudara Teknik, PT
Berkat Amira, CV</v>
          </cell>
          <cell r="W589" t="str">
            <v>11 of 11</v>
          </cell>
          <cell r="X589" t="str">
            <v>4 of 11</v>
          </cell>
          <cell r="Y589">
            <v>46030</v>
          </cell>
          <cell r="Z589">
            <v>46037</v>
          </cell>
          <cell r="AC589" t="str">
            <v xml:space="preserve"> of </v>
          </cell>
          <cell r="AD589" t="str">
            <v xml:space="preserve"> of </v>
          </cell>
          <cell r="AF589" t="str">
            <v/>
          </cell>
          <cell r="AI589" t="str">
            <v xml:space="preserve"> of </v>
          </cell>
          <cell r="AJ589" t="str">
            <v xml:space="preserve"> of </v>
          </cell>
          <cell r="AL589" t="str">
            <v/>
          </cell>
          <cell r="AM589">
            <v>0.70833333333333304</v>
          </cell>
          <cell r="AN589" t="str">
            <v>Tiga Saudara Teknik, PT</v>
          </cell>
          <cell r="AO589" t="str">
            <v>pt.tigasaudarateknik@gmail.com</v>
          </cell>
          <cell r="AP589" t="str">
            <v>6100-PC0626-00262</v>
          </cell>
          <cell r="AQ589">
            <v>23800000</v>
          </cell>
          <cell r="AR589">
            <v>46042</v>
          </cell>
          <cell r="AS589">
            <v>46119</v>
          </cell>
          <cell r="AT589">
            <v>46128</v>
          </cell>
          <cell r="AU589">
            <v>46157</v>
          </cell>
          <cell r="AV589">
            <v>46132</v>
          </cell>
          <cell r="AW589">
            <v>46161</v>
          </cell>
          <cell r="AX589">
            <v>4.1428571428571432</v>
          </cell>
          <cell r="AZ589" t="str">
            <v/>
          </cell>
          <cell r="BA589" t="str">
            <v/>
          </cell>
          <cell r="BB589" t="str">
            <v>Completed</v>
          </cell>
          <cell r="BC589" t="str">
            <v>PC0126-000000456</v>
          </cell>
        </row>
        <row r="590">
          <cell r="B590" t="str">
            <v>PC0126-000000420 (Line 13)</v>
          </cell>
          <cell r="C590" t="str">
            <v>Material Aksesoris Digitalisasi Tambang 2026</v>
          </cell>
          <cell r="D590" t="str">
            <v>Perwira Sentra Officindo, PT (Line 1,2,13)
Vhipa Mulia Pratama, PT (Line 3)
Berkat Pratama Teknik, CV (Line 4,5)
Borneo Maju Jaya, PT (Line 6)
Axel Jaya Cakraniaga, PT (Line 7-9,11)
Alfa Teknik Mandiri Makmur, PT (Line 10)
Indostar Security, PT (Line 12)</v>
          </cell>
          <cell r="E590" t="str">
            <v>Greentek Elektrikal Indonesia, PT
ALKS, CV
Gevana, PT
Gema Industrial, PT
Antares Jaya Gemilang Prima, PT
Perwira Sentra Officindo, PT
Indostar Security, PT
Berkat Pratama Teknik, CV
Vhipa Mulia Pratama, PT
Borneo Maju Jaya, PT
Axel Jaya Cakraniaga, PT
Alfa Teknik Mandiri Makmur, PT
Ganesha Wirya Pratama, PT
Pacific Tractor Indonesia, PT
Aka Prima Komputindo, PT
Niaga Prima Paramitra, PT
Berkat Jaya Komputindo, PT</v>
          </cell>
          <cell r="F590" t="str">
            <v>Greentek Elektrikal Indonesia, PT
ALKS, CV
Gevana, PT
Antares Jaya Gemilang Prima, PT
Perwira Sentra Officindo, PT
Axel Jaya Cakraniaga, PT
Ganesha Wirya Pratama, PT
Aka Prima Komputindo, PT
Berkat Jaya Komputindo, PT</v>
          </cell>
          <cell r="G590" t="str">
            <v>R0
9 of 17
13 Jan 26</v>
          </cell>
          <cell r="H590" t="str">
            <v>GUNARA FERY FAHNANI</v>
          </cell>
          <cell r="I590">
            <v>46078</v>
          </cell>
          <cell r="J590" t="str">
            <v>6100DB421</v>
          </cell>
          <cell r="K590" t="str">
            <v>B</v>
          </cell>
          <cell r="L590" t="str">
            <v>BID</v>
          </cell>
          <cell r="N590" t="str">
            <v>RH</v>
          </cell>
          <cell r="O590" t="str">
            <v>robertiagus.haposan@alamtri.com</v>
          </cell>
          <cell r="P590">
            <v>17813</v>
          </cell>
          <cell r="Q590">
            <v>293914500</v>
          </cell>
          <cell r="R590" t="str">
            <v>PO Sign Vendor</v>
          </cell>
          <cell r="S590" t="str">
            <v>Replacement from PC0125-000001301</v>
          </cell>
          <cell r="T590" t="str">
            <v>MSW</v>
          </cell>
          <cell r="U590" t="str">
            <v>Greentek Elektrikal Indonesia, PT
ALKS, CV
Gevana, PT
Gema Industrial, PT
Antares Jaya Gemilang Prima, PT
Perwira Sentra Officindo, PT
Indostar Security, PT
Berkat Pratama Teknik, CV
Vhipa Mulia Pratama, PT
Borneo Maju Jaya, PT
Axel Jaya Cakraniaga, PT
Alfa Teknik Mandiri Makmur, PT
Ganesha Wirya Pratama, PT
Pacific Tractor Indonesia, PT
Aka Prima Komputindo, PT
Niaga Prima Paramitra, PT
Berkat Jaya Komputindo, PT</v>
          </cell>
          <cell r="V590" t="str">
            <v>Greentek Elektrikal Indonesia, PT
ALKS, CV
Gevana, PT
Antares Jaya Gemilang Prima, PT
Perwira Sentra Officindo, PT
Axel Jaya Cakraniaga, PT
Ganesha Wirya Pratama, PT
Aka Prima Komputindo, PT
Berkat Jaya Komputindo, PT</v>
          </cell>
          <cell r="W590" t="str">
            <v>17 of 17</v>
          </cell>
          <cell r="X590" t="str">
            <v>9 of 17</v>
          </cell>
          <cell r="Y590">
            <v>46028</v>
          </cell>
          <cell r="Z590">
            <v>46035</v>
          </cell>
          <cell r="AC590" t="str">
            <v xml:space="preserve"> of </v>
          </cell>
          <cell r="AD590" t="str">
            <v xml:space="preserve"> of </v>
          </cell>
          <cell r="AF590" t="str">
            <v/>
          </cell>
          <cell r="AI590" t="str">
            <v xml:space="preserve"> of </v>
          </cell>
          <cell r="AJ590" t="str">
            <v xml:space="preserve"> of </v>
          </cell>
          <cell r="AL590" t="str">
            <v/>
          </cell>
          <cell r="AM590">
            <v>0.70833333333333304</v>
          </cell>
          <cell r="AN590" t="str">
            <v>Greentek Elektrikal Indonesia, PT</v>
          </cell>
          <cell r="AO590" t="str">
            <v>rendym@greentechinternational.com</v>
          </cell>
          <cell r="AP590" t="str">
            <v>6100-PC0626-00128</v>
          </cell>
          <cell r="AQ590">
            <v>140140000</v>
          </cell>
          <cell r="AR590">
            <v>46037</v>
          </cell>
          <cell r="AS590">
            <v>46047</v>
          </cell>
          <cell r="AT590">
            <v>46078</v>
          </cell>
          <cell r="AU590">
            <v>46118</v>
          </cell>
          <cell r="AV590">
            <v>46079</v>
          </cell>
          <cell r="AW590">
            <v>46119</v>
          </cell>
          <cell r="AX590">
            <v>5.7142857142857144</v>
          </cell>
          <cell r="AZ590" t="str">
            <v/>
          </cell>
          <cell r="BA590" t="str">
            <v/>
          </cell>
          <cell r="BB590" t="str">
            <v>Completed</v>
          </cell>
          <cell r="BC590" t="str">
            <v>PC0126-000000420</v>
          </cell>
        </row>
        <row r="591">
          <cell r="B591" t="str">
            <v>PC0126-000000420 (Line 1,12)</v>
          </cell>
          <cell r="C591" t="str">
            <v>Material Aksesoris Digitalisasi Tambang 2026</v>
          </cell>
          <cell r="D591" t="str">
            <v>Perwira Sentra Officindo, PT (Line 1,2,13)
Vhipa Mulia Pratama, PT (Line 3)
Berkat Pratama Teknik, CV (Line 4,5)
Borneo Maju Jaya, PT (Line 6)
Axel Jaya Cakraniaga, PT (Line 7-9,11)
Alfa Teknik Mandiri Makmur, PT (Line 10)
Indostar Security, PT (Line 12)</v>
          </cell>
          <cell r="E591" t="str">
            <v>Greentek Elektrikal Indonesia, PT
ALKS, CV
Gevana, PT
Gema Industrial, PT
Antares Jaya Gemilang Prima, PT
Perwira Sentra Officindo, PT
Indostar Security, PT
Berkat Pratama Teknik, CV
Vhipa Mulia Pratama, PT
Borneo Maju Jaya, PT
Axel Jaya Cakraniaga, PT
Alfa Teknik Mandiri Makmur, PT
Ganesha Wirya Pratama, PT
Pacific Tractor Indonesia, PT
Aka Prima Komputindo, PT
Niaga Prima Paramitra, PT
Berkat Jaya Komputindo, PT</v>
          </cell>
          <cell r="F591" t="str">
            <v>Greentek Elektrikal Indonesia, PT
ALKS, CV
Gevana, PT
Antares Jaya Gemilang Prima, PT
Perwira Sentra Officindo, PT
Axel Jaya Cakraniaga, PT
Ganesha Wirya Pratama, PT
Aka Prima Komputindo, PT
Berkat Jaya Komputindo, PT</v>
          </cell>
          <cell r="G591" t="str">
            <v>R0
9 of 17
13 Jan 26</v>
          </cell>
          <cell r="H591" t="str">
            <v>GUNARA FERY FAHNANI</v>
          </cell>
          <cell r="I591">
            <v>46078</v>
          </cell>
          <cell r="J591" t="str">
            <v>6100DB421</v>
          </cell>
          <cell r="K591" t="str">
            <v>B</v>
          </cell>
          <cell r="L591" t="str">
            <v>BID</v>
          </cell>
          <cell r="N591" t="str">
            <v>RH</v>
          </cell>
          <cell r="O591" t="str">
            <v>robertiagus.haposan@alamtri.com</v>
          </cell>
          <cell r="P591">
            <v>17813</v>
          </cell>
          <cell r="Q591">
            <v>293914500</v>
          </cell>
          <cell r="R591" t="str">
            <v>Completed Sign PO</v>
          </cell>
          <cell r="S591" t="str">
            <v>Replacement from PC0125-000001301</v>
          </cell>
          <cell r="T591" t="str">
            <v>MSW</v>
          </cell>
          <cell r="U591" t="str">
            <v>Greentek Elektrikal Indonesia, PT
ALKS, CV
Gevana, PT
Gema Industrial, PT
Antares Jaya Gemilang Prima, PT
Perwira Sentra Officindo, PT
Indostar Security, PT
Berkat Pratama Teknik, CV
Vhipa Mulia Pratama, PT
Borneo Maju Jaya, PT
Axel Jaya Cakraniaga, PT
Alfa Teknik Mandiri Makmur, PT
Ganesha Wirya Pratama, PT
Pacific Tractor Indonesia, PT
Aka Prima Komputindo, PT
Niaga Prima Paramitra, PT
Berkat Jaya Komputindo, PT</v>
          </cell>
          <cell r="V591" t="str">
            <v>Greentek Elektrikal Indonesia, PT
ALKS, CV
Gevana, PT
Antares Jaya Gemilang Prima, PT
Perwira Sentra Officindo, PT
Axel Jaya Cakraniaga, PT
Ganesha Wirya Pratama, PT
Aka Prima Komputindo, PT
Berkat Jaya Komputindo, PT</v>
          </cell>
          <cell r="W591" t="str">
            <v>17 of 17</v>
          </cell>
          <cell r="X591" t="str">
            <v>9 of 17</v>
          </cell>
          <cell r="Y591">
            <v>46028</v>
          </cell>
          <cell r="Z591">
            <v>46035</v>
          </cell>
          <cell r="AC591" t="str">
            <v xml:space="preserve"> of </v>
          </cell>
          <cell r="AD591" t="str">
            <v xml:space="preserve"> of </v>
          </cell>
          <cell r="AF591" t="str">
            <v/>
          </cell>
          <cell r="AI591" t="str">
            <v xml:space="preserve"> of </v>
          </cell>
          <cell r="AJ591" t="str">
            <v xml:space="preserve"> of </v>
          </cell>
          <cell r="AL591" t="str">
            <v/>
          </cell>
          <cell r="AM591">
            <v>0.70833333333333304</v>
          </cell>
          <cell r="AN591" t="str">
            <v>ALKS, CV</v>
          </cell>
          <cell r="AO591" t="str">
            <v>kasins@gmail.com</v>
          </cell>
          <cell r="AP591" t="str">
            <v>6100-PC0626-00133</v>
          </cell>
          <cell r="AQ591">
            <v>4416000</v>
          </cell>
          <cell r="AR591">
            <v>46037</v>
          </cell>
          <cell r="AS591">
            <v>46047</v>
          </cell>
          <cell r="AT591">
            <v>46079</v>
          </cell>
          <cell r="AU591">
            <v>46118</v>
          </cell>
          <cell r="AV591">
            <v>46079</v>
          </cell>
          <cell r="AW591">
            <v>46118</v>
          </cell>
          <cell r="AX591">
            <v>5.5714285714285712</v>
          </cell>
          <cell r="AZ591" t="str">
            <v/>
          </cell>
          <cell r="BA591" t="str">
            <v/>
          </cell>
          <cell r="BB591" t="str">
            <v>Completed</v>
          </cell>
          <cell r="BC591" t="str">
            <v>PC0126-000000420</v>
          </cell>
        </row>
        <row r="592">
          <cell r="B592" t="str">
            <v>PC0126-000000420 (Line 2,9)</v>
          </cell>
          <cell r="C592" t="str">
            <v>Material Aksesoris Digitalisasi Tambang 2026</v>
          </cell>
          <cell r="D592" t="str">
            <v>Perwira Sentra Officindo, PT (Line 1,2,13)
Vhipa Mulia Pratama, PT (Line 3)
Berkat Pratama Teknik, CV (Line 4,5)
Borneo Maju Jaya, PT (Line 6)
Axel Jaya Cakraniaga, PT (Line 7-9,11)
Alfa Teknik Mandiri Makmur, PT (Line 10)
Indostar Security, PT (Line 12)</v>
          </cell>
          <cell r="E592" t="str">
            <v>Greentek Elektrikal Indonesia, PT
ALKS, CV
Gevana, PT
Gema Industrial, PT
Antares Jaya Gemilang Prima, PT
Perwira Sentra Officindo, PT
Indostar Security, PT
Berkat Pratama Teknik, CV
Vhipa Mulia Pratama, PT
Borneo Maju Jaya, PT
Axel Jaya Cakraniaga, PT
Alfa Teknik Mandiri Makmur, PT
Ganesha Wirya Pratama, PT
Pacific Tractor Indonesia, PT
Aka Prima Komputindo, PT
Niaga Prima Paramitra, PT
Berkat Jaya Komputindo, PT</v>
          </cell>
          <cell r="F592" t="str">
            <v>Greentek Elektrikal Indonesia, PT
ALKS, CV
Gevana, PT
Antares Jaya Gemilang Prima, PT
Perwira Sentra Officindo, PT
Axel Jaya Cakraniaga, PT
Ganesha Wirya Pratama, PT
Aka Prima Komputindo, PT
Berkat Jaya Komputindo, PT</v>
          </cell>
          <cell r="G592" t="str">
            <v>R0
9 of 17
13 Jan 26</v>
          </cell>
          <cell r="H592" t="str">
            <v>GUNARA FERY FAHNANI</v>
          </cell>
          <cell r="I592">
            <v>46078</v>
          </cell>
          <cell r="J592" t="str">
            <v>6100DB421</v>
          </cell>
          <cell r="K592" t="str">
            <v>B</v>
          </cell>
          <cell r="L592" t="str">
            <v>BID</v>
          </cell>
          <cell r="N592" t="str">
            <v>RH</v>
          </cell>
          <cell r="O592" t="str">
            <v>robertiagus.haposan@alamtri.com</v>
          </cell>
          <cell r="P592">
            <v>17813</v>
          </cell>
          <cell r="Q592">
            <v>293914500</v>
          </cell>
          <cell r="R592" t="str">
            <v>Completed Sign PO</v>
          </cell>
          <cell r="S592" t="str">
            <v>Replacement from PC0125-000001301</v>
          </cell>
          <cell r="T592" t="str">
            <v>MSW</v>
          </cell>
          <cell r="U592" t="str">
            <v>Greentek Elektrikal Indonesia, PT
ALKS, CV
Gevana, PT
Gema Industrial, PT
Antares Jaya Gemilang Prima, PT
Perwira Sentra Officindo, PT
Indostar Security, PT
Berkat Pratama Teknik, CV
Vhipa Mulia Pratama, PT
Borneo Maju Jaya, PT
Axel Jaya Cakraniaga, PT
Alfa Teknik Mandiri Makmur, PT
Ganesha Wirya Pratama, PT
Pacific Tractor Indonesia, PT
Aka Prima Komputindo, PT
Niaga Prima Paramitra, PT
Berkat Jaya Komputindo, PT</v>
          </cell>
          <cell r="V592" t="str">
            <v>Greentek Elektrikal Indonesia, PT
ALKS, CV
Gevana, PT
Antares Jaya Gemilang Prima, PT
Perwira Sentra Officindo, PT
Axel Jaya Cakraniaga, PT
Ganesha Wirya Pratama, PT
Aka Prima Komputindo, PT
Berkat Jaya Komputindo, PT</v>
          </cell>
          <cell r="W592" t="str">
            <v>17 of 17</v>
          </cell>
          <cell r="X592" t="str">
            <v>9 of 17</v>
          </cell>
          <cell r="Y592">
            <v>46028</v>
          </cell>
          <cell r="Z592">
            <v>46035</v>
          </cell>
          <cell r="AC592" t="str">
            <v xml:space="preserve"> of </v>
          </cell>
          <cell r="AD592" t="str">
            <v xml:space="preserve"> of </v>
          </cell>
          <cell r="AF592" t="str">
            <v/>
          </cell>
          <cell r="AI592" t="str">
            <v xml:space="preserve"> of </v>
          </cell>
          <cell r="AJ592" t="str">
            <v xml:space="preserve"> of </v>
          </cell>
          <cell r="AL592" t="str">
            <v/>
          </cell>
          <cell r="AM592">
            <v>0.70833333333333304</v>
          </cell>
          <cell r="AN592" t="str">
            <v>Perwira Sentra Officindo, PT</v>
          </cell>
          <cell r="AO592" t="str">
            <v>d_santos63@yahoo.com</v>
          </cell>
          <cell r="AP592" t="str">
            <v>6100-PC0626-00130</v>
          </cell>
          <cell r="AQ592">
            <v>5976000</v>
          </cell>
          <cell r="AR592">
            <v>46037</v>
          </cell>
          <cell r="AS592">
            <v>46047</v>
          </cell>
          <cell r="AT592">
            <v>46079</v>
          </cell>
          <cell r="AU592">
            <v>46118</v>
          </cell>
          <cell r="AV592">
            <v>46079</v>
          </cell>
          <cell r="AW592">
            <v>46118</v>
          </cell>
          <cell r="AX592">
            <v>5.5714285714285712</v>
          </cell>
          <cell r="AZ592" t="str">
            <v/>
          </cell>
          <cell r="BA592" t="str">
            <v/>
          </cell>
          <cell r="BB592" t="str">
            <v>Completed</v>
          </cell>
          <cell r="BC592" t="str">
            <v>PC0126-000000420</v>
          </cell>
        </row>
        <row r="593">
          <cell r="B593" t="str">
            <v>PC0126-000000420 (Line 10)</v>
          </cell>
          <cell r="C593" t="str">
            <v>Material Aksesoris Digitalisasi Tambang 2026</v>
          </cell>
          <cell r="D593" t="str">
            <v>Perwira Sentra Officindo, PT (Line 1,2,13)
Vhipa Mulia Pratama, PT (Line 3)
Berkat Pratama Teknik, CV (Line 4,5)
Borneo Maju Jaya, PT (Line 6)
Axel Jaya Cakraniaga, PT (Line 7-9,11)
Alfa Teknik Mandiri Makmur, PT (Line 10)
Indostar Security, PT (Line 12)</v>
          </cell>
          <cell r="E593" t="str">
            <v>Greentek Elektrikal Indonesia, PT
ALKS, CV
Gevana, PT
Gema Industrial, PT
Antares Jaya Gemilang Prima, PT
Perwira Sentra Officindo, PT
Indostar Security, PT
Berkat Pratama Teknik, CV
Vhipa Mulia Pratama, PT
Borneo Maju Jaya, PT
Axel Jaya Cakraniaga, PT
Alfa Teknik Mandiri Makmur, PT
Ganesha Wirya Pratama, PT
Pacific Tractor Indonesia, PT
Aka Prima Komputindo, PT
Niaga Prima Paramitra, PT
Berkat Jaya Komputindo, PT</v>
          </cell>
          <cell r="F593" t="str">
            <v>Greentek Elektrikal Indonesia, PT
ALKS, CV
Gevana, PT
Antares Jaya Gemilang Prima, PT
Perwira Sentra Officindo, PT
Axel Jaya Cakraniaga, PT
Ganesha Wirya Pratama, PT
Aka Prima Komputindo, PT
Berkat Jaya Komputindo, PT</v>
          </cell>
          <cell r="G593" t="str">
            <v>R0
9 of 17
13 Jan 26</v>
          </cell>
          <cell r="H593" t="str">
            <v>GUNARA FERY FAHNANI</v>
          </cell>
          <cell r="I593">
            <v>46078</v>
          </cell>
          <cell r="J593" t="str">
            <v>6100DB421</v>
          </cell>
          <cell r="K593" t="str">
            <v>B</v>
          </cell>
          <cell r="L593" t="str">
            <v>BID</v>
          </cell>
          <cell r="N593" t="str">
            <v>RH</v>
          </cell>
          <cell r="O593" t="str">
            <v>robertiagus.haposan@alamtri.com</v>
          </cell>
          <cell r="P593">
            <v>17813</v>
          </cell>
          <cell r="Q593">
            <v>293914500</v>
          </cell>
          <cell r="R593" t="str">
            <v>Completed Sign PO</v>
          </cell>
          <cell r="S593" t="str">
            <v>Replacement from PC0125-000001301</v>
          </cell>
          <cell r="T593" t="str">
            <v>MSW</v>
          </cell>
          <cell r="U593" t="str">
            <v>Greentek Elektrikal Indonesia, PT
ALKS, CV
Gevana, PT
Gema Industrial, PT
Antares Jaya Gemilang Prima, PT
Perwira Sentra Officindo, PT
Indostar Security, PT
Berkat Pratama Teknik, CV
Vhipa Mulia Pratama, PT
Borneo Maju Jaya, PT
Axel Jaya Cakraniaga, PT
Alfa Teknik Mandiri Makmur, PT
Ganesha Wirya Pratama, PT
Pacific Tractor Indonesia, PT
Aka Prima Komputindo, PT
Niaga Prima Paramitra, PT
Berkat Jaya Komputindo, PT</v>
          </cell>
          <cell r="V593" t="str">
            <v>Greentek Elektrikal Indonesia, PT
ALKS, CV
Gevana, PT
Antares Jaya Gemilang Prima, PT
Perwira Sentra Officindo, PT
Axel Jaya Cakraniaga, PT
Ganesha Wirya Pratama, PT
Aka Prima Komputindo, PT
Berkat Jaya Komputindo, PT</v>
          </cell>
          <cell r="W593" t="str">
            <v>17 of 17</v>
          </cell>
          <cell r="X593" t="str">
            <v>9 of 17</v>
          </cell>
          <cell r="Y593">
            <v>46028</v>
          </cell>
          <cell r="Z593">
            <v>46035</v>
          </cell>
          <cell r="AC593" t="str">
            <v xml:space="preserve"> of </v>
          </cell>
          <cell r="AD593" t="str">
            <v xml:space="preserve"> of </v>
          </cell>
          <cell r="AF593" t="str">
            <v/>
          </cell>
          <cell r="AI593" t="str">
            <v xml:space="preserve"> of </v>
          </cell>
          <cell r="AJ593" t="str">
            <v xml:space="preserve"> of </v>
          </cell>
          <cell r="AL593" t="str">
            <v/>
          </cell>
          <cell r="AM593">
            <v>0.70833333333333304</v>
          </cell>
          <cell r="AN593" t="str">
            <v>Aka Prima Komputindo, PT</v>
          </cell>
          <cell r="AO593" t="str">
            <v>alkoriach@aprikom.com; endah@aprikom.com</v>
          </cell>
          <cell r="AP593" t="str">
            <v>6100-PC0626-00131</v>
          </cell>
          <cell r="AQ593">
            <v>35200000</v>
          </cell>
          <cell r="AR593">
            <v>46037</v>
          </cell>
          <cell r="AS593">
            <v>46047</v>
          </cell>
          <cell r="AT593">
            <v>46078</v>
          </cell>
          <cell r="AU593">
            <v>46093</v>
          </cell>
          <cell r="AV593">
            <v>46079</v>
          </cell>
          <cell r="AW593">
            <v>46094</v>
          </cell>
          <cell r="AX593">
            <v>2.1428571428571428</v>
          </cell>
          <cell r="AZ593" t="str">
            <v/>
          </cell>
          <cell r="BA593" t="str">
            <v/>
          </cell>
          <cell r="BB593" t="str">
            <v>Completed</v>
          </cell>
          <cell r="BC593" t="str">
            <v>PC0126-000000420</v>
          </cell>
        </row>
        <row r="594">
          <cell r="B594" t="str">
            <v>PC0126-000000420 (Line 6)</v>
          </cell>
          <cell r="C594" t="str">
            <v>Material Aksesoris Digitalisasi Tambang 2026</v>
          </cell>
          <cell r="D594" t="str">
            <v>Perwira Sentra Officindo, PT (Line 1,2,13)
Vhipa Mulia Pratama, PT (Line 3)
Berkat Pratama Teknik, CV (Line 4,5)
Borneo Maju Jaya, PT (Line 6)
Axel Jaya Cakraniaga, PT (Line 7-9,11)
Alfa Teknik Mandiri Makmur, PT (Line 10)
Indostar Security, PT (Line 12)</v>
          </cell>
          <cell r="E594" t="str">
            <v>Greentek Elektrikal Indonesia, PT
ALKS, CV
Gevana, PT
Gema Industrial, PT
Antares Jaya Gemilang Prima, PT
Perwira Sentra Officindo, PT
Indostar Security, PT
Berkat Pratama Teknik, CV
Vhipa Mulia Pratama, PT
Borneo Maju Jaya, PT
Axel Jaya Cakraniaga, PT
Alfa Teknik Mandiri Makmur, PT
Ganesha Wirya Pratama, PT
Pacific Tractor Indonesia, PT
Aka Prima Komputindo, PT
Niaga Prima Paramitra, PT
Berkat Jaya Komputindo, PT</v>
          </cell>
          <cell r="F594" t="str">
            <v>Greentek Elektrikal Indonesia, PT
ALKS, CV
Gevana, PT
Antares Jaya Gemilang Prima, PT
Perwira Sentra Officindo, PT
Axel Jaya Cakraniaga, PT
Ganesha Wirya Pratama, PT
Aka Prima Komputindo, PT
Berkat Jaya Komputindo, PT</v>
          </cell>
          <cell r="G594" t="str">
            <v>R0
9 of 17
13 Jan 26</v>
          </cell>
          <cell r="H594" t="str">
            <v>GUNARA FERY FAHNANI</v>
          </cell>
          <cell r="I594">
            <v>46078</v>
          </cell>
          <cell r="J594" t="str">
            <v>6100DB421</v>
          </cell>
          <cell r="K594" t="str">
            <v>B</v>
          </cell>
          <cell r="L594" t="str">
            <v>BID</v>
          </cell>
          <cell r="N594" t="str">
            <v>RH</v>
          </cell>
          <cell r="O594" t="str">
            <v>robertiagus.haposan@alamtri.com</v>
          </cell>
          <cell r="P594">
            <v>17813</v>
          </cell>
          <cell r="Q594">
            <v>293914500</v>
          </cell>
          <cell r="R594" t="str">
            <v>Completed Sign PO</v>
          </cell>
          <cell r="S594" t="str">
            <v>Replacement from PC0125-000001301</v>
          </cell>
          <cell r="T594" t="str">
            <v>MSW</v>
          </cell>
          <cell r="U594" t="str">
            <v>Greentek Elektrikal Indonesia, PT
ALKS, CV
Gevana, PT
Gema Industrial, PT
Antares Jaya Gemilang Prima, PT
Perwira Sentra Officindo, PT
Indostar Security, PT
Berkat Pratama Teknik, CV
Vhipa Mulia Pratama, PT
Borneo Maju Jaya, PT
Axel Jaya Cakraniaga, PT
Alfa Teknik Mandiri Makmur, PT
Ganesha Wirya Pratama, PT
Pacific Tractor Indonesia, PT
Aka Prima Komputindo, PT
Niaga Prima Paramitra, PT
Berkat Jaya Komputindo, PT</v>
          </cell>
          <cell r="V594" t="str">
            <v>Greentek Elektrikal Indonesia, PT
ALKS, CV
Gevana, PT
Antares Jaya Gemilang Prima, PT
Perwira Sentra Officindo, PT
Axel Jaya Cakraniaga, PT
Ganesha Wirya Pratama, PT
Aka Prima Komputindo, PT
Berkat Jaya Komputindo, PT</v>
          </cell>
          <cell r="W594" t="str">
            <v>17 of 17</v>
          </cell>
          <cell r="X594" t="str">
            <v>9 of 17</v>
          </cell>
          <cell r="Y594">
            <v>46028</v>
          </cell>
          <cell r="Z594">
            <v>46035</v>
          </cell>
          <cell r="AC594" t="str">
            <v xml:space="preserve"> of </v>
          </cell>
          <cell r="AD594" t="str">
            <v xml:space="preserve"> of </v>
          </cell>
          <cell r="AF594" t="str">
            <v/>
          </cell>
          <cell r="AI594" t="str">
            <v xml:space="preserve"> of </v>
          </cell>
          <cell r="AJ594" t="str">
            <v xml:space="preserve"> of </v>
          </cell>
          <cell r="AL594" t="str">
            <v/>
          </cell>
          <cell r="AM594">
            <v>0.70833333333333304</v>
          </cell>
          <cell r="AN594" t="str">
            <v>Antares Jaya Gemilang Prima, PT</v>
          </cell>
          <cell r="AO594" t="str">
            <v>info@pt-antares.com; antares.jgp@gmail.com</v>
          </cell>
          <cell r="AP594" t="str">
            <v>6100-PC0626-00134</v>
          </cell>
          <cell r="AQ594">
            <v>48240000</v>
          </cell>
          <cell r="AR594">
            <v>46037</v>
          </cell>
          <cell r="AS594">
            <v>46047</v>
          </cell>
          <cell r="AT594">
            <v>46079</v>
          </cell>
          <cell r="AU594">
            <v>46206</v>
          </cell>
          <cell r="AV594">
            <v>46079</v>
          </cell>
          <cell r="AW594">
            <v>46206</v>
          </cell>
          <cell r="AX594">
            <v>18.142857142857142</v>
          </cell>
          <cell r="AZ594" t="str">
            <v/>
          </cell>
          <cell r="BA594" t="str">
            <v/>
          </cell>
          <cell r="BB594" t="str">
            <v>Completed</v>
          </cell>
          <cell r="BC594" t="str">
            <v>PC0126-000000420</v>
          </cell>
        </row>
        <row r="595">
          <cell r="B595" t="str">
            <v>PC0126-000000587 (Line 2-8)</v>
          </cell>
          <cell r="C595" t="str">
            <v>Material untuk pemasangan oksigen analyzer inlet</v>
          </cell>
          <cell r="E595" t="str">
            <v>Gevana, PT
Kin Kitra Kencana, PT
Antares Jaya Gemilang Prima, PT
Gema Industrial, PT
Putranata Adi Mandiri, PT
Outsourcindo, PT
Siwali Swantika, PT
Arita Prima Indonesia Tbk, PT
Indoparts, CV
Sehati, CV
Fajar Mas Murni, PT
Pacific Tractor Indonesia, PT</v>
          </cell>
          <cell r="F595" t="str">
            <v>Gevana, PT
Kin Kitra Kencana, PT
Outsourcindo, PT</v>
          </cell>
          <cell r="G595" t="str">
            <v>R1
3 of 12
19 Dec 25</v>
          </cell>
          <cell r="H595" t="str">
            <v>DEDE SUDARJI</v>
          </cell>
          <cell r="I595">
            <v>46090</v>
          </cell>
          <cell r="J595" t="str">
            <v>6100DB402</v>
          </cell>
          <cell r="K595" t="str">
            <v>B</v>
          </cell>
          <cell r="L595" t="str">
            <v>BID</v>
          </cell>
          <cell r="M595">
            <v>323</v>
          </cell>
          <cell r="N595" t="str">
            <v>RH</v>
          </cell>
          <cell r="O595" t="str">
            <v>robertiagus.haposan@alamtri.com</v>
          </cell>
          <cell r="P595">
            <v>2196</v>
          </cell>
          <cell r="Q595">
            <v>36234000</v>
          </cell>
          <cell r="R595" t="str">
            <v>Completed Sign PO</v>
          </cell>
          <cell r="S595" t="str">
            <v>PC0125-000000954 (Line 2-8)</v>
          </cell>
          <cell r="T595" t="str">
            <v>MSW</v>
          </cell>
          <cell r="U595" t="str">
            <v>Gema Industrial, PT
Antares Jaya Gemilang Prima, PT
Gevana, PT
Putera Instrumenindo, PT
Kin Kitra Kencana, PT
Gridtech Indonesia, PT
Sola Anugerah Oilfield, PT
Axel Jaya Cakraniaga, PT
Petrocom Nusa Synergy, PT
Triputra Electric Abadi, PT</v>
          </cell>
          <cell r="V595" t="str">
            <v>Gevana, PT
Kin Kitra Kencana, PT</v>
          </cell>
          <cell r="W595" t="str">
            <v>10 of 10</v>
          </cell>
          <cell r="X595" t="str">
            <v>2 of 10</v>
          </cell>
          <cell r="Y595">
            <v>45994</v>
          </cell>
          <cell r="Z595">
            <v>46001</v>
          </cell>
          <cell r="AA595" t="str">
            <v>Gevana, PT
Kin Kitra Kencana, PT
Antares Jaya Gemilang Prima, PT
Gema Industrial, PT
Putranata Adi Mandiri, PT
Outsourcindo, PT
Siwali Swantika, PT
Arita Prima Indonesia Tbk, PT
Indoparts, CV
Sehati, CV
Fajar Mas Murni, PT
Pacific Tractor Indonesia, PT</v>
          </cell>
          <cell r="AB595" t="str">
            <v>Gevana, PT
Kin Kitra Kencana, PT
Outsourcindo, PT</v>
          </cell>
          <cell r="AC595" t="str">
            <v>12 of 12</v>
          </cell>
          <cell r="AD595" t="str">
            <v>3 of 12</v>
          </cell>
          <cell r="AE595">
            <v>46003</v>
          </cell>
          <cell r="AF595">
            <v>46010</v>
          </cell>
          <cell r="AI595" t="str">
            <v xml:space="preserve"> of </v>
          </cell>
          <cell r="AJ595" t="str">
            <v xml:space="preserve"> of </v>
          </cell>
          <cell r="AL595" t="str">
            <v/>
          </cell>
          <cell r="AM595">
            <v>0.70833333333333304</v>
          </cell>
          <cell r="AN595" t="str">
            <v>Gevana, PT</v>
          </cell>
          <cell r="AO595" t="str">
            <v>charlierobiansa7@gmail.com; eviedenny277@gmail.com</v>
          </cell>
          <cell r="AP595" t="str">
            <v>6100-PC0626-00236</v>
          </cell>
          <cell r="AQ595">
            <v>23768750</v>
          </cell>
          <cell r="AR595">
            <v>46021</v>
          </cell>
          <cell r="AS595">
            <v>46055</v>
          </cell>
          <cell r="AT595">
            <v>46121</v>
          </cell>
          <cell r="AU595">
            <v>46150</v>
          </cell>
          <cell r="AV595">
            <v>46125</v>
          </cell>
          <cell r="AW595">
            <v>46154</v>
          </cell>
          <cell r="AX595">
            <v>4.1428571428571432</v>
          </cell>
          <cell r="AZ595" t="str">
            <v/>
          </cell>
          <cell r="BA595" t="str">
            <v/>
          </cell>
          <cell r="BB595" t="str">
            <v>Late Completed</v>
          </cell>
          <cell r="BC595" t="str">
            <v>PC0126-000000587</v>
          </cell>
        </row>
        <row r="596">
          <cell r="B596" t="str">
            <v>PC0126-000000943</v>
          </cell>
          <cell r="C596" t="str">
            <v>Jasa Perbaikan &amp; Pengadaan Spare Part CEMS Unit 2 Envea MIR900E</v>
          </cell>
          <cell r="E596" t="str">
            <v>Nocola IoT Solution, PT
Putera Instrumenindo, PT
Gridtech Indonesia, PT
Mff Oilfield Services and Engineering, PT</v>
          </cell>
          <cell r="F596" t="str">
            <v>Putera Instrumenindo, PT
Nocola IoT Solution, PT</v>
          </cell>
          <cell r="G596" t="str">
            <v>R2
 of 4
09 Jun 26</v>
          </cell>
          <cell r="H596" t="str">
            <v>DEDE SUDARJI</v>
          </cell>
          <cell r="I596">
            <v>46119</v>
          </cell>
          <cell r="J596" t="str">
            <v>6100DB402</v>
          </cell>
          <cell r="K596" t="str">
            <v>B &amp; J</v>
          </cell>
          <cell r="L596" t="str">
            <v>BID</v>
          </cell>
          <cell r="M596">
            <v>50</v>
          </cell>
          <cell r="N596" t="str">
            <v>RH</v>
          </cell>
          <cell r="O596" t="str">
            <v>robertiagus.haposan@alamtri.com</v>
          </cell>
          <cell r="P596">
            <v>2976.19</v>
          </cell>
          <cell r="Q596">
            <v>50595230</v>
          </cell>
          <cell r="R596" t="str">
            <v>RFQ</v>
          </cell>
          <cell r="T596" t="str">
            <v>MSW</v>
          </cell>
          <cell r="U596" t="str">
            <v>Putera Instrumenindo, PT
Sucofindo, PT
Petro Gama Industri, PT
Greentek Elektrikal Indonesia, PT
Gridtech Indonesia, PT
Gading Mas Utama, PT</v>
          </cell>
          <cell r="W596" t="str">
            <v>6 of 6</v>
          </cell>
          <cell r="X596" t="str">
            <v xml:space="preserve"> of 6</v>
          </cell>
          <cell r="Y596">
            <v>46119</v>
          </cell>
          <cell r="Z596">
            <v>46126</v>
          </cell>
          <cell r="AA596" t="str">
            <v>Endress+Hauser Indonesia, PT
Graha Usaha Teknik, PT
Putera Instrumenindo, PT
Gridtech Indonesia, PT
Mff Oilfield Services and Engineering, PT
Panca Global Solusindo, PT
Total Solusi Instrument, PT
Sucofindo, PT
Nocola IoT Solution, PT</v>
          </cell>
          <cell r="AB596" t="str">
            <v>Putera Instrumenindo, PT
Nocola IoT Solution, PT</v>
          </cell>
          <cell r="AC596" t="str">
            <v>9 of 9</v>
          </cell>
          <cell r="AD596" t="str">
            <v>2 of 9</v>
          </cell>
          <cell r="AE596">
            <v>46141</v>
          </cell>
          <cell r="AF596">
            <v>46148</v>
          </cell>
          <cell r="AG596" t="str">
            <v>Nocola IoT Solution, PT
Putera Instrumenindo, PT
Gridtech Indonesia, PT
Mff Oilfield Services and Engineering, PT</v>
          </cell>
          <cell r="AH596" t="str">
            <v>Nocola IoT Solution, PT</v>
          </cell>
          <cell r="AI596" t="str">
            <v>4 of 4</v>
          </cell>
          <cell r="AJ596" t="str">
            <v xml:space="preserve"> of 4</v>
          </cell>
          <cell r="AK596">
            <v>46175</v>
          </cell>
          <cell r="AL596">
            <v>46182</v>
          </cell>
          <cell r="AM596">
            <v>0.70833333333333304</v>
          </cell>
          <cell r="AO596" t="str">
            <v/>
          </cell>
          <cell r="AR596">
            <v>46185</v>
          </cell>
          <cell r="AW596" t="str">
            <v/>
          </cell>
          <cell r="AX596" t="str">
            <v/>
          </cell>
          <cell r="AZ596" t="str">
            <v/>
          </cell>
          <cell r="BA596" t="str">
            <v/>
          </cell>
          <cell r="BB596" t="str">
            <v/>
          </cell>
          <cell r="BC596" t="str">
            <v>PC0126-000000943</v>
          </cell>
        </row>
        <row r="597">
          <cell r="B597" t="str">
            <v>PC0126-000000101</v>
          </cell>
          <cell r="C597" t="str">
            <v>Jasa PM Bay Trafo IBT 60MVA RSS dan 150kV PLN</v>
          </cell>
          <cell r="E597" t="str">
            <v/>
          </cell>
          <cell r="F597" t="str">
            <v/>
          </cell>
          <cell r="G597" t="str">
            <v/>
          </cell>
          <cell r="H597" t="str">
            <v>GUNARA FERY FAHNANI</v>
          </cell>
          <cell r="J597" t="str">
            <v>6100DB412</v>
          </cell>
          <cell r="K597" t="str">
            <v>J</v>
          </cell>
          <cell r="L597" t="str">
            <v>BID</v>
          </cell>
          <cell r="N597" t="str">
            <v>RH</v>
          </cell>
          <cell r="O597" t="str">
            <v>robertiagus.haposan@alamtri.com</v>
          </cell>
          <cell r="P597">
            <v>5500</v>
          </cell>
          <cell r="Q597">
            <v>90750000</v>
          </cell>
          <cell r="R597" t="str">
            <v>CANCEL</v>
          </cell>
          <cell r="T597" t="str">
            <v>MSW</v>
          </cell>
          <cell r="W597" t="str">
            <v xml:space="preserve"> of </v>
          </cell>
          <cell r="X597" t="str">
            <v xml:space="preserve"> of </v>
          </cell>
          <cell r="Z597" t="str">
            <v/>
          </cell>
          <cell r="AC597" t="str">
            <v xml:space="preserve"> of </v>
          </cell>
          <cell r="AD597" t="str">
            <v xml:space="preserve"> of </v>
          </cell>
          <cell r="AF597" t="str">
            <v/>
          </cell>
          <cell r="AI597" t="str">
            <v xml:space="preserve"> of </v>
          </cell>
          <cell r="AJ597" t="str">
            <v xml:space="preserve"> of </v>
          </cell>
          <cell r="AL597" t="str">
            <v/>
          </cell>
          <cell r="AM597">
            <v>0.70833333333333304</v>
          </cell>
          <cell r="AO597" t="str">
            <v/>
          </cell>
          <cell r="AW597" t="str">
            <v/>
          </cell>
          <cell r="AX597" t="str">
            <v/>
          </cell>
          <cell r="AZ597" t="str">
            <v/>
          </cell>
          <cell r="BA597" t="str">
            <v/>
          </cell>
          <cell r="BB597" t="str">
            <v/>
          </cell>
          <cell r="BC597" t="str">
            <v>PC0126-000000101</v>
          </cell>
        </row>
        <row r="598">
          <cell r="B598" t="str">
            <v>PC0126-000000769</v>
          </cell>
          <cell r="C598" t="str">
            <v>Jasa Pembuatan Cap Nozzle</v>
          </cell>
          <cell r="E598" t="str">
            <v>Riyana Dinamika Mandiri, PT
Kajianlogam Persada, PT
Proweldindo, PT
Lotus Inti Pratama, PT</v>
          </cell>
          <cell r="F598" t="str">
            <v>Riyana Dinamika Mandiri, PT
Kajianlogam Persada, PT
Lotus Inti Pratama, PT</v>
          </cell>
          <cell r="G598" t="str">
            <v>R2
3 of 4
18 May 26</v>
          </cell>
          <cell r="H598" t="str">
            <v>RIZKY AGUSTINA</v>
          </cell>
          <cell r="I598">
            <v>46163</v>
          </cell>
          <cell r="J598" t="str">
            <v>6100DB401</v>
          </cell>
          <cell r="K598" t="str">
            <v>B</v>
          </cell>
          <cell r="L598" t="str">
            <v>BID</v>
          </cell>
          <cell r="M598">
            <v>51</v>
          </cell>
          <cell r="N598" t="str">
            <v>RH</v>
          </cell>
          <cell r="O598" t="str">
            <v>robertiagus.haposan@alamtri.com</v>
          </cell>
          <cell r="P598">
            <v>18000</v>
          </cell>
          <cell r="Q598">
            <v>297000000</v>
          </cell>
          <cell r="R598" t="str">
            <v>CQS</v>
          </cell>
          <cell r="T598" t="str">
            <v>MSW</v>
          </cell>
          <cell r="U598" t="str">
            <v>Riyana Dinamika Mandiri, PT
Proweldindo, PT
Kajianlogam Persada, PT
Suprabakti Mandiri, PT
Panca Tehnik Tanjung, PT
Mff Oilfield Services and Engineering, PT
Cakra Perkasa Jayamulia, PT
Total Prime Engineering, PT
Pola Proserve Engineering, PT</v>
          </cell>
          <cell r="V598" t="str">
            <v>Riyana Dinamika Mandiri, PT
Kajianlogam Persada, PT</v>
          </cell>
          <cell r="W598" t="str">
            <v>9 of 9</v>
          </cell>
          <cell r="X598" t="str">
            <v>2 of 9</v>
          </cell>
          <cell r="Y598">
            <v>46125</v>
          </cell>
          <cell r="Z598">
            <v>46132</v>
          </cell>
          <cell r="AA598" t="str">
            <v>Riyana Dinamika Mandiri, PT
Kajianlogam Persada, PT
Puspetindo, PT
Proweldindo, PT
Taka Turbomachinery Indonesia, PT
Benteng Api Technic, PT
Panca Global Solusindo, PT</v>
          </cell>
          <cell r="AB598" t="str">
            <v>Riyana Dinamika Mandiri, PT
Kajianlogam Persada, PT</v>
          </cell>
          <cell r="AC598" t="str">
            <v>7 of 7</v>
          </cell>
          <cell r="AD598" t="str">
            <v>2 of 7</v>
          </cell>
          <cell r="AE598">
            <v>46141</v>
          </cell>
          <cell r="AF598">
            <v>46148</v>
          </cell>
          <cell r="AG598" t="str">
            <v>Riyana Dinamika Mandiri, PT
Kajianlogam Persada, PT
Proweldindo, PT
Lotus Inti Pratama, PT</v>
          </cell>
          <cell r="AH598" t="str">
            <v>Riyana Dinamika Mandiri, PT
Kajianlogam Persada, PT
Lotus Inti Pratama, PT</v>
          </cell>
          <cell r="AI598" t="str">
            <v>4 of 4</v>
          </cell>
          <cell r="AJ598" t="str">
            <v>3 of 4</v>
          </cell>
          <cell r="AK598">
            <v>46153</v>
          </cell>
          <cell r="AL598">
            <v>46160</v>
          </cell>
          <cell r="AM598">
            <v>0.70833333333333304</v>
          </cell>
          <cell r="AO598" t="str">
            <v/>
          </cell>
          <cell r="AR598">
            <v>46161</v>
          </cell>
          <cell r="AW598" t="str">
            <v/>
          </cell>
          <cell r="AX598" t="str">
            <v/>
          </cell>
          <cell r="AZ598" t="str">
            <v/>
          </cell>
          <cell r="BA598" t="str">
            <v/>
          </cell>
          <cell r="BB598" t="str">
            <v/>
          </cell>
          <cell r="BC598" t="str">
            <v>PC0126-000000769</v>
          </cell>
        </row>
        <row r="599">
          <cell r="B599" t="str">
            <v>PC0126-000000552</v>
          </cell>
          <cell r="C599" t="str">
            <v>Spare part Computer OS-1 Turbine Control Siemens for WO10740317</v>
          </cell>
          <cell r="E599" t="str">
            <v>Gevana, PT
Panca Global Solusindo, PT
Antares Jaya Gemilang Prima, PT
Bizar Abdi Prima, PT
Siemens Energy Indonesia, PT
ODG Nusantara Jaya, PT
Simenteknindo, PT</v>
          </cell>
          <cell r="F599" t="str">
            <v>Gevana, PT
Panca Global Solusindo, PT
Antares Jaya Gemilang Prima, PT</v>
          </cell>
          <cell r="G599" t="str">
            <v>R0
3 of 7
16 Apr 26</v>
          </cell>
          <cell r="H599" t="str">
            <v>DEDE SUDARJI</v>
          </cell>
          <cell r="J599" t="str">
            <v>6100DB402</v>
          </cell>
          <cell r="K599" t="str">
            <v>B</v>
          </cell>
          <cell r="L599" t="str">
            <v>BID</v>
          </cell>
          <cell r="M599">
            <v>54</v>
          </cell>
          <cell r="N599" t="str">
            <v>RH</v>
          </cell>
          <cell r="O599" t="str">
            <v>robertiagus.haposan@alamtri.com</v>
          </cell>
          <cell r="P599">
            <v>20861.89</v>
          </cell>
          <cell r="Q599">
            <v>344221185</v>
          </cell>
          <cell r="R599" t="str">
            <v>CQS</v>
          </cell>
          <cell r="S599" t="str">
            <v>Previous PR PC0125-000000804</v>
          </cell>
          <cell r="T599" t="str">
            <v>MSW</v>
          </cell>
          <cell r="U599" t="str">
            <v>Gevana, PT
Panca Global Solusindo, PT
Antares Jaya Gemilang Prima, PT
Bizar Abdi Prima, PT
Siemens Energy Indonesia, PT
ODG Nusantara Jaya, PT
Simenteknindo, PT</v>
          </cell>
          <cell r="V599" t="str">
            <v>Gevana, PT
Panca Global Solusindo, PT
Antares Jaya Gemilang Prima, PT</v>
          </cell>
          <cell r="W599" t="str">
            <v>7 of 7</v>
          </cell>
          <cell r="X599" t="str">
            <v>3 of 7</v>
          </cell>
          <cell r="Y599">
            <v>46121</v>
          </cell>
          <cell r="Z599">
            <v>46128</v>
          </cell>
          <cell r="AA599" t="str">
            <v>Gevana, PT
Panca Global Solusindo, PT
Antares Jaya Gemilang Prima, PT</v>
          </cell>
          <cell r="AC599" t="str">
            <v xml:space="preserve"> of </v>
          </cell>
          <cell r="AD599" t="str">
            <v xml:space="preserve"> of </v>
          </cell>
          <cell r="AF599" t="str">
            <v/>
          </cell>
          <cell r="AI599" t="str">
            <v xml:space="preserve"> of </v>
          </cell>
          <cell r="AJ599" t="str">
            <v xml:space="preserve"> of </v>
          </cell>
          <cell r="AL599" t="str">
            <v/>
          </cell>
          <cell r="AM599">
            <v>0.70833333333333304</v>
          </cell>
          <cell r="AO599" t="str">
            <v/>
          </cell>
          <cell r="AR599">
            <v>46146</v>
          </cell>
          <cell r="AW599" t="str">
            <v/>
          </cell>
          <cell r="AX599" t="str">
            <v/>
          </cell>
          <cell r="AZ599" t="str">
            <v/>
          </cell>
          <cell r="BA599" t="str">
            <v/>
          </cell>
          <cell r="BB599" t="str">
            <v/>
          </cell>
          <cell r="BC599" t="str">
            <v>PC0126-000000552</v>
          </cell>
        </row>
        <row r="600">
          <cell r="B600" t="str">
            <v>PC0126-000000579</v>
          </cell>
          <cell r="C600" t="str">
            <v>Sparepart Oxygen Analyzer Boiler</v>
          </cell>
          <cell r="E600" t="str">
            <v>Yokogawa Indonesia, PT
Putera Instrumenindo, PT
Total Solusi Instrument, PT
Cakra Instrumindo Utama, PT
Control Systems Arena Para Nusa, PT
Antares Jaya Gemilang Prima, PT</v>
          </cell>
          <cell r="F600" t="str">
            <v>Yokogawa Indonesia, PT
Antares Jaya Gemilang Prima, PT</v>
          </cell>
          <cell r="G600" t="str">
            <v>R2
2 of 6
17 Apr 26</v>
          </cell>
          <cell r="H600" t="str">
            <v>DEDE SUDARJI</v>
          </cell>
          <cell r="I600">
            <v>46122</v>
          </cell>
          <cell r="J600" t="str">
            <v>6100DB402</v>
          </cell>
          <cell r="K600" t="str">
            <v>B</v>
          </cell>
          <cell r="L600" t="str">
            <v>BID</v>
          </cell>
          <cell r="M600">
            <v>266</v>
          </cell>
          <cell r="N600" t="str">
            <v>RH</v>
          </cell>
          <cell r="O600" t="str">
            <v>robertiagus.haposan@alamtri.com</v>
          </cell>
          <cell r="Q600">
            <v>78000000</v>
          </cell>
          <cell r="R600" t="str">
            <v>PO Sign Vendor</v>
          </cell>
          <cell r="S600" t="str">
            <v>PC0125-000000851 (Line 1)
Masalah PR</v>
          </cell>
          <cell r="T600" t="str">
            <v>MSW</v>
          </cell>
          <cell r="U600" t="str">
            <v>Dayaniaga Ekaselaras, PT
Putra Andalan Perkasa, PT
Mulia Solusindo, PT
Alfa Teknik Mandiri Makmur, PT
Perwira Sentra Officindo, PT
Gevana, PT
Sola Anugerah Oilfield, PT
Putera Instrumenindo, PT
Vhipa Mulia Pratama, PT
Lienetic Jaya, PT</v>
          </cell>
          <cell r="V600" t="str">
            <v>Dayaniaga Ekaselaras, PT
Gevana, PT
Putera Instrumenindo, PT
Lienetic Jaya, PT</v>
          </cell>
          <cell r="W600" t="str">
            <v>10 of 10</v>
          </cell>
          <cell r="X600" t="str">
            <v>4 of 10</v>
          </cell>
          <cell r="Y600">
            <v>45926</v>
          </cell>
          <cell r="Z600">
            <v>45933</v>
          </cell>
          <cell r="AA600" t="str">
            <v>Dayaniaga Ekaselaras, PT
Yokogawa Indonesia, PT
Antares Jaya Gemilang Prima, PT
Sola Anugerah Oilfield, PT
Petro Gama Industri, PT</v>
          </cell>
          <cell r="AB600" t="str">
            <v>Yokogawa Indonesia, PT</v>
          </cell>
          <cell r="AC600" t="str">
            <v>5 of 5</v>
          </cell>
          <cell r="AD600" t="str">
            <v>1 of 5</v>
          </cell>
          <cell r="AE600">
            <v>46097</v>
          </cell>
          <cell r="AF600">
            <v>46112</v>
          </cell>
          <cell r="AG600" t="str">
            <v>Yokogawa Indonesia, PT
Putera Instrumenindo, PT
Total Solusi Instrument, PT
Cakra Instrumindo Utama, PT
Control Systems Arena Para Nusa, PT
Antares Jaya Gemilang Prima, PT</v>
          </cell>
          <cell r="AH600" t="str">
            <v>Yokogawa Indonesia, PT
Antares Jaya Gemilang Prima, PT</v>
          </cell>
          <cell r="AI600" t="str">
            <v>6 of 6</v>
          </cell>
          <cell r="AJ600" t="str">
            <v>2 of 6</v>
          </cell>
          <cell r="AK600">
            <v>46122</v>
          </cell>
          <cell r="AL600">
            <v>46129</v>
          </cell>
          <cell r="AM600">
            <v>0.70833333333333304</v>
          </cell>
          <cell r="AN600" t="str">
            <v>Antares Jaya Gemilang Prima, PT</v>
          </cell>
          <cell r="AO600" t="str">
            <v>info@pt-antares.com; antares.jgp@gmail.com</v>
          </cell>
          <cell r="AP600" t="str">
            <v>6100-PC0626-00371</v>
          </cell>
          <cell r="AQ600">
            <v>72500000</v>
          </cell>
          <cell r="AR600">
            <v>46132</v>
          </cell>
          <cell r="AS600">
            <v>46161</v>
          </cell>
          <cell r="AT600">
            <v>46167</v>
          </cell>
          <cell r="AU600">
            <v>46346</v>
          </cell>
          <cell r="AV600">
            <v>46175</v>
          </cell>
          <cell r="AW600">
            <v>46354</v>
          </cell>
          <cell r="AX600">
            <v>25.571428571428573</v>
          </cell>
          <cell r="AZ600" t="str">
            <v/>
          </cell>
          <cell r="BA600" t="str">
            <v/>
          </cell>
          <cell r="BB600" t="str">
            <v>Late Completed</v>
          </cell>
          <cell r="BC600" t="str">
            <v>PC0126-000000579</v>
          </cell>
        </row>
        <row r="601">
          <cell r="B601" t="str">
            <v>PC0126-000000969</v>
          </cell>
          <cell r="C601" t="str">
            <v>Jasa Analisa DGA &amp; OIL Transformer Tambang</v>
          </cell>
          <cell r="D601" t="str">
            <v>Petrolab Services, PT</v>
          </cell>
          <cell r="E601" t="str">
            <v>Petrolab Services, PT</v>
          </cell>
          <cell r="F601" t="str">
            <v/>
          </cell>
          <cell r="G601" t="str">
            <v/>
          </cell>
          <cell r="H601" t="str">
            <v>NAUFAL INAS FIKRI</v>
          </cell>
          <cell r="I601">
            <v>46133</v>
          </cell>
          <cell r="J601" t="str">
            <v>6100DB412</v>
          </cell>
          <cell r="K601" t="str">
            <v>B &amp; J</v>
          </cell>
          <cell r="L601" t="str">
            <v>CTR</v>
          </cell>
          <cell r="N601" t="str">
            <v>RH</v>
          </cell>
          <cell r="O601" t="str">
            <v>robertiagus.haposan@alamtri.com</v>
          </cell>
          <cell r="P601">
            <v>18262.62</v>
          </cell>
          <cell r="Q601">
            <v>310464540</v>
          </cell>
          <cell r="R601" t="str">
            <v>PO Sign Vendor</v>
          </cell>
          <cell r="T601" t="str">
            <v>MSW</v>
          </cell>
          <cell r="U601" t="str">
            <v>Petrolab Services, PT</v>
          </cell>
          <cell r="V601" t="str">
            <v>Petrolab Services, PT</v>
          </cell>
          <cell r="W601" t="str">
            <v>1 of 1</v>
          </cell>
          <cell r="X601" t="str">
            <v>1 of 1</v>
          </cell>
          <cell r="Z601" t="str">
            <v/>
          </cell>
          <cell r="AC601" t="str">
            <v xml:space="preserve"> of </v>
          </cell>
          <cell r="AD601" t="str">
            <v xml:space="preserve"> of </v>
          </cell>
          <cell r="AF601" t="str">
            <v/>
          </cell>
          <cell r="AI601" t="str">
            <v xml:space="preserve"> of </v>
          </cell>
          <cell r="AJ601" t="str">
            <v xml:space="preserve"> of </v>
          </cell>
          <cell r="AL601" t="str">
            <v/>
          </cell>
          <cell r="AM601">
            <v>0.70833333333333304</v>
          </cell>
          <cell r="AN601" t="str">
            <v>Petrolab Services, PT</v>
          </cell>
          <cell r="AO601" t="str">
            <v xml:space="preserve">arzi@petrolab.co.id; adrian@petrolab.co.id </v>
          </cell>
          <cell r="AP601" t="str">
            <v>6100-PC0626-00276</v>
          </cell>
          <cell r="AQ601">
            <v>309000000</v>
          </cell>
          <cell r="AT601">
            <v>46132</v>
          </cell>
          <cell r="AU601">
            <v>46178</v>
          </cell>
          <cell r="AV601">
            <v>46135</v>
          </cell>
          <cell r="AW601">
            <v>46181</v>
          </cell>
          <cell r="AX601">
            <v>6.5714285714285712</v>
          </cell>
          <cell r="AZ601" t="str">
            <v/>
          </cell>
          <cell r="BA601" t="str">
            <v/>
          </cell>
          <cell r="BB601" t="str">
            <v>Completed</v>
          </cell>
          <cell r="BC601" t="str">
            <v>PC0126-000000969</v>
          </cell>
        </row>
        <row r="602">
          <cell r="B602" t="str">
            <v>PC0126-000001202</v>
          </cell>
          <cell r="C602" t="str">
            <v>OIL ANALYSIS FOR TRANSFORMER &amp; ROTATING EQUIPMENT PERIODE APRIL 2026</v>
          </cell>
          <cell r="D602" t="str">
            <v>Petrolab Services, PT</v>
          </cell>
          <cell r="E602" t="str">
            <v>Petrolab Services, PT</v>
          </cell>
          <cell r="F602" t="str">
            <v/>
          </cell>
          <cell r="G602" t="str">
            <v/>
          </cell>
          <cell r="H602" t="str">
            <v>SASTRA IRAWAN</v>
          </cell>
          <cell r="I602">
            <v>46121</v>
          </cell>
          <cell r="J602" t="str">
            <v>6100DB403</v>
          </cell>
          <cell r="K602" t="str">
            <v>B &amp; J</v>
          </cell>
          <cell r="L602" t="str">
            <v>CTR</v>
          </cell>
          <cell r="N602" t="str">
            <v>RH</v>
          </cell>
          <cell r="O602" t="str">
            <v>robertiagus.haposan@alamtri.com</v>
          </cell>
          <cell r="Q602">
            <v>235000000</v>
          </cell>
          <cell r="R602" t="str">
            <v>Completed Sign PO Contract</v>
          </cell>
          <cell r="T602" t="str">
            <v>MSW</v>
          </cell>
          <cell r="U602" t="str">
            <v>Petrolab Services, PT</v>
          </cell>
          <cell r="V602" t="str">
            <v>Petrolab Services, PT</v>
          </cell>
          <cell r="W602" t="str">
            <v>1 of 1</v>
          </cell>
          <cell r="X602" t="str">
            <v>1 of 1</v>
          </cell>
          <cell r="Z602" t="str">
            <v/>
          </cell>
          <cell r="AC602" t="str">
            <v xml:space="preserve"> of </v>
          </cell>
          <cell r="AD602" t="str">
            <v xml:space="preserve"> of </v>
          </cell>
          <cell r="AF602" t="str">
            <v/>
          </cell>
          <cell r="AI602" t="str">
            <v xml:space="preserve"> of </v>
          </cell>
          <cell r="AJ602" t="str">
            <v xml:space="preserve"> of </v>
          </cell>
          <cell r="AL602" t="str">
            <v/>
          </cell>
          <cell r="AM602">
            <v>0.70833333333333304</v>
          </cell>
          <cell r="AN602" t="str">
            <v>Petrolab Services, PT</v>
          </cell>
          <cell r="AO602" t="str">
            <v xml:space="preserve">arzi@petrolab.co.id; adrian@petrolab.co.id </v>
          </cell>
          <cell r="AP602" t="str">
            <v>6100-PC0626-00239</v>
          </cell>
          <cell r="AQ602">
            <v>222150000</v>
          </cell>
          <cell r="AT602">
            <v>46126</v>
          </cell>
          <cell r="AU602">
            <v>46155</v>
          </cell>
          <cell r="AV602">
            <v>46129</v>
          </cell>
          <cell r="AW602">
            <v>46158</v>
          </cell>
          <cell r="AX602">
            <v>4.1428571428571432</v>
          </cell>
          <cell r="AZ602" t="str">
            <v/>
          </cell>
          <cell r="BA602" t="str">
            <v/>
          </cell>
          <cell r="BB602" t="str">
            <v>Completed</v>
          </cell>
          <cell r="BC602" t="str">
            <v>PC0126-000001202</v>
          </cell>
        </row>
        <row r="603">
          <cell r="B603" t="str">
            <v>PC0126-000000587 (Line 1)</v>
          </cell>
          <cell r="C603" t="str">
            <v>Material untuk pemasangan oksigen analyzer inlet</v>
          </cell>
          <cell r="E603" t="str">
            <v>Gevana, PT
Outsourcindo, PT
Gema Industrial, PT
Nusafluid Solusi Utama, PT
Perwira Sentra Officindo, PT
Alfa Teknik Mandiri Makmur, PT
Lotus Inti Pratama, PT
Putranata Adi Mandiri, PT</v>
          </cell>
          <cell r="F603" t="str">
            <v>Gevana, PT
Gema Industrial, PT
Perwira Sentra Officindo, PT</v>
          </cell>
          <cell r="G603" t="str">
            <v>R2
3 of 8
17 Apr 26</v>
          </cell>
          <cell r="H603" t="str">
            <v>DEDE SUDARJI</v>
          </cell>
          <cell r="I603">
            <v>46090</v>
          </cell>
          <cell r="J603" t="str">
            <v>6100DB402</v>
          </cell>
          <cell r="K603" t="str">
            <v>B</v>
          </cell>
          <cell r="L603" t="str">
            <v>BID</v>
          </cell>
          <cell r="M603">
            <v>323</v>
          </cell>
          <cell r="N603" t="str">
            <v>RH</v>
          </cell>
          <cell r="O603" t="str">
            <v>robertiagus.haposan@alamtri.com</v>
          </cell>
          <cell r="P603">
            <v>92</v>
          </cell>
          <cell r="Q603">
            <v>1518000</v>
          </cell>
          <cell r="R603" t="str">
            <v>Completed Sign PO</v>
          </cell>
          <cell r="S603" t="str">
            <v>PC0125-000000954 (Line 1)</v>
          </cell>
          <cell r="T603" t="str">
            <v>MSW</v>
          </cell>
          <cell r="U603" t="str">
            <v>Gema Industrial, PT
Antares Jaya Gemilang Prima, PT
Gevana, PT
Putera Instrumenindo, PT
Kin Kitra Kencana, PT
Gridtech Indonesia, PT
Sola Anugerah Oilfield, PT
Axel Jaya Cakraniaga, PT
Petrocom Nusa Synergy, PT
Triputra Electric Abadi, PT</v>
          </cell>
          <cell r="V603" t="str">
            <v>Gevana, PT
Kin Kitra Kencana, PT</v>
          </cell>
          <cell r="W603" t="str">
            <v>10 of 10</v>
          </cell>
          <cell r="X603" t="str">
            <v>2 of 10</v>
          </cell>
          <cell r="Y603">
            <v>45994</v>
          </cell>
          <cell r="Z603">
            <v>46001</v>
          </cell>
          <cell r="AA603" t="str">
            <v>Gevana, PT
Kin Kitra Kencana, PT
Antares Jaya Gemilang Prima, PT
Gema Industrial, PT
Putranata Adi Mandiri, PT
Outsourcindo, PT
Siwali Swantika, PT
Arita Prima Indonesia Tbk, PT
Indoparts, CV
Sehati, CV
Fajar Mas Murni, PT
Pacific Tractor Indonesia, PT</v>
          </cell>
          <cell r="AB603" t="str">
            <v>Gevana, PT
Kin Kitra Kencana, PT
Outsourcindo, PT</v>
          </cell>
          <cell r="AC603" t="str">
            <v>12 of 12</v>
          </cell>
          <cell r="AD603" t="str">
            <v>3 of 12</v>
          </cell>
          <cell r="AE603">
            <v>46003</v>
          </cell>
          <cell r="AF603">
            <v>46010</v>
          </cell>
          <cell r="AG603" t="str">
            <v>Gevana, PT
Outsourcindo, PT
Gema Industrial, PT
Nusafluid Solusi Utama, PT
Perwira Sentra Officindo, PT
Alfa Teknik Mandiri Makmur, PT
Lotus Inti Pratama, PT
Putranata Adi Mandiri, PT</v>
          </cell>
          <cell r="AH603" t="str">
            <v>Gevana, PT
Gema Industrial, PT
Perwira Sentra Officindo, PT</v>
          </cell>
          <cell r="AI603" t="str">
            <v>8 of 8</v>
          </cell>
          <cell r="AJ603" t="str">
            <v>3 of 8</v>
          </cell>
          <cell r="AK603">
            <v>46122</v>
          </cell>
          <cell r="AL603">
            <v>46129</v>
          </cell>
          <cell r="AM603">
            <v>0.70833333333333304</v>
          </cell>
          <cell r="AN603" t="str">
            <v>Gema Industrial, PT</v>
          </cell>
          <cell r="AO603" t="str">
            <v>marketing@gema-industrial.com</v>
          </cell>
          <cell r="AP603" t="str">
            <v>6100-PC0626-00326</v>
          </cell>
          <cell r="AQ603">
            <v>7500000</v>
          </cell>
          <cell r="AR603">
            <v>46132</v>
          </cell>
          <cell r="AS603">
            <v>46141</v>
          </cell>
          <cell r="AT603">
            <v>46147</v>
          </cell>
          <cell r="AU603">
            <v>46178</v>
          </cell>
          <cell r="AV603">
            <v>46150</v>
          </cell>
          <cell r="AW603">
            <v>46181</v>
          </cell>
          <cell r="AX603">
            <v>4.4285714285714288</v>
          </cell>
          <cell r="AZ603" t="str">
            <v/>
          </cell>
          <cell r="BA603" t="str">
            <v/>
          </cell>
          <cell r="BB603" t="str">
            <v>Late Completed</v>
          </cell>
          <cell r="BC603" t="str">
            <v>PC0126-000000587</v>
          </cell>
        </row>
        <row r="604">
          <cell r="B604" t="str">
            <v>PC0126-000000300 (Line 6)</v>
          </cell>
          <cell r="C604" t="str">
            <v>Pengadaan Terminal Bushing flag Tembaga Trafo Tambang attachment</v>
          </cell>
          <cell r="D604" t="str">
            <v>Gridtech Indonesia, PT (Line 1)</v>
          </cell>
          <cell r="E604" t="str">
            <v>Gridtech Indonesia, PT
Ganesha Wirya Pratama, PT
Axel Jaya Cakraniaga, PT
Borneo Maju Jaya, PT
Alfa Teknik Mandiri Makmur, PT
Outsourcindo, PT
Perwira Sentra Officindo, PT
Sehati, CV
Antares Jaya Gemilang Prima, PT
Jaya Listrik, CV
Sentra Tanjung Jaya, CV</v>
          </cell>
          <cell r="F604" t="str">
            <v>Gridtech Indonesia, PT
Ganesha Wirya Pratama, PT
Axel Jaya Cakraniaga, PT
Alfa Teknik Mandiri Makmur, PT
Perwira Sentra Officindo, PT</v>
          </cell>
          <cell r="G604" t="str">
            <v>R0
5 of 11
18 Feb 26</v>
          </cell>
          <cell r="H604" t="str">
            <v>GUNARA FERY FAHNANI</v>
          </cell>
          <cell r="I604">
            <v>46064</v>
          </cell>
          <cell r="J604" t="str">
            <v>6100DB412</v>
          </cell>
          <cell r="K604" t="str">
            <v>B</v>
          </cell>
          <cell r="L604" t="str">
            <v>BID</v>
          </cell>
          <cell r="M604">
            <v>29</v>
          </cell>
          <cell r="N604" t="str">
            <v>RH</v>
          </cell>
          <cell r="O604" t="str">
            <v>robertiagus.haposan@alamtri.com</v>
          </cell>
          <cell r="P604">
            <v>3268.92</v>
          </cell>
          <cell r="Q604">
            <v>53937180</v>
          </cell>
          <cell r="R604" t="str">
            <v>Completed Sign PO</v>
          </cell>
          <cell r="S604" t="str">
            <v>Previous PR PC0125-000001471</v>
          </cell>
          <cell r="T604" t="str">
            <v>MSW</v>
          </cell>
          <cell r="U604" t="str">
            <v>Gridtech Indonesia, PT
Ganesha Wirya Pratama, PT
Axel Jaya Cakraniaga, PT
Borneo Maju Jaya, PT
Alfa Teknik Mandiri Makmur, PT
Outsourcindo, PT
Perwira Sentra Officindo, PT
Sehati, CV
Antares Jaya Gemilang Prima, PT
Jaya Listrik, CV
Sentra Tanjung Jaya, CV</v>
          </cell>
          <cell r="V604" t="str">
            <v>Gridtech Indonesia, PT
Ganesha Wirya Pratama, PT
Axel Jaya Cakraniaga, PT
Alfa Teknik Mandiri Makmur, PT
Perwira Sentra Officindo, PT</v>
          </cell>
          <cell r="W604" t="str">
            <v>11 of 11</v>
          </cell>
          <cell r="X604" t="str">
            <v>5 of 11</v>
          </cell>
          <cell r="Y604">
            <v>46064</v>
          </cell>
          <cell r="Z604">
            <v>46071</v>
          </cell>
          <cell r="AC604" t="str">
            <v xml:space="preserve"> of </v>
          </cell>
          <cell r="AD604" t="str">
            <v xml:space="preserve"> of </v>
          </cell>
          <cell r="AF604" t="str">
            <v/>
          </cell>
          <cell r="AI604" t="str">
            <v xml:space="preserve"> of </v>
          </cell>
          <cell r="AJ604" t="str">
            <v xml:space="preserve"> of </v>
          </cell>
          <cell r="AL604" t="str">
            <v/>
          </cell>
          <cell r="AM604">
            <v>0.70833333333333304</v>
          </cell>
          <cell r="AN604" t="str">
            <v>Axel Jaya Cakraniaga, PT</v>
          </cell>
          <cell r="AO604" t="str">
            <v>ajcakraniaga@gmail.com; sales@ajcakraniaga.com</v>
          </cell>
          <cell r="AP604" t="str">
            <v>6100-PC0626-00260</v>
          </cell>
          <cell r="AQ604">
            <v>26800000</v>
          </cell>
          <cell r="AR604">
            <v>46090</v>
          </cell>
          <cell r="AS604">
            <v>46119</v>
          </cell>
          <cell r="AT604">
            <v>46128</v>
          </cell>
          <cell r="AU604">
            <v>46213</v>
          </cell>
          <cell r="AV604">
            <v>46133</v>
          </cell>
          <cell r="AW604">
            <v>46218</v>
          </cell>
          <cell r="AX604">
            <v>12.142857142857142</v>
          </cell>
          <cell r="AZ604" t="str">
            <v/>
          </cell>
          <cell r="BA604" t="str">
            <v/>
          </cell>
          <cell r="BB604" t="str">
            <v>Late Completed</v>
          </cell>
          <cell r="BC604" t="str">
            <v>PC0126-000000300</v>
          </cell>
        </row>
        <row r="605">
          <cell r="B605" t="str">
            <v>PC0126-000000762</v>
          </cell>
          <cell r="C605" t="str">
            <v>Material PM to DG 3G IBT</v>
          </cell>
          <cell r="D605" t="str">
            <v>Trakindo Utama, PT</v>
          </cell>
          <cell r="E605" t="str">
            <v>Trakindo Utama, PT</v>
          </cell>
          <cell r="F605" t="str">
            <v/>
          </cell>
          <cell r="G605" t="str">
            <v/>
          </cell>
          <cell r="H605" t="str">
            <v>SLAMET</v>
          </cell>
          <cell r="I605">
            <v>46120</v>
          </cell>
          <cell r="J605" t="str">
            <v>6100DB432</v>
          </cell>
          <cell r="K605" t="str">
            <v>B</v>
          </cell>
          <cell r="L605" t="str">
            <v>CTR</v>
          </cell>
          <cell r="M605">
            <v>4</v>
          </cell>
          <cell r="N605" t="str">
            <v>RH</v>
          </cell>
          <cell r="O605" t="str">
            <v>robertiagus.haposan@alamtri.com</v>
          </cell>
          <cell r="P605">
            <v>2582.7199999999998</v>
          </cell>
          <cell r="Q605">
            <v>42614880</v>
          </cell>
          <cell r="R605" t="str">
            <v>Completed Sign PO Contract</v>
          </cell>
          <cell r="T605" t="str">
            <v>MSW</v>
          </cell>
          <cell r="U605" t="str">
            <v>Trakindo Utama, PT</v>
          </cell>
          <cell r="W605" t="str">
            <v>1 of 1</v>
          </cell>
          <cell r="X605" t="str">
            <v xml:space="preserve"> of 1</v>
          </cell>
          <cell r="Y605">
            <v>46120</v>
          </cell>
          <cell r="Z605">
            <v>46121</v>
          </cell>
          <cell r="AC605" t="str">
            <v xml:space="preserve"> of </v>
          </cell>
          <cell r="AD605" t="str">
            <v xml:space="preserve"> of </v>
          </cell>
          <cell r="AF605" t="str">
            <v/>
          </cell>
          <cell r="AI605" t="str">
            <v xml:space="preserve"> of </v>
          </cell>
          <cell r="AJ605" t="str">
            <v xml:space="preserve"> of </v>
          </cell>
          <cell r="AL605" t="str">
            <v/>
          </cell>
          <cell r="AM605">
            <v>0.70833333333333304</v>
          </cell>
          <cell r="AN605" t="str">
            <v>Trakindo Utama, PT</v>
          </cell>
          <cell r="AO605" t="str">
            <v>hjuniater.sidauruk@trakindo.co.id</v>
          </cell>
          <cell r="AP605" t="str">
            <v>6100-PC0626-00238</v>
          </cell>
          <cell r="AQ605">
            <v>48455680</v>
          </cell>
          <cell r="AT605">
            <v>46121</v>
          </cell>
          <cell r="AU605">
            <v>46157</v>
          </cell>
          <cell r="AV605">
            <v>46125</v>
          </cell>
          <cell r="AW605">
            <v>46161</v>
          </cell>
          <cell r="AX605">
            <v>5.1428571428571432</v>
          </cell>
          <cell r="AZ605" t="str">
            <v/>
          </cell>
          <cell r="BA605" t="str">
            <v/>
          </cell>
          <cell r="BB605" t="str">
            <v>Completed</v>
          </cell>
          <cell r="BC605" t="str">
            <v>PC0126-000000762</v>
          </cell>
        </row>
        <row r="606">
          <cell r="B606" t="str">
            <v>PC0126-000001074</v>
          </cell>
          <cell r="C606" t="str">
            <v>Item 3 &amp; 4 Spare Part Transmitter</v>
          </cell>
          <cell r="D606" t="str">
            <v>Gema Industrial, PT - Line 2</v>
          </cell>
          <cell r="E606" t="str">
            <v>Gevana, PT
Dayaniaga Ekaselaras, PT
Gading Mas Utama, PT
Vhipa Mulia Pratama, PT
Perwira Sentra Officindo, PT
Viktori Profindo Automation, PT
Promitra Prima Indonesia, PT
Gevana, PT
Antares Jaya Gemilang Prima, PT
Greentek Elektrikal Indonesia, PT
Gridtech Indonesia, PT
Trimitra Bangun Karyatama, PT
Gema Industrial, PT</v>
          </cell>
          <cell r="F606" t="str">
            <v>Gevana, PT
Dayaniaga Ekaselaras, PT
Gading Mas Utama, PT
Viktori Profindo Automation, PT
Promitra Prima Indonesia, PT
Gema Industrial, PT</v>
          </cell>
          <cell r="G606" t="str">
            <v>R1
6 of 13
28 Apr 26</v>
          </cell>
          <cell r="H606" t="str">
            <v>DEDE SUDARJI</v>
          </cell>
          <cell r="I606">
            <v>46125</v>
          </cell>
          <cell r="J606" t="str">
            <v>6100DB402</v>
          </cell>
          <cell r="K606" t="str">
            <v>B</v>
          </cell>
          <cell r="L606" t="str">
            <v>BID</v>
          </cell>
          <cell r="M606">
            <v>55</v>
          </cell>
          <cell r="N606" t="str">
            <v>RH</v>
          </cell>
          <cell r="O606" t="str">
            <v>robertiagus.haposan@alamtri.com</v>
          </cell>
          <cell r="P606">
            <v>1700</v>
          </cell>
          <cell r="Q606">
            <v>28050000</v>
          </cell>
          <cell r="R606" t="str">
            <v>CQS</v>
          </cell>
          <cell r="T606" t="str">
            <v>MSW</v>
          </cell>
          <cell r="U606" t="str">
            <v>Gevana, PT
Gema Industrial, PT
Gading Mas Utama, PT
Promitra Prima Indonesia, PT
Vhipa Mulia Pratama, PT
Antares Jaya Gemilang Prima, PT</v>
          </cell>
          <cell r="V606" t="str">
            <v>Gevana, PT
Gading Mas Utama, PT</v>
          </cell>
          <cell r="W606" t="str">
            <v>6 of 6</v>
          </cell>
          <cell r="X606" t="str">
            <v>2 of 6</v>
          </cell>
          <cell r="Y606">
            <v>46125</v>
          </cell>
          <cell r="Z606">
            <v>46132</v>
          </cell>
          <cell r="AA606" t="str">
            <v>Gevana, PT
Dayaniaga Ekaselaras, PT
Gading Mas Utama, PT
Vhipa Mulia Pratama, PT
Perwira Sentra Officindo, PT
Viktori Profindo Automation, PT
Promitra Prima Indonesia, PT
Gevana, PT
Antares Jaya Gemilang Prima, PT
Greentek Elektrikal Indonesia, PT
Gridtech Indonesia, PT
Trimitra Bangun Karyatama, PT
Gema Industrial, PT</v>
          </cell>
          <cell r="AB606" t="str">
            <v>Gevana, PT
Dayaniaga Ekaselaras, PT
Gading Mas Utama, PT
Viktori Profindo Automation, PT
Promitra Prima Indonesia, PT
Gema Industrial, PT</v>
          </cell>
          <cell r="AC606" t="str">
            <v>13 of 13</v>
          </cell>
          <cell r="AD606" t="str">
            <v>6 of 13</v>
          </cell>
          <cell r="AE606">
            <v>46133</v>
          </cell>
          <cell r="AF606">
            <v>46140</v>
          </cell>
          <cell r="AI606" t="str">
            <v xml:space="preserve"> of </v>
          </cell>
          <cell r="AJ606" t="str">
            <v xml:space="preserve"> of </v>
          </cell>
          <cell r="AL606" t="str">
            <v/>
          </cell>
          <cell r="AM606">
            <v>0.70833333333333304</v>
          </cell>
          <cell r="AN606" t="str">
            <v>Gading Mas Utama, PT</v>
          </cell>
          <cell r="AO606" t="str">
            <v/>
          </cell>
          <cell r="AP606" t="str">
            <v>6100-PC0626-00419</v>
          </cell>
          <cell r="AQ606">
            <v>30133500</v>
          </cell>
          <cell r="AR606">
            <v>46147</v>
          </cell>
          <cell r="AS606">
            <v>46181</v>
          </cell>
          <cell r="AT606">
            <v>46185</v>
          </cell>
          <cell r="AW606" t="str">
            <v/>
          </cell>
          <cell r="AX606" t="str">
            <v/>
          </cell>
          <cell r="AZ606" t="str">
            <v/>
          </cell>
          <cell r="BA606" t="str">
            <v/>
          </cell>
          <cell r="BB606" t="str">
            <v/>
          </cell>
          <cell r="BC606" t="str">
            <v>PC0126-000001074</v>
          </cell>
        </row>
        <row r="607">
          <cell r="B607" t="str">
            <v>PC0126-000000487 (Feb 26)</v>
          </cell>
          <cell r="C607" t="str">
            <v>Rental Genset 2 x 40 Kva Support Lab. Paringin Periode Januari - November 2026</v>
          </cell>
          <cell r="D607" t="str">
            <v>Bima Kaltim Utama, PT</v>
          </cell>
          <cell r="E607">
            <v>0</v>
          </cell>
          <cell r="F607" t="str">
            <v/>
          </cell>
          <cell r="G607" t="str">
            <v/>
          </cell>
          <cell r="H607" t="str">
            <v>SLAMET</v>
          </cell>
          <cell r="I607">
            <v>46064</v>
          </cell>
          <cell r="J607" t="str">
            <v>6100DB431</v>
          </cell>
          <cell r="K607" t="str">
            <v>B</v>
          </cell>
          <cell r="L607" t="str">
            <v>CTR</v>
          </cell>
          <cell r="N607" t="str">
            <v>RH</v>
          </cell>
          <cell r="O607" t="str">
            <v>robertiagus.haposan@alamtri.com</v>
          </cell>
          <cell r="Q607">
            <v>30000000</v>
          </cell>
          <cell r="R607" t="str">
            <v>Completed Sign PO Contract</v>
          </cell>
          <cell r="T607" t="str">
            <v>MSW</v>
          </cell>
          <cell r="W607" t="str">
            <v xml:space="preserve"> of </v>
          </cell>
          <cell r="X607" t="str">
            <v xml:space="preserve"> of </v>
          </cell>
          <cell r="Z607" t="str">
            <v/>
          </cell>
          <cell r="AC607" t="str">
            <v xml:space="preserve"> of </v>
          </cell>
          <cell r="AD607" t="str">
            <v xml:space="preserve"> of </v>
          </cell>
          <cell r="AF607" t="str">
            <v/>
          </cell>
          <cell r="AI607" t="str">
            <v xml:space="preserve"> of </v>
          </cell>
          <cell r="AJ607" t="str">
            <v xml:space="preserve"> of </v>
          </cell>
          <cell r="AL607" t="str">
            <v/>
          </cell>
          <cell r="AM607">
            <v>0.70833333333333304</v>
          </cell>
          <cell r="AN607" t="str">
            <v>Bima Kaltim Utama, PT</v>
          </cell>
          <cell r="AO607" t="str">
            <v>rera.bimakaltim@yahoo.com; albert.bimautama@yahoo.com; rya_bimakaltim@yahoo.com</v>
          </cell>
          <cell r="AP607" t="str">
            <v>6100-PC0626-00241</v>
          </cell>
          <cell r="AQ607">
            <v>30000000</v>
          </cell>
          <cell r="AT607">
            <v>46122</v>
          </cell>
          <cell r="AU607">
            <v>46150</v>
          </cell>
          <cell r="AV607">
            <v>46128</v>
          </cell>
          <cell r="AW607">
            <v>46156</v>
          </cell>
          <cell r="AX607">
            <v>4</v>
          </cell>
          <cell r="AZ607" t="str">
            <v/>
          </cell>
          <cell r="BA607" t="str">
            <v/>
          </cell>
          <cell r="BB607" t="str">
            <v>Late Completed</v>
          </cell>
          <cell r="BC607" t="str">
            <v>PC0126-000000487</v>
          </cell>
        </row>
        <row r="608">
          <cell r="B608" t="str">
            <v>PC0126-000000487 (Mar 26)</v>
          </cell>
          <cell r="C608" t="str">
            <v>Rental Genset 2 x 40 Kva Support Lab. Paringin Periode Januari - November 2026</v>
          </cell>
          <cell r="D608" t="str">
            <v>Bima Kaltim Utama, PT</v>
          </cell>
          <cell r="E608">
            <v>0</v>
          </cell>
          <cell r="F608" t="str">
            <v/>
          </cell>
          <cell r="G608" t="str">
            <v/>
          </cell>
          <cell r="H608" t="str">
            <v>SLAMET</v>
          </cell>
          <cell r="I608">
            <v>46064</v>
          </cell>
          <cell r="J608" t="str">
            <v>6100DB431</v>
          </cell>
          <cell r="K608" t="str">
            <v>B</v>
          </cell>
          <cell r="L608" t="str">
            <v>CTR</v>
          </cell>
          <cell r="N608" t="str">
            <v>RH</v>
          </cell>
          <cell r="O608" t="str">
            <v>robertiagus.haposan@alamtri.com</v>
          </cell>
          <cell r="Q608">
            <v>30000000</v>
          </cell>
          <cell r="R608" t="str">
            <v>PO Sign Vendor</v>
          </cell>
          <cell r="T608" t="str">
            <v>MSW</v>
          </cell>
          <cell r="W608" t="str">
            <v xml:space="preserve"> of </v>
          </cell>
          <cell r="X608" t="str">
            <v xml:space="preserve"> of </v>
          </cell>
          <cell r="Z608" t="str">
            <v/>
          </cell>
          <cell r="AC608" t="str">
            <v xml:space="preserve"> of </v>
          </cell>
          <cell r="AD608" t="str">
            <v xml:space="preserve"> of </v>
          </cell>
          <cell r="AF608" t="str">
            <v/>
          </cell>
          <cell r="AI608" t="str">
            <v xml:space="preserve"> of </v>
          </cell>
          <cell r="AJ608" t="str">
            <v xml:space="preserve"> of </v>
          </cell>
          <cell r="AL608" t="str">
            <v/>
          </cell>
          <cell r="AM608">
            <v>0.70833333333333304</v>
          </cell>
          <cell r="AN608" t="str">
            <v>Bima Kaltim Utama, PT</v>
          </cell>
          <cell r="AO608" t="str">
            <v>rera.bimakaltim@yahoo.com; albert.bimautama@yahoo.com; rya_bimakaltim@yahoo.com</v>
          </cell>
          <cell r="AP608" t="str">
            <v>6100-PC0626-00346</v>
          </cell>
          <cell r="AQ608">
            <v>30000000</v>
          </cell>
          <cell r="AT608">
            <v>46161</v>
          </cell>
          <cell r="AU608">
            <v>46192</v>
          </cell>
          <cell r="AV608">
            <v>46161</v>
          </cell>
          <cell r="AW608">
            <v>46192</v>
          </cell>
          <cell r="AX608">
            <v>4.4285714285714288</v>
          </cell>
          <cell r="AZ608" t="str">
            <v/>
          </cell>
          <cell r="BA608" t="str">
            <v/>
          </cell>
          <cell r="BB608" t="str">
            <v>Late Completed</v>
          </cell>
          <cell r="BC608" t="str">
            <v>PC0126-000000487</v>
          </cell>
        </row>
        <row r="609">
          <cell r="B609" t="str">
            <v>PC0126-000000487 (Apr 26)</v>
          </cell>
          <cell r="C609" t="str">
            <v>Rental Genset 2 x 40 Kva Support Lab. Paringin Periode Januari - November 2026</v>
          </cell>
          <cell r="D609" t="str">
            <v>Bima Kaltim Utama, PT</v>
          </cell>
          <cell r="E609">
            <v>0</v>
          </cell>
          <cell r="F609" t="str">
            <v/>
          </cell>
          <cell r="G609" t="str">
            <v/>
          </cell>
          <cell r="H609" t="str">
            <v>SLAMET</v>
          </cell>
          <cell r="I609">
            <v>46064</v>
          </cell>
          <cell r="J609" t="str">
            <v>6100DB431</v>
          </cell>
          <cell r="K609" t="str">
            <v>B</v>
          </cell>
          <cell r="L609" t="str">
            <v>CTR</v>
          </cell>
          <cell r="N609" t="str">
            <v>RH</v>
          </cell>
          <cell r="O609" t="str">
            <v>robertiagus.haposan@alamtri.com</v>
          </cell>
          <cell r="Q609">
            <v>30000000</v>
          </cell>
          <cell r="R609" t="str">
            <v>PO Sign Vendor</v>
          </cell>
          <cell r="T609" t="str">
            <v>MSW</v>
          </cell>
          <cell r="W609" t="str">
            <v xml:space="preserve"> of </v>
          </cell>
          <cell r="X609" t="str">
            <v xml:space="preserve"> of </v>
          </cell>
          <cell r="Z609" t="str">
            <v/>
          </cell>
          <cell r="AC609" t="str">
            <v xml:space="preserve"> of </v>
          </cell>
          <cell r="AD609" t="str">
            <v xml:space="preserve"> of </v>
          </cell>
          <cell r="AF609" t="str">
            <v/>
          </cell>
          <cell r="AI609" t="str">
            <v xml:space="preserve"> of </v>
          </cell>
          <cell r="AJ609" t="str">
            <v xml:space="preserve"> of </v>
          </cell>
          <cell r="AL609" t="str">
            <v/>
          </cell>
          <cell r="AM609">
            <v>0.70833333333333304</v>
          </cell>
          <cell r="AN609" t="str">
            <v>Bima Kaltim Utama, PT</v>
          </cell>
          <cell r="AO609" t="str">
            <v>rera.bimakaltim@yahoo.com; albert.bimautama@yahoo.com; rya_bimakaltim@yahoo.com</v>
          </cell>
          <cell r="AP609" t="str">
            <v>6100-PC0626-00346</v>
          </cell>
          <cell r="AQ609">
            <v>30000000</v>
          </cell>
          <cell r="AT609">
            <v>46161</v>
          </cell>
          <cell r="AU609">
            <v>46192</v>
          </cell>
          <cell r="AV609">
            <v>46161</v>
          </cell>
          <cell r="AW609">
            <v>46192</v>
          </cell>
          <cell r="AX609">
            <v>4.4285714285714288</v>
          </cell>
          <cell r="AZ609" t="str">
            <v/>
          </cell>
          <cell r="BA609" t="str">
            <v/>
          </cell>
          <cell r="BB609" t="str">
            <v>Late Completed</v>
          </cell>
          <cell r="BC609" t="str">
            <v>PC0126-000000487</v>
          </cell>
        </row>
        <row r="610">
          <cell r="B610" t="str">
            <v>PC0126-000000487 (Mei 26)</v>
          </cell>
          <cell r="C610" t="str">
            <v>Rental Genset 2 x 40 Kva Support Lab. Paringin Periode Januari - November 2026</v>
          </cell>
          <cell r="D610" t="str">
            <v>Bima Kaltim Utama, PT</v>
          </cell>
          <cell r="E610">
            <v>0</v>
          </cell>
          <cell r="F610" t="str">
            <v/>
          </cell>
          <cell r="G610" t="str">
            <v/>
          </cell>
          <cell r="H610" t="str">
            <v>SLAMET</v>
          </cell>
          <cell r="I610">
            <v>46064</v>
          </cell>
          <cell r="J610" t="str">
            <v>6100DB431</v>
          </cell>
          <cell r="K610" t="str">
            <v>B</v>
          </cell>
          <cell r="L610" t="str">
            <v>CTR</v>
          </cell>
          <cell r="N610" t="str">
            <v>RH</v>
          </cell>
          <cell r="O610" t="str">
            <v>robertiagus.haposan@alamtri.com</v>
          </cell>
          <cell r="Q610">
            <v>30000000</v>
          </cell>
          <cell r="R610" t="str">
            <v>PO Contract</v>
          </cell>
          <cell r="T610" t="str">
            <v>MSW</v>
          </cell>
          <cell r="W610" t="str">
            <v xml:space="preserve"> of </v>
          </cell>
          <cell r="X610" t="str">
            <v xml:space="preserve"> of </v>
          </cell>
          <cell r="Z610" t="str">
            <v/>
          </cell>
          <cell r="AC610" t="str">
            <v xml:space="preserve"> of </v>
          </cell>
          <cell r="AD610" t="str">
            <v xml:space="preserve"> of </v>
          </cell>
          <cell r="AF610" t="str">
            <v/>
          </cell>
          <cell r="AI610" t="str">
            <v xml:space="preserve"> of </v>
          </cell>
          <cell r="AJ610" t="str">
            <v xml:space="preserve"> of </v>
          </cell>
          <cell r="AL610" t="str">
            <v/>
          </cell>
          <cell r="AM610">
            <v>0.70833333333333304</v>
          </cell>
          <cell r="AN610" t="str">
            <v>Bima Kaltim Utama, PT</v>
          </cell>
          <cell r="AO610" t="str">
            <v>rera.bimakaltim@yahoo.com; albert.bimautama@yahoo.com; rya_bimakaltim@yahoo.com</v>
          </cell>
          <cell r="AW610" t="str">
            <v/>
          </cell>
          <cell r="AX610" t="str">
            <v/>
          </cell>
          <cell r="AZ610" t="str">
            <v/>
          </cell>
          <cell r="BA610" t="str">
            <v/>
          </cell>
          <cell r="BB610" t="str">
            <v/>
          </cell>
          <cell r="BC610" t="str">
            <v>PC0126-000000487</v>
          </cell>
        </row>
        <row r="611">
          <cell r="B611" t="str">
            <v>PC0126-000000487 (Jun 26)</v>
          </cell>
          <cell r="C611" t="str">
            <v>Rental Genset 2 x 40 Kva Support Lab. Paringin Periode Januari - November 2026</v>
          </cell>
          <cell r="D611" t="str">
            <v>Bima Kaltim Utama, PT</v>
          </cell>
          <cell r="E611">
            <v>0</v>
          </cell>
          <cell r="F611" t="str">
            <v/>
          </cell>
          <cell r="G611" t="str">
            <v/>
          </cell>
          <cell r="H611" t="str">
            <v>SLAMET</v>
          </cell>
          <cell r="I611">
            <v>46064</v>
          </cell>
          <cell r="J611" t="str">
            <v>6100DB431</v>
          </cell>
          <cell r="K611" t="str">
            <v>B</v>
          </cell>
          <cell r="L611" t="str">
            <v>CTR</v>
          </cell>
          <cell r="N611" t="str">
            <v>RH</v>
          </cell>
          <cell r="O611" t="str">
            <v>robertiagus.haposan@alamtri.com</v>
          </cell>
          <cell r="Q611">
            <v>30000000</v>
          </cell>
          <cell r="R611" t="str">
            <v>PO Contract</v>
          </cell>
          <cell r="T611" t="str">
            <v>MSW</v>
          </cell>
          <cell r="W611" t="str">
            <v xml:space="preserve"> of </v>
          </cell>
          <cell r="X611" t="str">
            <v xml:space="preserve"> of </v>
          </cell>
          <cell r="Z611" t="str">
            <v/>
          </cell>
          <cell r="AC611" t="str">
            <v xml:space="preserve"> of </v>
          </cell>
          <cell r="AD611" t="str">
            <v xml:space="preserve"> of </v>
          </cell>
          <cell r="AF611" t="str">
            <v/>
          </cell>
          <cell r="AI611" t="str">
            <v xml:space="preserve"> of </v>
          </cell>
          <cell r="AJ611" t="str">
            <v xml:space="preserve"> of </v>
          </cell>
          <cell r="AL611" t="str">
            <v/>
          </cell>
          <cell r="AM611">
            <v>0.70833333333333304</v>
          </cell>
          <cell r="AN611" t="str">
            <v>Bima Kaltim Utama, PT</v>
          </cell>
          <cell r="AO611" t="str">
            <v>rera.bimakaltim@yahoo.com; albert.bimautama@yahoo.com; rya_bimakaltim@yahoo.com</v>
          </cell>
          <cell r="AW611" t="str">
            <v/>
          </cell>
          <cell r="AX611" t="str">
            <v/>
          </cell>
          <cell r="AZ611" t="str">
            <v/>
          </cell>
          <cell r="BA611" t="str">
            <v/>
          </cell>
          <cell r="BB611" t="str">
            <v/>
          </cell>
          <cell r="BC611" t="str">
            <v>PC0126-000000487</v>
          </cell>
        </row>
        <row r="612">
          <cell r="B612" t="str">
            <v>PC0126-000000487 (Jul 26)</v>
          </cell>
          <cell r="C612" t="str">
            <v>Rental Genset 2 x 40 Kva Support Lab. Paringin Periode Januari - November 2026</v>
          </cell>
          <cell r="D612" t="str">
            <v>Bima Kaltim Utama, PT</v>
          </cell>
          <cell r="E612">
            <v>0</v>
          </cell>
          <cell r="F612" t="str">
            <v/>
          </cell>
          <cell r="G612" t="str">
            <v/>
          </cell>
          <cell r="H612" t="str">
            <v>SLAMET</v>
          </cell>
          <cell r="I612">
            <v>46064</v>
          </cell>
          <cell r="J612" t="str">
            <v>6100DB431</v>
          </cell>
          <cell r="K612" t="str">
            <v>B</v>
          </cell>
          <cell r="L612" t="str">
            <v>CTR</v>
          </cell>
          <cell r="N612" t="str">
            <v>RH</v>
          </cell>
          <cell r="O612" t="str">
            <v>robertiagus.haposan@alamtri.com</v>
          </cell>
          <cell r="Q612">
            <v>30000000</v>
          </cell>
          <cell r="R612" t="str">
            <v>PO Contract</v>
          </cell>
          <cell r="T612" t="str">
            <v>MSW</v>
          </cell>
          <cell r="W612" t="str">
            <v xml:space="preserve"> of </v>
          </cell>
          <cell r="X612" t="str">
            <v xml:space="preserve"> of </v>
          </cell>
          <cell r="Z612" t="str">
            <v/>
          </cell>
          <cell r="AC612" t="str">
            <v xml:space="preserve"> of </v>
          </cell>
          <cell r="AD612" t="str">
            <v xml:space="preserve"> of </v>
          </cell>
          <cell r="AF612" t="str">
            <v/>
          </cell>
          <cell r="AI612" t="str">
            <v xml:space="preserve"> of </v>
          </cell>
          <cell r="AJ612" t="str">
            <v xml:space="preserve"> of </v>
          </cell>
          <cell r="AL612" t="str">
            <v/>
          </cell>
          <cell r="AM612">
            <v>0.70833333333333304</v>
          </cell>
          <cell r="AN612" t="str">
            <v>Bima Kaltim Utama, PT</v>
          </cell>
          <cell r="AO612" t="str">
            <v>rera.bimakaltim@yahoo.com; albert.bimautama@yahoo.com; rya_bimakaltim@yahoo.com</v>
          </cell>
          <cell r="AW612" t="str">
            <v/>
          </cell>
          <cell r="AX612" t="str">
            <v/>
          </cell>
          <cell r="AZ612" t="str">
            <v/>
          </cell>
          <cell r="BA612" t="str">
            <v/>
          </cell>
          <cell r="BB612" t="str">
            <v/>
          </cell>
          <cell r="BC612" t="str">
            <v>PC0126-000000487</v>
          </cell>
        </row>
        <row r="613">
          <cell r="B613" t="str">
            <v>PC0126-000000487 (Aug 26)</v>
          </cell>
          <cell r="C613" t="str">
            <v>Rental Genset 2 x 40 Kva Support Lab. Paringin Periode Januari - November 2026</v>
          </cell>
          <cell r="D613" t="str">
            <v>Bima Kaltim Utama, PT</v>
          </cell>
          <cell r="E613">
            <v>0</v>
          </cell>
          <cell r="F613" t="str">
            <v/>
          </cell>
          <cell r="G613" t="str">
            <v/>
          </cell>
          <cell r="H613" t="str">
            <v>SLAMET</v>
          </cell>
          <cell r="I613">
            <v>46064</v>
          </cell>
          <cell r="J613" t="str">
            <v>6100DB431</v>
          </cell>
          <cell r="K613" t="str">
            <v>B</v>
          </cell>
          <cell r="L613" t="str">
            <v>CTR</v>
          </cell>
          <cell r="N613" t="str">
            <v>RH</v>
          </cell>
          <cell r="O613" t="str">
            <v>robertiagus.haposan@alamtri.com</v>
          </cell>
          <cell r="Q613">
            <v>30000000</v>
          </cell>
          <cell r="R613" t="str">
            <v>PO Contract</v>
          </cell>
          <cell r="T613" t="str">
            <v>MSW</v>
          </cell>
          <cell r="W613" t="str">
            <v xml:space="preserve"> of </v>
          </cell>
          <cell r="X613" t="str">
            <v xml:space="preserve"> of </v>
          </cell>
          <cell r="Z613" t="str">
            <v/>
          </cell>
          <cell r="AC613" t="str">
            <v xml:space="preserve"> of </v>
          </cell>
          <cell r="AD613" t="str">
            <v xml:space="preserve"> of </v>
          </cell>
          <cell r="AF613" t="str">
            <v/>
          </cell>
          <cell r="AI613" t="str">
            <v xml:space="preserve"> of </v>
          </cell>
          <cell r="AJ613" t="str">
            <v xml:space="preserve"> of </v>
          </cell>
          <cell r="AL613" t="str">
            <v/>
          </cell>
          <cell r="AM613">
            <v>0.70833333333333304</v>
          </cell>
          <cell r="AN613" t="str">
            <v>Bima Kaltim Utama, PT</v>
          </cell>
          <cell r="AO613" t="str">
            <v>rera.bimakaltim@yahoo.com; albert.bimautama@yahoo.com; rya_bimakaltim@yahoo.com</v>
          </cell>
          <cell r="AW613" t="str">
            <v/>
          </cell>
          <cell r="AX613" t="str">
            <v/>
          </cell>
          <cell r="AZ613" t="str">
            <v/>
          </cell>
          <cell r="BA613" t="str">
            <v/>
          </cell>
          <cell r="BB613" t="str">
            <v/>
          </cell>
          <cell r="BC613" t="str">
            <v>PC0126-000000487</v>
          </cell>
        </row>
        <row r="614">
          <cell r="B614" t="str">
            <v>PC0126-000000487 (Sept 26)</v>
          </cell>
          <cell r="C614" t="str">
            <v>Rental Genset 2 x 40 Kva Support Lab. Paringin Periode Januari - November 2026</v>
          </cell>
          <cell r="D614" t="str">
            <v>Bima Kaltim Utama, PT</v>
          </cell>
          <cell r="E614">
            <v>0</v>
          </cell>
          <cell r="F614" t="str">
            <v/>
          </cell>
          <cell r="G614" t="str">
            <v/>
          </cell>
          <cell r="H614" t="str">
            <v>SLAMET</v>
          </cell>
          <cell r="I614">
            <v>46064</v>
          </cell>
          <cell r="J614" t="str">
            <v>6100DB431</v>
          </cell>
          <cell r="K614" t="str">
            <v>B</v>
          </cell>
          <cell r="L614" t="str">
            <v>CTR</v>
          </cell>
          <cell r="N614" t="str">
            <v>RH</v>
          </cell>
          <cell r="O614" t="str">
            <v>robertiagus.haposan@alamtri.com</v>
          </cell>
          <cell r="Q614">
            <v>30000000</v>
          </cell>
          <cell r="R614" t="str">
            <v>PO Contract</v>
          </cell>
          <cell r="T614" t="str">
            <v>MSW</v>
          </cell>
          <cell r="W614" t="str">
            <v xml:space="preserve"> of </v>
          </cell>
          <cell r="X614" t="str">
            <v xml:space="preserve"> of </v>
          </cell>
          <cell r="Z614" t="str">
            <v/>
          </cell>
          <cell r="AC614" t="str">
            <v xml:space="preserve"> of </v>
          </cell>
          <cell r="AD614" t="str">
            <v xml:space="preserve"> of </v>
          </cell>
          <cell r="AF614" t="str">
            <v/>
          </cell>
          <cell r="AI614" t="str">
            <v xml:space="preserve"> of </v>
          </cell>
          <cell r="AJ614" t="str">
            <v xml:space="preserve"> of </v>
          </cell>
          <cell r="AL614" t="str">
            <v/>
          </cell>
          <cell r="AM614">
            <v>0.70833333333333304</v>
          </cell>
          <cell r="AN614" t="str">
            <v>Bima Kaltim Utama, PT</v>
          </cell>
          <cell r="AO614" t="str">
            <v>rera.bimakaltim@yahoo.com; albert.bimautama@yahoo.com; rya_bimakaltim@yahoo.com</v>
          </cell>
          <cell r="AW614" t="str">
            <v/>
          </cell>
          <cell r="AX614" t="str">
            <v/>
          </cell>
          <cell r="AZ614" t="str">
            <v/>
          </cell>
          <cell r="BA614" t="str">
            <v/>
          </cell>
          <cell r="BB614" t="str">
            <v/>
          </cell>
          <cell r="BC614" t="str">
            <v>PC0126-000000487</v>
          </cell>
        </row>
        <row r="615">
          <cell r="B615" t="str">
            <v>PC0126-000000487 (Okt 26)</v>
          </cell>
          <cell r="C615" t="str">
            <v>Rental Genset 2 x 40 Kva Support Lab. Paringin Periode Januari - November 2026</v>
          </cell>
          <cell r="D615" t="str">
            <v>Bima Kaltim Utama, PT</v>
          </cell>
          <cell r="E615">
            <v>0</v>
          </cell>
          <cell r="F615" t="str">
            <v/>
          </cell>
          <cell r="G615" t="str">
            <v/>
          </cell>
          <cell r="H615" t="str">
            <v>SLAMET</v>
          </cell>
          <cell r="I615">
            <v>46064</v>
          </cell>
          <cell r="J615" t="str">
            <v>6100DB431</v>
          </cell>
          <cell r="K615" t="str">
            <v>B</v>
          </cell>
          <cell r="L615" t="str">
            <v>CTR</v>
          </cell>
          <cell r="N615" t="str">
            <v>RH</v>
          </cell>
          <cell r="O615" t="str">
            <v>robertiagus.haposan@alamtri.com</v>
          </cell>
          <cell r="Q615">
            <v>30000000</v>
          </cell>
          <cell r="R615" t="str">
            <v>PO Contract</v>
          </cell>
          <cell r="T615" t="str">
            <v>MSW</v>
          </cell>
          <cell r="W615" t="str">
            <v xml:space="preserve"> of </v>
          </cell>
          <cell r="X615" t="str">
            <v xml:space="preserve"> of </v>
          </cell>
          <cell r="Z615" t="str">
            <v/>
          </cell>
          <cell r="AC615" t="str">
            <v xml:space="preserve"> of </v>
          </cell>
          <cell r="AD615" t="str">
            <v xml:space="preserve"> of </v>
          </cell>
          <cell r="AF615" t="str">
            <v/>
          </cell>
          <cell r="AI615" t="str">
            <v xml:space="preserve"> of </v>
          </cell>
          <cell r="AJ615" t="str">
            <v xml:space="preserve"> of </v>
          </cell>
          <cell r="AL615" t="str">
            <v/>
          </cell>
          <cell r="AM615">
            <v>0.70833333333333304</v>
          </cell>
          <cell r="AN615" t="str">
            <v>Bima Kaltim Utama, PT</v>
          </cell>
          <cell r="AO615" t="str">
            <v>rera.bimakaltim@yahoo.com; albert.bimautama@yahoo.com; rya_bimakaltim@yahoo.com</v>
          </cell>
          <cell r="AW615" t="str">
            <v/>
          </cell>
          <cell r="AX615" t="str">
            <v/>
          </cell>
          <cell r="AZ615" t="str">
            <v/>
          </cell>
          <cell r="BA615" t="str">
            <v/>
          </cell>
          <cell r="BB615" t="str">
            <v/>
          </cell>
          <cell r="BC615" t="str">
            <v>PC0126-000000487</v>
          </cell>
        </row>
        <row r="616">
          <cell r="B616" t="str">
            <v>PC0126-000000487 (Nov 26)</v>
          </cell>
          <cell r="C616" t="str">
            <v>Rental Genset 2 x 40 Kva Support Lab. Paringin Periode Januari - November 2026</v>
          </cell>
          <cell r="D616" t="str">
            <v>Bima Kaltim Utama, PT</v>
          </cell>
          <cell r="E616">
            <v>0</v>
          </cell>
          <cell r="F616" t="str">
            <v/>
          </cell>
          <cell r="G616" t="str">
            <v/>
          </cell>
          <cell r="H616" t="str">
            <v>SLAMET</v>
          </cell>
          <cell r="I616">
            <v>46064</v>
          </cell>
          <cell r="J616" t="str">
            <v>6100DB431</v>
          </cell>
          <cell r="K616" t="str">
            <v>B</v>
          </cell>
          <cell r="L616" t="str">
            <v>CTR</v>
          </cell>
          <cell r="N616" t="str">
            <v>RH</v>
          </cell>
          <cell r="O616" t="str">
            <v>robertiagus.haposan@alamtri.com</v>
          </cell>
          <cell r="Q616">
            <v>30000000</v>
          </cell>
          <cell r="R616" t="str">
            <v>PO Contract</v>
          </cell>
          <cell r="T616" t="str">
            <v>MSW</v>
          </cell>
          <cell r="W616" t="str">
            <v xml:space="preserve"> of </v>
          </cell>
          <cell r="X616" t="str">
            <v xml:space="preserve"> of </v>
          </cell>
          <cell r="Z616" t="str">
            <v/>
          </cell>
          <cell r="AC616" t="str">
            <v xml:space="preserve"> of </v>
          </cell>
          <cell r="AD616" t="str">
            <v xml:space="preserve"> of </v>
          </cell>
          <cell r="AF616" t="str">
            <v/>
          </cell>
          <cell r="AI616" t="str">
            <v xml:space="preserve"> of </v>
          </cell>
          <cell r="AJ616" t="str">
            <v xml:space="preserve"> of </v>
          </cell>
          <cell r="AL616" t="str">
            <v/>
          </cell>
          <cell r="AM616">
            <v>0.70833333333333304</v>
          </cell>
          <cell r="AN616" t="str">
            <v>Bima Kaltim Utama, PT</v>
          </cell>
          <cell r="AO616" t="str">
            <v>rera.bimakaltim@yahoo.com; albert.bimautama@yahoo.com; rya_bimakaltim@yahoo.com</v>
          </cell>
          <cell r="AW616" t="str">
            <v/>
          </cell>
          <cell r="AX616" t="str">
            <v/>
          </cell>
          <cell r="AZ616" t="str">
            <v/>
          </cell>
          <cell r="BA616" t="str">
            <v/>
          </cell>
          <cell r="BB616" t="str">
            <v/>
          </cell>
          <cell r="BC616" t="str">
            <v>PC0126-000000487</v>
          </cell>
        </row>
        <row r="617">
          <cell r="B617" t="str">
            <v>PC0124-RFB 001</v>
          </cell>
          <cell r="C617" t="str">
            <v>Biomas Wood Chip</v>
          </cell>
          <cell r="E617" t="str">
            <v/>
          </cell>
          <cell r="F617" t="str">
            <v/>
          </cell>
          <cell r="G617" t="str">
            <v/>
          </cell>
          <cell r="K617" t="str">
            <v>B</v>
          </cell>
          <cell r="L617" t="str">
            <v>BID</v>
          </cell>
          <cell r="N617" t="str">
            <v>RH</v>
          </cell>
          <cell r="O617" t="str">
            <v>robertiagus.haposan@alamtri.com</v>
          </cell>
          <cell r="Q617" t="str">
            <v/>
          </cell>
          <cell r="R617" t="str">
            <v>CANCEL</v>
          </cell>
          <cell r="S617" t="str">
            <v>Ini hanya permintaan</v>
          </cell>
          <cell r="T617" t="str">
            <v>MSW</v>
          </cell>
          <cell r="U617" t="str">
            <v>Andalan Energi Investama, PT
Niaga Indo Alam, PT
Indonusa Bio Energy, PT
Komoro Energy Indonesia, PT
Shafwah Energy Indonesia, PT
BENK Biomass Energy Kalimantan
Biomassa Energy Nusantara, PT
Prima Khatulistiwa Sinergi, PT
Madani Alam Kalimantan, PT</v>
          </cell>
          <cell r="W617" t="str">
            <v>9 of 9</v>
          </cell>
          <cell r="X617" t="str">
            <v xml:space="preserve"> of 9</v>
          </cell>
          <cell r="Y617">
            <v>46085</v>
          </cell>
          <cell r="Z617">
            <v>46087</v>
          </cell>
          <cell r="AA617" t="str">
            <v>Guntala Karya Abadi, PT
Borneo Renewable Optima, PT</v>
          </cell>
          <cell r="AB617" t="str">
            <v>Guntala Karya Abadi, PT</v>
          </cell>
          <cell r="AC617" t="str">
            <v>2 of 2</v>
          </cell>
          <cell r="AD617" t="str">
            <v>1 of 2</v>
          </cell>
          <cell r="AE617">
            <v>46121</v>
          </cell>
          <cell r="AF617">
            <v>46126</v>
          </cell>
          <cell r="AI617" t="str">
            <v xml:space="preserve"> of </v>
          </cell>
          <cell r="AJ617" t="str">
            <v xml:space="preserve"> of </v>
          </cell>
          <cell r="AL617" t="str">
            <v/>
          </cell>
          <cell r="AM617">
            <v>0.70833333333333304</v>
          </cell>
          <cell r="AO617" t="str">
            <v/>
          </cell>
          <cell r="AW617" t="str">
            <v/>
          </cell>
          <cell r="AX617" t="str">
            <v/>
          </cell>
          <cell r="AZ617" t="str">
            <v/>
          </cell>
          <cell r="BA617" t="str">
            <v/>
          </cell>
          <cell r="BB617" t="str">
            <v/>
          </cell>
          <cell r="BC617" t="str">
            <v>PC0124-RFB 001</v>
          </cell>
        </row>
        <row r="618">
          <cell r="B618" t="str">
            <v>PC0126-000000161</v>
          </cell>
          <cell r="C618" t="str">
            <v>Perubahan Dokumen Lingkungan Pembangkit MSW Tahun 2026</v>
          </cell>
          <cell r="E618" t="str">
            <v/>
          </cell>
          <cell r="F618" t="str">
            <v/>
          </cell>
          <cell r="G618" t="str">
            <v/>
          </cell>
          <cell r="H618" t="str">
            <v>ARYO BASKORO</v>
          </cell>
          <cell r="I618">
            <v>46120</v>
          </cell>
          <cell r="J618" t="str">
            <v>6100DE720</v>
          </cell>
          <cell r="K618" t="str">
            <v>J</v>
          </cell>
          <cell r="L618" t="str">
            <v>IOM</v>
          </cell>
          <cell r="N618" t="str">
            <v>RH</v>
          </cell>
          <cell r="O618" t="str">
            <v>robertiagus.haposan@alamtri.com</v>
          </cell>
          <cell r="P618">
            <v>95000</v>
          </cell>
          <cell r="Q618">
            <v>1567500000</v>
          </cell>
          <cell r="R618" t="str">
            <v>Drafting Contract</v>
          </cell>
          <cell r="T618" t="str">
            <v>MSW</v>
          </cell>
          <cell r="U618" t="str">
            <v>Bio Elektrikal, CV
Kwarsa Hexagon, PT
Enexde Hakit, PT
Total Raya Energi, PT
Surveyor Indonesia, PT
Sucofindo, PT
Hatfield Indonesia, PT
SGS Indonesia, PT
Envilab Indonesia, PT
Eksperta Adi Manusia, PT</v>
          </cell>
          <cell r="V618" t="str">
            <v>Kwarsa Hexagon, PT</v>
          </cell>
          <cell r="W618" t="str">
            <v>10 of 10</v>
          </cell>
          <cell r="X618" t="str">
            <v>1 of 10</v>
          </cell>
          <cell r="Y618">
            <v>46085</v>
          </cell>
          <cell r="Z618">
            <v>46086</v>
          </cell>
          <cell r="AC618" t="str">
            <v xml:space="preserve"> of </v>
          </cell>
          <cell r="AD618" t="str">
            <v xml:space="preserve"> of </v>
          </cell>
          <cell r="AF618" t="str">
            <v/>
          </cell>
          <cell r="AI618" t="str">
            <v xml:space="preserve"> of </v>
          </cell>
          <cell r="AJ618" t="str">
            <v xml:space="preserve"> of </v>
          </cell>
          <cell r="AL618" t="str">
            <v/>
          </cell>
          <cell r="AM618">
            <v>0.70833333333333304</v>
          </cell>
          <cell r="AN618" t="str">
            <v>Kwarsa Hexagon, PT</v>
          </cell>
          <cell r="AO618" t="str">
            <v>prim-h@kwarsahexagon.co.id; edfar@kwarsahexagon.co.id; olin@kwarsahexagon.co.id; pricilla@kwarsahexagon.co.id; bandung@kwarsahexagon.co.id</v>
          </cell>
          <cell r="AR618">
            <v>46129</v>
          </cell>
          <cell r="AS618">
            <v>46134</v>
          </cell>
          <cell r="AW618" t="str">
            <v/>
          </cell>
          <cell r="AX618" t="str">
            <v/>
          </cell>
          <cell r="AZ618" t="str">
            <v/>
          </cell>
          <cell r="BA618" t="str">
            <v/>
          </cell>
          <cell r="BB618" t="str">
            <v/>
          </cell>
          <cell r="BC618" t="str">
            <v>PC0126-000000161</v>
          </cell>
        </row>
        <row r="619">
          <cell r="B619" t="str">
            <v>PC0126-000000424 (Line 1,4,6,7,8) (Line 2)</v>
          </cell>
          <cell r="C619" t="str">
            <v>Material PM to All DG 3G IBT</v>
          </cell>
          <cell r="D619" t="str">
            <v>Aneka Mitra Cipta, PT - Line 1
Indo Tehnik Tanjung Tabalong, PT - Line 2
Ranadityo Sukses Makmur, PT - Line 3
Petrocom Nusa Synergy, PT - Line 4
Arthapusaka Mitra Sakti, PT - Line 5</v>
          </cell>
          <cell r="E619" t="str">
            <v>Aneka Mitra Cipta, PT
Indo Tehnik Tanjung Tabalong, PT
Petrocom Nusa Synergy, PT
Arthapusaka Mitra Sakti, PT
Ranadityo Sukses Makmur, PT
Bima Kaltim Utama, PT
Rollent Indonesia, PT
Perwira Sentra Officindo, PT
Sarana Prima Lestari, CV
Greentek Elektrikal Indonesia, PT</v>
          </cell>
          <cell r="F619" t="str">
            <v>Aneka Mitra Cipta, PT
Indo Tehnik Tanjung Tabalong, PT
Arthapusaka Mitra Sakti, PT
Ranadityo Sukses Makmur, PT
Bima Kaltim Utama, PT
Perwira Sentra Officindo, PT
Greentek Elektrikal Indonesia, PT</v>
          </cell>
          <cell r="G619" t="str">
            <v>R0
7 of 10
19 Feb 26</v>
          </cell>
          <cell r="H619" t="str">
            <v>SLAMET</v>
          </cell>
          <cell r="I619">
            <v>46062</v>
          </cell>
          <cell r="J619" t="str">
            <v>6100DB432</v>
          </cell>
          <cell r="K619" t="str">
            <v>B</v>
          </cell>
          <cell r="L619" t="str">
            <v>BID</v>
          </cell>
          <cell r="M619">
            <v>20</v>
          </cell>
          <cell r="N619" t="str">
            <v>RH</v>
          </cell>
          <cell r="O619" t="str">
            <v>robertiagus.haposan@alamtri.com</v>
          </cell>
          <cell r="P619">
            <v>516</v>
          </cell>
          <cell r="Q619">
            <v>8514000</v>
          </cell>
          <cell r="R619" t="str">
            <v>Completed Sign PO</v>
          </cell>
          <cell r="T619" t="str">
            <v>MSW</v>
          </cell>
          <cell r="U619" t="str">
            <v>Aneka Mitra Cipta, PT
Indo Tehnik Tanjung Tabalong, PT
Petrocom Nusa Synergy, PT
Arthapusaka Mitra Sakti, PT
Ranadityo Sukses Makmur, PT
Bima Kaltim Utama, PT
Rollent Indonesia, PT
Perwira Sentra Officindo, PT
Sarana Prima Lestari, CV
Greentek Elektrikal Indonesia, PT</v>
          </cell>
          <cell r="V619" t="str">
            <v>Aneka Mitra Cipta, PT
Indo Tehnik Tanjung Tabalong, PT
Arthapusaka Mitra Sakti, PT
Ranadityo Sukses Makmur, PT
Bima Kaltim Utama, PT
Perwira Sentra Officindo, PT
Greentek Elektrikal Indonesia, PT</v>
          </cell>
          <cell r="W619" t="str">
            <v>10 of 10</v>
          </cell>
          <cell r="X619" t="str">
            <v>7 of 10</v>
          </cell>
          <cell r="Y619">
            <v>46062</v>
          </cell>
          <cell r="Z619">
            <v>46072</v>
          </cell>
          <cell r="AC619" t="str">
            <v xml:space="preserve"> of </v>
          </cell>
          <cell r="AD619" t="str">
            <v xml:space="preserve"> of </v>
          </cell>
          <cell r="AF619" t="str">
            <v/>
          </cell>
          <cell r="AI619" t="str">
            <v xml:space="preserve"> of </v>
          </cell>
          <cell r="AJ619" t="str">
            <v xml:space="preserve"> of </v>
          </cell>
          <cell r="AL619" t="str">
            <v/>
          </cell>
          <cell r="AM619">
            <v>0.70833333333333304</v>
          </cell>
          <cell r="AN619" t="str">
            <v>Indo Tehnik Tanjung Tabalong, PT</v>
          </cell>
          <cell r="AO619" t="str">
            <v>indotehnik_tjg@yahoo.co.id</v>
          </cell>
          <cell r="AP619" t="str">
            <v>6100-PC0626-00187</v>
          </cell>
          <cell r="AQ619">
            <v>600000</v>
          </cell>
          <cell r="AR619">
            <v>46079</v>
          </cell>
          <cell r="AS619">
            <v>46090</v>
          </cell>
          <cell r="AT619">
            <v>46097</v>
          </cell>
          <cell r="AU619">
            <v>46101</v>
          </cell>
          <cell r="AV619">
            <v>46098</v>
          </cell>
          <cell r="AW619">
            <v>46102</v>
          </cell>
          <cell r="AX619">
            <v>0.5714285714285714</v>
          </cell>
          <cell r="AZ619" t="str">
            <v/>
          </cell>
          <cell r="BA619" t="str">
            <v/>
          </cell>
          <cell r="BB619" t="str">
            <v>Late Completed</v>
          </cell>
          <cell r="BC619" t="str">
            <v>PC0126-000000424</v>
          </cell>
        </row>
        <row r="620">
          <cell r="B620" t="str">
            <v>PC0126-000000424 (Line 1,4,6,7,8) (Line 5)</v>
          </cell>
          <cell r="C620" t="str">
            <v>Material PM to All DG 3G IBT</v>
          </cell>
          <cell r="D620" t="str">
            <v>Aneka Mitra Cipta, PT - Line 1
Indo Tehnik Tanjung Tabalong, PT - Line 2
Ranadityo Sukses Makmur, PT - Line 3
Petrocom Nusa Synergy, PT - Line 4
Arthapusaka Mitra Sakti, PT - Line 5</v>
          </cell>
          <cell r="E620" t="str">
            <v>Aneka Mitra Cipta, PT
Indo Tehnik Tanjung Tabalong, PT
Petrocom Nusa Synergy, PT
Arthapusaka Mitra Sakti, PT
Ranadityo Sukses Makmur, PT
Bima Kaltim Utama, PT
Rollent Indonesia, PT
Perwira Sentra Officindo, PT
Sarana Prima Lestari, CV
Greentek Elektrikal Indonesia, PT</v>
          </cell>
          <cell r="F620" t="str">
            <v>Aneka Mitra Cipta, PT
Indo Tehnik Tanjung Tabalong, PT
Arthapusaka Mitra Sakti, PT
Ranadityo Sukses Makmur, PT
Bima Kaltim Utama, PT
Perwira Sentra Officindo, PT
Greentek Elektrikal Indonesia, PT</v>
          </cell>
          <cell r="G620" t="str">
            <v>R0
7 of 10
19 Feb 26</v>
          </cell>
          <cell r="H620" t="str">
            <v>SLAMET</v>
          </cell>
          <cell r="I620">
            <v>46062</v>
          </cell>
          <cell r="J620" t="str">
            <v>6100DB432</v>
          </cell>
          <cell r="K620" t="str">
            <v>B</v>
          </cell>
          <cell r="L620" t="str">
            <v>BID</v>
          </cell>
          <cell r="M620">
            <v>20</v>
          </cell>
          <cell r="N620" t="str">
            <v>RH</v>
          </cell>
          <cell r="O620" t="str">
            <v>robertiagus.haposan@alamtri.com</v>
          </cell>
          <cell r="P620">
            <v>8418.6</v>
          </cell>
          <cell r="Q620">
            <v>138906900</v>
          </cell>
          <cell r="R620" t="str">
            <v>Completed Sign PO</v>
          </cell>
          <cell r="T620" t="str">
            <v>MSW</v>
          </cell>
          <cell r="U620" t="str">
            <v>Aneka Mitra Cipta, PT
Indo Tehnik Tanjung Tabalong, PT
Petrocom Nusa Synergy, PT
Arthapusaka Mitra Sakti, PT
Ranadityo Sukses Makmur, PT
Bima Kaltim Utama, PT
Rollent Indonesia, PT
Perwira Sentra Officindo, PT
Sarana Prima Lestari, CV
Greentek Elektrikal Indonesia, PT</v>
          </cell>
          <cell r="V620" t="str">
            <v>Aneka Mitra Cipta, PT
Indo Tehnik Tanjung Tabalong, PT
Arthapusaka Mitra Sakti, PT
Ranadityo Sukses Makmur, PT
Bima Kaltim Utama, PT
Perwira Sentra Officindo, PT
Greentek Elektrikal Indonesia, PT</v>
          </cell>
          <cell r="W620" t="str">
            <v>10 of 10</v>
          </cell>
          <cell r="X620" t="str">
            <v>7 of 10</v>
          </cell>
          <cell r="Y620">
            <v>46062</v>
          </cell>
          <cell r="Z620">
            <v>46072</v>
          </cell>
          <cell r="AC620" t="str">
            <v xml:space="preserve"> of </v>
          </cell>
          <cell r="AD620" t="str">
            <v xml:space="preserve"> of </v>
          </cell>
          <cell r="AF620" t="str">
            <v/>
          </cell>
          <cell r="AI620" t="str">
            <v xml:space="preserve"> of </v>
          </cell>
          <cell r="AJ620" t="str">
            <v xml:space="preserve"> of </v>
          </cell>
          <cell r="AL620" t="str">
            <v/>
          </cell>
          <cell r="AM620">
            <v>0.70833333333333304</v>
          </cell>
          <cell r="AN620" t="str">
            <v>Arthapusaka Mitra Sakti, PT</v>
          </cell>
          <cell r="AO620" t="str">
            <v>putu@ptapms.com; acc.bjm@ptapms.com</v>
          </cell>
          <cell r="AP620" t="str">
            <v>6100-PC0626-00164</v>
          </cell>
          <cell r="AQ620">
            <v>140000000</v>
          </cell>
          <cell r="AR620">
            <v>46079</v>
          </cell>
          <cell r="AS620">
            <v>46090</v>
          </cell>
          <cell r="AT620">
            <v>46097</v>
          </cell>
          <cell r="AU620">
            <v>46109</v>
          </cell>
          <cell r="AV620">
            <v>46097</v>
          </cell>
          <cell r="AW620">
            <v>46109</v>
          </cell>
          <cell r="AX620">
            <v>1.7142857142857142</v>
          </cell>
          <cell r="AZ620" t="str">
            <v/>
          </cell>
          <cell r="BA620" t="str">
            <v/>
          </cell>
          <cell r="BB620" t="str">
            <v>Late Completed</v>
          </cell>
          <cell r="BC620" t="str">
            <v>PC0126-000000424</v>
          </cell>
        </row>
        <row r="621">
          <cell r="B621" t="str">
            <v>059-MSW-T-RFP-I-2026</v>
          </cell>
          <cell r="C621" t="str">
            <v>Jasa Maintenance OLS Valve dan Pipa</v>
          </cell>
          <cell r="D621" t="str">
            <v>Adijaya Mitra Perkasa, PT</v>
          </cell>
          <cell r="E621" t="str">
            <v/>
          </cell>
          <cell r="F621" t="str">
            <v/>
          </cell>
          <cell r="G621" t="str">
            <v/>
          </cell>
          <cell r="H621" t="str">
            <v>RIZKY AGUSTINA</v>
          </cell>
          <cell r="K621" t="str">
            <v>J</v>
          </cell>
          <cell r="L621" t="str">
            <v>TDR</v>
          </cell>
          <cell r="M621" t="str">
            <v>TENDER</v>
          </cell>
          <cell r="N621" t="str">
            <v>RH</v>
          </cell>
          <cell r="O621" t="str">
            <v>robertiagus.haposan@alamtri.com</v>
          </cell>
          <cell r="Q621">
            <v>3310177140</v>
          </cell>
          <cell r="R621" t="str">
            <v>RFP</v>
          </cell>
          <cell r="T621" t="str">
            <v>MSW</v>
          </cell>
          <cell r="U621" t="str">
            <v>Adijaya Mitra Perkasa, PT
Andaxcon Jaya Teknik, PT
Bens Karya Abadi, PT
Varley Indonesia, PT</v>
          </cell>
          <cell r="V621" t="str">
            <v>Adijaya Mitra Perkasa, PT</v>
          </cell>
          <cell r="W621" t="str">
            <v>4 of 4</v>
          </cell>
          <cell r="X621" t="str">
            <v>1 of 4</v>
          </cell>
          <cell r="Y621">
            <v>46129</v>
          </cell>
          <cell r="Z621">
            <v>46129</v>
          </cell>
          <cell r="AC621" t="str">
            <v xml:space="preserve"> of </v>
          </cell>
          <cell r="AD621" t="str">
            <v xml:space="preserve"> of </v>
          </cell>
          <cell r="AF621" t="str">
            <v/>
          </cell>
          <cell r="AI621" t="str">
            <v xml:space="preserve"> of </v>
          </cell>
          <cell r="AJ621" t="str">
            <v xml:space="preserve"> of </v>
          </cell>
          <cell r="AL621" t="str">
            <v/>
          </cell>
          <cell r="AM621">
            <v>0.70833333333333304</v>
          </cell>
          <cell r="AN621" t="str">
            <v>Adijaya Mitra Perkasa, PT</v>
          </cell>
          <cell r="AO621" t="str">
            <v/>
          </cell>
          <cell r="AR621">
            <v>46181</v>
          </cell>
          <cell r="AS621">
            <v>46185</v>
          </cell>
          <cell r="AT621">
            <v>46185</v>
          </cell>
          <cell r="AU621">
            <v>46188</v>
          </cell>
          <cell r="AV621">
            <v>46188</v>
          </cell>
          <cell r="AW621" t="str">
            <v/>
          </cell>
          <cell r="AX621" t="str">
            <v/>
          </cell>
          <cell r="AZ621" t="str">
            <v/>
          </cell>
          <cell r="BA621" t="str">
            <v/>
          </cell>
          <cell r="BB621" t="str">
            <v/>
          </cell>
          <cell r="BC621" t="str">
            <v>059-MSW-T-RFP-I-2026</v>
          </cell>
        </row>
        <row r="622">
          <cell r="B622" t="str">
            <v>PC0126-000001126</v>
          </cell>
          <cell r="C622" t="str">
            <v>Add Part TOH DG 4G2 hasil TA dari Trakindo (Reimbursmment ke IBT)</v>
          </cell>
          <cell r="D622" t="str">
            <v>Trakindo Utama, PT</v>
          </cell>
          <cell r="E622" t="str">
            <v>Trakindo Utama, PT</v>
          </cell>
          <cell r="F622" t="str">
            <v/>
          </cell>
          <cell r="G622" t="str">
            <v/>
          </cell>
          <cell r="H622" t="str">
            <v>SLAMET</v>
          </cell>
          <cell r="I622">
            <v>46125</v>
          </cell>
          <cell r="J622" t="str">
            <v>6100DB432</v>
          </cell>
          <cell r="K622" t="str">
            <v>B</v>
          </cell>
          <cell r="L622" t="str">
            <v>CTR</v>
          </cell>
          <cell r="N622" t="str">
            <v>RH</v>
          </cell>
          <cell r="O622" t="str">
            <v>robertiagus.haposan@alamtri.com</v>
          </cell>
          <cell r="P622">
            <v>2313.52</v>
          </cell>
          <cell r="Q622">
            <v>38173080</v>
          </cell>
          <cell r="R622" t="str">
            <v>Completed Sign PO Contract</v>
          </cell>
          <cell r="S622" t="str">
            <v>Pengganti PO 6100-PC0626-00099
Previous PR PC0126-000000436</v>
          </cell>
          <cell r="T622" t="str">
            <v>MSW</v>
          </cell>
          <cell r="U622" t="str">
            <v>Trakindo Utama, PT</v>
          </cell>
          <cell r="V622" t="str">
            <v>Trakindo Utama, PT</v>
          </cell>
          <cell r="W622" t="str">
            <v>1 of 1</v>
          </cell>
          <cell r="X622" t="str">
            <v>1 of 1</v>
          </cell>
          <cell r="Z622" t="str">
            <v/>
          </cell>
          <cell r="AC622" t="str">
            <v xml:space="preserve"> of </v>
          </cell>
          <cell r="AD622" t="str">
            <v xml:space="preserve"> of </v>
          </cell>
          <cell r="AF622" t="str">
            <v/>
          </cell>
          <cell r="AI622" t="str">
            <v xml:space="preserve"> of </v>
          </cell>
          <cell r="AJ622" t="str">
            <v xml:space="preserve"> of </v>
          </cell>
          <cell r="AL622" t="str">
            <v/>
          </cell>
          <cell r="AM622">
            <v>0.70833333333333304</v>
          </cell>
          <cell r="AN622" t="str">
            <v>Trakindo Utama, PT</v>
          </cell>
          <cell r="AO622" t="str">
            <v>hjuniater.sidauruk@trakindo.co.id</v>
          </cell>
          <cell r="AP622" t="str">
            <v>6100-PC0626-00256</v>
          </cell>
          <cell r="AQ622">
            <v>39149430</v>
          </cell>
          <cell r="AT622">
            <v>46126</v>
          </cell>
          <cell r="AU622">
            <v>46157</v>
          </cell>
          <cell r="AV622">
            <v>46128</v>
          </cell>
          <cell r="AW622">
            <v>46159</v>
          </cell>
          <cell r="AX622">
            <v>4.4285714285714288</v>
          </cell>
          <cell r="AZ622" t="str">
            <v/>
          </cell>
          <cell r="BA622" t="str">
            <v/>
          </cell>
          <cell r="BB622" t="str">
            <v>Completed</v>
          </cell>
          <cell r="BC622" t="str">
            <v>PC0126-000001126</v>
          </cell>
        </row>
        <row r="623">
          <cell r="B623" t="str">
            <v>PC0126-000000486 (Line 3)</v>
          </cell>
          <cell r="C623" t="str">
            <v>Spare Part Oil Seal Motor Rotary</v>
          </cell>
          <cell r="E623" t="str">
            <v>Sarana Prima Lestari, CV
Banjar Bearing Sentosa, PT
Perwira Sentra Officindo, PT
SLS Bearindo, PT
Sehati, CV
Sola Anugerah Oilfield, PT
Kogelahar Borneo, PT
Berkat Pratama Teknik, CV
Petrocom Nusa Synergy, PT
Antares Jaya Gemilang Prima, PT
Alfa Teknik Mandiri Makmur, PT</v>
          </cell>
          <cell r="F623" t="str">
            <v>Banjar Bearing Sentosa, PT
Perwira Sentra Officindo, PT
SLS Bearindo, PT
Alfa Teknik Mandiri Makmur, PT</v>
          </cell>
          <cell r="G623" t="str">
            <v>R0
4 of 11
20 Feb 26</v>
          </cell>
          <cell r="H623" t="str">
            <v>DEDE SUDARJI</v>
          </cell>
          <cell r="I623">
            <v>46063</v>
          </cell>
          <cell r="J623" t="str">
            <v>6100DB402</v>
          </cell>
          <cell r="K623" t="str">
            <v>B</v>
          </cell>
          <cell r="L623" t="str">
            <v>BID</v>
          </cell>
          <cell r="M623">
            <v>23</v>
          </cell>
          <cell r="N623" t="str">
            <v>RH</v>
          </cell>
          <cell r="O623" t="str">
            <v>robertiagus.haposan@alamtri.com</v>
          </cell>
          <cell r="P623">
            <v>66</v>
          </cell>
          <cell r="Q623">
            <v>1089000</v>
          </cell>
          <cell r="R623" t="str">
            <v>Completed Sign PO</v>
          </cell>
          <cell r="T623" t="str">
            <v>MSW</v>
          </cell>
          <cell r="U623" t="str">
            <v>Sarana Prima Lestari, CV
Banjar Bearing Sentosa, PT
Perwira Sentra Officindo, PT
SLS Bearindo, PT
Sehati, CV
Sola Anugerah Oilfield, PT
Kogelahar Borneo, PT
Berkat Pratama Teknik, CV
Petrocom Nusa Synergy, PT
Antares Jaya Gemilang Prima, PT
Alfa Teknik Mandiri Makmur, PT</v>
          </cell>
          <cell r="V623" t="str">
            <v>Banjar Bearing Sentosa, PT
Perwira Sentra Officindo, PT
SLS Bearindo, PT
Alfa Teknik Mandiri Makmur, PT</v>
          </cell>
          <cell r="W623" t="str">
            <v>11 of 11</v>
          </cell>
          <cell r="X623" t="str">
            <v>4 of 11</v>
          </cell>
          <cell r="Y623">
            <v>46063</v>
          </cell>
          <cell r="Z623">
            <v>46073</v>
          </cell>
          <cell r="AC623" t="str">
            <v xml:space="preserve"> of </v>
          </cell>
          <cell r="AD623" t="str">
            <v xml:space="preserve"> of </v>
          </cell>
          <cell r="AF623" t="str">
            <v/>
          </cell>
          <cell r="AI623" t="str">
            <v xml:space="preserve"> of </v>
          </cell>
          <cell r="AJ623" t="str">
            <v xml:space="preserve"> of </v>
          </cell>
          <cell r="AL623" t="str">
            <v/>
          </cell>
          <cell r="AM623">
            <v>0.70833333333333304</v>
          </cell>
          <cell r="AN623" t="str">
            <v>Alfa Teknik Mandiri Makmur, PT</v>
          </cell>
          <cell r="AO623" t="str">
            <v>sales.atmm@gmail.com; alex_atmm@yahoo.com</v>
          </cell>
          <cell r="AP623" t="str">
            <v>6100-PC0626-00266</v>
          </cell>
          <cell r="AQ623">
            <v>3360000</v>
          </cell>
          <cell r="AR623">
            <v>46083</v>
          </cell>
          <cell r="AS623">
            <v>46098</v>
          </cell>
          <cell r="AT623">
            <v>46129</v>
          </cell>
          <cell r="AU623">
            <v>46150</v>
          </cell>
          <cell r="AV623">
            <v>46133</v>
          </cell>
          <cell r="AW623">
            <v>46154</v>
          </cell>
          <cell r="AX623">
            <v>3</v>
          </cell>
          <cell r="AZ623" t="str">
            <v/>
          </cell>
          <cell r="BA623" t="str">
            <v/>
          </cell>
          <cell r="BB623" t="str">
            <v>Late Completed</v>
          </cell>
          <cell r="BC623" t="str">
            <v>PC0126-000000486</v>
          </cell>
        </row>
        <row r="624">
          <cell r="B624" t="str">
            <v>PC0126-000000872</v>
          </cell>
          <cell r="C624" t="str">
            <v>Sparepart Drag Chain U1 dan U2</v>
          </cell>
          <cell r="E624" t="str">
            <v>Indonesia Magma Chain, PT
Outsourcindo, PT
Mff Oilfield Services and Engineering, PT
Ranadityo Sukses Makmur, PT
Perwira Sentra Officindo, PT
Lotus Inti Pratama, PT
Alfa Teknik Mandiri Makmur, PT
Intan Global Sinergi, PT
Lienetic Jaya, PT
Banjar Bearing Sentosa, PT
SLS Bearindo, PT
Borneo Statewide Bearing, PT
Satu Aneka Bearing, PT
Rollent Indonesia, PT</v>
          </cell>
          <cell r="F624" t="str">
            <v>Indonesia Magma Chain, PT
Lotus Inti Pratama, PT
Banjar Bearing Sentosa, PT</v>
          </cell>
          <cell r="G624" t="str">
            <v>R0
3 of 14
04 May 26</v>
          </cell>
          <cell r="H624" t="str">
            <v>RIZKY AGUSTINA</v>
          </cell>
          <cell r="I624">
            <v>46146</v>
          </cell>
          <cell r="J624" t="str">
            <v>6100DB401</v>
          </cell>
          <cell r="K624" t="str">
            <v>B</v>
          </cell>
          <cell r="L624" t="str">
            <v>BID</v>
          </cell>
          <cell r="M624">
            <v>67</v>
          </cell>
          <cell r="N624" t="str">
            <v>RH</v>
          </cell>
          <cell r="O624" t="str">
            <v>robertiagus.haposan@alamtri.com</v>
          </cell>
          <cell r="P624">
            <v>17360</v>
          </cell>
          <cell r="Q624">
            <v>286440000</v>
          </cell>
          <cell r="R624" t="str">
            <v>CQS</v>
          </cell>
          <cell r="T624" t="str">
            <v>MSW</v>
          </cell>
          <cell r="U624" t="str">
            <v>Indonesia Magma Chain, PT
Outsourcindo, PT
Mff Oilfield Services and Engineering, PT
Ranadityo Sukses Makmur, PT
Perwira Sentra Officindo, PT
Lotus Inti Pratama, PT
Alfa Teknik Mandiri Makmur, PT
Intan Global Sinergi, PT
Lienetic Jaya, PT
Banjar Bearing Sentosa, PT
SLS Bearindo, PT
Borneo Statewide Bearing, PT
Satu Aneka Bearing, PT
Rollent Indonesia, PT</v>
          </cell>
          <cell r="V624" t="str">
            <v>Indonesia Magma Chain, PT
Lotus Inti Pratama, PT
Banjar Bearing Sentosa, PT</v>
          </cell>
          <cell r="W624" t="str">
            <v>14 of 14</v>
          </cell>
          <cell r="X624" t="str">
            <v>3 of 14</v>
          </cell>
          <cell r="Y624">
            <v>46139</v>
          </cell>
          <cell r="Z624">
            <v>46146</v>
          </cell>
          <cell r="AC624" t="str">
            <v xml:space="preserve"> of </v>
          </cell>
          <cell r="AD624" t="str">
            <v xml:space="preserve"> of </v>
          </cell>
          <cell r="AF624" t="str">
            <v/>
          </cell>
          <cell r="AI624" t="str">
            <v xml:space="preserve"> of </v>
          </cell>
          <cell r="AJ624" t="str">
            <v xml:space="preserve"> of </v>
          </cell>
          <cell r="AL624" t="str">
            <v/>
          </cell>
          <cell r="AM624">
            <v>0.70833333333333304</v>
          </cell>
          <cell r="AO624" t="str">
            <v/>
          </cell>
          <cell r="AR624">
            <v>46147</v>
          </cell>
          <cell r="AW624" t="str">
            <v/>
          </cell>
          <cell r="AX624" t="str">
            <v/>
          </cell>
          <cell r="AZ624" t="str">
            <v/>
          </cell>
          <cell r="BA624" t="str">
            <v/>
          </cell>
          <cell r="BB624" t="str">
            <v/>
          </cell>
          <cell r="BC624" t="str">
            <v>PC0126-000000872</v>
          </cell>
        </row>
        <row r="625">
          <cell r="B625" t="str">
            <v>PC0126-000000489</v>
          </cell>
          <cell r="C625" t="str">
            <v>Smart Grid Trial 2026</v>
          </cell>
          <cell r="D625" t="str">
            <v>Petrocom Nusa Synergy, PT - Line 1
Ataya Teknik Mulia, PT -  Line 3
Kin Kitra Kencana, PT - Line 4</v>
          </cell>
          <cell r="E625" t="str">
            <v>Petrocom Nusa Synergy, PT
Antares Jaya Gemilang Prima, PT
Putera Instrumenindo, PT
Lotus Inti Pratama, PT
Alfa Teknik Mandiri Makmur, PT
Perwira Sentra Officindo, PT
Indo Tehnik Tanjung Tabalong, PT
Indoparts, CV
ATW Sejahtera, PT
Gridtech Indonesia, PT
Raja Listrik Indonesia, PT</v>
          </cell>
          <cell r="F625" t="str">
            <v>Antares Jaya Gemilang Prima, PT
Lotus Inti Pratama, PT
Alfa Teknik Mandiri Makmur, PT
Perwira Sentra Officindo, PT</v>
          </cell>
          <cell r="G625" t="str">
            <v>R1
4 of 11
11 May 26</v>
          </cell>
          <cell r="H625" t="str">
            <v>NAUFAL INAS FIKRI</v>
          </cell>
          <cell r="I625">
            <v>46136</v>
          </cell>
          <cell r="J625" t="str">
            <v>6100DD201</v>
          </cell>
          <cell r="K625" t="str">
            <v>B</v>
          </cell>
          <cell r="L625" t="str">
            <v>BID</v>
          </cell>
          <cell r="M625">
            <v>69</v>
          </cell>
          <cell r="N625" t="str">
            <v>RH</v>
          </cell>
          <cell r="O625" t="str">
            <v>robertiagus.haposan@alamtri.com</v>
          </cell>
          <cell r="P625">
            <v>15811.85</v>
          </cell>
          <cell r="Q625">
            <v>260895525</v>
          </cell>
          <cell r="R625" t="str">
            <v>CQS</v>
          </cell>
          <cell r="T625" t="str">
            <v>MSW</v>
          </cell>
          <cell r="U625" t="str">
            <v>Petrocom Nusa Synergy, PT
Ataya Teknik Mulia, PT
Putera Instrumenindo, PT
Antares Jaya Gemilang Prima, PT
Gema Industrial, PT
Vhipa Mulia Pratama, PT
Tiga Saudara Teknik, PT
Alfa Teknik Mandiri Makmur, PT
Perwira Sentra Officindo, PT
Sehati, CV
Stanindo Artha Langgeng, PT
Lienetic Jaya, PT
Indostar Security, PT
Trimitra Bangun Karyatama, PT</v>
          </cell>
          <cell r="V625" t="str">
            <v>Antares Jaya Gemilang Prima, PT
Perwira Sentra Officindo, PT</v>
          </cell>
          <cell r="W625" t="str">
            <v>14 of 14</v>
          </cell>
          <cell r="X625" t="str">
            <v>2 of 14</v>
          </cell>
          <cell r="Y625">
            <v>46135</v>
          </cell>
          <cell r="Z625">
            <v>46142</v>
          </cell>
          <cell r="AA625" t="str">
            <v>Petrocom Nusa Synergy, PT
Antares Jaya Gemilang Prima, PT
Putera Instrumenindo, PT
Lotus Inti Pratama, PT
Alfa Teknik Mandiri Makmur, PT
Perwira Sentra Officindo, PT
Indo Tehnik Tanjung Tabalong, PT
Indoparts, CV
ATW Sejahtera, PT
Gridtech Indonesia, PT
Raja Listrik Indonesia, PT</v>
          </cell>
          <cell r="AB625" t="str">
            <v>Antares Jaya Gemilang Prima, PT
Lotus Inti Pratama, PT
Alfa Teknik Mandiri Makmur, PT
Perwira Sentra Officindo, PT</v>
          </cell>
          <cell r="AC625" t="str">
            <v>11 of 11</v>
          </cell>
          <cell r="AD625" t="str">
            <v>4 of 11</v>
          </cell>
          <cell r="AE625">
            <v>46146</v>
          </cell>
          <cell r="AF625">
            <v>46153</v>
          </cell>
          <cell r="AI625" t="str">
            <v xml:space="preserve"> of </v>
          </cell>
          <cell r="AJ625" t="str">
            <v xml:space="preserve"> of </v>
          </cell>
          <cell r="AL625" t="str">
            <v/>
          </cell>
          <cell r="AM625">
            <v>0.70833333333333304</v>
          </cell>
          <cell r="AO625" t="str">
            <v/>
          </cell>
          <cell r="AR625">
            <v>46155</v>
          </cell>
          <cell r="AW625" t="str">
            <v/>
          </cell>
          <cell r="AX625" t="str">
            <v/>
          </cell>
          <cell r="AZ625" t="str">
            <v/>
          </cell>
          <cell r="BA625" t="str">
            <v/>
          </cell>
          <cell r="BB625" t="str">
            <v/>
          </cell>
          <cell r="BC625" t="str">
            <v>PC0126-000000489</v>
          </cell>
        </row>
        <row r="626">
          <cell r="B626" t="str">
            <v>PC0126-000001222</v>
          </cell>
          <cell r="C626" t="str">
            <v>Jasa setting Relay Protection Di sisi MV dan LV DG IBT</v>
          </cell>
          <cell r="E626" t="str">
            <v>Emkaha, PT
Panca Global Solusindo, PT</v>
          </cell>
          <cell r="F626" t="str">
            <v>Emkaha, PT
Panca Global Solusindo, PT</v>
          </cell>
          <cell r="G626" t="str">
            <v xml:space="preserve">R1
 of 2
</v>
          </cell>
          <cell r="H626" t="str">
            <v>SLAMET</v>
          </cell>
          <cell r="I626">
            <v>46154</v>
          </cell>
          <cell r="J626" t="str">
            <v>6100DB432</v>
          </cell>
          <cell r="K626" t="str">
            <v>J</v>
          </cell>
          <cell r="L626" t="str">
            <v>BID</v>
          </cell>
          <cell r="M626">
            <v>76</v>
          </cell>
          <cell r="N626" t="str">
            <v>RH</v>
          </cell>
          <cell r="O626" t="str">
            <v>robertiagus.haposan@alamtri.com</v>
          </cell>
          <cell r="Q626">
            <v>25000000</v>
          </cell>
          <cell r="R626" t="str">
            <v>Rebid</v>
          </cell>
          <cell r="S626" t="str">
            <v>Hold</v>
          </cell>
          <cell r="T626" t="str">
            <v>MSW</v>
          </cell>
          <cell r="U626" t="str">
            <v>Emkaha, PT
Panca Global Solusindo, PT
PM Control Systems, PT
Gridtech Indonesia, PT
Total Solusi Instrument, PT
Cakra Instrumindo Utama, PT
Heksa Instrumen Sinergi, PT
Artam Borneo Automatika, PT
Powerindo Prima Perkasa, PT</v>
          </cell>
          <cell r="V626" t="str">
            <v>Emkaha, PT
Panca Global Solusindo, PT</v>
          </cell>
          <cell r="W626" t="str">
            <v>9 of 9</v>
          </cell>
          <cell r="X626" t="str">
            <v>2 of 9</v>
          </cell>
          <cell r="Y626">
            <v>46155</v>
          </cell>
          <cell r="Z626">
            <v>46164</v>
          </cell>
          <cell r="AA626" t="str">
            <v>Emkaha, PT
Panca Global Solusindo, PT
Buana Cahayatama, PT
Mff Oilfield Services and Engineering, PT
Citra Tanjung Lestari Indah, PT
Berkat Mandiri Utama Tanjung, PT
Pola Proserve Engineering, PT</v>
          </cell>
          <cell r="AB626" t="str">
            <v>Emkaha, PT
Panca Global Solusindo, PT</v>
          </cell>
          <cell r="AC626" t="str">
            <v>2 of 2</v>
          </cell>
          <cell r="AD626" t="str">
            <v xml:space="preserve"> of 2</v>
          </cell>
          <cell r="AE626">
            <v>46190</v>
          </cell>
          <cell r="AF626" t="str">
            <v/>
          </cell>
          <cell r="AG626" t="str">
            <v>Emkaha, PT
Panca Global Solusindo, PT
Tabalong Inti Mitra, PT
Hitachi Sakti Energy Indonesia, PT
Taka Precision Manufacturing Indonesia, PT</v>
          </cell>
          <cell r="AI626" t="str">
            <v xml:space="preserve"> of </v>
          </cell>
          <cell r="AJ626" t="str">
            <v xml:space="preserve"> of </v>
          </cell>
          <cell r="AK626">
            <v>46206</v>
          </cell>
          <cell r="AL626" t="str">
            <v/>
          </cell>
          <cell r="AM626">
            <v>0.70833333333333304</v>
          </cell>
          <cell r="AO626" t="str">
            <v/>
          </cell>
          <cell r="AW626" t="str">
            <v/>
          </cell>
          <cell r="AX626" t="str">
            <v/>
          </cell>
          <cell r="AZ626" t="str">
            <v/>
          </cell>
          <cell r="BA626" t="str">
            <v/>
          </cell>
          <cell r="BB626" t="str">
            <v/>
          </cell>
          <cell r="BC626" t="str">
            <v>PC0126-000001222</v>
          </cell>
        </row>
        <row r="627">
          <cell r="B627" t="str">
            <v>PC0126-000001246</v>
          </cell>
          <cell r="C627" t="str">
            <v>Kontrak Payung Jasa Oil Analysis &amp; DGA (2026-2029)</v>
          </cell>
          <cell r="D627" t="str">
            <v>Petrolab Services, PT</v>
          </cell>
          <cell r="E627" t="str">
            <v/>
          </cell>
          <cell r="F627" t="str">
            <v/>
          </cell>
          <cell r="G627" t="str">
            <v/>
          </cell>
          <cell r="H627" t="str">
            <v>SASTRA IRAWAN</v>
          </cell>
          <cell r="J627" t="str">
            <v>6100DB403</v>
          </cell>
          <cell r="K627" t="str">
            <v>J</v>
          </cell>
          <cell r="L627" t="str">
            <v>TDR</v>
          </cell>
          <cell r="M627" t="str">
            <v>TENDER</v>
          </cell>
          <cell r="N627" t="str">
            <v>RH</v>
          </cell>
          <cell r="O627" t="str">
            <v>robertiagus.haposan@alamtri.com</v>
          </cell>
          <cell r="P627">
            <v>27183.55</v>
          </cell>
          <cell r="Q627">
            <v>462120350</v>
          </cell>
          <cell r="R627" t="str">
            <v>Searching Vendor</v>
          </cell>
          <cell r="S627" t="str">
            <v>Prakualifiaksi</v>
          </cell>
          <cell r="T627" t="str">
            <v>MSW</v>
          </cell>
          <cell r="W627" t="str">
            <v xml:space="preserve"> of </v>
          </cell>
          <cell r="X627" t="str">
            <v xml:space="preserve"> of </v>
          </cell>
          <cell r="Z627" t="str">
            <v/>
          </cell>
          <cell r="AC627" t="str">
            <v xml:space="preserve"> of </v>
          </cell>
          <cell r="AD627" t="str">
            <v xml:space="preserve"> of </v>
          </cell>
          <cell r="AF627" t="str">
            <v/>
          </cell>
          <cell r="AI627" t="str">
            <v xml:space="preserve"> of </v>
          </cell>
          <cell r="AJ627" t="str">
            <v xml:space="preserve"> of </v>
          </cell>
          <cell r="AL627" t="str">
            <v/>
          </cell>
          <cell r="AM627">
            <v>0.70833333333333304</v>
          </cell>
          <cell r="AO627" t="str">
            <v/>
          </cell>
          <cell r="AW627" t="str">
            <v/>
          </cell>
          <cell r="AX627" t="str">
            <v/>
          </cell>
          <cell r="AZ627" t="str">
            <v/>
          </cell>
          <cell r="BA627" t="str">
            <v/>
          </cell>
          <cell r="BB627" t="str">
            <v/>
          </cell>
          <cell r="BC627" t="str">
            <v>PC0126-000001246</v>
          </cell>
        </row>
        <row r="628">
          <cell r="B628" t="str">
            <v>PC0126-000000456 (Line 3)</v>
          </cell>
          <cell r="C628" t="str">
            <v>Pengadaan clip material O&amp;M PLTS</v>
          </cell>
          <cell r="D628" t="str">
            <v>Sehati, CV (Line 2,5-7)
Berkat Pratama Teknik, CV (Line 3)
Indo Tehnik Tanjung Tabalong, PT (Line 4)
Perwira Sentra Officindo, PT (Line 8)</v>
          </cell>
          <cell r="E628" t="str">
            <v>Sehati, CV
Perwira Sentra Officindo, PT
Tiga Saudara Teknik, PT
Berkat Pratama Teknik, CV
Berkat Amira, CV
Gevana, PT
Menara, CV
Indo Tehnik Tanjung Tabalong, PT
Greentek Elektrikal Indonesia, PT
Pacific Tractor Indonesia, PT
Cahaya Murni, CV</v>
          </cell>
          <cell r="F628" t="str">
            <v>Sehati, CV
Perwira Sentra Officindo, PT
Tiga Saudara Teknik, PT
Berkat Amira, CV</v>
          </cell>
          <cell r="G628" t="str">
            <v>R0
4 of 11
15 Jan 26</v>
          </cell>
          <cell r="H628" t="str">
            <v>GUNARA FERY FAHNANI</v>
          </cell>
          <cell r="I628">
            <v>46127</v>
          </cell>
          <cell r="J628" t="str">
            <v>6100DB412</v>
          </cell>
          <cell r="K628" t="str">
            <v>B</v>
          </cell>
          <cell r="L628" t="str">
            <v>BID</v>
          </cell>
          <cell r="M628">
            <v>8</v>
          </cell>
          <cell r="N628" t="str">
            <v>RH</v>
          </cell>
          <cell r="O628" t="str">
            <v>robertiagus.haposan@alamtri.com</v>
          </cell>
          <cell r="P628">
            <v>16433</v>
          </cell>
          <cell r="Q628">
            <v>271144500</v>
          </cell>
          <cell r="R628" t="str">
            <v>PO Sign Vendor</v>
          </cell>
          <cell r="S628" t="str">
            <v>Replacement from PC0125-000001408</v>
          </cell>
          <cell r="T628" t="str">
            <v>MSW</v>
          </cell>
          <cell r="U628" t="str">
            <v>Sehati, CV
Perwira Sentra Officindo, PT
Tiga Saudara Teknik, PT
Berkat Pratama Teknik, CV
Berkat Amira, CV
Gevana, PT
Menara, CV
Indo Tehnik Tanjung Tabalong, PT
Greentek Elektrikal Indonesia, PT
Pacific Tractor Indonesia, PT
Cahaya Murni, CV</v>
          </cell>
          <cell r="V628" t="str">
            <v>Sehati, CV
Perwira Sentra Officindo, PT
Tiga Saudara Teknik, PT
Berkat Amira, CV</v>
          </cell>
          <cell r="W628" t="str">
            <v>11 of 11</v>
          </cell>
          <cell r="X628" t="str">
            <v>4 of 11</v>
          </cell>
          <cell r="Y628">
            <v>46030</v>
          </cell>
          <cell r="Z628">
            <v>46037</v>
          </cell>
          <cell r="AC628" t="str">
            <v xml:space="preserve"> of </v>
          </cell>
          <cell r="AD628" t="str">
            <v xml:space="preserve"> of </v>
          </cell>
          <cell r="AF628" t="str">
            <v/>
          </cell>
          <cell r="AI628" t="str">
            <v xml:space="preserve"> of </v>
          </cell>
          <cell r="AJ628" t="str">
            <v xml:space="preserve"> of </v>
          </cell>
          <cell r="AL628" t="str">
            <v/>
          </cell>
          <cell r="AM628">
            <v>0.70833333333333304</v>
          </cell>
          <cell r="AN628" t="str">
            <v>Perwira Sentra Officindo, PT</v>
          </cell>
          <cell r="AO628" t="str">
            <v>d_santos63@yahoo.com</v>
          </cell>
          <cell r="AP628" t="str">
            <v>6100-PC0626-00274</v>
          </cell>
          <cell r="AQ628">
            <v>2910000</v>
          </cell>
          <cell r="AR628">
            <v>46042</v>
          </cell>
          <cell r="AS628">
            <v>46119</v>
          </cell>
          <cell r="AT628">
            <v>46133</v>
          </cell>
          <cell r="AU628">
            <v>46162</v>
          </cell>
          <cell r="AV628">
            <v>46134</v>
          </cell>
          <cell r="AW628">
            <v>46163</v>
          </cell>
          <cell r="AX628">
            <v>4.1428571428571432</v>
          </cell>
          <cell r="AZ628" t="str">
            <v/>
          </cell>
          <cell r="BA628" t="str">
            <v/>
          </cell>
          <cell r="BB628" t="str">
            <v>Completed</v>
          </cell>
          <cell r="BC628" t="str">
            <v>PC0126-000000456</v>
          </cell>
        </row>
        <row r="629">
          <cell r="B629" t="str">
            <v>PC0126-000000456 (Line 2, 4-8)</v>
          </cell>
          <cell r="C629" t="str">
            <v>Pengadaan clip material O&amp;M PLTS</v>
          </cell>
          <cell r="D629" t="str">
            <v>Sehati, CV (Line 2,5-7)
Berkat Pratama Teknik, CV (Line 3)
Indo Tehnik Tanjung Tabalong, PT (Line 4)
Perwira Sentra Officindo, PT (Line 8)</v>
          </cell>
          <cell r="E629" t="str">
            <v>Sehati, CV
Perwira Sentra Officindo, PT
Tiga Saudara Teknik, PT
Berkat Pratama Teknik, CV
Berkat Amira, CV
Gevana, PT
Menara, CV
Indo Tehnik Tanjung Tabalong, PT
Greentek Elektrikal Indonesia, PT
Pacific Tractor Indonesia, PT
Cahaya Murni, CV</v>
          </cell>
          <cell r="F629" t="str">
            <v>Sehati, CV
Perwira Sentra Officindo, PT
Tiga Saudara Teknik, PT
Berkat Amira, CV</v>
          </cell>
          <cell r="G629" t="str">
            <v>R0
4 of 11
15 Jan 26</v>
          </cell>
          <cell r="H629" t="str">
            <v>GUNARA FERY FAHNANI</v>
          </cell>
          <cell r="I629">
            <v>46127</v>
          </cell>
          <cell r="J629" t="str">
            <v>6100DB412</v>
          </cell>
          <cell r="K629" t="str">
            <v>B</v>
          </cell>
          <cell r="L629" t="str">
            <v>BID</v>
          </cell>
          <cell r="M629">
            <v>8</v>
          </cell>
          <cell r="N629" t="str">
            <v>RH</v>
          </cell>
          <cell r="O629" t="str">
            <v>robertiagus.haposan@alamtri.com</v>
          </cell>
          <cell r="P629">
            <v>16433</v>
          </cell>
          <cell r="Q629">
            <v>271144500</v>
          </cell>
          <cell r="R629" t="str">
            <v>PO Sign Vendor</v>
          </cell>
          <cell r="S629" t="str">
            <v>Replacement from PC0125-000001408</v>
          </cell>
          <cell r="T629" t="str">
            <v>MSW</v>
          </cell>
          <cell r="U629" t="str">
            <v>Sehati, CV
Perwira Sentra Officindo, PT
Tiga Saudara Teknik, PT
Berkat Pratama Teknik, CV
Berkat Amira, CV
Gevana, PT
Menara, CV
Indo Tehnik Tanjung Tabalong, PT
Greentek Elektrikal Indonesia, PT
Pacific Tractor Indonesia, PT
Cahaya Murni, CV</v>
          </cell>
          <cell r="V629" t="str">
            <v>Sehati, CV
Perwira Sentra Officindo, PT
Tiga Saudara Teknik, PT
Berkat Amira, CV</v>
          </cell>
          <cell r="W629" t="str">
            <v>11 of 11</v>
          </cell>
          <cell r="X629" t="str">
            <v>4 of 11</v>
          </cell>
          <cell r="Y629">
            <v>46030</v>
          </cell>
          <cell r="Z629">
            <v>46037</v>
          </cell>
          <cell r="AC629" t="str">
            <v xml:space="preserve"> of </v>
          </cell>
          <cell r="AD629" t="str">
            <v xml:space="preserve"> of </v>
          </cell>
          <cell r="AF629" t="str">
            <v/>
          </cell>
          <cell r="AI629" t="str">
            <v xml:space="preserve"> of </v>
          </cell>
          <cell r="AJ629" t="str">
            <v xml:space="preserve"> of </v>
          </cell>
          <cell r="AL629" t="str">
            <v/>
          </cell>
          <cell r="AM629">
            <v>0.70833333333333304</v>
          </cell>
          <cell r="AN629" t="str">
            <v>Sehati, CV</v>
          </cell>
          <cell r="AO629" t="str">
            <v>cvsehati@ymail.com</v>
          </cell>
          <cell r="AP629" t="str">
            <v>6100-PC0626-00275</v>
          </cell>
          <cell r="AQ629">
            <v>18116000</v>
          </cell>
          <cell r="AR629">
            <v>46042</v>
          </cell>
          <cell r="AS629">
            <v>46119</v>
          </cell>
          <cell r="AT629">
            <v>46133</v>
          </cell>
          <cell r="AU629">
            <v>46178</v>
          </cell>
          <cell r="AV629">
            <v>46135</v>
          </cell>
          <cell r="AW629">
            <v>46180</v>
          </cell>
          <cell r="AX629">
            <v>6.4285714285714288</v>
          </cell>
          <cell r="AZ629" t="str">
            <v/>
          </cell>
          <cell r="BA629" t="str">
            <v/>
          </cell>
          <cell r="BB629" t="str">
            <v>Completed</v>
          </cell>
          <cell r="BC629" t="str">
            <v>PC0126-000000456</v>
          </cell>
        </row>
        <row r="630">
          <cell r="B630" t="str">
            <v>PC0126-000000591 (Line 1)</v>
          </cell>
          <cell r="C630" t="str">
            <v>Spare Part Instrumentation &amp; Burner</v>
          </cell>
          <cell r="D630" t="str">
            <v>Karya Energi Indonesia, PT - Line 1
Putera Instrumenindo, PT - Line 2
ABB Sakti Industri, PT - Line 3
Petrocom Nusa Synergy, PT - Line 6 
Siwali Swantika, PT - Line 7</v>
          </cell>
          <cell r="E630" t="str">
            <v>Karya Energi Indonesia, PT
Norgantara Andalan Mandiri Indonesia, PT
Putera Instrumenindo, PT
ABB Sakti Industri, PT
Gema Industrial, PT
Petrocom Nusa Synergy, PT
Sehati, CV
Andalan Tiga Berlian, PT
Golden Pratama Engineering, PT
Siwali Swantika, PT
Trimitra Bangun Karyatama, PT
Gevana, PT</v>
          </cell>
          <cell r="F630" t="str">
            <v>Putera Instrumenindo, PT
Gema Industrial, PT
Golden Pratama Engineering, PT
Siwali Swantika, PT
Trimitra Bangun Karyatama, PT
Gevana, PT</v>
          </cell>
          <cell r="G630" t="str">
            <v>R0
6 of 12
15 Dec 25</v>
          </cell>
          <cell r="H630" t="str">
            <v>DEDE SUDARJI</v>
          </cell>
          <cell r="I630">
            <v>46125</v>
          </cell>
          <cell r="J630" t="str">
            <v>6100DB402</v>
          </cell>
          <cell r="K630" t="str">
            <v>B</v>
          </cell>
          <cell r="L630" t="str">
            <v>BID</v>
          </cell>
          <cell r="M630">
            <v>328</v>
          </cell>
          <cell r="N630" t="str">
            <v>RH</v>
          </cell>
          <cell r="O630" t="str">
            <v>robertiagus.haposan@alamtri.com</v>
          </cell>
          <cell r="P630">
            <v>419</v>
          </cell>
          <cell r="Q630">
            <v>6913500</v>
          </cell>
          <cell r="R630" t="str">
            <v>Completed Sign PO</v>
          </cell>
          <cell r="S630" t="str">
            <v>Previous PR PC0125-000001040</v>
          </cell>
          <cell r="T630" t="str">
            <v>MSW</v>
          </cell>
          <cell r="U630" t="str">
            <v>Karya Energi Indonesia, PT
Norgantara Andalan Mandiri Indonesia, PT
Putera Instrumenindo, PT
ABB Sakti Industri, PT
Gema Industrial, PT
Petrocom Nusa Synergy, PT
Sehati, CV
Andalan Tiga Berlian, PT
Golden Pratama Engineering, PT
Siwali Swantika, PT
Trimitra Bangun Karyatama, PT
Gevana, PT</v>
          </cell>
          <cell r="V630" t="str">
            <v>Putera Instrumenindo, PT
Gema Industrial, PT
Golden Pratama Engineering, PT
Siwali Swantika, PT
Trimitra Bangun Karyatama, PT
Gevana, PT</v>
          </cell>
          <cell r="W630" t="str">
            <v>12 of 12</v>
          </cell>
          <cell r="X630" t="str">
            <v>6 of 12</v>
          </cell>
          <cell r="Y630">
            <v>45999</v>
          </cell>
          <cell r="Z630">
            <v>46006</v>
          </cell>
          <cell r="AC630" t="str">
            <v xml:space="preserve"> of </v>
          </cell>
          <cell r="AD630" t="str">
            <v xml:space="preserve"> of </v>
          </cell>
          <cell r="AF630" t="str">
            <v/>
          </cell>
          <cell r="AI630" t="str">
            <v xml:space="preserve"> of </v>
          </cell>
          <cell r="AJ630" t="str">
            <v xml:space="preserve"> of </v>
          </cell>
          <cell r="AL630" t="str">
            <v/>
          </cell>
          <cell r="AM630">
            <v>0.70833333333333304</v>
          </cell>
          <cell r="AN630" t="str">
            <v>Siwali Swantika, PT</v>
          </cell>
          <cell r="AO630" t="str">
            <v>asrofi@siwali.com</v>
          </cell>
          <cell r="AP630" t="str">
            <v>6100-PC0626-00265</v>
          </cell>
          <cell r="AQ630">
            <v>18411000</v>
          </cell>
          <cell r="AR630">
            <v>46010</v>
          </cell>
          <cell r="AS630">
            <v>46119</v>
          </cell>
          <cell r="AT630">
            <v>46129</v>
          </cell>
          <cell r="AU630">
            <v>46206</v>
          </cell>
          <cell r="AV630">
            <v>46132</v>
          </cell>
          <cell r="AW630">
            <v>46209</v>
          </cell>
          <cell r="AX630">
            <v>11</v>
          </cell>
          <cell r="AZ630" t="str">
            <v/>
          </cell>
          <cell r="BA630" t="str">
            <v/>
          </cell>
          <cell r="BB630" t="str">
            <v>Completed</v>
          </cell>
          <cell r="BC630" t="str">
            <v>PC0126-000000591</v>
          </cell>
        </row>
        <row r="631">
          <cell r="B631" t="str">
            <v>PC0126-000000591 (Line 2-5, 7)</v>
          </cell>
          <cell r="C631" t="str">
            <v>Spare Part Instrumentation &amp; Burner</v>
          </cell>
          <cell r="D631" t="str">
            <v>Karya Energi Indonesia, PT - Line 1
Putera Instrumenindo, PT - Line 2
ABB Sakti Industri, PT - Line 3
Petrocom Nusa Synergy, PT - Line 6 
Siwali Swantika, PT - Line 7</v>
          </cell>
          <cell r="E631" t="str">
            <v>Gema Industrial, PT
Golden Pratama Engineering, PT
Trimitra Bangun Karyatama, PT
Gevana, PT
Putera Instrumenindo, PT
Karya Energi Indonesia, PT
Petrocom Nusa Synergy, PT
Antares Jaya Gemilang Prima, PT
Promitra Prima Indonesia, PT
Gading Mas Utama, PT
Ekatama Putra Perkasa, PT
Perwira Sentra Officindo, PT</v>
          </cell>
          <cell r="F631" t="str">
            <v>Gevana, PT
Antares Jaya Gemilang Prima, PT
Promitra Prima Indonesia, PT
Gading Mas Utama, PT</v>
          </cell>
          <cell r="G631" t="str">
            <v>R1
4 of 12
24 Apr 26</v>
          </cell>
          <cell r="H631" t="str">
            <v>DEDE SUDARJI</v>
          </cell>
          <cell r="I631">
            <v>46125</v>
          </cell>
          <cell r="J631" t="str">
            <v>6100DB402</v>
          </cell>
          <cell r="K631" t="str">
            <v>B</v>
          </cell>
          <cell r="L631" t="str">
            <v>BID</v>
          </cell>
          <cell r="M631">
            <v>328</v>
          </cell>
          <cell r="N631" t="str">
            <v>RH</v>
          </cell>
          <cell r="O631" t="str">
            <v>robertiagus.haposan@alamtri.com</v>
          </cell>
          <cell r="P631">
            <v>808</v>
          </cell>
          <cell r="Q631">
            <v>13332000</v>
          </cell>
          <cell r="R631" t="str">
            <v>CQS</v>
          </cell>
          <cell r="S631" t="str">
            <v>Previous PR PC0125-000001040</v>
          </cell>
          <cell r="T631" t="str">
            <v>MSW</v>
          </cell>
          <cell r="U631" t="str">
            <v>Karya Energi Indonesia, PT
Norgantara Andalan Mandiri Indonesia, PT
Putera Instrumenindo, PT
ABB Sakti Industri, PT
Gema Industrial, PT
Petrocom Nusa Synergy, PT
Sehati, CV
Andalan Tiga Berlian, PT
Golden Pratama Engineering, PT
Siwali Swantika, PT
Trimitra Bangun Karyatama, PT
Gevana, PT</v>
          </cell>
          <cell r="V631" t="str">
            <v>Putera Instrumenindo, PT
Gema Industrial, PT
Golden Pratama Engineering, PT
Siwali Swantika, PT
Trimitra Bangun Karyatama, PT
Gevana, PT</v>
          </cell>
          <cell r="W631" t="str">
            <v>12 of 12</v>
          </cell>
          <cell r="X631" t="str">
            <v>6 of 12</v>
          </cell>
          <cell r="Y631">
            <v>45999</v>
          </cell>
          <cell r="Z631">
            <v>46006</v>
          </cell>
          <cell r="AA631" t="str">
            <v>Gema Industrial, PT
Golden Pratama Engineering, PT
Trimitra Bangun Karyatama, PT
Gevana, PT
Putera Instrumenindo, PT
Karya Energi Indonesia, PT
Petrocom Nusa Synergy, PT
Antares Jaya Gemilang Prima, PT
Promitra Prima Indonesia, PT
Gading Mas Utama, PT
Ekatama Putra Perkasa, PT
Perwira Sentra Officindo, PT</v>
          </cell>
          <cell r="AB631" t="str">
            <v>Gevana, PT
Antares Jaya Gemilang Prima, PT
Promitra Prima Indonesia, PT
Gading Mas Utama, PT</v>
          </cell>
          <cell r="AC631" t="str">
            <v>12 of 12</v>
          </cell>
          <cell r="AD631" t="str">
            <v>4 of 12</v>
          </cell>
          <cell r="AE631">
            <v>46129</v>
          </cell>
          <cell r="AF631">
            <v>46136</v>
          </cell>
          <cell r="AI631" t="str">
            <v xml:space="preserve"> of </v>
          </cell>
          <cell r="AJ631" t="str">
            <v xml:space="preserve"> of </v>
          </cell>
          <cell r="AL631" t="str">
            <v/>
          </cell>
          <cell r="AM631">
            <v>0.70833333333333304</v>
          </cell>
          <cell r="AN631" t="str">
            <v>Gading Mas Utama, PT</v>
          </cell>
          <cell r="AO631" t="str">
            <v/>
          </cell>
          <cell r="AP631" t="str">
            <v>6100-PC0626-00418</v>
          </cell>
          <cell r="AQ631">
            <v>9150000</v>
          </cell>
          <cell r="AR631">
            <v>46147</v>
          </cell>
          <cell r="AS631">
            <v>46183</v>
          </cell>
          <cell r="AT631">
            <v>46185</v>
          </cell>
          <cell r="AU631">
            <v>46311</v>
          </cell>
          <cell r="AV631">
            <v>46192</v>
          </cell>
          <cell r="AW631" t="str">
            <v/>
          </cell>
          <cell r="AX631" t="str">
            <v/>
          </cell>
          <cell r="AZ631" t="str">
            <v/>
          </cell>
          <cell r="BA631" t="str">
            <v/>
          </cell>
          <cell r="BB631" t="str">
            <v/>
          </cell>
          <cell r="BC631" t="str">
            <v>PC0126-000000591</v>
          </cell>
        </row>
        <row r="632">
          <cell r="B632" t="str">
            <v>PC0126-000000583 (Line 1)</v>
          </cell>
          <cell r="C632" t="str">
            <v>Spare Part Repair Kit Actuator PRDS</v>
          </cell>
          <cell r="D632" t="str">
            <v>Kin Kitra Kencana, PT - Line 1
Andalan Tiga Berlian, PT - Line 2</v>
          </cell>
          <cell r="E632" t="str">
            <v>Andalan Tiga Berlian, PT
Forbes Marshall Indonesia, PT
Lienetic Jaya, PT
Putera Instrumenindo, PT
Alfa Teknik Mandiri Makmur, PT
Mff Oilfield Services and Engineering, PT
Lotus Inti Pratama, PT</v>
          </cell>
          <cell r="F632" t="str">
            <v>Forbes Marshall Indonesia, PT</v>
          </cell>
          <cell r="G632" t="str">
            <v>R3
1 of 7
27 Apr 26</v>
          </cell>
          <cell r="H632" t="str">
            <v>BASUKI SETIYO WIDODO</v>
          </cell>
          <cell r="I632">
            <v>46133</v>
          </cell>
          <cell r="J632" t="str">
            <v>6100DB402</v>
          </cell>
          <cell r="K632" t="str">
            <v>B</v>
          </cell>
          <cell r="L632" t="str">
            <v>BID</v>
          </cell>
          <cell r="M632">
            <v>307</v>
          </cell>
          <cell r="N632" t="str">
            <v>RH</v>
          </cell>
          <cell r="O632" t="str">
            <v>robertiagus.haposan@alamtri.com</v>
          </cell>
          <cell r="P632">
            <v>4300</v>
          </cell>
          <cell r="Q632">
            <v>73100000</v>
          </cell>
          <cell r="R632" t="str">
            <v>PO Sign Vendor</v>
          </cell>
          <cell r="S632" t="str">
            <v>Previous PR PC0125-000000937
Vendor registrasi</v>
          </cell>
          <cell r="T632" t="str">
            <v>MSW</v>
          </cell>
          <cell r="U632" t="str">
            <v>Kin Kitra Kencana, PT
Putera Instrumenindo, PT
Phoenix Bumiputera, PT
Lienetic Jaya, PT
Petrocom Nusa Synergy, PT
Trimitra Bangun Karyatama, PT
Indo Tehnik Tanjung Tabalong, PT
Alfa Teknik Mandiri Makmur, PT</v>
          </cell>
          <cell r="V632" t="str">
            <v>Kin Kitra Kencana, PT</v>
          </cell>
          <cell r="W632" t="str">
            <v>8 of 8</v>
          </cell>
          <cell r="X632" t="str">
            <v>1 of 8</v>
          </cell>
          <cell r="Y632">
            <v>45992</v>
          </cell>
          <cell r="Z632">
            <v>45999</v>
          </cell>
          <cell r="AA632" t="str">
            <v>Kin Kitra Kencana, PT
Putera Instrumenindo, PT
Outsourcindo, PT
Stanindo Artha Langgeng, PT
Aqpa Indonesia, PT
Sola Anugerah Oilfield, PT
Fadnov Airtech Indonesia, PT
Gevana, PT
Adijaya Mitra Perkasa, PT
Solusi Cita Mandala, PT
Dwijaya Sentral Sarana, PT</v>
          </cell>
          <cell r="AB632" t="str">
            <v>Kin Kitra Kencana, PT</v>
          </cell>
          <cell r="AC632" t="str">
            <v>11 of 11</v>
          </cell>
          <cell r="AD632" t="str">
            <v>1 of 11</v>
          </cell>
          <cell r="AE632">
            <v>46001</v>
          </cell>
          <cell r="AF632">
            <v>46008</v>
          </cell>
          <cell r="AG632" t="str">
            <v>Kin Kitra Kencana, PT
Andalan Tiga Berlian, PT
Norgantara Andalan Mandiri Indonesia, PT
Panca Global Solusindo, PT
Axel Jaya Cakraniaga, PT
ODG Nusantara Jaya, PT
Putra Andalan Perkasa, PT
Multitech Industrial Indonesia, PT
Mitra Wira Pratama, PT
Arita Prima Indonesia Tbk, PT</v>
          </cell>
          <cell r="AH632" t="str">
            <v>Kin Kitra Kencana, PT</v>
          </cell>
          <cell r="AI632" t="str">
            <v>10 of 10</v>
          </cell>
          <cell r="AJ632" t="str">
            <v>1 of 10</v>
          </cell>
          <cell r="AK632">
            <v>46027</v>
          </cell>
          <cell r="AL632">
            <v>46041</v>
          </cell>
          <cell r="AM632">
            <v>0.70833333333333304</v>
          </cell>
          <cell r="AN632" t="str">
            <v>Forbes Marshall Indonesia, PT</v>
          </cell>
          <cell r="AO632" t="str">
            <v>mchakraborty@forbesmarshall.com; afirstyan@forbesmarshall.com; admin@forbesmarshall.com</v>
          </cell>
          <cell r="AP632" t="str">
            <v>6100-PC0626-00388</v>
          </cell>
          <cell r="AQ632">
            <v>23515625</v>
          </cell>
          <cell r="AR632">
            <v>46140</v>
          </cell>
          <cell r="AS632">
            <v>46153</v>
          </cell>
          <cell r="AT632">
            <v>46175</v>
          </cell>
          <cell r="AU632">
            <v>46269</v>
          </cell>
          <cell r="AV632">
            <v>46176</v>
          </cell>
          <cell r="AW632">
            <v>46270</v>
          </cell>
          <cell r="AX632">
            <v>13.428571428571429</v>
          </cell>
          <cell r="AZ632" t="str">
            <v/>
          </cell>
          <cell r="BA632" t="str">
            <v/>
          </cell>
          <cell r="BB632" t="str">
            <v>Late Completed</v>
          </cell>
          <cell r="BC632" t="str">
            <v>PC0126-000000583</v>
          </cell>
        </row>
        <row r="633">
          <cell r="B633" t="str">
            <v>PC0126-000000509</v>
          </cell>
          <cell r="C633" t="str">
            <v>Alat support DIgitalisation Tambang Jointing FO</v>
          </cell>
          <cell r="D633" t="str">
            <v>Petrocom Nusa Synergy, PT - Line 1
Perwira Sentra Officindo, PT - Line 2
Greentek Elektrikal Indonesia, PT - Line 3</v>
          </cell>
          <cell r="E633" t="str">
            <v>Petrocom Nusa Synergy, PT
Perwira Sentra Officindo, PT
Greentek Elektrikal Indonesia, PT
Sehati, CV
Alfa Teknik Mandiri Makmur, PT
Berkat Pratama Teknik, CV
Aka Prima Komputindo, PT
Berkat Jaya Komputindo, PT
Gridtech Indonesia, PT
Antares Jaya Gemilang Prima, PT
Vhipa Mulia Pratama, PT
Indostar Security, PT
Gevana, PT
Anugrah Mandiri Putra Tabalong, PT
ALKS, CV</v>
          </cell>
          <cell r="F633" t="str">
            <v>Perwira Sentra Officindo, PT
Alfa Teknik Mandiri Makmur, PT
Gevana, PT</v>
          </cell>
          <cell r="G633" t="str">
            <v>R0
3 of 15
06 May 26</v>
          </cell>
          <cell r="H633" t="str">
            <v>GUNARA FERY FAHNANI</v>
          </cell>
          <cell r="I633">
            <v>46141</v>
          </cell>
          <cell r="J633" t="str">
            <v>6100DB412</v>
          </cell>
          <cell r="K633" t="str">
            <v>B</v>
          </cell>
          <cell r="L633" t="str">
            <v>BID</v>
          </cell>
          <cell r="M633">
            <v>70</v>
          </cell>
          <cell r="N633" t="str">
            <v>RH</v>
          </cell>
          <cell r="O633" t="str">
            <v>robertiagus.haposan@alamtri.com</v>
          </cell>
          <cell r="P633">
            <v>2504</v>
          </cell>
          <cell r="Q633">
            <v>42568000</v>
          </cell>
          <cell r="R633" t="str">
            <v>CQS</v>
          </cell>
          <cell r="T633" t="str">
            <v>MSW</v>
          </cell>
          <cell r="U633" t="str">
            <v>Petrocom Nusa Synergy, PT
Perwira Sentra Officindo, PT
Greentek Elektrikal Indonesia, PT
Sehati, CV
Alfa Teknik Mandiri Makmur, PT
Berkat Pratama Teknik, CV
Aka Prima Komputindo, PT
Berkat Jaya Komputindo, PT
Gridtech Indonesia, PT
Antares Jaya Gemilang Prima, PT
Vhipa Mulia Pratama, PT
Indostar Security, PT
Gevana, PT
Anugrah Mandiri Putra Tabalong, PT
ALKS, CV</v>
          </cell>
          <cell r="V633" t="str">
            <v>Perwira Sentra Officindo, PT
Alfa Teknik Mandiri Makmur, PT
Gevana, PT</v>
          </cell>
          <cell r="W633" t="str">
            <v>15 of 15</v>
          </cell>
          <cell r="X633" t="str">
            <v>3 of 15</v>
          </cell>
          <cell r="Y633">
            <v>46141</v>
          </cell>
          <cell r="Z633">
            <v>46148</v>
          </cell>
          <cell r="AC633" t="str">
            <v xml:space="preserve"> of </v>
          </cell>
          <cell r="AD633" t="str">
            <v xml:space="preserve"> of </v>
          </cell>
          <cell r="AF633" t="str">
            <v/>
          </cell>
          <cell r="AI633" t="str">
            <v xml:space="preserve"> of </v>
          </cell>
          <cell r="AJ633" t="str">
            <v xml:space="preserve"> of </v>
          </cell>
          <cell r="AL633" t="str">
            <v/>
          </cell>
          <cell r="AM633">
            <v>0.70833333333333304</v>
          </cell>
          <cell r="AO633" t="str">
            <v/>
          </cell>
          <cell r="AR633">
            <v>46160</v>
          </cell>
          <cell r="AW633" t="str">
            <v/>
          </cell>
          <cell r="AX633" t="str">
            <v/>
          </cell>
          <cell r="AZ633" t="str">
            <v/>
          </cell>
          <cell r="BA633" t="str">
            <v/>
          </cell>
          <cell r="BB633" t="str">
            <v/>
          </cell>
          <cell r="BC633" t="str">
            <v>PC0126-000000509</v>
          </cell>
        </row>
        <row r="634">
          <cell r="B634" t="str">
            <v>PC0126-000001004</v>
          </cell>
          <cell r="C634" t="str">
            <v>Jasa Assessment Electrical Trafo 35MVA SS2</v>
          </cell>
          <cell r="E634" t="str">
            <v/>
          </cell>
          <cell r="F634" t="str">
            <v/>
          </cell>
          <cell r="G634" t="str">
            <v/>
          </cell>
          <cell r="H634" t="str">
            <v>NAUFAL INAS FIKRI</v>
          </cell>
          <cell r="K634" t="str">
            <v>J</v>
          </cell>
          <cell r="L634" t="str">
            <v>BID</v>
          </cell>
          <cell r="N634" t="str">
            <v>RH</v>
          </cell>
          <cell r="O634" t="str">
            <v>robertiagus.haposan@alamtri.com</v>
          </cell>
          <cell r="P634">
            <v>8882.57</v>
          </cell>
          <cell r="Q634">
            <v>146562405</v>
          </cell>
          <cell r="R634" t="str">
            <v>CANCEL</v>
          </cell>
          <cell r="T634" t="str">
            <v>MSW</v>
          </cell>
          <cell r="W634" t="str">
            <v xml:space="preserve"> of </v>
          </cell>
          <cell r="X634" t="str">
            <v xml:space="preserve"> of </v>
          </cell>
          <cell r="Z634" t="str">
            <v/>
          </cell>
          <cell r="AC634" t="str">
            <v xml:space="preserve"> of </v>
          </cell>
          <cell r="AD634" t="str">
            <v xml:space="preserve"> of </v>
          </cell>
          <cell r="AF634" t="str">
            <v/>
          </cell>
          <cell r="AI634" t="str">
            <v xml:space="preserve"> of </v>
          </cell>
          <cell r="AJ634" t="str">
            <v xml:space="preserve"> of </v>
          </cell>
          <cell r="AL634" t="str">
            <v/>
          </cell>
          <cell r="AM634">
            <v>0.70833333333333304</v>
          </cell>
          <cell r="AO634" t="str">
            <v/>
          </cell>
          <cell r="AW634" t="str">
            <v/>
          </cell>
          <cell r="AX634" t="str">
            <v/>
          </cell>
          <cell r="AZ634" t="str">
            <v/>
          </cell>
          <cell r="BA634" t="str">
            <v/>
          </cell>
          <cell r="BB634" t="str">
            <v/>
          </cell>
          <cell r="BC634" t="str">
            <v>PC0126-000001004</v>
          </cell>
        </row>
        <row r="635">
          <cell r="B635" t="str">
            <v>PC0126-000000764</v>
          </cell>
          <cell r="C635" t="str">
            <v>Spare part Display Lift Sakura</v>
          </cell>
          <cell r="D635" t="str">
            <v>Sakura Elevator Indonesia Corp, PT</v>
          </cell>
          <cell r="E635" t="str">
            <v/>
          </cell>
          <cell r="F635" t="str">
            <v/>
          </cell>
          <cell r="G635" t="str">
            <v/>
          </cell>
          <cell r="H635" t="str">
            <v>DEDE SUDARJI</v>
          </cell>
          <cell r="I635">
            <v>46146</v>
          </cell>
          <cell r="J635" t="str">
            <v>6100DB402</v>
          </cell>
          <cell r="K635" t="str">
            <v>B</v>
          </cell>
          <cell r="L635" t="str">
            <v>IOM</v>
          </cell>
          <cell r="N635" t="str">
            <v>RH</v>
          </cell>
          <cell r="O635" t="str">
            <v>robertiagus.haposan@alamtri.com</v>
          </cell>
          <cell r="Q635">
            <v>30000000</v>
          </cell>
          <cell r="R635" t="str">
            <v>PO Sign Vendor</v>
          </cell>
          <cell r="T635" t="str">
            <v>MSW</v>
          </cell>
          <cell r="U635" t="str">
            <v>Sakura Elevator Indonesia Corp, PT</v>
          </cell>
          <cell r="W635" t="str">
            <v>1 of 1</v>
          </cell>
          <cell r="X635" t="str">
            <v xml:space="preserve"> of 1</v>
          </cell>
          <cell r="Y635">
            <v>46141</v>
          </cell>
          <cell r="Z635">
            <v>46148</v>
          </cell>
          <cell r="AC635" t="str">
            <v xml:space="preserve"> of </v>
          </cell>
          <cell r="AD635" t="str">
            <v xml:space="preserve"> of </v>
          </cell>
          <cell r="AF635" t="str">
            <v/>
          </cell>
          <cell r="AI635" t="str">
            <v xml:space="preserve"> of </v>
          </cell>
          <cell r="AJ635" t="str">
            <v xml:space="preserve"> of </v>
          </cell>
          <cell r="AL635" t="str">
            <v/>
          </cell>
          <cell r="AM635">
            <v>0.70833333333333304</v>
          </cell>
          <cell r="AN635" t="str">
            <v>Sakura Elevator Indonesia Corp, PT</v>
          </cell>
          <cell r="AO635" t="str">
            <v>indra.d.w.idw@gmail.com; sales1@sakuraelevator.co.id</v>
          </cell>
          <cell r="AP635" t="str">
            <v>6100-PC0626-00386</v>
          </cell>
          <cell r="AQ635">
            <v>25050000</v>
          </cell>
          <cell r="AT635">
            <v>46175</v>
          </cell>
          <cell r="AU635">
            <v>46199</v>
          </cell>
          <cell r="AV635">
            <v>46175</v>
          </cell>
          <cell r="AW635">
            <v>46199</v>
          </cell>
          <cell r="AX635">
            <v>3.4285714285714284</v>
          </cell>
          <cell r="AZ635" t="str">
            <v/>
          </cell>
          <cell r="BA635" t="str">
            <v/>
          </cell>
          <cell r="BB635" t="str">
            <v>Completed</v>
          </cell>
          <cell r="BC635" t="str">
            <v>PC0126-000000764</v>
          </cell>
        </row>
        <row r="636">
          <cell r="B636" t="str">
            <v>PC0126-000000743</v>
          </cell>
          <cell r="C636" t="str">
            <v>Spare Part Thermal Overload Relay for TAC</v>
          </cell>
          <cell r="E636" t="str">
            <v>Axel Jaya Cakraniaga, PT
Antares Jaya Gemilang Prima, PT
Alfa Teknik Mandiri Makmur, PT
Gema Industrial, PT
Perwira Sentra Officindo, PT
Gevana, PT
Viktori Profindo Automation, PT
Gading Mas Utama, PT
Putera Instrumenindo, PT
Sola Anugerah Oilfield, PT
Riyana Dinamika Mandiri, PT
Pacific Tractor Indonesia, PT
Trimitra Bangun Karyatama, PT
Lienetic Jaya, PT</v>
          </cell>
          <cell r="F636" t="str">
            <v>Axel Jaya Cakraniaga, PT
Antares Jaya Gemilang Prima, PT
Alfa Teknik Mandiri Makmur, PT
Perwira Sentra Officindo, PT
Gevana, PT
Viktori Profindo Automation, PT
Gading Mas Utama, PT
Sola Anugerah Oilfield, PT</v>
          </cell>
          <cell r="G636" t="str">
            <v>R0
8 of 14
28 Apr 26</v>
          </cell>
          <cell r="H636" t="str">
            <v>DEDE SUDARJI</v>
          </cell>
          <cell r="I636">
            <v>46133</v>
          </cell>
          <cell r="J636" t="str">
            <v>6100DB402</v>
          </cell>
          <cell r="K636" t="str">
            <v>B</v>
          </cell>
          <cell r="L636" t="str">
            <v>BID</v>
          </cell>
          <cell r="M636">
            <v>65</v>
          </cell>
          <cell r="N636" t="str">
            <v>RH</v>
          </cell>
          <cell r="O636" t="str">
            <v>robertiagus.haposan@alamtri.com</v>
          </cell>
          <cell r="P636">
            <v>1189.2</v>
          </cell>
          <cell r="Q636">
            <v>20216400</v>
          </cell>
          <cell r="R636" t="str">
            <v>Create PO</v>
          </cell>
          <cell r="T636" t="str">
            <v>MSW</v>
          </cell>
          <cell r="U636" t="str">
            <v>Axel Jaya Cakraniaga, PT
Antares Jaya Gemilang Prima, PT
Alfa Teknik Mandiri Makmur, PT
Gema Industrial, PT
Perwira Sentra Officindo, PT
Gevana, PT
Viktori Profindo Automation, PT
Gading Mas Utama, PT
Putera Instrumenindo, PT
Sola Anugerah Oilfield, PT
Riyana Dinamika Mandiri, PT
Pacific Tractor Indonesia, PT
Trimitra Bangun Karyatama, PT
Lienetic Jaya, PT</v>
          </cell>
          <cell r="V636" t="str">
            <v>Axel Jaya Cakraniaga, PT
Antares Jaya Gemilang Prima, PT
Alfa Teknik Mandiri Makmur, PT
Perwira Sentra Officindo, PT
Gevana, PT
Viktori Profindo Automation, PT
Gading Mas Utama, PT
Sola Anugerah Oilfield, PT</v>
          </cell>
          <cell r="W636" t="str">
            <v>14 of 14</v>
          </cell>
          <cell r="X636" t="str">
            <v>8 of 14</v>
          </cell>
          <cell r="Y636">
            <v>46133</v>
          </cell>
          <cell r="Z636">
            <v>46140</v>
          </cell>
          <cell r="AC636" t="str">
            <v xml:space="preserve"> of </v>
          </cell>
          <cell r="AD636" t="str">
            <v xml:space="preserve"> of </v>
          </cell>
          <cell r="AF636" t="str">
            <v/>
          </cell>
          <cell r="AI636" t="str">
            <v xml:space="preserve"> of </v>
          </cell>
          <cell r="AJ636" t="str">
            <v xml:space="preserve"> of </v>
          </cell>
          <cell r="AL636" t="str">
            <v/>
          </cell>
          <cell r="AM636">
            <v>0.70833333333333304</v>
          </cell>
          <cell r="AN636" t="str">
            <v>Viktori Profindo Automation, PT</v>
          </cell>
          <cell r="AO636" t="str">
            <v>wahyu@viktori-automation.com; sales@viktori-automation.com; retno@viktori-automation.com; dini@viktori-automation.com; admin@viktori-automation.com</v>
          </cell>
          <cell r="AP636" t="str">
            <v>6100-PC0626-00420</v>
          </cell>
          <cell r="AQ636">
            <v>16000000</v>
          </cell>
          <cell r="AR636">
            <v>46147</v>
          </cell>
          <cell r="AS636">
            <v>46168</v>
          </cell>
          <cell r="AT636">
            <v>46185</v>
          </cell>
          <cell r="AU636">
            <v>46297</v>
          </cell>
          <cell r="AV636">
            <v>46192</v>
          </cell>
          <cell r="AW636" t="str">
            <v/>
          </cell>
          <cell r="AX636" t="str">
            <v/>
          </cell>
          <cell r="AZ636" t="str">
            <v/>
          </cell>
          <cell r="BA636" t="str">
            <v/>
          </cell>
          <cell r="BB636" t="str">
            <v/>
          </cell>
          <cell r="BC636" t="str">
            <v>PC0126-000000743</v>
          </cell>
        </row>
        <row r="637">
          <cell r="B637" t="str">
            <v>PC0126-000000705</v>
          </cell>
          <cell r="C637" t="str">
            <v>Material untuk pemasangan oksigen</v>
          </cell>
          <cell r="D637" t="str">
            <v>Gema Industrial, PT - Line 1,2,5
Antares Jaya Gemilang Prima, PT - Line 3
Gevana, PT - Line 4
Putranata Adi Mandiri, PT - Line 7</v>
          </cell>
          <cell r="E637" t="str">
            <v>Gevana, PT
Nusafluid Solusi Utama, PT
Dwihasta Pirusa, PT
Gema Industrial, PT
Antares Jaya Gemilang Prima, PT
Mff Oilfield Services and Engineering, PT
Putera Instrumenindo, PT
Trimitra Bangun Karyatama, PT
Karya Energi Indonesia, PT
Greentek Elektrikal Indonesia, PT
Gridtech Indonesia, PT
Sola Anugerah Oilfield, PT
Total Solusi Instrument, PT
Stanindo Artha Langgeng, PT
Pacific Tractor Indonesia, PT</v>
          </cell>
          <cell r="F637" t="str">
            <v>Gevana, PT
Nusafluid Solusi Utama, PT
Mff Oilfield Services and Engineering, PT
Greentek Elektrikal Indonesia, PT
Sola Anugerah Oilfield, PT</v>
          </cell>
          <cell r="G637" t="str">
            <v>R0
5 of 15
27 Apr 26</v>
          </cell>
          <cell r="H637" t="str">
            <v>ZAINI YUSUF</v>
          </cell>
          <cell r="I637">
            <v>46099</v>
          </cell>
          <cell r="J637" t="str">
            <v>6100DB402</v>
          </cell>
          <cell r="K637" t="str">
            <v>B</v>
          </cell>
          <cell r="L637" t="str">
            <v>BID</v>
          </cell>
          <cell r="M637">
            <v>64</v>
          </cell>
          <cell r="N637" t="str">
            <v>RH</v>
          </cell>
          <cell r="O637" t="str">
            <v>robertiagus.haposan@alamtri.com</v>
          </cell>
          <cell r="P637">
            <v>1798.56</v>
          </cell>
          <cell r="Q637">
            <v>30575520</v>
          </cell>
          <cell r="R637" t="str">
            <v>Create PO</v>
          </cell>
          <cell r="S637" t="str">
            <v>Previous PR PC0125-000000954</v>
          </cell>
          <cell r="T637" t="str">
            <v>MSW</v>
          </cell>
          <cell r="U637" t="str">
            <v>Gevana, PT
Nusafluid Solusi Utama, PT
Dwihasta Pirusa, PT
Gema Industrial, PT
Antares Jaya Gemilang Prima, PT
Mff Oilfield Services and Engineering, PT
Putera Instrumenindo, PT
Trimitra Bangun Karyatama, PT
Karya Energi Indonesia, PT
Greentek Elektrikal Indonesia, PT
Gridtech Indonesia, PT
Sola Anugerah Oilfield, PT
Total Solusi Instrument, PT
Stanindo Artha Langgeng, PT
Pacific Tractor Indonesia, PT</v>
          </cell>
          <cell r="V637" t="str">
            <v>Gevana, PT
Nusafluid Solusi Utama, PT
Mff Oilfield Services and Engineering, PT
Greentek Elektrikal Indonesia, PT
Sola Anugerah Oilfield, PT</v>
          </cell>
          <cell r="W637" t="str">
            <v>15 of 15</v>
          </cell>
          <cell r="X637" t="str">
            <v>5 of 15</v>
          </cell>
          <cell r="Y637">
            <v>46132</v>
          </cell>
          <cell r="Z637">
            <v>46139</v>
          </cell>
          <cell r="AC637" t="str">
            <v xml:space="preserve"> of </v>
          </cell>
          <cell r="AD637" t="str">
            <v xml:space="preserve"> of </v>
          </cell>
          <cell r="AF637" t="str">
            <v/>
          </cell>
          <cell r="AI637" t="str">
            <v xml:space="preserve"> of </v>
          </cell>
          <cell r="AJ637" t="str">
            <v xml:space="preserve"> of </v>
          </cell>
          <cell r="AL637" t="str">
            <v/>
          </cell>
          <cell r="AM637">
            <v>0.70833333333333304</v>
          </cell>
          <cell r="AN637" t="str">
            <v>Mff Oilfield Services and Engineering, PT</v>
          </cell>
          <cell r="AO637" t="str">
            <v>sales.id@mff-oilfield.com; rauf.wanda@mff-oilfield.com</v>
          </cell>
          <cell r="AP637" t="str">
            <v>6100-PC0626-00400</v>
          </cell>
          <cell r="AQ637">
            <v>13605200</v>
          </cell>
          <cell r="AR637">
            <v>46140</v>
          </cell>
          <cell r="AS637">
            <v>46164</v>
          </cell>
          <cell r="AT637">
            <v>46181</v>
          </cell>
          <cell r="AU637">
            <v>46241</v>
          </cell>
          <cell r="AV637">
            <v>46183</v>
          </cell>
          <cell r="AW637" t="str">
            <v/>
          </cell>
          <cell r="AX637" t="str">
            <v/>
          </cell>
          <cell r="AZ637" t="str">
            <v/>
          </cell>
          <cell r="BA637" t="str">
            <v/>
          </cell>
          <cell r="BB637" t="str">
            <v/>
          </cell>
          <cell r="BC637" t="str">
            <v>PC0126-000000705</v>
          </cell>
        </row>
        <row r="638">
          <cell r="B638" t="str">
            <v>PC0126-000001203</v>
          </cell>
          <cell r="C638" t="str">
            <v>Jasa Belt Splicing dan lagging tahun 2026 – 2029</v>
          </cell>
          <cell r="E638" t="str">
            <v/>
          </cell>
          <cell r="F638" t="str">
            <v/>
          </cell>
          <cell r="G638" t="str">
            <v/>
          </cell>
          <cell r="H638" t="str">
            <v>RIZKY AGUSTINA</v>
          </cell>
          <cell r="I638">
            <v>46147</v>
          </cell>
          <cell r="J638" t="str">
            <v>6100DB401</v>
          </cell>
          <cell r="K638" t="str">
            <v>B &amp; J</v>
          </cell>
          <cell r="L638" t="str">
            <v>TDR</v>
          </cell>
          <cell r="M638" t="str">
            <v>TENDER</v>
          </cell>
          <cell r="N638" t="str">
            <v>RH</v>
          </cell>
          <cell r="O638" t="str">
            <v>robertiagus.haposan@alamtri.com</v>
          </cell>
          <cell r="P638">
            <v>272619</v>
          </cell>
          <cell r="Q638">
            <v>4634523000</v>
          </cell>
          <cell r="R638" t="str">
            <v>Searching Vendor</v>
          </cell>
          <cell r="S638" t="str">
            <v>Prakualifiaksi</v>
          </cell>
          <cell r="T638" t="str">
            <v>MSW</v>
          </cell>
          <cell r="U638" t="str">
            <v>Jakarta Prima Cranes, PT
Cominco Mitra Perkasa, PT
Suprabakti Mandiri, PT</v>
          </cell>
          <cell r="W638" t="str">
            <v>5 of 5</v>
          </cell>
          <cell r="X638" t="str">
            <v xml:space="preserve"> of 5</v>
          </cell>
          <cell r="Y638">
            <v>46135</v>
          </cell>
          <cell r="Z638">
            <v>46136</v>
          </cell>
          <cell r="AC638" t="str">
            <v xml:space="preserve"> of </v>
          </cell>
          <cell r="AD638" t="str">
            <v xml:space="preserve"> of </v>
          </cell>
          <cell r="AF638" t="str">
            <v/>
          </cell>
          <cell r="AI638" t="str">
            <v xml:space="preserve"> of </v>
          </cell>
          <cell r="AJ638" t="str">
            <v xml:space="preserve"> of </v>
          </cell>
          <cell r="AL638" t="str">
            <v/>
          </cell>
          <cell r="AM638">
            <v>0.70833333333333304</v>
          </cell>
          <cell r="AO638" t="str">
            <v/>
          </cell>
          <cell r="AW638" t="str">
            <v/>
          </cell>
          <cell r="AX638" t="str">
            <v/>
          </cell>
          <cell r="AZ638" t="str">
            <v/>
          </cell>
          <cell r="BA638" t="str">
            <v/>
          </cell>
          <cell r="BB638" t="str">
            <v/>
          </cell>
          <cell r="BC638" t="str">
            <v>PC0126-000001203</v>
          </cell>
        </row>
        <row r="639">
          <cell r="B639" t="str">
            <v>PC0126-000001187</v>
          </cell>
          <cell r="C639" t="str">
            <v>Rental Genset 1000 Kva</v>
          </cell>
          <cell r="E639" t="str">
            <v>Sumberdaya Sewatama, PT
Ricon Masinta Pratama, PT
Bima Kaltim Utama, PT</v>
          </cell>
          <cell r="F639" t="str">
            <v>Sumberdaya Sewatama, PT
Ricon Masinta Pratama, PT</v>
          </cell>
          <cell r="G639" t="str">
            <v>R2
2 of 3
13 May 26</v>
          </cell>
          <cell r="H639" t="str">
            <v>SLAMET</v>
          </cell>
          <cell r="J639" t="str">
            <v>6100DB432</v>
          </cell>
          <cell r="K639" t="str">
            <v>B &amp; J</v>
          </cell>
          <cell r="L639" t="str">
            <v>BID</v>
          </cell>
          <cell r="M639">
            <v>66</v>
          </cell>
          <cell r="N639" t="str">
            <v>RH</v>
          </cell>
          <cell r="O639" t="str">
            <v>robertiagus.haposan@alamtri.com</v>
          </cell>
          <cell r="P639">
            <v>17739.93</v>
          </cell>
          <cell r="Q639">
            <v>310448775</v>
          </cell>
          <cell r="R639" t="str">
            <v>CQS</v>
          </cell>
          <cell r="T639" t="str">
            <v>MSW</v>
          </cell>
          <cell r="U639" t="str">
            <v>Bima Kaltim Utama, PT
Gala Jaya (Banjarmasin), PT
Bina Pertiwi, PT
Borneo Power Services, PT
Traktor Nusantara, PT
Cipta Dua Power Frans Diesel, PT
Pacific Tractor Indonesia, PT
Sumberdaya Sewatama, PT
United Tractors, PT
Ricon Masinta Pratama, PT</v>
          </cell>
          <cell r="V639" t="str">
            <v>Sumberdaya Sewatama, PT
Ricon Masinta Pratama, PT</v>
          </cell>
          <cell r="W639" t="str">
            <v>10 of 10</v>
          </cell>
          <cell r="X639" t="str">
            <v>2 of 10</v>
          </cell>
          <cell r="Y639">
            <v>46134</v>
          </cell>
          <cell r="Z639">
            <v>46141</v>
          </cell>
          <cell r="AA639" t="str">
            <v>Sumberdaya Sewatama, PT
Ricon Masinta Pratama, PT
Borneo Power Services, PT
Bima Kaltim Utama, PT
Cipta Dua Power Frans Diesel, PT
Gala Jaya (Banjarmasin), PT</v>
          </cell>
          <cell r="AB639" t="str">
            <v>Sumberdaya Sewatama, PT
Ricon Masinta Pratama, PT</v>
          </cell>
          <cell r="AC639" t="str">
            <v>6 of 6</v>
          </cell>
          <cell r="AD639" t="str">
            <v>2 of 6</v>
          </cell>
          <cell r="AE639">
            <v>46147</v>
          </cell>
          <cell r="AF639">
            <v>46150</v>
          </cell>
          <cell r="AG639" t="str">
            <v>Sumberdaya Sewatama, PT
Ricon Masinta Pratama, PT
Bima Kaltim Utama, PT</v>
          </cell>
          <cell r="AH639" t="str">
            <v>Sumberdaya Sewatama, PT
Ricon Masinta Pratama, PT</v>
          </cell>
          <cell r="AI639" t="str">
            <v>3 of 3</v>
          </cell>
          <cell r="AJ639" t="str">
            <v>2 of 3</v>
          </cell>
          <cell r="AK639">
            <v>46153</v>
          </cell>
          <cell r="AL639">
            <v>46155</v>
          </cell>
          <cell r="AM639">
            <v>0.70833333333333304</v>
          </cell>
          <cell r="AN639" t="str">
            <v>Ricon Masinta Pratama, PT</v>
          </cell>
          <cell r="AO639" t="str">
            <v/>
          </cell>
          <cell r="AP639" t="str">
            <v>6100-PC0626-00453</v>
          </cell>
          <cell r="AQ639">
            <v>636000000</v>
          </cell>
          <cell r="AR639">
            <v>46160</v>
          </cell>
          <cell r="AS639">
            <v>46181</v>
          </cell>
          <cell r="AT639">
            <v>46196</v>
          </cell>
          <cell r="AU639">
            <v>46297</v>
          </cell>
          <cell r="AW639" t="str">
            <v/>
          </cell>
          <cell r="AX639" t="str">
            <v/>
          </cell>
          <cell r="AZ639" t="str">
            <v/>
          </cell>
          <cell r="BA639" t="str">
            <v/>
          </cell>
          <cell r="BB639" t="str">
            <v/>
          </cell>
          <cell r="BC639" t="str">
            <v>PC0126-000001187</v>
          </cell>
        </row>
        <row r="640">
          <cell r="B640" t="str">
            <v>PC0126-000001188</v>
          </cell>
          <cell r="C640" t="str">
            <v>General OVer Haul Tahap I DG 3G1</v>
          </cell>
          <cell r="D640" t="str">
            <v>Trakindo Utama, PT</v>
          </cell>
          <cell r="E640" t="str">
            <v>Trakindo Utama, PT</v>
          </cell>
          <cell r="F640" t="str">
            <v/>
          </cell>
          <cell r="G640" t="str">
            <v/>
          </cell>
          <cell r="H640" t="str">
            <v>SLAMET</v>
          </cell>
          <cell r="I640">
            <v>46133</v>
          </cell>
          <cell r="J640" t="str">
            <v>6100DB432</v>
          </cell>
          <cell r="K640" t="str">
            <v>B &amp; J</v>
          </cell>
          <cell r="L640" t="str">
            <v>CTR</v>
          </cell>
          <cell r="M640">
            <v>5</v>
          </cell>
          <cell r="N640" t="str">
            <v>RH</v>
          </cell>
          <cell r="O640" t="str">
            <v>robertiagus.haposan@alamtri.com</v>
          </cell>
          <cell r="P640">
            <v>15915.68</v>
          </cell>
          <cell r="Q640">
            <v>262608720</v>
          </cell>
          <cell r="R640" t="str">
            <v>Completed Sign PO Contract</v>
          </cell>
          <cell r="T640" t="str">
            <v>MSW</v>
          </cell>
          <cell r="U640" t="str">
            <v>Trakindo Utama, PT</v>
          </cell>
          <cell r="V640" t="str">
            <v>Trakindo Utama, PT</v>
          </cell>
          <cell r="W640" t="str">
            <v>1 of 1</v>
          </cell>
          <cell r="X640" t="str">
            <v>1 of 1</v>
          </cell>
          <cell r="Y640">
            <v>46133</v>
          </cell>
          <cell r="Z640">
            <v>46134</v>
          </cell>
          <cell r="AC640" t="str">
            <v xml:space="preserve"> of </v>
          </cell>
          <cell r="AD640" t="str">
            <v xml:space="preserve"> of </v>
          </cell>
          <cell r="AF640" t="str">
            <v/>
          </cell>
          <cell r="AI640" t="str">
            <v xml:space="preserve"> of </v>
          </cell>
          <cell r="AJ640" t="str">
            <v xml:space="preserve"> of </v>
          </cell>
          <cell r="AL640" t="str">
            <v/>
          </cell>
          <cell r="AM640">
            <v>0.70833333333333304</v>
          </cell>
          <cell r="AN640" t="str">
            <v>Trakindo Utama, PT</v>
          </cell>
          <cell r="AO640" t="str">
            <v>hjuniater.sidauruk@trakindo.co.id</v>
          </cell>
          <cell r="AP640" t="str">
            <v>6100-PC0626-00289</v>
          </cell>
          <cell r="AQ640">
            <v>243796650</v>
          </cell>
          <cell r="AT640">
            <v>46136</v>
          </cell>
          <cell r="AU640">
            <v>46178</v>
          </cell>
          <cell r="AV640">
            <v>46139</v>
          </cell>
          <cell r="AW640">
            <v>46181</v>
          </cell>
          <cell r="AX640">
            <v>6</v>
          </cell>
          <cell r="AZ640" t="str">
            <v/>
          </cell>
          <cell r="BA640" t="str">
            <v/>
          </cell>
          <cell r="BB640" t="str">
            <v>Completed</v>
          </cell>
          <cell r="BC640" t="str">
            <v>PC0126-000001188</v>
          </cell>
        </row>
        <row r="641">
          <cell r="B641" t="str">
            <v>PC0126-RTR 001</v>
          </cell>
          <cell r="C641" t="str">
            <v>Rental Trafo SS2 70kV-20kV 35 MVA</v>
          </cell>
          <cell r="E641" t="str">
            <v>Cipta Dua Power Frans Diesel, PT
Hitachi Sakti Energy Indonesia, PT
Borneo Power Services, PT
Gala Jaya (Banjarmasin), PT
Trafo Solusi Engineering, PT
Trafoindo Prima Perkasa, PT
Greentek Elektrikal Indonesia, PT
Gridtech Indonesia, PT
Triputra Electric Abadi, PT
Mff Oilfield Services and Engineering, PT
Lienetic Jaya, PT
Pacific Tractor Indonesia, PT</v>
          </cell>
          <cell r="F641" t="str">
            <v/>
          </cell>
          <cell r="G641" t="str">
            <v>R0
 of 12
28 Apr 26</v>
          </cell>
          <cell r="H641" t="str">
            <v>IFIT PRABOWO</v>
          </cell>
          <cell r="K641" t="str">
            <v>B &amp; J</v>
          </cell>
          <cell r="L641" t="str">
            <v>PRB</v>
          </cell>
          <cell r="N641" t="str">
            <v>RH</v>
          </cell>
          <cell r="O641" t="str">
            <v>robertiagus.haposan@alamtri.com</v>
          </cell>
          <cell r="Q641" t="str">
            <v/>
          </cell>
          <cell r="R641" t="str">
            <v>Rebid</v>
          </cell>
          <cell r="S641" t="str">
            <v>Request for Budgetary Proposal – Rental / Purchase Transformer 70/20 kV 35 MVA</v>
          </cell>
          <cell r="T641" t="str">
            <v>MSW</v>
          </cell>
          <cell r="U641" t="str">
            <v>Cipta Dua Power Frans Diesel, PT
Hitachi Sakti Energy Indonesia, PT
Borneo Power Services, PT
Gala Jaya (Banjarmasin), PT
Trafo Solusi Engineering, PT
Trafoindo Prima Perkasa, PT
Greentek Elektrikal Indonesia, PT
Gridtech Indonesia, PT
Triputra Electric Abadi, PT
Mff Oilfield Services and Engineering, PT
Lienetic Jaya, PT
Pacific Tractor Indonesia, PT</v>
          </cell>
          <cell r="W641" t="str">
            <v>12 of 12</v>
          </cell>
          <cell r="X641" t="str">
            <v xml:space="preserve"> of 12</v>
          </cell>
          <cell r="Y641">
            <v>46133</v>
          </cell>
          <cell r="Z641">
            <v>46140</v>
          </cell>
          <cell r="AC641" t="str">
            <v xml:space="preserve"> of </v>
          </cell>
          <cell r="AD641" t="str">
            <v xml:space="preserve"> of </v>
          </cell>
          <cell r="AF641" t="str">
            <v/>
          </cell>
          <cell r="AI641" t="str">
            <v xml:space="preserve"> of </v>
          </cell>
          <cell r="AJ641" t="str">
            <v xml:space="preserve"> of </v>
          </cell>
          <cell r="AL641" t="str">
            <v/>
          </cell>
          <cell r="AM641">
            <v>0.70833333333333304</v>
          </cell>
          <cell r="AO641" t="str">
            <v/>
          </cell>
          <cell r="AW641" t="str">
            <v/>
          </cell>
          <cell r="AX641" t="str">
            <v/>
          </cell>
          <cell r="AZ641" t="str">
            <v/>
          </cell>
          <cell r="BA641" t="str">
            <v/>
          </cell>
          <cell r="BB641" t="str">
            <v/>
          </cell>
          <cell r="BC641" t="str">
            <v>PC0126-RTR 001</v>
          </cell>
        </row>
        <row r="642">
          <cell r="B642" t="str">
            <v>PC0126-000001466 (Line 2)</v>
          </cell>
          <cell r="C642" t="str">
            <v>Sparepart Hardisk Pi System</v>
          </cell>
          <cell r="D642" t="str">
            <v>Aka Prima Komputindo, PT</v>
          </cell>
          <cell r="E642" t="str">
            <v>Aka Prima Komputindo, PT
Berkat Jaya Komputindo, PT
Perwira Sentra Officindo, PT
Anugrah Mandiri Putra Tabalong, PT
Haji Usnan Electric, CV
ALKS, CV
Axel Jaya Cakraniaga, PT</v>
          </cell>
          <cell r="F642" t="str">
            <v>Aka Prima Komputindo, PT
Berkat Jaya Komputindo, PT</v>
          </cell>
          <cell r="G642" t="str">
            <v>R2
2 of 7
05 Feb 26</v>
          </cell>
          <cell r="H642" t="str">
            <v>DEDE SUDARJI</v>
          </cell>
          <cell r="I642">
            <v>46135</v>
          </cell>
          <cell r="J642" t="str">
            <v>6100DB402</v>
          </cell>
          <cell r="K642" t="str">
            <v>B</v>
          </cell>
          <cell r="L642" t="str">
            <v>BID</v>
          </cell>
          <cell r="M642">
            <v>308</v>
          </cell>
          <cell r="N642" t="str">
            <v>RH</v>
          </cell>
          <cell r="O642" t="str">
            <v>robertiagus.haposan@alamtri.com</v>
          </cell>
          <cell r="Q642">
            <v>8000000</v>
          </cell>
          <cell r="R642" t="str">
            <v>Completed Sign PO</v>
          </cell>
          <cell r="S642" t="str">
            <v>Previous PR PC0125-000001042R2
Line 1 di CANCEL</v>
          </cell>
          <cell r="T642" t="str">
            <v>MSW</v>
          </cell>
          <cell r="U642" t="str">
            <v>Aka Prima Komputindo, PT
Berkat Jaya Komputindo, PT
Niaga Prima Paramitra, PT
Century, CV
Perwira Sentra Officindo, PT
Indo Tehnik Tanjung Tabalong, PT</v>
          </cell>
          <cell r="V642" t="str">
            <v>Aka Prima Komputindo, PT</v>
          </cell>
          <cell r="W642" t="str">
            <v>6 of 6</v>
          </cell>
          <cell r="X642" t="str">
            <v>1 of 6</v>
          </cell>
          <cell r="Y642">
            <v>45993</v>
          </cell>
          <cell r="Z642">
            <v>46000</v>
          </cell>
          <cell r="AA642" t="str">
            <v>Aka Prima Komputindo, PT
ALKS, CV
Berkat Jaya Komputindo, PT
Greentek Elektrikal Indonesia, PT
Gevana, PT
Radian Fokus Mandiri, CV</v>
          </cell>
          <cell r="AB642" t="str">
            <v>Aka Prima Komputindo, PT
Berkat Jaya Komputindo, PT</v>
          </cell>
          <cell r="AC642" t="str">
            <v>6 of 6</v>
          </cell>
          <cell r="AD642" t="str">
            <v>2 of 6</v>
          </cell>
          <cell r="AE642">
            <v>46020</v>
          </cell>
          <cell r="AF642">
            <v>46027</v>
          </cell>
          <cell r="AG642" t="str">
            <v>Aka Prima Komputindo, PT
Berkat Jaya Komputindo, PT
Perwira Sentra Officindo, PT
Anugrah Mandiri Putra Tabalong, PT
Haji Usnan Electric, CV
ALKS, CV
Axel Jaya Cakraniaga, PT</v>
          </cell>
          <cell r="AH642" t="str">
            <v>Aka Prima Komputindo, PT
Berkat Jaya Komputindo, PT</v>
          </cell>
          <cell r="AI642" t="str">
            <v>7 of 7</v>
          </cell>
          <cell r="AJ642" t="str">
            <v>2 of 7</v>
          </cell>
          <cell r="AK642">
            <v>46051</v>
          </cell>
          <cell r="AL642">
            <v>46058</v>
          </cell>
          <cell r="AM642">
            <v>0.70833333333333304</v>
          </cell>
          <cell r="AN642" t="str">
            <v>Berkat Jaya Komputindo, PT</v>
          </cell>
          <cell r="AO642" t="str">
            <v>berkat_jaya_komputindo@yahoo.co.id</v>
          </cell>
          <cell r="AP642" t="str">
            <v>6100-PC0626-00281</v>
          </cell>
          <cell r="AQ642">
            <v>6600000</v>
          </cell>
          <cell r="AR642">
            <v>46059</v>
          </cell>
          <cell r="AS642">
            <v>46121</v>
          </cell>
          <cell r="AT642">
            <v>46135</v>
          </cell>
          <cell r="AU642">
            <v>46150</v>
          </cell>
          <cell r="AV642">
            <v>46139</v>
          </cell>
          <cell r="AW642">
            <v>46154</v>
          </cell>
          <cell r="AX642">
            <v>2.1428571428571428</v>
          </cell>
          <cell r="AZ642" t="str">
            <v/>
          </cell>
          <cell r="BA642" t="str">
            <v/>
          </cell>
          <cell r="BB642" t="str">
            <v>Completed</v>
          </cell>
          <cell r="BC642" t="str">
            <v>PC0126-000001466</v>
          </cell>
        </row>
        <row r="643">
          <cell r="B643" t="str">
            <v>PC0126-000001394</v>
          </cell>
          <cell r="C643" t="str">
            <v>Project Optimus – KJPP to provide Land Appraisal report</v>
          </cell>
          <cell r="E643" t="str">
            <v/>
          </cell>
          <cell r="F643" t="str">
            <v/>
          </cell>
          <cell r="G643" t="str">
            <v/>
          </cell>
          <cell r="H643" t="str">
            <v>ARYO BASKORO</v>
          </cell>
          <cell r="I643">
            <v>46146</v>
          </cell>
          <cell r="J643" t="str">
            <v>6100DE720</v>
          </cell>
          <cell r="K643" t="str">
            <v>J</v>
          </cell>
          <cell r="L643" t="str">
            <v>IOM</v>
          </cell>
          <cell r="M643">
            <v>7</v>
          </cell>
          <cell r="N643" t="str">
            <v>RH</v>
          </cell>
          <cell r="O643" t="str">
            <v>robertiagus.haposan@alamtri.com</v>
          </cell>
          <cell r="P643">
            <v>15000</v>
          </cell>
          <cell r="Q643">
            <v>247500000</v>
          </cell>
          <cell r="R643" t="str">
            <v>Completed Sign PO</v>
          </cell>
          <cell r="T643" t="str">
            <v>MSW</v>
          </cell>
          <cell r="U643" t="str">
            <v>KJPP Anna</v>
          </cell>
          <cell r="V643" t="str">
            <v>KJPP Anna</v>
          </cell>
          <cell r="W643" t="str">
            <v>1 of 1</v>
          </cell>
          <cell r="X643" t="str">
            <v>1 of 1</v>
          </cell>
          <cell r="Y643">
            <v>46136</v>
          </cell>
          <cell r="Z643">
            <v>46139</v>
          </cell>
          <cell r="AC643" t="str">
            <v xml:space="preserve"> of </v>
          </cell>
          <cell r="AD643" t="str">
            <v xml:space="preserve"> of </v>
          </cell>
          <cell r="AF643" t="str">
            <v/>
          </cell>
          <cell r="AI643" t="str">
            <v xml:space="preserve"> of </v>
          </cell>
          <cell r="AJ643" t="str">
            <v xml:space="preserve"> of </v>
          </cell>
          <cell r="AL643" t="str">
            <v/>
          </cell>
          <cell r="AM643">
            <v>0.70833333333333304</v>
          </cell>
          <cell r="AN643" t="str">
            <v>KJPP Anna</v>
          </cell>
          <cell r="AO643" t="str">
            <v>anarekan.banjarmasin@gmail.com</v>
          </cell>
          <cell r="AP643" t="str">
            <v>6100-PC0626-00330</v>
          </cell>
          <cell r="AQ643">
            <v>170000000</v>
          </cell>
          <cell r="AT643">
            <v>46153</v>
          </cell>
          <cell r="AU643">
            <v>46185</v>
          </cell>
          <cell r="AV643">
            <v>46153</v>
          </cell>
          <cell r="AW643">
            <v>46185</v>
          </cell>
          <cell r="AX643">
            <v>4.5714285714285712</v>
          </cell>
          <cell r="AZ643" t="str">
            <v/>
          </cell>
          <cell r="BA643" t="str">
            <v/>
          </cell>
          <cell r="BB643" t="str">
            <v>Completed</v>
          </cell>
          <cell r="BC643" t="str">
            <v>PC0126-000001394</v>
          </cell>
        </row>
        <row r="644">
          <cell r="B644" t="str">
            <v>PC0126-000001412</v>
          </cell>
          <cell r="C644" t="str">
            <v>Spare part MOV AUMA Completed Set for PA &amp; SA Fan</v>
          </cell>
          <cell r="E644" t="str">
            <v>Carakamas Intialam, PT
Artam Borneo Automatika, PT
Outsourcindo, PT
Lotus Inti Pratama, PT
Putera Instrumenindo, PT
Gridtech Indonesia, PT</v>
          </cell>
          <cell r="F644" t="str">
            <v>Outsourcindo, PT</v>
          </cell>
          <cell r="G644" t="str">
            <v>R1
 of 6
04 Jun 26</v>
          </cell>
          <cell r="H644" t="str">
            <v>DEDE SUDARJI</v>
          </cell>
          <cell r="I644">
            <v>46141</v>
          </cell>
          <cell r="J644" t="str">
            <v>6100DB402</v>
          </cell>
          <cell r="K644" t="str">
            <v>B</v>
          </cell>
          <cell r="L644" t="str">
            <v>BID</v>
          </cell>
          <cell r="M644">
            <v>71</v>
          </cell>
          <cell r="N644" t="str">
            <v>RH</v>
          </cell>
          <cell r="O644" t="str">
            <v>robertiagus.haposan@alamtri.com</v>
          </cell>
          <cell r="Q644">
            <v>500000000</v>
          </cell>
          <cell r="R644" t="str">
            <v>RFQ</v>
          </cell>
          <cell r="T644" t="str">
            <v>MSW</v>
          </cell>
          <cell r="U644" t="str">
            <v>Carakamas Intialam, PT
Artam Borneo Automatika, PT
Total Solusi Instrument, PT
Gevana, PT
Sola Anugerah Oilfield, PT
Putera Instrumenindo, PT
Lotus Inti Pratama, PT
Mff Oilfield Services and Engineering, PT
Outsourcindo, PT
Adijaya Mitra Perkasa, PT
Borneo Maju Jaya, PT
Anugrah Mandiri Putra Tabalong, PT
Alfa Teknik Mandiri Makmur, PT</v>
          </cell>
          <cell r="V644" t="str">
            <v>Outsourcindo, PT</v>
          </cell>
          <cell r="W644" t="str">
            <v>13 of 13</v>
          </cell>
          <cell r="X644" t="str">
            <v>1 of 13</v>
          </cell>
          <cell r="Y644">
            <v>46141</v>
          </cell>
          <cell r="Z644">
            <v>46148</v>
          </cell>
          <cell r="AA644" t="str">
            <v>Carakamas Intialam, PT
Artam Borneo Automatika, PT
Outsourcindo, PT
Lotus Inti Pratama, PT
Putera Instrumenindo, PT
Gridtech Indonesia, PT</v>
          </cell>
          <cell r="AB644" t="str">
            <v>Artam Borneo Automatika, PT
Outsourcindo, PT</v>
          </cell>
          <cell r="AC644" t="str">
            <v>6 of 6</v>
          </cell>
          <cell r="AD644" t="str">
            <v xml:space="preserve"> of 6</v>
          </cell>
          <cell r="AE644">
            <v>46160</v>
          </cell>
          <cell r="AF644">
            <v>46177</v>
          </cell>
          <cell r="AG644" t="str">
            <v>Carakamas Intialam, PT
Artam Borneo Automatika, PT
Outsourcindo, PT
Lotus Inti Pratama, PT
Putera Instrumenindo, PT</v>
          </cell>
          <cell r="AI644" t="str">
            <v xml:space="preserve"> of </v>
          </cell>
          <cell r="AJ644" t="str">
            <v xml:space="preserve"> of </v>
          </cell>
          <cell r="AK644">
            <v>46190</v>
          </cell>
          <cell r="AL644" t="str">
            <v/>
          </cell>
          <cell r="AM644">
            <v>0.70833333333333304</v>
          </cell>
          <cell r="AO644" t="str">
            <v/>
          </cell>
          <cell r="AW644" t="str">
            <v/>
          </cell>
          <cell r="AX644" t="str">
            <v/>
          </cell>
          <cell r="AZ644" t="str">
            <v/>
          </cell>
          <cell r="BA644" t="str">
            <v/>
          </cell>
          <cell r="BB644" t="str">
            <v/>
          </cell>
          <cell r="BC644" t="str">
            <v>PC0126-000001412</v>
          </cell>
        </row>
        <row r="645">
          <cell r="B645" t="str">
            <v>PC0126-000001493</v>
          </cell>
          <cell r="C645" t="str">
            <v>Material Varistor 3G1</v>
          </cell>
          <cell r="D645" t="str">
            <v>Trakindo Utama, PT</v>
          </cell>
          <cell r="E645" t="str">
            <v>Trakindo Utama, PT</v>
          </cell>
          <cell r="F645" t="str">
            <v/>
          </cell>
          <cell r="G645" t="str">
            <v/>
          </cell>
          <cell r="H645" t="str">
            <v>NAUFAL INAS FIKRI</v>
          </cell>
          <cell r="I645">
            <v>46141</v>
          </cell>
          <cell r="J645" t="str">
            <v>6100DB431</v>
          </cell>
          <cell r="K645" t="str">
            <v>B</v>
          </cell>
          <cell r="L645" t="str">
            <v>CTR</v>
          </cell>
          <cell r="M645">
            <v>8</v>
          </cell>
          <cell r="N645" t="str">
            <v>RH</v>
          </cell>
          <cell r="O645" t="str">
            <v>robertiagus.haposan@alamtri.com</v>
          </cell>
          <cell r="Q645">
            <v>2079493</v>
          </cell>
          <cell r="R645" t="str">
            <v>Completed Sign PO Contract</v>
          </cell>
          <cell r="T645" t="str">
            <v>MSW</v>
          </cell>
          <cell r="U645" t="str">
            <v>Trakindo Utama, PT</v>
          </cell>
          <cell r="V645" t="str">
            <v>Trakindo Utama, PT</v>
          </cell>
          <cell r="W645" t="str">
            <v>1 of 1</v>
          </cell>
          <cell r="X645" t="str">
            <v>1 of 1</v>
          </cell>
          <cell r="Y645">
            <v>46141</v>
          </cell>
          <cell r="Z645">
            <v>46142</v>
          </cell>
          <cell r="AC645" t="str">
            <v xml:space="preserve"> of </v>
          </cell>
          <cell r="AD645" t="str">
            <v xml:space="preserve"> of </v>
          </cell>
          <cell r="AF645" t="str">
            <v/>
          </cell>
          <cell r="AI645" t="str">
            <v xml:space="preserve"> of </v>
          </cell>
          <cell r="AJ645" t="str">
            <v xml:space="preserve"> of </v>
          </cell>
          <cell r="AL645" t="str">
            <v/>
          </cell>
          <cell r="AM645">
            <v>0.70833333333333304</v>
          </cell>
          <cell r="AN645" t="str">
            <v>Trakindo Utama, PT</v>
          </cell>
          <cell r="AO645" t="str">
            <v>hjuniater.sidauruk@trakindo.co.id</v>
          </cell>
          <cell r="AP645" t="str">
            <v>6100-PC0626-00325</v>
          </cell>
          <cell r="AQ645">
            <v>2103815</v>
          </cell>
          <cell r="AT645">
            <v>46146</v>
          </cell>
          <cell r="AU645">
            <v>46178</v>
          </cell>
          <cell r="AV645">
            <v>46150</v>
          </cell>
          <cell r="AW645">
            <v>46182</v>
          </cell>
          <cell r="AX645">
            <v>4.5714285714285712</v>
          </cell>
          <cell r="AZ645" t="str">
            <v/>
          </cell>
          <cell r="BA645" t="str">
            <v/>
          </cell>
          <cell r="BB645" t="str">
            <v>Completed</v>
          </cell>
          <cell r="BC645" t="str">
            <v>PC0126-000001493</v>
          </cell>
        </row>
        <row r="646">
          <cell r="B646" t="str">
            <v>PC0126-000001330</v>
          </cell>
          <cell r="C646" t="str">
            <v>Penyediaan Jasa Service, Refurbish dan Rewinding Motor LV (Low Voltage)</v>
          </cell>
          <cell r="E646" t="str">
            <v>Jaya Listrik, CV
Daha Surya Persada, PT
Mesindo Tekninesia, PT
Zidan Putra Gemilang, PT
Uno Solusi Teknik, CV
Mulia Solusindo, PT</v>
          </cell>
          <cell r="F646" t="str">
            <v>Daha Surya Persada, PT
Zidan Putra Gemilang, PT
Mesindo Tekninesia, PT</v>
          </cell>
          <cell r="G646" t="str">
            <v>R1
 of 6
05 Jun 26</v>
          </cell>
          <cell r="H646" t="str">
            <v>ZAINI YUSUF</v>
          </cell>
          <cell r="I646">
            <v>46147</v>
          </cell>
          <cell r="J646" t="str">
            <v>6100DB402</v>
          </cell>
          <cell r="K646" t="str">
            <v>J</v>
          </cell>
          <cell r="L646" t="str">
            <v>BID</v>
          </cell>
          <cell r="M646">
            <v>77</v>
          </cell>
          <cell r="N646" t="str">
            <v>RH</v>
          </cell>
          <cell r="O646" t="str">
            <v>robertiagus.haposan@alamtri.com</v>
          </cell>
          <cell r="P646">
            <v>16607.63</v>
          </cell>
          <cell r="Q646">
            <v>274025895</v>
          </cell>
          <cell r="R646" t="str">
            <v>RFQ</v>
          </cell>
          <cell r="S646" t="str">
            <v>Proses bidding karena budget &lt; 1,5 M</v>
          </cell>
          <cell r="T646" t="str">
            <v>MSW</v>
          </cell>
          <cell r="U646" t="str">
            <v>Jaya Listrik, CV
Daha Surya Persada, PT
Amanda Sejahtera Abadi, PT
Zidan Putra Gemilang, PT
Uno Solusi Teknik, CV
Mulia Solusindo, PT
Mesindo Tekninesia, PT</v>
          </cell>
          <cell r="V646" t="str">
            <v>Daha Surya Persada, PT
Zidan Putra Gemilang, PT
Mesindo Tekninesia, PT</v>
          </cell>
          <cell r="W646" t="str">
            <v>7 of 7</v>
          </cell>
          <cell r="X646" t="str">
            <v>3 of 7</v>
          </cell>
          <cell r="Y646">
            <v>46154</v>
          </cell>
          <cell r="Z646">
            <v>46168</v>
          </cell>
          <cell r="AA646" t="str">
            <v>Jaya Listrik, CV
Daha Surya Persada, PT
Mesindo Tekninesia, PT
Zidan Putra Gemilang, PT
Uno Solusi Teknik, CV
Mulia Solusindo, PT</v>
          </cell>
          <cell r="AB646" t="str">
            <v>Jaya Listrik, CV
Daha Surya Persada, PT
Mesindo Tekninesia, PT
Mulia Solusindo, PT</v>
          </cell>
          <cell r="AC646" t="str">
            <v>6 of 6</v>
          </cell>
          <cell r="AD646" t="str">
            <v xml:space="preserve"> of 6</v>
          </cell>
          <cell r="AE646">
            <v>46176</v>
          </cell>
          <cell r="AF646">
            <v>46178</v>
          </cell>
          <cell r="AI646" t="str">
            <v xml:space="preserve"> of </v>
          </cell>
          <cell r="AJ646" t="str">
            <v xml:space="preserve"> of </v>
          </cell>
          <cell r="AL646" t="str">
            <v/>
          </cell>
          <cell r="AM646">
            <v>0.70833333333333304</v>
          </cell>
          <cell r="AO646" t="str">
            <v/>
          </cell>
          <cell r="AR646">
            <v>46171</v>
          </cell>
          <cell r="AW646" t="str">
            <v/>
          </cell>
          <cell r="AX646" t="str">
            <v/>
          </cell>
          <cell r="AZ646" t="str">
            <v/>
          </cell>
          <cell r="BA646" t="str">
            <v/>
          </cell>
          <cell r="BB646" t="str">
            <v/>
          </cell>
          <cell r="BC646" t="str">
            <v>PC0126-000001330</v>
          </cell>
        </row>
        <row r="647">
          <cell r="B647" t="str">
            <v>PC0126-000001482</v>
          </cell>
          <cell r="C647" t="str">
            <v>Operator Workstation Computer for Demin Plant</v>
          </cell>
          <cell r="D647" t="str">
            <v>Aka Prima Komputindo, PT</v>
          </cell>
          <cell r="E647" t="str">
            <v/>
          </cell>
          <cell r="F647" t="str">
            <v/>
          </cell>
          <cell r="G647" t="str">
            <v/>
          </cell>
          <cell r="H647" t="str">
            <v>DEDE SUDARJI</v>
          </cell>
          <cell r="J647" t="str">
            <v>6100DB402</v>
          </cell>
          <cell r="K647" t="str">
            <v>B</v>
          </cell>
          <cell r="L647" t="str">
            <v>BID</v>
          </cell>
          <cell r="N647" t="str">
            <v>RH</v>
          </cell>
          <cell r="O647" t="str">
            <v>robertiagus.haposan@alamtri.com</v>
          </cell>
          <cell r="Q647">
            <v>42000000</v>
          </cell>
          <cell r="R647" t="str">
            <v>CANCEL</v>
          </cell>
          <cell r="S647" t="str">
            <v>Previous PR PC0125-000001241</v>
          </cell>
          <cell r="T647" t="str">
            <v>MSW</v>
          </cell>
          <cell r="U647" t="str">
            <v>Aka Prima Komputindo, PT
ALKS, CV
Niaga Prima Paramitra, PT
Alfa Teknik Mandiri Makmur, PT
Afghan Jaya Abadi, PT
Perwira Sentra Officindo, PT
Gevana, PT
Anugrah Mandiri Putra Tabalong, PT
Vhipa Mulia Pratama, PT
Sola Anugerah Oilfield, PT</v>
          </cell>
          <cell r="V647" t="str">
            <v>Aka Prima Komputindo, PT
Alfa Teknik Mandiri Makmur, PT
Gevana, PT</v>
          </cell>
          <cell r="W647" t="str">
            <v>10 of 10</v>
          </cell>
          <cell r="X647" t="str">
            <v>3 of 10</v>
          </cell>
          <cell r="Y647">
            <v>46031</v>
          </cell>
          <cell r="Z647">
            <v>46038</v>
          </cell>
          <cell r="AC647" t="str">
            <v xml:space="preserve"> of </v>
          </cell>
          <cell r="AD647" t="str">
            <v xml:space="preserve"> of </v>
          </cell>
          <cell r="AF647" t="str">
            <v/>
          </cell>
          <cell r="AI647" t="str">
            <v xml:space="preserve"> of </v>
          </cell>
          <cell r="AJ647" t="str">
            <v xml:space="preserve"> of </v>
          </cell>
          <cell r="AL647" t="str">
            <v/>
          </cell>
          <cell r="AM647">
            <v>0.70833333333333304</v>
          </cell>
          <cell r="AO647" t="str">
            <v/>
          </cell>
          <cell r="AR647">
            <v>46045</v>
          </cell>
          <cell r="AS647">
            <v>46091</v>
          </cell>
          <cell r="AW647" t="str">
            <v/>
          </cell>
          <cell r="AX647" t="str">
            <v/>
          </cell>
          <cell r="AZ647" t="str">
            <v/>
          </cell>
          <cell r="BA647" t="str">
            <v/>
          </cell>
          <cell r="BB647" t="str">
            <v/>
          </cell>
          <cell r="BC647" t="str">
            <v>PC0126-000001482</v>
          </cell>
        </row>
        <row r="648">
          <cell r="B648" t="str">
            <v>PC0126-000001436</v>
          </cell>
          <cell r="C648" t="str">
            <v>Jasa dan Material Perbaikan 3G4</v>
          </cell>
          <cell r="D648" t="str">
            <v>Trakindo Utama, PT</v>
          </cell>
          <cell r="E648" t="str">
            <v>Trakindo Utama, PT</v>
          </cell>
          <cell r="F648" t="str">
            <v/>
          </cell>
          <cell r="G648" t="str">
            <v/>
          </cell>
          <cell r="H648" t="str">
            <v>NAUFAL INAS FIKRI</v>
          </cell>
          <cell r="I648">
            <v>46136</v>
          </cell>
          <cell r="J648" t="str">
            <v>6100DB432</v>
          </cell>
          <cell r="K648" t="str">
            <v>B &amp; J</v>
          </cell>
          <cell r="L648" t="str">
            <v>CTR</v>
          </cell>
          <cell r="M648">
            <v>6</v>
          </cell>
          <cell r="N648" t="str">
            <v>RH</v>
          </cell>
          <cell r="O648" t="str">
            <v>robertiagus.haposan@alamtri.com</v>
          </cell>
          <cell r="P648">
            <v>1351.51</v>
          </cell>
          <cell r="Q648">
            <v>22299915</v>
          </cell>
          <cell r="R648" t="str">
            <v>Completed Sign PO Contract</v>
          </cell>
          <cell r="T648" t="str">
            <v>MSW</v>
          </cell>
          <cell r="U648" t="str">
            <v>Trakindo Utama, PT</v>
          </cell>
          <cell r="V648" t="str">
            <v>Trakindo Utama, PT</v>
          </cell>
          <cell r="W648" t="str">
            <v>1 of 1</v>
          </cell>
          <cell r="X648" t="str">
            <v>1 of 1</v>
          </cell>
          <cell r="Y648">
            <v>46136</v>
          </cell>
          <cell r="Z648">
            <v>46139</v>
          </cell>
          <cell r="AC648" t="str">
            <v xml:space="preserve"> of </v>
          </cell>
          <cell r="AD648" t="str">
            <v xml:space="preserve"> of </v>
          </cell>
          <cell r="AF648" t="str">
            <v/>
          </cell>
          <cell r="AI648" t="str">
            <v xml:space="preserve"> of </v>
          </cell>
          <cell r="AJ648" t="str">
            <v xml:space="preserve"> of </v>
          </cell>
          <cell r="AL648" t="str">
            <v/>
          </cell>
          <cell r="AM648">
            <v>0.70833333333333304</v>
          </cell>
          <cell r="AN648" t="str">
            <v>Trakindo Utama, PT</v>
          </cell>
          <cell r="AO648" t="str">
            <v>hjuniater.sidauruk@trakindo.co.id</v>
          </cell>
          <cell r="AP648" t="str">
            <v>6100-PC0626-00296</v>
          </cell>
          <cell r="AQ648">
            <v>23066163</v>
          </cell>
          <cell r="AT648">
            <v>46136</v>
          </cell>
          <cell r="AU648">
            <v>46178</v>
          </cell>
          <cell r="AV648">
            <v>46146</v>
          </cell>
          <cell r="AW648">
            <v>46188</v>
          </cell>
          <cell r="AX648">
            <v>6</v>
          </cell>
          <cell r="AZ648" t="str">
            <v/>
          </cell>
          <cell r="BA648" t="str">
            <v/>
          </cell>
          <cell r="BB648" t="str">
            <v>Completed</v>
          </cell>
          <cell r="BC648" t="str">
            <v>PC0126-000001436</v>
          </cell>
        </row>
        <row r="649">
          <cell r="B649" t="str">
            <v>PC0126-000001520</v>
          </cell>
          <cell r="C649" t="str">
            <v>Validasi dan Verifikasi Laporan GRK MSW</v>
          </cell>
          <cell r="E649" t="str">
            <v>Sucofindo, PT
TUV SUD Indonesia, PT
Surveyor Indonesia, PT
Carsurin, PT
Mutu Agung Lestari, PT
TUV Rheinland Indonesia, PT</v>
          </cell>
          <cell r="F649" t="str">
            <v>Surveyor Indonesia, PT
Carsurin, PT
Mutu Agung Lestari, PT
TUV Rheinland Indonesia, PT</v>
          </cell>
          <cell r="G649" t="str">
            <v>R0
4 of 6
11 May 26</v>
          </cell>
          <cell r="H649" t="str">
            <v>ARYO BASKORO</v>
          </cell>
          <cell r="I649">
            <v>46146</v>
          </cell>
          <cell r="J649" t="str">
            <v>6100DE720</v>
          </cell>
          <cell r="K649" t="str">
            <v>J</v>
          </cell>
          <cell r="L649" t="str">
            <v>BID</v>
          </cell>
          <cell r="M649">
            <v>72</v>
          </cell>
          <cell r="N649" t="str">
            <v>RH</v>
          </cell>
          <cell r="O649" t="str">
            <v>robertiagus.haposan@alamtri.com</v>
          </cell>
          <cell r="P649">
            <v>12000</v>
          </cell>
          <cell r="Q649">
            <v>204000000</v>
          </cell>
          <cell r="R649" t="str">
            <v>PO Sign Vendor</v>
          </cell>
          <cell r="T649" t="str">
            <v>MSW</v>
          </cell>
          <cell r="U649" t="str">
            <v>Sucofindo, PT
TUV SUD Indonesia, PT
Surveyor Indonesia, PT
Carsurin, PT
Mutu Agung Lestari, PT
TUV Rheinland Indonesia, PT</v>
          </cell>
          <cell r="V649" t="str">
            <v>Surveyor Indonesia, PT
Carsurin, PT
Mutu Agung Lestari, PT
TUV Rheinland Indonesia, PT</v>
          </cell>
          <cell r="W649" t="str">
            <v>6 of 6</v>
          </cell>
          <cell r="X649" t="str">
            <v>4 of 6</v>
          </cell>
          <cell r="Y649">
            <v>46146</v>
          </cell>
          <cell r="Z649">
            <v>46153</v>
          </cell>
          <cell r="AC649" t="str">
            <v xml:space="preserve"> of </v>
          </cell>
          <cell r="AD649" t="str">
            <v xml:space="preserve"> of </v>
          </cell>
          <cell r="AF649" t="str">
            <v/>
          </cell>
          <cell r="AI649" t="str">
            <v xml:space="preserve"> of </v>
          </cell>
          <cell r="AJ649" t="str">
            <v xml:space="preserve"> of </v>
          </cell>
          <cell r="AL649" t="str">
            <v/>
          </cell>
          <cell r="AM649">
            <v>0.70833333333333304</v>
          </cell>
          <cell r="AN649" t="str">
            <v>Carsurin, PT</v>
          </cell>
          <cell r="AO649" t="str">
            <v>sales.coal12@carsurin.com; info@carsurin.com; kastalani@carsurin.com; irwin.pardosi@carsurin.com; horegional1@carsurin.com</v>
          </cell>
          <cell r="AP649" t="str">
            <v>6100-PC0626-00365</v>
          </cell>
          <cell r="AQ649">
            <v>93750000</v>
          </cell>
          <cell r="AR649">
            <v>46154</v>
          </cell>
          <cell r="AS649">
            <v>46161</v>
          </cell>
          <cell r="AT649">
            <v>46164</v>
          </cell>
          <cell r="AU649">
            <v>46185</v>
          </cell>
          <cell r="AV649">
            <v>46168</v>
          </cell>
          <cell r="AW649">
            <v>46189</v>
          </cell>
          <cell r="AX649">
            <v>3</v>
          </cell>
          <cell r="AZ649" t="str">
            <v/>
          </cell>
          <cell r="BA649" t="str">
            <v/>
          </cell>
          <cell r="BB649" t="str">
            <v>Completed</v>
          </cell>
          <cell r="BC649" t="str">
            <v>PC0126-000001520</v>
          </cell>
        </row>
        <row r="650">
          <cell r="B650" t="str">
            <v>PC0126-000000531 (Line 7-8)</v>
          </cell>
          <cell r="C650" t="str">
            <v>Spare Part Repair Kit Pneumatic</v>
          </cell>
          <cell r="D650" t="str">
            <v>Alfa Teknik Mandiri Makmur, PT - Line 2
Kin Kitra Kencana, PT - Line 3,4
Solusi Cita Mandala, PT - Line 5
Rande Buana Teknik, PT - Line 6
Festo, PT - Line 7
Invaltech System Indonesia, PT - Line 8</v>
          </cell>
          <cell r="E650" t="str">
            <v>Casa Terra Mandiri Indonesia, PT
Invaltech System Indonesia, PT
Forbes Marshall Indonesia, PT
Solusi Cita Mandala, PT
Berkat Pratama Teknik, CV
Kin Kitra Kencana, PT
Rande Buana Teknik, PT
Alfa Teknik Mandiri Makmur, PT
Lienetic Jaya, PT
Multitech Industrial Indonesia, PT
Antares Jaya Gemilang Prima, PT
Adijaya Mitra Perkasa, PT</v>
          </cell>
          <cell r="F650" t="str">
            <v>Casa Terra Mandiri Indonesia, PT
Invaltech System Indonesia, PT
Solusi Cita Mandala, PT
Kin Kitra Kencana, PT
Alfa Teknik Mandiri Makmur, PT
Antares Jaya Gemilang Prima, PT</v>
          </cell>
          <cell r="G650" t="str">
            <v>R0
6 of 12
27 Feb 26</v>
          </cell>
          <cell r="H650" t="str">
            <v>DEDE SUDARJI</v>
          </cell>
          <cell r="I650">
            <v>46073</v>
          </cell>
          <cell r="J650" t="str">
            <v>6100DB402</v>
          </cell>
          <cell r="K650" t="str">
            <v>B</v>
          </cell>
          <cell r="L650" t="str">
            <v>BID</v>
          </cell>
          <cell r="M650">
            <v>37</v>
          </cell>
          <cell r="N650" t="str">
            <v>RH</v>
          </cell>
          <cell r="O650" t="str">
            <v>robertiagus.haposan@alamtri.com</v>
          </cell>
          <cell r="P650">
            <v>10253.129999999999</v>
          </cell>
          <cell r="Q650">
            <v>169176645</v>
          </cell>
          <cell r="R650" t="str">
            <v>Completed Sign PO</v>
          </cell>
          <cell r="S650" t="str">
            <v>Previous PR PC0125-000000940</v>
          </cell>
          <cell r="T650" t="str">
            <v>MSW</v>
          </cell>
          <cell r="U650" t="str">
            <v>Casa Terra Mandiri Indonesia, PT
Invaltech System Indonesia, PT
Forbes Marshall Indonesia, PT
Solusi Cita Mandala, PT
Berkat Pratama Teknik, CV
Kin Kitra Kencana, PT
Rande Buana Teknik, PT
Alfa Teknik Mandiri Makmur, PT
Lienetic Jaya, PT
Multitech Industrial Indonesia, PT
Antares Jaya Gemilang Prima, PT
Adijaya Mitra Perkasa, PT</v>
          </cell>
          <cell r="V650" t="str">
            <v>Casa Terra Mandiri Indonesia, PT
Invaltech System Indonesia, PT
Solusi Cita Mandala, PT
Kin Kitra Kencana, PT
Alfa Teknik Mandiri Makmur, PT
Antares Jaya Gemilang Prima, PT</v>
          </cell>
          <cell r="W650" t="str">
            <v>12 of 12</v>
          </cell>
          <cell r="X650" t="str">
            <v>6 of 12</v>
          </cell>
          <cell r="Y650">
            <v>46073</v>
          </cell>
          <cell r="Z650">
            <v>46080</v>
          </cell>
          <cell r="AC650" t="str">
            <v xml:space="preserve"> of </v>
          </cell>
          <cell r="AD650" t="str">
            <v xml:space="preserve"> of </v>
          </cell>
          <cell r="AF650" t="str">
            <v/>
          </cell>
          <cell r="AI650" t="str">
            <v xml:space="preserve"> of </v>
          </cell>
          <cell r="AJ650" t="str">
            <v xml:space="preserve"> of </v>
          </cell>
          <cell r="AL650" t="str">
            <v/>
          </cell>
          <cell r="AM650">
            <v>0.70833333333333304</v>
          </cell>
          <cell r="AN650" t="str">
            <v>Casa Terra Mandiri Indonesia, PT</v>
          </cell>
          <cell r="AO650" t="str">
            <v>contactus.casa@gmail.com</v>
          </cell>
          <cell r="AP650" t="str">
            <v>6100-PC0626-00283</v>
          </cell>
          <cell r="AQ650">
            <v>12503900</v>
          </cell>
          <cell r="AR650">
            <v>46091</v>
          </cell>
          <cell r="AS650">
            <v>46135</v>
          </cell>
          <cell r="AT650">
            <v>46135</v>
          </cell>
          <cell r="AU650">
            <v>46178</v>
          </cell>
          <cell r="AV650">
            <v>46139</v>
          </cell>
          <cell r="AW650">
            <v>46182</v>
          </cell>
          <cell r="AX650">
            <v>6.1428571428571432</v>
          </cell>
          <cell r="AZ650" t="str">
            <v/>
          </cell>
          <cell r="BA650" t="str">
            <v/>
          </cell>
          <cell r="BB650" t="str">
            <v>Late Completed</v>
          </cell>
          <cell r="BC650" t="str">
            <v>PC0126-000000531</v>
          </cell>
        </row>
        <row r="651">
          <cell r="B651" t="str">
            <v>PC0126-000000531 (Line 5)</v>
          </cell>
          <cell r="C651" t="str">
            <v>Spare Part Repair Kit Pneumatic</v>
          </cell>
          <cell r="D651" t="str">
            <v>Alfa Teknik Mandiri Makmur, PT - Line 2
Kin Kitra Kencana, PT - Line 3,4
Solusi Cita Mandala, PT - Line 5
Rande Buana Teknik, PT - Line 6
Festo, PT - Line 7
Invaltech System Indonesia, PT - Line 8</v>
          </cell>
          <cell r="E651" t="str">
            <v>Casa Terra Mandiri Indonesia, PT
Invaltech System Indonesia, PT
Forbes Marshall Indonesia, PT
Solusi Cita Mandala, PT
Berkat Pratama Teknik, CV
Kin Kitra Kencana, PT
Rande Buana Teknik, PT
Alfa Teknik Mandiri Makmur, PT
Lienetic Jaya, PT
Multitech Industrial Indonesia, PT
Antares Jaya Gemilang Prima, PT
Adijaya Mitra Perkasa, PT</v>
          </cell>
          <cell r="F651" t="str">
            <v>Casa Terra Mandiri Indonesia, PT
Invaltech System Indonesia, PT
Solusi Cita Mandala, PT
Kin Kitra Kencana, PT
Alfa Teknik Mandiri Makmur, PT
Antares Jaya Gemilang Prima, PT</v>
          </cell>
          <cell r="G651" t="str">
            <v>R0
6 of 12
27 Feb 26</v>
          </cell>
          <cell r="H651" t="str">
            <v>DEDE SUDARJI</v>
          </cell>
          <cell r="I651">
            <v>46073</v>
          </cell>
          <cell r="J651" t="str">
            <v>6100DB402</v>
          </cell>
          <cell r="K651" t="str">
            <v>B</v>
          </cell>
          <cell r="L651" t="str">
            <v>BID</v>
          </cell>
          <cell r="M651">
            <v>37</v>
          </cell>
          <cell r="N651" t="str">
            <v>RH</v>
          </cell>
          <cell r="O651" t="str">
            <v>robertiagus.haposan@alamtri.com</v>
          </cell>
          <cell r="P651">
            <v>10253.129999999999</v>
          </cell>
          <cell r="Q651">
            <v>169176645</v>
          </cell>
          <cell r="R651" t="str">
            <v>Completed Sign PO</v>
          </cell>
          <cell r="S651" t="str">
            <v>Previous PR PC0125-000000940</v>
          </cell>
          <cell r="T651" t="str">
            <v>MSW</v>
          </cell>
          <cell r="U651" t="str">
            <v>Casa Terra Mandiri Indonesia, PT
Invaltech System Indonesia, PT
Forbes Marshall Indonesia, PT
Solusi Cita Mandala, PT
Berkat Pratama Teknik, CV
Kin Kitra Kencana, PT
Rande Buana Teknik, PT
Alfa Teknik Mandiri Makmur, PT
Lienetic Jaya, PT
Multitech Industrial Indonesia, PT
Antares Jaya Gemilang Prima, PT
Adijaya Mitra Perkasa, PT</v>
          </cell>
          <cell r="V651" t="str">
            <v>Casa Terra Mandiri Indonesia, PT
Invaltech System Indonesia, PT
Solusi Cita Mandala, PT
Kin Kitra Kencana, PT
Alfa Teknik Mandiri Makmur, PT
Antares Jaya Gemilang Prima, PT</v>
          </cell>
          <cell r="W651" t="str">
            <v>12 of 12</v>
          </cell>
          <cell r="X651" t="str">
            <v>6 of 12</v>
          </cell>
          <cell r="Y651">
            <v>46073</v>
          </cell>
          <cell r="Z651">
            <v>46080</v>
          </cell>
          <cell r="AC651" t="str">
            <v xml:space="preserve"> of </v>
          </cell>
          <cell r="AD651" t="str">
            <v xml:space="preserve"> of </v>
          </cell>
          <cell r="AF651" t="str">
            <v/>
          </cell>
          <cell r="AI651" t="str">
            <v xml:space="preserve"> of </v>
          </cell>
          <cell r="AJ651" t="str">
            <v xml:space="preserve"> of </v>
          </cell>
          <cell r="AL651" t="str">
            <v/>
          </cell>
          <cell r="AM651">
            <v>0.70833333333333304</v>
          </cell>
          <cell r="AN651" t="str">
            <v>Solusi Cita Mandala, PT</v>
          </cell>
          <cell r="AO651" t="str">
            <v>chandra.halim@ptscm.id; sales@ptscm.id; dewi.arya@ptscm.id</v>
          </cell>
          <cell r="AP651" t="str">
            <v>6100-PC0626-00282</v>
          </cell>
          <cell r="AQ651">
            <v>1895000</v>
          </cell>
          <cell r="AR651">
            <v>46091</v>
          </cell>
          <cell r="AS651">
            <v>46135</v>
          </cell>
          <cell r="AT651">
            <v>46135</v>
          </cell>
          <cell r="AU651">
            <v>46178</v>
          </cell>
          <cell r="AV651">
            <v>46139</v>
          </cell>
          <cell r="AW651">
            <v>46182</v>
          </cell>
          <cell r="AX651">
            <v>6.1428571428571432</v>
          </cell>
          <cell r="AZ651" t="str">
            <v/>
          </cell>
          <cell r="BA651" t="str">
            <v/>
          </cell>
          <cell r="BB651" t="str">
            <v>Late Completed</v>
          </cell>
          <cell r="BC651" t="str">
            <v>PC0126-000000531</v>
          </cell>
        </row>
        <row r="652">
          <cell r="B652" t="str">
            <v>PC0126-000001565</v>
          </cell>
          <cell r="C652" t="str">
            <v>Over Haul DG Perkins 80 Kva</v>
          </cell>
          <cell r="E652" t="str">
            <v>Bima Kaltim Utama, PT
Xservice, CV
Gala Jaya (Banjarmasin), PT
Taman Baru, PT
Pola Proserve Engineering, PT</v>
          </cell>
          <cell r="F652" t="str">
            <v>Bima Kaltim Utama, PT
Xservice, CV
Gala Jaya (Banjarmasin), PT</v>
          </cell>
          <cell r="G652" t="str">
            <v>R1
3 of 5
19 Mar 26</v>
          </cell>
          <cell r="H652" t="str">
            <v>SLAMET</v>
          </cell>
          <cell r="I652">
            <v>46140</v>
          </cell>
          <cell r="J652" t="str">
            <v>6100DB431</v>
          </cell>
          <cell r="K652" t="str">
            <v>B &amp; J</v>
          </cell>
          <cell r="L652" t="str">
            <v>BID</v>
          </cell>
          <cell r="M652">
            <v>38</v>
          </cell>
          <cell r="N652" t="str">
            <v>RH</v>
          </cell>
          <cell r="O652" t="str">
            <v>robertiagus.haposan@alamtri.com</v>
          </cell>
          <cell r="Q652">
            <v>131000000</v>
          </cell>
          <cell r="R652" t="str">
            <v>Completed Sign PO</v>
          </cell>
          <cell r="S652" t="str">
            <v>Refer to CQS PC0126-000000056R1</v>
          </cell>
          <cell r="T652" t="str">
            <v>MSW</v>
          </cell>
          <cell r="U652" t="str">
            <v>Bima Kaltim Utama, PT
Blessindo Prima Sarana, PT
Xservice, CV
Jaya Induksi Elektrik, PT
ODG Nusantara Jaya, PT
Gala Jaya (Banjarmasin), PT
Cipta Dua Power Frans Diesel, PT
Wiratama Sistem Integrasi, PT</v>
          </cell>
          <cell r="V652" t="str">
            <v>Xservice, CV
Gala Jaya (Banjarmasin), PT</v>
          </cell>
          <cell r="W652" t="str">
            <v>8 of 8</v>
          </cell>
          <cell r="X652" t="str">
            <v>2 of 8</v>
          </cell>
          <cell r="Y652">
            <v>46076</v>
          </cell>
          <cell r="Z652">
            <v>46083</v>
          </cell>
          <cell r="AA652" t="str">
            <v>Bima Kaltim Utama, PT
Xservice, CV
Gala Jaya (Banjarmasin), PT
Taman Baru, PT
Pola Proserve Engineering, PT</v>
          </cell>
          <cell r="AB652" t="str">
            <v>Bima Kaltim Utama, PT
Xservice, CV
Gala Jaya (Banjarmasin), PT</v>
          </cell>
          <cell r="AC652" t="str">
            <v>5 of 5</v>
          </cell>
          <cell r="AD652" t="str">
            <v>3 of 5</v>
          </cell>
          <cell r="AE652">
            <v>46093</v>
          </cell>
          <cell r="AF652">
            <v>46100</v>
          </cell>
          <cell r="AI652" t="str">
            <v xml:space="preserve"> of </v>
          </cell>
          <cell r="AJ652" t="str">
            <v xml:space="preserve"> of </v>
          </cell>
          <cell r="AL652" t="str">
            <v/>
          </cell>
          <cell r="AM652">
            <v>0.70833333333333304</v>
          </cell>
          <cell r="AN652" t="str">
            <v>Xservice, CV</v>
          </cell>
          <cell r="AO652" t="str">
            <v>xservic3@gmail.com</v>
          </cell>
          <cell r="AP652" t="str">
            <v>6100-PC0626-00306</v>
          </cell>
          <cell r="AQ652">
            <v>130277000</v>
          </cell>
          <cell r="AR652">
            <v>46120</v>
          </cell>
          <cell r="AS652">
            <v>46134</v>
          </cell>
          <cell r="AT652">
            <v>46147</v>
          </cell>
          <cell r="AU652">
            <v>46163</v>
          </cell>
          <cell r="AV652">
            <v>46150</v>
          </cell>
          <cell r="AW652">
            <v>46166</v>
          </cell>
          <cell r="AX652">
            <v>2.2857142857142856</v>
          </cell>
          <cell r="AZ652" t="str">
            <v/>
          </cell>
          <cell r="BA652" t="str">
            <v/>
          </cell>
          <cell r="BB652" t="str">
            <v>Completed</v>
          </cell>
          <cell r="BC652" t="str">
            <v>PC0126-000001565</v>
          </cell>
        </row>
        <row r="653">
          <cell r="B653" t="str">
            <v>PC0126-000001517</v>
          </cell>
          <cell r="C653" t="str">
            <v>pembelian Varistor CAT 3516</v>
          </cell>
          <cell r="D653" t="str">
            <v>Trakindo Utama, PT</v>
          </cell>
          <cell r="E653" t="str">
            <v>Trakindo Utama, PT</v>
          </cell>
          <cell r="F653" t="str">
            <v/>
          </cell>
          <cell r="G653" t="str">
            <v/>
          </cell>
          <cell r="H653" t="str">
            <v>SLAMET</v>
          </cell>
          <cell r="I653">
            <v>46141</v>
          </cell>
          <cell r="J653" t="str">
            <v>6100DB432</v>
          </cell>
          <cell r="K653" t="str">
            <v>B</v>
          </cell>
          <cell r="L653" t="str">
            <v>CTR</v>
          </cell>
          <cell r="M653">
            <v>9</v>
          </cell>
          <cell r="N653" t="str">
            <v>RH</v>
          </cell>
          <cell r="O653" t="str">
            <v>robertiagus.haposan@alamtri.com</v>
          </cell>
          <cell r="Q653">
            <v>4500000</v>
          </cell>
          <cell r="R653" t="str">
            <v>Completed Sign PO Contract</v>
          </cell>
          <cell r="T653" t="str">
            <v>MSW</v>
          </cell>
          <cell r="U653" t="str">
            <v>Trakindo Utama, PT</v>
          </cell>
          <cell r="V653" t="str">
            <v>Trakindo Utama, PT</v>
          </cell>
          <cell r="W653" t="str">
            <v>1 of 1</v>
          </cell>
          <cell r="X653" t="str">
            <v>1 of 1</v>
          </cell>
          <cell r="Y653">
            <v>46141</v>
          </cell>
          <cell r="Z653">
            <v>46142</v>
          </cell>
          <cell r="AC653" t="str">
            <v xml:space="preserve"> of </v>
          </cell>
          <cell r="AD653" t="str">
            <v xml:space="preserve"> of </v>
          </cell>
          <cell r="AF653" t="str">
            <v/>
          </cell>
          <cell r="AI653" t="str">
            <v xml:space="preserve"> of </v>
          </cell>
          <cell r="AJ653" t="str">
            <v xml:space="preserve"> of </v>
          </cell>
          <cell r="AL653" t="str">
            <v/>
          </cell>
          <cell r="AM653">
            <v>0.70833333333333304</v>
          </cell>
          <cell r="AN653" t="str">
            <v>Trakindo Utama, PT</v>
          </cell>
          <cell r="AO653" t="str">
            <v>hjuniater.sidauruk@trakindo.co.id</v>
          </cell>
          <cell r="AP653" t="str">
            <v>6100-PC0626-00327</v>
          </cell>
          <cell r="AQ653">
            <v>4207630</v>
          </cell>
          <cell r="AT653">
            <v>46147</v>
          </cell>
          <cell r="AU653">
            <v>46178</v>
          </cell>
          <cell r="AV653">
            <v>46150</v>
          </cell>
          <cell r="AW653">
            <v>46181</v>
          </cell>
          <cell r="AX653">
            <v>4.4285714285714288</v>
          </cell>
          <cell r="AZ653" t="str">
            <v/>
          </cell>
          <cell r="BA653" t="str">
            <v/>
          </cell>
          <cell r="BB653" t="str">
            <v>Completed</v>
          </cell>
          <cell r="BC653" t="str">
            <v>PC0126-000001517</v>
          </cell>
        </row>
        <row r="654">
          <cell r="B654" t="str">
            <v>PC0126-000001279</v>
          </cell>
          <cell r="C654" t="str">
            <v>Jasa Pengadaan, Pemasangan &amp; Pemeliharaan Lift Passanger on Boiler Building</v>
          </cell>
          <cell r="D654" t="str">
            <v>Sakura Elevator Indonesia Corp, PT</v>
          </cell>
          <cell r="E654" t="str">
            <v/>
          </cell>
          <cell r="F654" t="str">
            <v/>
          </cell>
          <cell r="G654" t="str">
            <v/>
          </cell>
          <cell r="H654" t="str">
            <v>DEDE SUDARJI</v>
          </cell>
          <cell r="J654" t="str">
            <v>6100DB402</v>
          </cell>
          <cell r="K654" t="str">
            <v>J</v>
          </cell>
          <cell r="L654" t="str">
            <v>IOM</v>
          </cell>
          <cell r="N654" t="str">
            <v>RH</v>
          </cell>
          <cell r="O654" t="str">
            <v>robertiagus.haposan@alamtri.com</v>
          </cell>
          <cell r="Q654">
            <v>100000000</v>
          </cell>
          <cell r="R654" t="str">
            <v>PO Sign Vendor</v>
          </cell>
          <cell r="T654" t="str">
            <v>MSW</v>
          </cell>
          <cell r="U654" t="str">
            <v>Sakura Elevator Indonesia Corp, PT</v>
          </cell>
          <cell r="W654" t="str">
            <v>1 of 1</v>
          </cell>
          <cell r="X654" t="str">
            <v xml:space="preserve"> of 1</v>
          </cell>
          <cell r="Y654">
            <v>46141</v>
          </cell>
          <cell r="Z654">
            <v>46148</v>
          </cell>
          <cell r="AC654" t="str">
            <v xml:space="preserve"> of </v>
          </cell>
          <cell r="AD654" t="str">
            <v xml:space="preserve"> of </v>
          </cell>
          <cell r="AF654" t="str">
            <v/>
          </cell>
          <cell r="AI654" t="str">
            <v xml:space="preserve"> of </v>
          </cell>
          <cell r="AJ654" t="str">
            <v xml:space="preserve"> of </v>
          </cell>
          <cell r="AL654" t="str">
            <v/>
          </cell>
          <cell r="AM654">
            <v>0.70833333333333304</v>
          </cell>
          <cell r="AN654" t="str">
            <v>Sakura Elevator Indonesia Corp, PT</v>
          </cell>
          <cell r="AO654" t="str">
            <v>indra.d.w.idw@gmail.com; sales1@sakuraelevator.co.id</v>
          </cell>
          <cell r="AP654" t="str">
            <v>6100-PC0626-00383</v>
          </cell>
          <cell r="AQ654">
            <v>43000000</v>
          </cell>
          <cell r="AT654">
            <v>46171</v>
          </cell>
          <cell r="AU654">
            <v>46199</v>
          </cell>
          <cell r="AV654">
            <v>46175</v>
          </cell>
          <cell r="AW654">
            <v>46203</v>
          </cell>
          <cell r="AX654">
            <v>4</v>
          </cell>
          <cell r="AZ654" t="str">
            <v/>
          </cell>
          <cell r="BA654" t="str">
            <v/>
          </cell>
          <cell r="BB654" t="str">
            <v>Late Completed</v>
          </cell>
          <cell r="BC654" t="str">
            <v>PC0126-000001279</v>
          </cell>
        </row>
        <row r="655">
          <cell r="B655" t="str">
            <v>PC0126-000000453</v>
          </cell>
          <cell r="C655" t="str">
            <v>Pembelian Thermostatic Valve Model B</v>
          </cell>
          <cell r="E655" t="str">
            <v/>
          </cell>
          <cell r="F655" t="str">
            <v/>
          </cell>
          <cell r="G655" t="str">
            <v/>
          </cell>
          <cell r="H655" t="str">
            <v>RIZKY AGUSTINA</v>
          </cell>
          <cell r="J655" t="str">
            <v>6100DB401</v>
          </cell>
          <cell r="K655" t="str">
            <v>B</v>
          </cell>
          <cell r="L655" t="str">
            <v>BID</v>
          </cell>
          <cell r="N655" t="str">
            <v>RH</v>
          </cell>
          <cell r="O655" t="str">
            <v>robertiagus.haposan@alamtri.com</v>
          </cell>
          <cell r="P655">
            <v>9100</v>
          </cell>
          <cell r="Q655">
            <v>150150000</v>
          </cell>
          <cell r="R655" t="str">
            <v>CANCEL</v>
          </cell>
          <cell r="T655" t="str">
            <v>MSW</v>
          </cell>
          <cell r="W655" t="str">
            <v xml:space="preserve"> of </v>
          </cell>
          <cell r="X655" t="str">
            <v xml:space="preserve"> of </v>
          </cell>
          <cell r="Z655" t="str">
            <v/>
          </cell>
          <cell r="AC655" t="str">
            <v xml:space="preserve"> of </v>
          </cell>
          <cell r="AD655" t="str">
            <v xml:space="preserve"> of </v>
          </cell>
          <cell r="AF655" t="str">
            <v/>
          </cell>
          <cell r="AI655" t="str">
            <v xml:space="preserve"> of </v>
          </cell>
          <cell r="AJ655" t="str">
            <v xml:space="preserve"> of </v>
          </cell>
          <cell r="AL655" t="str">
            <v/>
          </cell>
          <cell r="AM655">
            <v>0.70833333333333304</v>
          </cell>
          <cell r="AO655" t="str">
            <v/>
          </cell>
          <cell r="AW655" t="str">
            <v/>
          </cell>
          <cell r="AX655" t="str">
            <v/>
          </cell>
          <cell r="AZ655" t="str">
            <v/>
          </cell>
          <cell r="BA655" t="str">
            <v/>
          </cell>
          <cell r="BB655" t="str">
            <v/>
          </cell>
          <cell r="BC655" t="str">
            <v>PC0126-000000453</v>
          </cell>
        </row>
        <row r="656">
          <cell r="B656" t="str">
            <v>PC0126-000001579</v>
          </cell>
          <cell r="C656" t="str">
            <v>pekerjaan overhaul gearbox CT fan</v>
          </cell>
          <cell r="E656" t="str">
            <v>Catek Jaya, CV
Xservice, CV
Jaya Induksi Elektrik, PT
Mitra Safa Senusantara, CV
Pola Proserve Engineering, PT
Duta Sarana Engineering, PT
Taka Turbomachinery Indonesia, PT
Raihan Teknik Utama, PT
Gamma Energi Pratama, PT
Tentra Eka Pratama, PT
Taka Precision Manufacturing Indonesia, PT
Proteknik Mega Persada, PT
CBC Indonesia, PT</v>
          </cell>
          <cell r="F656" t="str">
            <v>Xservice, CV
Pola Proserve Engineering, PT
Taka Turbomachinery Indonesia, PT
Raihan Teknik Utama, PT</v>
          </cell>
          <cell r="G656" t="str">
            <v>R0
4 of 13
15 Jan 26</v>
          </cell>
          <cell r="H656" t="str">
            <v>RIZKY AGUSTINA</v>
          </cell>
          <cell r="I656">
            <v>46148</v>
          </cell>
          <cell r="J656" t="str">
            <v>6100DB401</v>
          </cell>
          <cell r="K656" t="str">
            <v>B &amp; J</v>
          </cell>
          <cell r="L656" t="str">
            <v>BID</v>
          </cell>
          <cell r="M656">
            <v>1</v>
          </cell>
          <cell r="N656" t="str">
            <v>RH</v>
          </cell>
          <cell r="O656" t="str">
            <v>robertiagus.haposan@alamtri.com</v>
          </cell>
          <cell r="P656">
            <v>26000</v>
          </cell>
          <cell r="Q656">
            <v>429000000</v>
          </cell>
          <cell r="R656" t="str">
            <v>Completed Sign PO</v>
          </cell>
          <cell r="S656" t="str">
            <v>Replacement from PC0125-000000135</v>
          </cell>
          <cell r="T656" t="str">
            <v>MSW</v>
          </cell>
          <cell r="U656" t="str">
            <v>Catek Jaya, CV
Xservice, CV
Jaya Induksi Elektrik, PT
Mitra Safa Senusantara, CV
Pola Proserve Engineering, PT
Duta Sarana Engineering, PT
Taka Turbomachinery Indonesia, PT
Raihan Teknik Utama, PT
Gamma Energi Pratama, PT
Tentra Eka Pratama, PT
Taka Precision Manufacturing Indonesia, PT
Proteknik Mega Persada, PT
CBC Indonesia, PT</v>
          </cell>
          <cell r="V656" t="str">
            <v>Xservice, CV
Pola Proserve Engineering, PT
Taka Turbomachinery Indonesia, PT
Raihan Teknik Utama, PT</v>
          </cell>
          <cell r="W656" t="str">
            <v>13 of 13</v>
          </cell>
          <cell r="X656" t="str">
            <v>4 of 13</v>
          </cell>
          <cell r="Y656">
            <v>46027</v>
          </cell>
          <cell r="Z656">
            <v>46037</v>
          </cell>
          <cell r="AC656" t="str">
            <v xml:space="preserve"> of </v>
          </cell>
          <cell r="AD656" t="str">
            <v xml:space="preserve"> of </v>
          </cell>
          <cell r="AF656" t="str">
            <v/>
          </cell>
          <cell r="AI656" t="str">
            <v xml:space="preserve"> of </v>
          </cell>
          <cell r="AJ656" t="str">
            <v xml:space="preserve"> of </v>
          </cell>
          <cell r="AL656" t="str">
            <v/>
          </cell>
          <cell r="AM656">
            <v>0.70833333333333304</v>
          </cell>
          <cell r="AN656" t="str">
            <v>Pola Proserve Engineering, PT</v>
          </cell>
          <cell r="AO656" t="str">
            <v>proserve@indo.net.id; inez@proserve.co.id; lilis@proserve.co.id; sales@proserve.co.id</v>
          </cell>
          <cell r="AP656" t="str">
            <v>6100-PC0626-00334</v>
          </cell>
          <cell r="AQ656">
            <v>425000000</v>
          </cell>
          <cell r="AR656">
            <v>46042</v>
          </cell>
          <cell r="AS656">
            <v>46142</v>
          </cell>
          <cell r="AT656">
            <v>46150</v>
          </cell>
          <cell r="AU656">
            <v>46269</v>
          </cell>
          <cell r="AV656">
            <v>46164</v>
          </cell>
          <cell r="AW656">
            <v>46283</v>
          </cell>
          <cell r="AX656">
            <v>17</v>
          </cell>
          <cell r="AZ656" t="str">
            <v/>
          </cell>
          <cell r="BA656" t="str">
            <v/>
          </cell>
          <cell r="BB656" t="str">
            <v>Completed</v>
          </cell>
          <cell r="BC656" t="str">
            <v>PC0126-000001579</v>
          </cell>
        </row>
        <row r="657">
          <cell r="B657" t="str">
            <v>PC0126-000001391</v>
          </cell>
          <cell r="C657" t="str">
            <v>Robot Pembersih PLTS</v>
          </cell>
          <cell r="E657" t="str">
            <v>Lotus Inti Pratama, PT
Vhipa Mulia Pratama, PT
Anugrah Mandiri Putra Tabalong, PT
Gevana, PT
Pacific Tractor Indonesia, PT
Antares Jaya Gemilang Prima, PT
Indo Tehnik Tanjung Tabalong, PT
Lienetic Jaya, PT
Perwira Sentra Officindo, PT
Petrocom Nusa Synergy, PT
Bizar Abdi Prima, PT
Greentek Elektrikal Indonesia, PT
Afghan Jaya Abadi, PT</v>
          </cell>
          <cell r="F657" t="str">
            <v>Lienetic Jaya, PT
Bizar Abdi Prima, PT
Greentek Elektrikal Indonesia, PT
Afghan Jaya Abadi, PT</v>
          </cell>
          <cell r="G657" t="str">
            <v>R0
4 of 13
19 May 26</v>
          </cell>
          <cell r="H657" t="str">
            <v>GUNARA FERY FAHNANI</v>
          </cell>
          <cell r="I657">
            <v>46150</v>
          </cell>
          <cell r="J657" t="str">
            <v>6100DB421</v>
          </cell>
          <cell r="K657" t="str">
            <v>B</v>
          </cell>
          <cell r="L657" t="str">
            <v>BID</v>
          </cell>
          <cell r="M657">
            <v>75</v>
          </cell>
          <cell r="N657" t="str">
            <v>RH</v>
          </cell>
          <cell r="O657" t="str">
            <v>robertiagus.haposan@alamtri.com</v>
          </cell>
          <cell r="P657">
            <v>14580.6</v>
          </cell>
          <cell r="Q657">
            <v>255160500</v>
          </cell>
          <cell r="R657" t="str">
            <v>CQS</v>
          </cell>
          <cell r="T657" t="str">
            <v>MSW</v>
          </cell>
          <cell r="U657" t="str">
            <v>Lotus Inti Pratama, PT
Vhipa Mulia Pratama, PT
Anugrah Mandiri Putra Tabalong, PT
Gevana, PT
Pacific Tractor Indonesia, PT
Antares Jaya Gemilang Prima, PT
Indo Tehnik Tanjung Tabalong, PT
Lienetic Jaya, PT
Perwira Sentra Officindo, PT
Petrocom Nusa Synergy, PT
Bizar Abdi Prima, PT
Greentek Elektrikal Indonesia, PT
Afghan Jaya Abadi, PT</v>
          </cell>
          <cell r="V657" t="str">
            <v>Lienetic Jaya, PT
Bizar Abdi Prima, PT
Greentek Elektrikal Indonesia, PT
Afghan Jaya Abadi, PT</v>
          </cell>
          <cell r="W657" t="str">
            <v>13 of 13</v>
          </cell>
          <cell r="X657" t="str">
            <v>4 of 13</v>
          </cell>
          <cell r="Y657">
            <v>46153</v>
          </cell>
          <cell r="Z657">
            <v>46161</v>
          </cell>
          <cell r="AC657" t="str">
            <v xml:space="preserve"> of </v>
          </cell>
          <cell r="AD657" t="str">
            <v xml:space="preserve"> of </v>
          </cell>
          <cell r="AF657" t="str">
            <v/>
          </cell>
          <cell r="AI657" t="str">
            <v xml:space="preserve"> of </v>
          </cell>
          <cell r="AJ657" t="str">
            <v xml:space="preserve"> of </v>
          </cell>
          <cell r="AL657" t="str">
            <v/>
          </cell>
          <cell r="AM657">
            <v>0.70833333333333304</v>
          </cell>
          <cell r="AO657" t="str">
            <v/>
          </cell>
          <cell r="AR657">
            <v>46163</v>
          </cell>
          <cell r="AW657" t="str">
            <v/>
          </cell>
          <cell r="AX657" t="str">
            <v/>
          </cell>
          <cell r="AZ657" t="str">
            <v/>
          </cell>
          <cell r="BA657" t="str">
            <v/>
          </cell>
          <cell r="BB657" t="str">
            <v/>
          </cell>
          <cell r="BC657" t="str">
            <v>PC0126-000001391</v>
          </cell>
        </row>
        <row r="658">
          <cell r="B658" t="str">
            <v>PC0126-000001660</v>
          </cell>
          <cell r="C658" t="str">
            <v>Service dan Kalibrasi drone DJI Phantom 4 Pro</v>
          </cell>
          <cell r="E658" t="str">
            <v>Alfa Teknik Mandiri Makmur, PT
Perwira Sentra Officindo, PT
Sehati, CV
Lotus Inti Pratama, PT
Pacific Tractor Indonesia, PT
Indo Tehnik Tanjung Tabalong, PT
ALKS, CV
Aka Prima Komputindo, PT
Berkat Jaya Komputindo, PT</v>
          </cell>
          <cell r="F658" t="str">
            <v/>
          </cell>
          <cell r="G658" t="str">
            <v>R0
 of 9
22 May 26</v>
          </cell>
          <cell r="H658" t="str">
            <v>GUNARA FERY FAHNANI</v>
          </cell>
          <cell r="I658">
            <v>46154</v>
          </cell>
          <cell r="J658" t="str">
            <v>6100DB421</v>
          </cell>
          <cell r="K658" t="str">
            <v>J</v>
          </cell>
          <cell r="L658" t="str">
            <v>BID</v>
          </cell>
          <cell r="M658">
            <v>78</v>
          </cell>
          <cell r="N658" t="str">
            <v>RH</v>
          </cell>
          <cell r="O658" t="str">
            <v>robertiagus.haposan@alamtri.com</v>
          </cell>
          <cell r="P658">
            <v>448.08</v>
          </cell>
          <cell r="Q658">
            <v>7841400</v>
          </cell>
          <cell r="R658" t="str">
            <v>Rebid</v>
          </cell>
          <cell r="T658" t="str">
            <v>MSW</v>
          </cell>
          <cell r="U658" t="str">
            <v>Alfa Teknik Mandiri Makmur, PT
Perwira Sentra Officindo, PT
Sehati, CV
Lotus Inti Pratama, PT
Pacific Tractor Indonesia, PT
Indo Tehnik Tanjung Tabalong, PT
ALKS, CV
Aka Prima Komputindo, PT
Berkat Jaya Komputindo, PT</v>
          </cell>
          <cell r="W658" t="str">
            <v>9 of 9</v>
          </cell>
          <cell r="X658" t="str">
            <v xml:space="preserve"> of 9</v>
          </cell>
          <cell r="Y658">
            <v>46155</v>
          </cell>
          <cell r="Z658">
            <v>46164</v>
          </cell>
          <cell r="AC658" t="str">
            <v xml:space="preserve"> of </v>
          </cell>
          <cell r="AD658" t="str">
            <v xml:space="preserve"> of </v>
          </cell>
          <cell r="AF658" t="str">
            <v/>
          </cell>
          <cell r="AI658" t="str">
            <v xml:space="preserve"> of </v>
          </cell>
          <cell r="AJ658" t="str">
            <v xml:space="preserve"> of </v>
          </cell>
          <cell r="AL658" t="str">
            <v/>
          </cell>
          <cell r="AM658">
            <v>0.70833333333333304</v>
          </cell>
          <cell r="AO658" t="str">
            <v/>
          </cell>
          <cell r="AW658" t="str">
            <v/>
          </cell>
          <cell r="AX658" t="str">
            <v/>
          </cell>
          <cell r="AZ658" t="str">
            <v/>
          </cell>
          <cell r="BA658" t="str">
            <v/>
          </cell>
          <cell r="BB658" t="str">
            <v/>
          </cell>
          <cell r="BC658" t="str">
            <v>PC0126-000001660</v>
          </cell>
        </row>
        <row r="659">
          <cell r="B659" t="str">
            <v>PC0126-000001641 (Line 1-2)</v>
          </cell>
          <cell r="C659" t="str">
            <v>Material PM untuk All DG support AI</v>
          </cell>
          <cell r="D659" t="str">
            <v>Bima Kaltim Utama, PT</v>
          </cell>
          <cell r="E659" t="str">
            <v>Bima Kaltim Utama, PT
Stanindo Artha Langgeng, PT
Pacific Tractor Indonesia, PT
Petrocom Nusa Synergy, PT
Blessindo Prima Sarana, PT
Vando Teknik Solusi, PT
Rahmat Parna Sakti, CV
Cipta Dua Power Frans Diesel, PT
Perwira Sentra Officindo, PT
Aneka Mitra Cipta, PT</v>
          </cell>
          <cell r="F659" t="str">
            <v>Bima Kaltim Utama, PT
Pacific Tractor Indonesia, PT
Blessindo Prima Sarana, PT
Rahmat Parna Sakti, CV
Perwira Sentra Officindo, PT
Aneka Mitra Cipta, PT</v>
          </cell>
          <cell r="G659" t="str">
            <v>R0
6 of 10
19 May 26</v>
          </cell>
          <cell r="H659" t="str">
            <v>SLAMET</v>
          </cell>
          <cell r="I659">
            <v>46150</v>
          </cell>
          <cell r="J659" t="str">
            <v>6100DB431</v>
          </cell>
          <cell r="K659" t="str">
            <v>B</v>
          </cell>
          <cell r="L659" t="str">
            <v>BID</v>
          </cell>
          <cell r="M659">
            <v>73</v>
          </cell>
          <cell r="N659" t="str">
            <v>RH</v>
          </cell>
          <cell r="O659" t="str">
            <v>robertiagus.haposan@alamtri.com</v>
          </cell>
          <cell r="P659">
            <v>506</v>
          </cell>
          <cell r="Q659">
            <v>8855000</v>
          </cell>
          <cell r="R659" t="str">
            <v>CQS</v>
          </cell>
          <cell r="T659" t="str">
            <v>MSW</v>
          </cell>
          <cell r="U659" t="str">
            <v>Bima Kaltim Utama, PT
Stanindo Artha Langgeng, PT
Pacific Tractor Indonesia, PT
Petrocom Nusa Synergy, PT
Blessindo Prima Sarana, PT
Vando Teknik Solusi, PT
Rahmat Parna Sakti, CV
Cipta Dua Power Frans Diesel, PT
Perwira Sentra Officindo, PT
Aneka Mitra Cipta, PT</v>
          </cell>
          <cell r="V659" t="str">
            <v>Bima Kaltim Utama, PT
Pacific Tractor Indonesia, PT
Blessindo Prima Sarana, PT
Rahmat Parna Sakti, CV
Perwira Sentra Officindo, PT
Aneka Mitra Cipta, PT</v>
          </cell>
          <cell r="W659" t="str">
            <v>10 of 10</v>
          </cell>
          <cell r="X659" t="str">
            <v>6 of 10</v>
          </cell>
          <cell r="Y659">
            <v>46120</v>
          </cell>
          <cell r="Z659">
            <v>46161</v>
          </cell>
          <cell r="AC659" t="str">
            <v xml:space="preserve"> of </v>
          </cell>
          <cell r="AD659" t="str">
            <v xml:space="preserve"> of </v>
          </cell>
          <cell r="AF659" t="str">
            <v/>
          </cell>
          <cell r="AI659" t="str">
            <v xml:space="preserve"> of </v>
          </cell>
          <cell r="AJ659" t="str">
            <v xml:space="preserve"> of </v>
          </cell>
          <cell r="AL659" t="str">
            <v/>
          </cell>
          <cell r="AM659">
            <v>0.70833333333333304</v>
          </cell>
          <cell r="AO659" t="str">
            <v/>
          </cell>
          <cell r="AR659">
            <v>46163</v>
          </cell>
          <cell r="AW659" t="str">
            <v/>
          </cell>
          <cell r="AX659" t="str">
            <v/>
          </cell>
          <cell r="AZ659" t="str">
            <v/>
          </cell>
          <cell r="BA659" t="str">
            <v/>
          </cell>
          <cell r="BB659" t="str">
            <v/>
          </cell>
          <cell r="BC659" t="str">
            <v>PC0126-000001641</v>
          </cell>
        </row>
        <row r="660">
          <cell r="B660" t="str">
            <v>PC0126-000001641 (Line 3-4)</v>
          </cell>
          <cell r="C660" t="str">
            <v>Material PM untuk All DG support AI</v>
          </cell>
          <cell r="D660" t="str">
            <v>Trakindo Utama, PT</v>
          </cell>
          <cell r="E660" t="str">
            <v>Trakindo Utama, PT</v>
          </cell>
          <cell r="F660" t="str">
            <v/>
          </cell>
          <cell r="G660" t="str">
            <v/>
          </cell>
          <cell r="H660" t="str">
            <v>SLAMET</v>
          </cell>
          <cell r="I660">
            <v>46150</v>
          </cell>
          <cell r="J660" t="str">
            <v>6100DB431</v>
          </cell>
          <cell r="K660" t="str">
            <v>B</v>
          </cell>
          <cell r="L660" t="str">
            <v>CTR</v>
          </cell>
          <cell r="M660">
            <v>10</v>
          </cell>
          <cell r="N660" t="str">
            <v>RH</v>
          </cell>
          <cell r="O660" t="str">
            <v>robertiagus.haposan@alamtri.com</v>
          </cell>
          <cell r="P660">
            <v>1132.8000000000002</v>
          </cell>
          <cell r="Q660">
            <v>19824000.000000004</v>
          </cell>
          <cell r="R660" t="str">
            <v>PO Sign Vendor</v>
          </cell>
          <cell r="T660" t="str">
            <v>MSW</v>
          </cell>
          <cell r="U660" t="str">
            <v>Trakindo Utama, PT</v>
          </cell>
          <cell r="W660" t="str">
            <v>1 of 1</v>
          </cell>
          <cell r="X660" t="str">
            <v xml:space="preserve"> of 1</v>
          </cell>
          <cell r="Y660">
            <v>46150</v>
          </cell>
          <cell r="Z660">
            <v>46157</v>
          </cell>
          <cell r="AC660" t="str">
            <v xml:space="preserve"> of </v>
          </cell>
          <cell r="AD660" t="str">
            <v xml:space="preserve"> of </v>
          </cell>
          <cell r="AF660" t="str">
            <v/>
          </cell>
          <cell r="AI660" t="str">
            <v xml:space="preserve"> of </v>
          </cell>
          <cell r="AJ660" t="str">
            <v xml:space="preserve"> of </v>
          </cell>
          <cell r="AL660" t="str">
            <v/>
          </cell>
          <cell r="AM660">
            <v>0.70833333333333304</v>
          </cell>
          <cell r="AN660" t="str">
            <v>Trakindo Utama, PT</v>
          </cell>
          <cell r="AO660" t="str">
            <v>hjuniater.sidauruk@trakindo.co.id</v>
          </cell>
          <cell r="AP660" t="str">
            <v>6100-PC0626-00344</v>
          </cell>
          <cell r="AQ660">
            <v>34723920</v>
          </cell>
          <cell r="AT660">
            <v>46164</v>
          </cell>
          <cell r="AU660">
            <v>46192</v>
          </cell>
          <cell r="AV660">
            <v>46167</v>
          </cell>
          <cell r="AW660">
            <v>46195</v>
          </cell>
          <cell r="AX660">
            <v>4</v>
          </cell>
          <cell r="AZ660" t="str">
            <v/>
          </cell>
          <cell r="BA660" t="str">
            <v/>
          </cell>
          <cell r="BB660" t="str">
            <v>Completed</v>
          </cell>
          <cell r="BC660" t="str">
            <v>PC0126-000001641</v>
          </cell>
        </row>
        <row r="661">
          <cell r="B661" t="str">
            <v>PC0126-000001631</v>
          </cell>
          <cell r="C661" t="str">
            <v>Material Skun Clamp Sling dan tools Stringing cable 20kV</v>
          </cell>
          <cell r="D661" t="str">
            <v>Sehati, CV
Perwira Sentra Officindo, PT</v>
          </cell>
          <cell r="E661" t="str">
            <v/>
          </cell>
          <cell r="F661" t="str">
            <v/>
          </cell>
          <cell r="G661" t="str">
            <v/>
          </cell>
          <cell r="H661" t="str">
            <v>GUNARA FERY FAHNANI</v>
          </cell>
          <cell r="I661">
            <v>46153</v>
          </cell>
          <cell r="J661" t="str">
            <v>6100DB412</v>
          </cell>
          <cell r="K661" t="str">
            <v>B</v>
          </cell>
          <cell r="L661" t="str">
            <v>BID</v>
          </cell>
          <cell r="M661">
            <v>74</v>
          </cell>
          <cell r="N661" t="str">
            <v>RH</v>
          </cell>
          <cell r="O661" t="str">
            <v>robertiagus.haposan@alamtri.com</v>
          </cell>
          <cell r="P661">
            <v>762.36</v>
          </cell>
          <cell r="Q661">
            <v>13341300</v>
          </cell>
          <cell r="R661" t="str">
            <v>CANCEL</v>
          </cell>
          <cell r="S661" t="str">
            <v>Ke Pak Rajudin</v>
          </cell>
          <cell r="T661" t="str">
            <v>MSW</v>
          </cell>
          <cell r="U661" t="str">
            <v>Sehati, CV
Perwira Sentra Officindo, PT
Sarana Prima Lestari, CV
Berkat Pratama Teknik, CV
Anugrah Mandiri Putra Tabalong, PT
Haji Usnan Electric, CV
Raja Listrik Indonesia, PT
Gema Industrial, PT
Putera Instrumenindo, PT
Outsourcindo, PT</v>
          </cell>
          <cell r="W661" t="str">
            <v>10 of 10</v>
          </cell>
          <cell r="X661" t="str">
            <v xml:space="preserve"> of 10</v>
          </cell>
          <cell r="Y661">
            <v>46153</v>
          </cell>
          <cell r="Z661">
            <v>46160</v>
          </cell>
          <cell r="AC661" t="str">
            <v xml:space="preserve"> of </v>
          </cell>
          <cell r="AD661" t="str">
            <v xml:space="preserve"> of </v>
          </cell>
          <cell r="AF661" t="str">
            <v/>
          </cell>
          <cell r="AI661" t="str">
            <v xml:space="preserve"> of </v>
          </cell>
          <cell r="AJ661" t="str">
            <v xml:space="preserve"> of </v>
          </cell>
          <cell r="AL661" t="str">
            <v/>
          </cell>
          <cell r="AM661">
            <v>0.70833333333333304</v>
          </cell>
          <cell r="AO661" t="str">
            <v/>
          </cell>
          <cell r="AW661" t="str">
            <v/>
          </cell>
          <cell r="AX661" t="str">
            <v/>
          </cell>
          <cell r="AZ661" t="str">
            <v/>
          </cell>
          <cell r="BA661" t="str">
            <v/>
          </cell>
          <cell r="BB661" t="str">
            <v/>
          </cell>
          <cell r="BC661" t="str">
            <v>PC0126-000001631</v>
          </cell>
        </row>
        <row r="662">
          <cell r="B662" t="str">
            <v>PC0126-000000021 (Line 4)</v>
          </cell>
          <cell r="C662" t="str">
            <v>Spare part CCTV Operational</v>
          </cell>
          <cell r="D662" t="str">
            <v>Vhipa Mulia Pratama, PT (Line 2)
Kin Kitra Kencana, PT (Line 3)
Perwira Sentra Officindo, PT (Line 4)</v>
          </cell>
          <cell r="E662" t="str">
            <v>Greentek Elektrikal Indonesia, PT
Aka Prima Komputindo, PT
Berkat Jaya Komputindo, PT
Berkat Pratama Teknik, CV
ALKS, CV
Jaya Multi Usaha, CV
Perwira Sentra Officindo, PT
Indostar Security, PT</v>
          </cell>
          <cell r="F662" t="str">
            <v>Greentek Elektrikal Indonesia, PT
Aka Prima Komputindo, PT
Perwira Sentra Officindo, PT
Indostar Security, PT</v>
          </cell>
          <cell r="G662" t="str">
            <v>R1
4 of 8
09 Feb 26</v>
          </cell>
          <cell r="H662" t="str">
            <v>BASUKI SETIYO WIDODO</v>
          </cell>
          <cell r="I662">
            <v>46030</v>
          </cell>
          <cell r="J662" t="str">
            <v>6100DB402</v>
          </cell>
          <cell r="K662" t="str">
            <v>B</v>
          </cell>
          <cell r="L662" t="str">
            <v>BID</v>
          </cell>
          <cell r="M662">
            <v>6</v>
          </cell>
          <cell r="N662" t="str">
            <v>RH</v>
          </cell>
          <cell r="O662" t="str">
            <v>robertiagus.haposan@alamtri.com</v>
          </cell>
          <cell r="P662">
            <v>126</v>
          </cell>
          <cell r="Q662">
            <v>2205000</v>
          </cell>
          <cell r="R662" t="str">
            <v>PO Sign Vendor</v>
          </cell>
          <cell r="S662" t="str">
            <v>R0 di cancel krn ada permintaan dari user untuk mengikuti Note dalam PR</v>
          </cell>
          <cell r="T662" t="str">
            <v>MSW</v>
          </cell>
          <cell r="U662" t="str">
            <v>Kin Kitra Kencana, PT
Perwira Sentra Officindo, PT
Gema Industrial, PT
Berkat Pratama Teknik, CV
ALKS, CV
Vhipa Mulia Pratama, PT
Indostar Security, PT
Greentek Elektrikal Indonesia, PT
Gevana, PT
Aka Prima Komputindo, PT
Niaga Prima Paramitra, PT
Berkat Jaya Komputindo, PT</v>
          </cell>
          <cell r="V662" t="str">
            <v>Greentek Elektrikal Indonesia, PT
Aka Prima Komputindo, PT
Berkat Jaya Komputindo, PT</v>
          </cell>
          <cell r="W662" t="str">
            <v>12 of 12</v>
          </cell>
          <cell r="X662" t="str">
            <v>3 of 12</v>
          </cell>
          <cell r="Y662">
            <v>46030</v>
          </cell>
          <cell r="Z662">
            <v>46037</v>
          </cell>
          <cell r="AA662" t="str">
            <v>Greentek Elektrikal Indonesia, PT
Aka Prima Komputindo, PT
Berkat Jaya Komputindo, PT
Berkat Pratama Teknik, CV
ALKS, CV
Jaya Multi Usaha, CV
Perwira Sentra Officindo, PT
Indostar Security, PT</v>
          </cell>
          <cell r="AB662" t="str">
            <v>Greentek Elektrikal Indonesia, PT
Aka Prima Komputindo, PT
Perwira Sentra Officindo, PT
Indostar Security, PT</v>
          </cell>
          <cell r="AC662" t="str">
            <v>8 of 8</v>
          </cell>
          <cell r="AD662" t="str">
            <v>4 of 8</v>
          </cell>
          <cell r="AE662">
            <v>46055</v>
          </cell>
          <cell r="AF662">
            <v>46062</v>
          </cell>
          <cell r="AI662" t="str">
            <v xml:space="preserve"> of </v>
          </cell>
          <cell r="AJ662" t="str">
            <v xml:space="preserve"> of </v>
          </cell>
          <cell r="AL662" t="str">
            <v/>
          </cell>
          <cell r="AM662">
            <v>0.70833333333333304</v>
          </cell>
          <cell r="AN662" t="str">
            <v>Aka Prima Komputindo, PT</v>
          </cell>
          <cell r="AO662" t="str">
            <v>alkoriach@aprikom.com; endah@aprikom.com</v>
          </cell>
          <cell r="AP662" t="str">
            <v>6100-PC0626-00342</v>
          </cell>
          <cell r="AQ662">
            <v>2500000</v>
          </cell>
          <cell r="AR662">
            <v>46064</v>
          </cell>
          <cell r="AS662">
            <v>46146</v>
          </cell>
          <cell r="AT662">
            <v>46153</v>
          </cell>
          <cell r="AU662">
            <v>46176</v>
          </cell>
          <cell r="AV662">
            <v>46161</v>
          </cell>
          <cell r="AW662">
            <v>46184</v>
          </cell>
          <cell r="AX662">
            <v>3.2857142857142856</v>
          </cell>
          <cell r="AZ662" t="str">
            <v/>
          </cell>
          <cell r="BA662" t="str">
            <v/>
          </cell>
          <cell r="BB662" t="str">
            <v>Late Completed</v>
          </cell>
          <cell r="BC662" t="str">
            <v>PC0126-000000021</v>
          </cell>
        </row>
        <row r="663">
          <cell r="B663" t="str">
            <v>PC0126-000000583 (Line 2)</v>
          </cell>
          <cell r="C663" t="str">
            <v>Spare Part Repair Kit Actuator PRDS</v>
          </cell>
          <cell r="D663" t="str">
            <v>Kin Kitra Kencana, PT - Line 1
Andalan Tiga Berlian, PT - Line 2</v>
          </cell>
          <cell r="E663" t="str">
            <v>Andalan Tiga Berlian, PT
Forbes Marshall Indonesia, PT
Lienetic Jaya, PT
Putera Instrumenindo, PT
Alfa Teknik Mandiri Makmur, PT
Mff Oilfield Services and Engineering, PT
Lotus Inti Pratama, PT</v>
          </cell>
          <cell r="F663" t="str">
            <v>Forbes Marshall Indonesia, PT</v>
          </cell>
          <cell r="G663" t="str">
            <v>R3
1 of 7
27 Apr 26</v>
          </cell>
          <cell r="H663" t="str">
            <v>BASUKI SETIYO WIDODO</v>
          </cell>
          <cell r="I663">
            <v>46133</v>
          </cell>
          <cell r="J663" t="str">
            <v>6100DB402</v>
          </cell>
          <cell r="K663" t="str">
            <v>B</v>
          </cell>
          <cell r="L663" t="str">
            <v>BID</v>
          </cell>
          <cell r="M663">
            <v>307</v>
          </cell>
          <cell r="N663" t="str">
            <v>RH</v>
          </cell>
          <cell r="O663" t="str">
            <v>robertiagus.haposan@alamtri.com</v>
          </cell>
          <cell r="P663">
            <v>4300</v>
          </cell>
          <cell r="Q663">
            <v>75250000</v>
          </cell>
          <cell r="R663" t="str">
            <v>Rebid</v>
          </cell>
          <cell r="S663" t="str">
            <v>Previous PR PC0125-000000937</v>
          </cell>
          <cell r="T663" t="str">
            <v>MSW</v>
          </cell>
          <cell r="U663" t="str">
            <v>Kin Kitra Kencana, PT
Putera Instrumenindo, PT
Phoenix Bumiputera, PT
Lienetic Jaya, PT
Petrocom Nusa Synergy, PT
Trimitra Bangun Karyatama, PT
Indo Tehnik Tanjung Tabalong, PT
Alfa Teknik Mandiri Makmur, PT</v>
          </cell>
          <cell r="V663" t="str">
            <v>Kin Kitra Kencana, PT</v>
          </cell>
          <cell r="W663" t="str">
            <v>8 of 8</v>
          </cell>
          <cell r="X663" t="str">
            <v>1 of 8</v>
          </cell>
          <cell r="Y663">
            <v>45992</v>
          </cell>
          <cell r="Z663">
            <v>45999</v>
          </cell>
          <cell r="AA663" t="str">
            <v>Kin Kitra Kencana, PT
Putera Instrumenindo, PT
Outsourcindo, PT
Stanindo Artha Langgeng, PT
Aqpa Indonesia, PT
Sola Anugerah Oilfield, PT
Fadnov Airtech Indonesia, PT
Gevana, PT
Adijaya Mitra Perkasa, PT
Solusi Cita Mandala, PT
Dwijaya Sentral Sarana, PT</v>
          </cell>
          <cell r="AB663" t="str">
            <v>Kin Kitra Kencana, PT</v>
          </cell>
          <cell r="AC663" t="str">
            <v>11 of 11</v>
          </cell>
          <cell r="AD663" t="str">
            <v>1 of 11</v>
          </cell>
          <cell r="AE663">
            <v>46001</v>
          </cell>
          <cell r="AF663">
            <v>46008</v>
          </cell>
          <cell r="AG663" t="str">
            <v>Kin Kitra Kencana, PT
Andalan Tiga Berlian, PT
Norgantara Andalan Mandiri Indonesia, PT
Panca Global Solusindo, PT
Axel Jaya Cakraniaga, PT
ODG Nusantara Jaya, PT
Putra Andalan Perkasa, PT
Multitech Industrial Indonesia, PT
Mitra Wira Pratama, PT
Arita Prima Indonesia Tbk, PT</v>
          </cell>
          <cell r="AH663" t="str">
            <v>Kin Kitra Kencana, PT</v>
          </cell>
          <cell r="AI663" t="str">
            <v>10 of 10</v>
          </cell>
          <cell r="AJ663" t="str">
            <v>1 of 10</v>
          </cell>
          <cell r="AK663">
            <v>46027</v>
          </cell>
          <cell r="AL663">
            <v>46034</v>
          </cell>
          <cell r="AM663">
            <v>0.70833333333333304</v>
          </cell>
          <cell r="AO663" t="str">
            <v/>
          </cell>
          <cell r="AW663" t="str">
            <v/>
          </cell>
          <cell r="AX663" t="str">
            <v/>
          </cell>
          <cell r="AZ663" t="str">
            <v/>
          </cell>
          <cell r="BA663" t="str">
            <v/>
          </cell>
          <cell r="BB663" t="str">
            <v/>
          </cell>
          <cell r="BC663" t="str">
            <v>PC0126-000000583</v>
          </cell>
        </row>
        <row r="664">
          <cell r="B664" t="str">
            <v>PC0126-000000021 (Line 3)</v>
          </cell>
          <cell r="C664" t="str">
            <v>Spare part CCTV Operational</v>
          </cell>
          <cell r="D664" t="str">
            <v>Vhipa Mulia Pratama, PT (Line 2)
Kin Kitra Kencana, PT (Line 3)
Perwira Sentra Officindo, PT (Line 4)</v>
          </cell>
          <cell r="E664" t="str">
            <v>Greentek Elektrikal Indonesia, PT
Aka Prima Komputindo, PT
Perwira Sentra Officindo, PT
Indostar Security, PT
Berkat Jaya Komputindo, PT
Gridtech Indonesia, PT
Alfa Teknik Mandiri Makmur, PT</v>
          </cell>
          <cell r="F664" t="str">
            <v>Greentek Elektrikal Indonesia, PT
Aka Prima Komputindo, PT
Indostar Security, PT
Berkat Jaya Komputindo, PT</v>
          </cell>
          <cell r="G664" t="str">
            <v>R2
4 of 7
22 May 26</v>
          </cell>
          <cell r="H664" t="str">
            <v>BASUKI SETIYO WIDODO</v>
          </cell>
          <cell r="I664">
            <v>46030</v>
          </cell>
          <cell r="J664" t="str">
            <v>6100DB402</v>
          </cell>
          <cell r="K664" t="str">
            <v>B</v>
          </cell>
          <cell r="L664" t="str">
            <v>BID</v>
          </cell>
          <cell r="M664">
            <v>6</v>
          </cell>
          <cell r="N664" t="str">
            <v>RH</v>
          </cell>
          <cell r="O664" t="str">
            <v>robertiagus.haposan@alamtri.com</v>
          </cell>
          <cell r="P664">
            <v>1080</v>
          </cell>
          <cell r="Q664">
            <v>18900000</v>
          </cell>
          <cell r="R664" t="str">
            <v>CQS</v>
          </cell>
          <cell r="S664" t="str">
            <v>R0 di cancel krn ada permintaan dari user untuk mengikuti Note dalam PR</v>
          </cell>
          <cell r="T664" t="str">
            <v>MSW</v>
          </cell>
          <cell r="U664" t="str">
            <v>Kin Kitra Kencana, PT
Perwira Sentra Officindo, PT
Gema Industrial, PT
Berkat Pratama Teknik, CV
ALKS, CV
Vhipa Mulia Pratama, PT
Indostar Security, PT
Greentek Elektrikal Indonesia, PT
Gevana, PT
Aka Prima Komputindo, PT
Niaga Prima Paramitra, PT
Berkat Jaya Komputindo, PT</v>
          </cell>
          <cell r="V664" t="str">
            <v>Greentek Elektrikal Indonesia, PT
Aka Prima Komputindo, PT
Berkat Jaya Komputindo, PT</v>
          </cell>
          <cell r="W664" t="str">
            <v>12 of 12</v>
          </cell>
          <cell r="X664" t="str">
            <v>3 of 12</v>
          </cell>
          <cell r="Y664">
            <v>46030</v>
          </cell>
          <cell r="Z664">
            <v>46037</v>
          </cell>
          <cell r="AA664" t="str">
            <v>Greentek Elektrikal Indonesia, PT
Aka Prima Komputindo, PT
Berkat Jaya Komputindo, PT
Berkat Pratama Teknik, CV
ALKS, CV
Jaya Multi Usaha, CV
Perwira Sentra Officindo, PT
Indostar Security, PT</v>
          </cell>
          <cell r="AB664" t="str">
            <v>Greentek Elektrikal Indonesia, PT
Aka Prima Komputindo, PT
Perwira Sentra Officindo, PT
Indostar Security, PT</v>
          </cell>
          <cell r="AC664" t="str">
            <v>8 of 8</v>
          </cell>
          <cell r="AD664" t="str">
            <v>4 of 8</v>
          </cell>
          <cell r="AE664">
            <v>46055</v>
          </cell>
          <cell r="AF664">
            <v>46062</v>
          </cell>
          <cell r="AG664" t="str">
            <v>Greentek Elektrikal Indonesia, PT
Aka Prima Komputindo, PT
Perwira Sentra Officindo, PT
Indostar Security, PT
Berkat Jaya Komputindo, PT
Gridtech Indonesia, PT
Alfa Teknik Mandiri Makmur, PT</v>
          </cell>
          <cell r="AH664" t="str">
            <v>Greentek Elektrikal Indonesia, PT
Aka Prima Komputindo, PT
Indostar Security, PT
Berkat Jaya Komputindo, PT</v>
          </cell>
          <cell r="AI664" t="str">
            <v>7 of 7</v>
          </cell>
          <cell r="AJ664" t="str">
            <v>4 of 7</v>
          </cell>
          <cell r="AK664">
            <v>46155</v>
          </cell>
          <cell r="AL664">
            <v>46164</v>
          </cell>
          <cell r="AM664">
            <v>0.70833333333333304</v>
          </cell>
          <cell r="AO664" t="str">
            <v/>
          </cell>
          <cell r="AR664">
            <v>46168</v>
          </cell>
          <cell r="AW664" t="str">
            <v/>
          </cell>
          <cell r="AX664" t="str">
            <v/>
          </cell>
          <cell r="AZ664" t="str">
            <v/>
          </cell>
          <cell r="BA664" t="str">
            <v/>
          </cell>
          <cell r="BB664" t="str">
            <v/>
          </cell>
          <cell r="BC664" t="str">
            <v>PC0126-000000021</v>
          </cell>
        </row>
        <row r="665">
          <cell r="B665" t="str">
            <v>PC0126-000001649</v>
          </cell>
          <cell r="C665" t="str">
            <v>Level Transmitter ultrasonic for LDO TANK BSDG</v>
          </cell>
          <cell r="D665" t="str">
            <v>Gading Mas Utama, PT</v>
          </cell>
          <cell r="E665" t="str">
            <v>Gading Mas Utama, PT
Putera Instrumenindo, PT
Antares Jaya Gemilang Prima, PT
Gevana, PT
Total Solusi Instrument, PT
Stanindo Artha Langgeng, PT
Gema Industrial, PT
Outsourcindo, PT
Dwihasta Pirusa, PT
Greentek Elektrikal Indonesia, PT
Sola Anugerah Oilfield, PT
Perwira Sentra Officindo, PT
Anugrah Mandiri Putra Tabalong, PT
Lotus Inti Pratama, PT
Haji Usnan Electric, CV</v>
          </cell>
          <cell r="F665" t="str">
            <v>Gading Mas Utama, PT
Antares Jaya Gemilang Prima, PT
Gevana, PT
Total Solusi Instrument, PT
Gema Industrial, PT
Greentek Elektrikal Indonesia, PT
Sola Anugerah Oilfield, PT
Perwira Sentra Officindo, PT
Lotus Inti Pratama, PT</v>
          </cell>
          <cell r="G665" t="str">
            <v>R0
9 of 15
22 May 26</v>
          </cell>
          <cell r="H665" t="str">
            <v>ZAINI YUSUF</v>
          </cell>
          <cell r="I665">
            <v>46155</v>
          </cell>
          <cell r="J665" t="str">
            <v>6100DB402</v>
          </cell>
          <cell r="K665" t="str">
            <v>B</v>
          </cell>
          <cell r="L665" t="str">
            <v>BID</v>
          </cell>
          <cell r="M665">
            <v>79</v>
          </cell>
          <cell r="N665" t="str">
            <v>RH</v>
          </cell>
          <cell r="O665" t="str">
            <v>robertiagus.haposan@alamtri.com</v>
          </cell>
          <cell r="P665">
            <v>972</v>
          </cell>
          <cell r="Q665">
            <v>17010000</v>
          </cell>
          <cell r="R665" t="str">
            <v>CQS</v>
          </cell>
          <cell r="T665" t="str">
            <v>MSW</v>
          </cell>
          <cell r="U665" t="str">
            <v>Gading Mas Utama, PT
Putera Instrumenindo, PT
Antares Jaya Gemilang Prima, PT
Gevana, PT
Total Solusi Instrument, PT
Stanindo Artha Langgeng, PT
Gema Industrial, PT
Outsourcindo, PT
Dwihasta Pirusa, PT
Greentek Elektrikal Indonesia, PT
Sola Anugerah Oilfield, PT
Perwira Sentra Officindo, PT
Anugrah Mandiri Putra Tabalong, PT
Lotus Inti Pratama, PT
Haji Usnan Electric, CV</v>
          </cell>
          <cell r="V665" t="str">
            <v>Gading Mas Utama, PT
Antares Jaya Gemilang Prima, PT
Gevana, PT
Total Solusi Instrument, PT
Gema Industrial, PT
Greentek Elektrikal Indonesia, PT
Sola Anugerah Oilfield, PT
Perwira Sentra Officindo, PT
Lotus Inti Pratama, PT</v>
          </cell>
          <cell r="W665" t="str">
            <v>15 of 15</v>
          </cell>
          <cell r="X665" t="str">
            <v>9 of 15</v>
          </cell>
          <cell r="Y665">
            <v>46155</v>
          </cell>
          <cell r="Z665">
            <v>46164</v>
          </cell>
          <cell r="AC665" t="str">
            <v xml:space="preserve"> of </v>
          </cell>
          <cell r="AD665" t="str">
            <v xml:space="preserve"> of </v>
          </cell>
          <cell r="AF665" t="str">
            <v/>
          </cell>
          <cell r="AI665" t="str">
            <v xml:space="preserve"> of </v>
          </cell>
          <cell r="AJ665" t="str">
            <v xml:space="preserve"> of </v>
          </cell>
          <cell r="AL665" t="str">
            <v/>
          </cell>
          <cell r="AM665">
            <v>0.70833333333333304</v>
          </cell>
          <cell r="AN665" t="str">
            <v>Antares Jaya Gemilang Prima, PT</v>
          </cell>
          <cell r="AO665" t="str">
            <v/>
          </cell>
          <cell r="AP665" t="str">
            <v>6100-PC0626-00445</v>
          </cell>
          <cell r="AQ665">
            <v>31000000</v>
          </cell>
          <cell r="AR665">
            <v>46168</v>
          </cell>
          <cell r="AS665">
            <v>46189</v>
          </cell>
          <cell r="AT665">
            <v>46195</v>
          </cell>
          <cell r="AU665">
            <v>46297</v>
          </cell>
          <cell r="AV665">
            <v>46203</v>
          </cell>
          <cell r="AW665" t="str">
            <v/>
          </cell>
          <cell r="AX665" t="str">
            <v/>
          </cell>
          <cell r="AZ665" t="str">
            <v/>
          </cell>
          <cell r="BA665" t="str">
            <v/>
          </cell>
          <cell r="BB665" t="str">
            <v/>
          </cell>
          <cell r="BC665" t="str">
            <v>PC0126-000001649</v>
          </cell>
        </row>
        <row r="666">
          <cell r="B666" t="str">
            <v>PC0126-000001687</v>
          </cell>
          <cell r="C666" t="str">
            <v>Pengukuran dan Pemantauan Lingkungan Kerja</v>
          </cell>
          <cell r="D666" t="str">
            <v>Unilab Perdana, PT</v>
          </cell>
          <cell r="E666" t="str">
            <v>Unilab Perdana, PT
Kehatilab Indonesia, PT
Sucofindo, PT
Envilab Indonesia, PT
Surveyor Indonesia, PT
Adhikarilab Indonesia, PT
Advanced Analytics Asia Laboratories, PT
Halqilab Karya Indonesia, PT
Genau Loka Gantari, PT</v>
          </cell>
          <cell r="F666" t="str">
            <v/>
          </cell>
          <cell r="G666" t="str">
            <v>R0
 of 9
15 Jun 26</v>
          </cell>
          <cell r="H666" t="str">
            <v>IKHSAN RIFANI</v>
          </cell>
          <cell r="I666">
            <v>46176</v>
          </cell>
          <cell r="J666" t="str">
            <v>6100DE720</v>
          </cell>
          <cell r="K666" t="str">
            <v>J</v>
          </cell>
          <cell r="L666" t="str">
            <v>BID</v>
          </cell>
          <cell r="M666">
            <v>83</v>
          </cell>
          <cell r="N666" t="str">
            <v>RH</v>
          </cell>
          <cell r="O666" t="str">
            <v>robertiagus.haposan@alamtri.com</v>
          </cell>
          <cell r="P666">
            <v>12215</v>
          </cell>
          <cell r="Q666">
            <v>213762500</v>
          </cell>
          <cell r="R666" t="str">
            <v>Create BL</v>
          </cell>
          <cell r="T666" t="str">
            <v>MSW</v>
          </cell>
          <cell r="U666" t="str">
            <v>Unilab Perdana, PT
Kehatilab Indonesia, PT
Sucofindo, PT
Envilab Indonesia, PT
Surveyor Indonesia, PT
Adhikarilab Indonesia, PT
Advanced Analytics Asia Laboratories, PT
Halqilab Karya Indonesia, PT
Genau Loka Gantari, PT</v>
          </cell>
          <cell r="W666" t="str">
            <v>9 of 9</v>
          </cell>
          <cell r="X666" t="str">
            <v xml:space="preserve"> of 9</v>
          </cell>
          <cell r="Y666">
            <v>46175</v>
          </cell>
          <cell r="Z666">
            <v>46188</v>
          </cell>
          <cell r="AC666" t="str">
            <v xml:space="preserve"> of </v>
          </cell>
          <cell r="AD666" t="str">
            <v xml:space="preserve"> of </v>
          </cell>
          <cell r="AF666" t="str">
            <v/>
          </cell>
          <cell r="AI666" t="str">
            <v xml:space="preserve"> of </v>
          </cell>
          <cell r="AJ666" t="str">
            <v xml:space="preserve"> of </v>
          </cell>
          <cell r="AL666" t="str">
            <v/>
          </cell>
          <cell r="AM666">
            <v>0.70833333333333304</v>
          </cell>
          <cell r="AO666" t="str">
            <v/>
          </cell>
          <cell r="AW666" t="str">
            <v/>
          </cell>
          <cell r="AX666" t="str">
            <v/>
          </cell>
          <cell r="AZ666" t="str">
            <v/>
          </cell>
          <cell r="BA666" t="str">
            <v/>
          </cell>
          <cell r="BB666" t="str">
            <v/>
          </cell>
          <cell r="BC666" t="str">
            <v>PC0126-000001687</v>
          </cell>
        </row>
        <row r="667">
          <cell r="B667" t="str">
            <v>PC0126-000001756</v>
          </cell>
          <cell r="C667" t="str">
            <v>Jasa asistensi perolehan dokumen Kesesuaian Kegiatan Pemanfaatan Ruang (KKPR) PT MSW</v>
          </cell>
          <cell r="E667" t="str">
            <v/>
          </cell>
          <cell r="F667" t="str">
            <v/>
          </cell>
          <cell r="G667" t="str">
            <v/>
          </cell>
          <cell r="H667" t="str">
            <v>ARYO BASKORO</v>
          </cell>
          <cell r="I667">
            <v>46168</v>
          </cell>
          <cell r="J667" t="str">
            <v>6100DE720</v>
          </cell>
          <cell r="K667" t="str">
            <v>J</v>
          </cell>
          <cell r="L667" t="str">
            <v>IOM</v>
          </cell>
          <cell r="N667" t="str">
            <v>RH</v>
          </cell>
          <cell r="O667" t="str">
            <v>robertiagus.haposan@alamtri.com</v>
          </cell>
          <cell r="P667">
            <v>55000</v>
          </cell>
          <cell r="Q667">
            <v>962500000</v>
          </cell>
          <cell r="R667" t="str">
            <v>PO Sign Vendor</v>
          </cell>
          <cell r="T667" t="str">
            <v>MSW</v>
          </cell>
          <cell r="W667" t="str">
            <v xml:space="preserve"> of </v>
          </cell>
          <cell r="X667" t="str">
            <v xml:space="preserve"> of </v>
          </cell>
          <cell r="Z667" t="str">
            <v/>
          </cell>
          <cell r="AC667" t="str">
            <v xml:space="preserve"> of </v>
          </cell>
          <cell r="AD667" t="str">
            <v xml:space="preserve"> of </v>
          </cell>
          <cell r="AF667" t="str">
            <v/>
          </cell>
          <cell r="AI667" t="str">
            <v xml:space="preserve"> of </v>
          </cell>
          <cell r="AJ667" t="str">
            <v xml:space="preserve"> of </v>
          </cell>
          <cell r="AL667" t="str">
            <v/>
          </cell>
          <cell r="AM667">
            <v>0.70833333333333304</v>
          </cell>
          <cell r="AN667" t="str">
            <v>Adaro Persada Mandiri, PT</v>
          </cell>
          <cell r="AO667" t="str">
            <v>noer.ikhsan.firdaus@adaro.com; andi.asnaedi@adaro.com; dwi.sari@adaro.com</v>
          </cell>
          <cell r="AP667" t="str">
            <v>6100-PC0626-00372</v>
          </cell>
          <cell r="AQ667">
            <v>795206000</v>
          </cell>
          <cell r="AT667">
            <v>46168</v>
          </cell>
          <cell r="AU667">
            <v>46269</v>
          </cell>
          <cell r="AV667">
            <v>46170</v>
          </cell>
          <cell r="AW667">
            <v>46271</v>
          </cell>
          <cell r="AX667">
            <v>14.428571428571429</v>
          </cell>
          <cell r="AZ667" t="str">
            <v/>
          </cell>
          <cell r="BA667" t="str">
            <v/>
          </cell>
          <cell r="BB667" t="str">
            <v>Completed</v>
          </cell>
          <cell r="BC667" t="str">
            <v>PC0126-000001756</v>
          </cell>
        </row>
        <row r="668">
          <cell r="B668" t="str">
            <v>PC0126-000001804</v>
          </cell>
          <cell r="C668" t="str">
            <v>Jasa Pengurusan Persetujuan Tarif Tenaga Listrik MSW</v>
          </cell>
          <cell r="E668">
            <v>0</v>
          </cell>
          <cell r="F668" t="str">
            <v/>
          </cell>
          <cell r="G668" t="str">
            <v/>
          </cell>
          <cell r="H668" t="str">
            <v>ARYO BASKORO</v>
          </cell>
          <cell r="I668">
            <v>46163</v>
          </cell>
          <cell r="J668" t="str">
            <v>6100DE720</v>
          </cell>
          <cell r="K668" t="str">
            <v>J</v>
          </cell>
          <cell r="L668" t="str">
            <v>CTR</v>
          </cell>
          <cell r="N668" t="str">
            <v>RH</v>
          </cell>
          <cell r="O668" t="str">
            <v>robertiagus.haposan@alamtri.com</v>
          </cell>
          <cell r="Q668">
            <v>4450000000</v>
          </cell>
          <cell r="R668" t="str">
            <v>Completed Sign PO Contract</v>
          </cell>
          <cell r="T668" t="str">
            <v>MSW</v>
          </cell>
          <cell r="W668" t="str">
            <v xml:space="preserve"> of </v>
          </cell>
          <cell r="X668" t="str">
            <v xml:space="preserve"> of </v>
          </cell>
          <cell r="Z668" t="str">
            <v/>
          </cell>
          <cell r="AC668" t="str">
            <v xml:space="preserve"> of </v>
          </cell>
          <cell r="AD668" t="str">
            <v xml:space="preserve"> of </v>
          </cell>
          <cell r="AF668" t="str">
            <v/>
          </cell>
          <cell r="AI668" t="str">
            <v xml:space="preserve"> of </v>
          </cell>
          <cell r="AJ668" t="str">
            <v xml:space="preserve"> of </v>
          </cell>
          <cell r="AL668" t="str">
            <v/>
          </cell>
          <cell r="AM668">
            <v>0.70833333333333304</v>
          </cell>
          <cell r="AN668" t="str">
            <v>Bright Sinergi Global, PT</v>
          </cell>
          <cell r="AO668" t="str">
            <v>info@brightsinergi.co.id</v>
          </cell>
          <cell r="AP668" t="str">
            <v>6100-PC0626-00357</v>
          </cell>
          <cell r="AQ668">
            <v>4450000000</v>
          </cell>
          <cell r="AT668">
            <v>46163</v>
          </cell>
          <cell r="AU668">
            <v>46387</v>
          </cell>
          <cell r="AV668">
            <v>46164</v>
          </cell>
          <cell r="AW668">
            <v>46388</v>
          </cell>
          <cell r="AX668">
            <v>32</v>
          </cell>
          <cell r="AZ668" t="str">
            <v/>
          </cell>
          <cell r="BA668" t="str">
            <v/>
          </cell>
          <cell r="BB668" t="str">
            <v>Completed</v>
          </cell>
          <cell r="BC668" t="str">
            <v>PC0126-000001804</v>
          </cell>
        </row>
        <row r="669">
          <cell r="B669" t="str">
            <v>PC0126-000001304</v>
          </cell>
          <cell r="C669" t="str">
            <v>Spare part Turbine Actuator G TEAM</v>
          </cell>
          <cell r="E669" t="str">
            <v>Adijaya Mitra Perkasa, PT
Lotus Inti Pratama, PT
Lienetic Jaya, PT
Andalan Tiga Berlian, PT
Artam Borneo Automatika, PT
Alfa Teknik Mandiri Makmur, PT
Solusi Cita Mandala, PT
Karya Energi Indonesia, PT
Outsourcindo, PT
Gevana, PT
Gridtech Indonesia, PT</v>
          </cell>
          <cell r="F669" t="str">
            <v/>
          </cell>
          <cell r="G669" t="str">
            <v>R0
 of 11
05 Jun 26</v>
          </cell>
          <cell r="H669" t="str">
            <v>ZAINI YUSUF</v>
          </cell>
          <cell r="I669">
            <v>46168</v>
          </cell>
          <cell r="J669" t="str">
            <v>6100DB402</v>
          </cell>
          <cell r="K669" t="str">
            <v>B</v>
          </cell>
          <cell r="L669" t="str">
            <v>BID</v>
          </cell>
          <cell r="M669">
            <v>80</v>
          </cell>
          <cell r="N669" t="str">
            <v>RH</v>
          </cell>
          <cell r="O669" t="str">
            <v>robertiagus.haposan@alamtri.com</v>
          </cell>
          <cell r="P669">
            <v>1900</v>
          </cell>
          <cell r="Q669">
            <v>33250000</v>
          </cell>
          <cell r="R669" t="str">
            <v>RFQ</v>
          </cell>
          <cell r="T669" t="str">
            <v>MSW</v>
          </cell>
          <cell r="U669" t="str">
            <v>Adijaya Mitra Perkasa, PT
Lotus Inti Pratama, PT
Lienetic Jaya, PT
Andalan Tiga Berlian, PT
Artam Borneo Automatika, PT
Alfa Teknik Mandiri Makmur, PT
Solusi Cita Mandala, PT
Karya Energi Indonesia, PT
Outsourcindo, PT
Gevana, PT
Gridtech Indonesia, PT</v>
          </cell>
          <cell r="W669" t="str">
            <v>11 of 11</v>
          </cell>
          <cell r="X669" t="str">
            <v xml:space="preserve"> of 11</v>
          </cell>
          <cell r="Y669">
            <v>46168</v>
          </cell>
          <cell r="Z669">
            <v>46178</v>
          </cell>
          <cell r="AC669" t="str">
            <v xml:space="preserve"> of </v>
          </cell>
          <cell r="AD669" t="str">
            <v xml:space="preserve"> of </v>
          </cell>
          <cell r="AF669" t="str">
            <v/>
          </cell>
          <cell r="AI669" t="str">
            <v xml:space="preserve"> of </v>
          </cell>
          <cell r="AJ669" t="str">
            <v xml:space="preserve"> of </v>
          </cell>
          <cell r="AL669" t="str">
            <v/>
          </cell>
          <cell r="AM669">
            <v>0.70833333333333304</v>
          </cell>
          <cell r="AO669" t="str">
            <v/>
          </cell>
          <cell r="AW669" t="str">
            <v/>
          </cell>
          <cell r="AX669" t="str">
            <v/>
          </cell>
          <cell r="AZ669" t="str">
            <v/>
          </cell>
          <cell r="BA669" t="str">
            <v/>
          </cell>
          <cell r="BB669" t="str">
            <v/>
          </cell>
          <cell r="BC669" t="str">
            <v>PC0126-000001304</v>
          </cell>
        </row>
        <row r="670">
          <cell r="B670" t="str">
            <v>PC0126-000001801</v>
          </cell>
          <cell r="C670" t="str">
            <v>Spare part Battery FIAMM 2V 620Ah for AC UPS AEG</v>
          </cell>
          <cell r="D670" t="str">
            <v>Westindo Esa Perkasa, PT</v>
          </cell>
          <cell r="E670" t="str">
            <v>Westindo Esa Perkasa, PT
Gridtech Indonesia, PT
Lienetic Jaya, PT
Lotus Inti Pratama, PT
Jaya Induksi Elektrik, PT</v>
          </cell>
          <cell r="F670" t="str">
            <v/>
          </cell>
          <cell r="G670" t="str">
            <v>R0
 of 5
05 Jun 26</v>
          </cell>
          <cell r="H670" t="str">
            <v>DEDE SUDARJI</v>
          </cell>
          <cell r="I670">
            <v>46168</v>
          </cell>
          <cell r="J670" t="str">
            <v>6100DB402</v>
          </cell>
          <cell r="K670" t="str">
            <v>B</v>
          </cell>
          <cell r="L670" t="str">
            <v>BID</v>
          </cell>
          <cell r="M670">
            <v>81</v>
          </cell>
          <cell r="N670" t="str">
            <v>RH</v>
          </cell>
          <cell r="O670" t="str">
            <v>robertiagus.haposan@alamtri.com</v>
          </cell>
          <cell r="P670">
            <v>2300.5700000000002</v>
          </cell>
          <cell r="Q670">
            <v>40259975</v>
          </cell>
          <cell r="R670" t="str">
            <v>RFQ</v>
          </cell>
          <cell r="T670" t="str">
            <v>MSW</v>
          </cell>
          <cell r="U670" t="str">
            <v>Westindo Esa Perkasa, PT
Gridtech Indonesia, PT
Lienetic Jaya, PT
Lotus Inti Pratama, PT
Jaya Induksi Elektrik, PT</v>
          </cell>
          <cell r="V670" t="str">
            <v>Gridtech Indonesia, PT
Lienetic Jaya, PT</v>
          </cell>
          <cell r="W670" t="str">
            <v>5 of 5</v>
          </cell>
          <cell r="X670" t="str">
            <v xml:space="preserve"> of 5</v>
          </cell>
          <cell r="Y670">
            <v>46168</v>
          </cell>
          <cell r="Z670">
            <v>46178</v>
          </cell>
          <cell r="AA670" t="str">
            <v>Westindo Esa Perkasa, PT
Lotus Inti Pratama, PT
Lienetic Jaya, PT
Gridtech Indonesia, PT</v>
          </cell>
          <cell r="AC670" t="str">
            <v xml:space="preserve"> of </v>
          </cell>
          <cell r="AD670" t="str">
            <v xml:space="preserve"> of </v>
          </cell>
          <cell r="AE670">
            <v>46190</v>
          </cell>
          <cell r="AF670" t="str">
            <v/>
          </cell>
          <cell r="AI670" t="str">
            <v xml:space="preserve"> of </v>
          </cell>
          <cell r="AJ670" t="str">
            <v xml:space="preserve"> of </v>
          </cell>
          <cell r="AL670" t="str">
            <v/>
          </cell>
          <cell r="AM670">
            <v>0.70833333333333304</v>
          </cell>
          <cell r="AO670" t="str">
            <v/>
          </cell>
          <cell r="AW670" t="str">
            <v/>
          </cell>
          <cell r="AX670" t="str">
            <v/>
          </cell>
          <cell r="AZ670" t="str">
            <v/>
          </cell>
          <cell r="BA670" t="str">
            <v/>
          </cell>
          <cell r="BB670" t="str">
            <v/>
          </cell>
          <cell r="BC670" t="str">
            <v>PC0126-000001801</v>
          </cell>
        </row>
        <row r="671">
          <cell r="B671" t="str">
            <v>PC0126-000001841</v>
          </cell>
          <cell r="C671" t="str">
            <v>Jasa Troubleshooting dan Service Control System ABB</v>
          </cell>
          <cell r="E671" t="str">
            <v>ABB Sakti Industri, PT
SWTS Indonesia, PT
Promitra Prima Indonesia, PT
Buana Cahayatama, PT</v>
          </cell>
          <cell r="F671" t="str">
            <v/>
          </cell>
          <cell r="G671" t="str">
            <v>R0
 of 4
10 Jun 26</v>
          </cell>
          <cell r="H671" t="str">
            <v>DEDE SUDARJI</v>
          </cell>
          <cell r="I671">
            <v>46176</v>
          </cell>
          <cell r="J671" t="str">
            <v>6100DB402</v>
          </cell>
          <cell r="K671" t="str">
            <v>B &amp; J</v>
          </cell>
          <cell r="L671" t="str">
            <v>BID</v>
          </cell>
          <cell r="M671">
            <v>91</v>
          </cell>
          <cell r="N671" t="str">
            <v>RH</v>
          </cell>
          <cell r="O671" t="str">
            <v>robertiagus.haposan@alamtri.com</v>
          </cell>
          <cell r="P671">
            <v>5722.46</v>
          </cell>
          <cell r="Q671">
            <v>100143050</v>
          </cell>
          <cell r="R671" t="str">
            <v>RFQ</v>
          </cell>
          <cell r="T671" t="str">
            <v>MSW</v>
          </cell>
          <cell r="U671" t="str">
            <v>ABB Sakti Industri, PT
SWTS Indonesia, PT
Promitra Prima Indonesia, PT
Buana Cahayatama, PT</v>
          </cell>
          <cell r="V671" t="str">
            <v>ABB Sakti Industri, PT</v>
          </cell>
          <cell r="W671" t="str">
            <v>4 of 4</v>
          </cell>
          <cell r="X671" t="str">
            <v xml:space="preserve"> of 4</v>
          </cell>
          <cell r="Y671">
            <v>46176</v>
          </cell>
          <cell r="Z671">
            <v>46183</v>
          </cell>
          <cell r="AA671" t="str">
            <v>ABB Sakti Industri, PT</v>
          </cell>
          <cell r="AC671" t="str">
            <v xml:space="preserve"> of </v>
          </cell>
          <cell r="AD671" t="str">
            <v xml:space="preserve"> of </v>
          </cell>
          <cell r="AF671" t="str">
            <v/>
          </cell>
          <cell r="AI671" t="str">
            <v xml:space="preserve"> of </v>
          </cell>
          <cell r="AJ671" t="str">
            <v xml:space="preserve"> of </v>
          </cell>
          <cell r="AL671" t="str">
            <v/>
          </cell>
          <cell r="AM671">
            <v>0.70833333333333304</v>
          </cell>
          <cell r="AO671" t="str">
            <v/>
          </cell>
          <cell r="AW671" t="str">
            <v/>
          </cell>
          <cell r="AX671" t="str">
            <v/>
          </cell>
          <cell r="AZ671" t="str">
            <v/>
          </cell>
          <cell r="BA671" t="str">
            <v/>
          </cell>
          <cell r="BB671" t="str">
            <v/>
          </cell>
          <cell r="BC671" t="str">
            <v>PC0126-000001841</v>
          </cell>
        </row>
        <row r="672">
          <cell r="B672" t="str">
            <v>PC0126-000001887</v>
          </cell>
          <cell r="C672" t="str">
            <v>Re-Sertifikasi Sistem Manajemen MSW</v>
          </cell>
          <cell r="E672" t="str">
            <v>TUV SUD Indonesia, PT
Sucofindo, PT
Surveyor Indonesia, PT
Mutu Indonesia Gemilang Global, PT
Sertifikasi Mandiri Sejahtera, PT
SGS Indonesia, PT
Eshael Indonesia, PT</v>
          </cell>
          <cell r="F672" t="str">
            <v/>
          </cell>
          <cell r="G672" t="str">
            <v>R0
 of 7
09 Jun 26</v>
          </cell>
          <cell r="H672" t="str">
            <v>ARYO BASKORO</v>
          </cell>
          <cell r="I672">
            <v>46176</v>
          </cell>
          <cell r="J672" t="str">
            <v>6100DE720</v>
          </cell>
          <cell r="K672" t="str">
            <v>J</v>
          </cell>
          <cell r="L672" t="str">
            <v>BID</v>
          </cell>
          <cell r="M672">
            <v>82</v>
          </cell>
          <cell r="N672" t="str">
            <v>RH</v>
          </cell>
          <cell r="O672" t="str">
            <v>robertiagus.haposan@alamtri.com</v>
          </cell>
          <cell r="P672">
            <v>11900</v>
          </cell>
          <cell r="Q672">
            <v>211820000</v>
          </cell>
          <cell r="R672" t="str">
            <v>RFQ</v>
          </cell>
          <cell r="T672" t="str">
            <v>MSW</v>
          </cell>
          <cell r="U672" t="str">
            <v>TUV SUD Indonesia, PT
Sucofindo, PT
Surveyor Indonesia, PT
Mutu Indonesia Gemilang Global, PT
Sertifikasi Mandiri Sejahtera, PT
SGS Indonesia, PT
Eshael Indonesia, PT</v>
          </cell>
          <cell r="V672" t="str">
            <v>TUV SUD Indonesia, PT
SGS Indonesia, PT</v>
          </cell>
          <cell r="W672" t="str">
            <v>7 of 7</v>
          </cell>
          <cell r="X672" t="str">
            <v xml:space="preserve"> of 7</v>
          </cell>
          <cell r="Y672">
            <v>46175</v>
          </cell>
          <cell r="Z672">
            <v>46182</v>
          </cell>
          <cell r="AA672" t="str">
            <v>TUV SUD Indonesia, PT
SGS Indonesia, PT
Business Systems Certification , PT</v>
          </cell>
          <cell r="AB672" t="str">
            <v>TUV SUD Indonesia, PT
SGS Indonesia, PT</v>
          </cell>
          <cell r="AC672" t="str">
            <v xml:space="preserve"> of </v>
          </cell>
          <cell r="AD672" t="str">
            <v xml:space="preserve"> of </v>
          </cell>
          <cell r="AE672">
            <v>46205</v>
          </cell>
          <cell r="AF672" t="str">
            <v/>
          </cell>
          <cell r="AG672" t="str">
            <v>TUV SUD Indonesia, PT
SGS Indonesia, PT
Business Systems Certification , PT</v>
          </cell>
          <cell r="AI672" t="str">
            <v xml:space="preserve"> of </v>
          </cell>
          <cell r="AJ672" t="str">
            <v xml:space="preserve"> of </v>
          </cell>
          <cell r="AK672">
            <v>46216</v>
          </cell>
          <cell r="AL672" t="str">
            <v/>
          </cell>
          <cell r="AM672">
            <v>0.70833333333333304</v>
          </cell>
          <cell r="AO672" t="str">
            <v/>
          </cell>
          <cell r="AW672" t="str">
            <v/>
          </cell>
          <cell r="AX672" t="str">
            <v/>
          </cell>
          <cell r="AZ672" t="str">
            <v/>
          </cell>
          <cell r="BA672" t="str">
            <v/>
          </cell>
          <cell r="BB672" t="str">
            <v/>
          </cell>
          <cell r="BC672" t="str">
            <v>PC0126-000001887</v>
          </cell>
        </row>
        <row r="673">
          <cell r="B673" t="str">
            <v>PC0126-000001843</v>
          </cell>
          <cell r="C673" t="str">
            <v>Spare parts for instrument air quality controllers</v>
          </cell>
          <cell r="D673" t="str">
            <v>SMC Automation Indonesia, PT</v>
          </cell>
          <cell r="E673" t="str">
            <v/>
          </cell>
          <cell r="F673" t="str">
            <v/>
          </cell>
          <cell r="G673" t="str">
            <v/>
          </cell>
          <cell r="H673" t="str">
            <v>DEDE SUDARJI</v>
          </cell>
          <cell r="I673">
            <v>46182</v>
          </cell>
          <cell r="J673" t="str">
            <v>6100DB402</v>
          </cell>
          <cell r="K673" t="str">
            <v>B</v>
          </cell>
          <cell r="L673" t="str">
            <v>BID</v>
          </cell>
          <cell r="M673">
            <v>94</v>
          </cell>
          <cell r="N673" t="str">
            <v>RH</v>
          </cell>
          <cell r="O673" t="str">
            <v/>
          </cell>
          <cell r="P673">
            <v>786.3</v>
          </cell>
          <cell r="Q673" t="str">
            <v/>
          </cell>
          <cell r="R673" t="str">
            <v>RFQ</v>
          </cell>
          <cell r="T673" t="str">
            <v>MSW</v>
          </cell>
          <cell r="U673" t="str">
            <v>SMC Automation Indonesia, PT
Gading Mas Utama, PT
Axel Jaya Cakraniaga, PT
Lotus Inti Pratama, PT
Raja Listrik Indonesia, PT
Outsourcindo, PT
Dwihasta Pirusa, PT
Rande Buana Teknik, PT
Karya Energi Indonesia, PT
Trimitra Bangun Karyatama, PT</v>
          </cell>
          <cell r="W673" t="str">
            <v xml:space="preserve"> of </v>
          </cell>
          <cell r="X673" t="str">
            <v xml:space="preserve"> of </v>
          </cell>
          <cell r="Y673">
            <v>46190</v>
          </cell>
          <cell r="Z673" t="str">
            <v/>
          </cell>
          <cell r="AC673" t="str">
            <v xml:space="preserve"> of </v>
          </cell>
          <cell r="AD673" t="str">
            <v xml:space="preserve"> of </v>
          </cell>
          <cell r="AF673" t="str">
            <v/>
          </cell>
          <cell r="AI673" t="str">
            <v xml:space="preserve"> of </v>
          </cell>
          <cell r="AJ673" t="str">
            <v xml:space="preserve"> of </v>
          </cell>
          <cell r="AL673" t="str">
            <v/>
          </cell>
          <cell r="AM673">
            <v>0.70833333333333304</v>
          </cell>
          <cell r="AO673" t="str">
            <v/>
          </cell>
          <cell r="AW673" t="str">
            <v/>
          </cell>
          <cell r="AX673" t="str">
            <v/>
          </cell>
          <cell r="AZ673" t="str">
            <v/>
          </cell>
          <cell r="BA673" t="str">
            <v/>
          </cell>
          <cell r="BB673" t="str">
            <v/>
          </cell>
          <cell r="BC673" t="str">
            <v/>
          </cell>
        </row>
        <row r="674">
          <cell r="B674" t="str">
            <v>PC0126-000001583</v>
          </cell>
          <cell r="C674" t="str">
            <v>Sparepart Rolling Door for Warehouse Building</v>
          </cell>
          <cell r="D674" t="str">
            <v>Greentek Elektrikal Indonesia, PT - Line 1</v>
          </cell>
          <cell r="E674" t="str">
            <v/>
          </cell>
          <cell r="F674" t="str">
            <v/>
          </cell>
          <cell r="G674" t="str">
            <v/>
          </cell>
          <cell r="H674" t="str">
            <v>DEDE SUDARJI</v>
          </cell>
          <cell r="I674">
            <v>46182</v>
          </cell>
          <cell r="J674" t="str">
            <v>6100DB402</v>
          </cell>
          <cell r="K674" t="str">
            <v>B</v>
          </cell>
          <cell r="L674" t="str">
            <v>BID</v>
          </cell>
          <cell r="M674">
            <v>95</v>
          </cell>
          <cell r="N674" t="str">
            <v>RH</v>
          </cell>
          <cell r="O674" t="str">
            <v/>
          </cell>
          <cell r="P674">
            <v>1291.77</v>
          </cell>
          <cell r="Q674" t="str">
            <v/>
          </cell>
          <cell r="R674" t="str">
            <v>RFQ</v>
          </cell>
          <cell r="T674" t="str">
            <v>MSW</v>
          </cell>
          <cell r="U674" t="str">
            <v>Greentek Elektrikal Indonesia, PT
Lotus Inti Pratama, PT
Axel Jaya Cakraniaga, PT
Perwira Sentra Officindo, PT
Vhipa Mulia Pratama, PT
Aneka Alat Teknik, CV
Central Elektrindo Mandiri, PT
Sola Anugerah Oilfield, PT
Anugrah Mandiri Putra Tabalong, PT
Gridtech Indonesia, PT</v>
          </cell>
          <cell r="W674" t="str">
            <v xml:space="preserve"> of </v>
          </cell>
          <cell r="X674" t="str">
            <v xml:space="preserve"> of </v>
          </cell>
          <cell r="Y674">
            <v>46190</v>
          </cell>
          <cell r="Z674" t="str">
            <v/>
          </cell>
          <cell r="AC674" t="str">
            <v xml:space="preserve"> of </v>
          </cell>
          <cell r="AD674" t="str">
            <v xml:space="preserve"> of </v>
          </cell>
          <cell r="AF674" t="str">
            <v/>
          </cell>
          <cell r="AI674" t="str">
            <v xml:space="preserve"> of </v>
          </cell>
          <cell r="AJ674" t="str">
            <v xml:space="preserve"> of </v>
          </cell>
          <cell r="AL674" t="str">
            <v/>
          </cell>
          <cell r="AM674">
            <v>0.70833333333333304</v>
          </cell>
          <cell r="AO674" t="str">
            <v/>
          </cell>
          <cell r="AW674" t="str">
            <v/>
          </cell>
          <cell r="AX674" t="str">
            <v/>
          </cell>
          <cell r="AZ674" t="str">
            <v/>
          </cell>
          <cell r="BA674" t="str">
            <v/>
          </cell>
          <cell r="BB674" t="str">
            <v/>
          </cell>
          <cell r="BC674" t="str">
            <v/>
          </cell>
        </row>
        <row r="675">
          <cell r="B675" t="str">
            <v>PC0126-000000580 (Line 3-4)</v>
          </cell>
          <cell r="C675" t="str">
            <v>Spare Part Transmitter EIC</v>
          </cell>
          <cell r="D675" t="str">
            <v>Kin Kitra Kencana, PT (Line 1-2)
Sahara Persada (Line 3)
Gema Industrial, PT (Line 4)</v>
          </cell>
          <cell r="E675" t="str">
            <v/>
          </cell>
          <cell r="F675" t="str">
            <v/>
          </cell>
          <cell r="G675" t="str">
            <v/>
          </cell>
          <cell r="H675" t="str">
            <v>DEDE SUDARJI</v>
          </cell>
          <cell r="I675">
            <v>46182</v>
          </cell>
          <cell r="J675" t="str">
            <v>6100DB402</v>
          </cell>
          <cell r="K675" t="str">
            <v>B</v>
          </cell>
          <cell r="L675" t="str">
            <v>BID</v>
          </cell>
          <cell r="M675">
            <v>95</v>
          </cell>
          <cell r="N675" t="str">
            <v>RH</v>
          </cell>
          <cell r="O675" t="str">
            <v/>
          </cell>
          <cell r="P675">
            <v>1254</v>
          </cell>
          <cell r="Q675" t="str">
            <v/>
          </cell>
          <cell r="R675" t="str">
            <v>RFQ</v>
          </cell>
          <cell r="T675" t="str">
            <v>MSW</v>
          </cell>
          <cell r="U675" t="str">
            <v>Kin Kitra Kencana, PT
Gema Industrial, PT
Axel Jaya Cakraniaga, PT
Gading Mas Utama, PT
Promitra Prima Indonesia, PT
Gevana, PT
Putera Instrumenindo, PT
Vhipa Mulia Pratama, PT
Viktori Profindo Automation, PT
Trimitra Bangun Karyatama, PT
Dayaniaga Ekaselaras, PT</v>
          </cell>
          <cell r="V675" t="str">
            <v>Gading Mas Utama, PT
Gevana, PT
Dayaniaga Ekaselaras, PT</v>
          </cell>
          <cell r="W675" t="str">
            <v xml:space="preserve"> of </v>
          </cell>
          <cell r="X675" t="str">
            <v xml:space="preserve"> of </v>
          </cell>
          <cell r="Y675">
            <v>46008</v>
          </cell>
          <cell r="Z675" t="str">
            <v/>
          </cell>
          <cell r="AA675" t="str">
            <v>Gading Mas Utama, PT
Gevana, PT
Dayaniaga Ekaselaras, PT
Promitra Prima Indonesia, PT
Gema Industrial, PT
Antares Jaya Gemilang Prima, PT
Greentek Elektrikal Indonesia, PT</v>
          </cell>
          <cell r="AC675" t="str">
            <v xml:space="preserve"> of </v>
          </cell>
          <cell r="AD675" t="str">
            <v xml:space="preserve"> of </v>
          </cell>
          <cell r="AE675">
            <v>46190</v>
          </cell>
          <cell r="AF675" t="str">
            <v/>
          </cell>
          <cell r="AI675" t="str">
            <v xml:space="preserve"> of </v>
          </cell>
          <cell r="AJ675" t="str">
            <v xml:space="preserve"> of </v>
          </cell>
          <cell r="AL675" t="str">
            <v/>
          </cell>
          <cell r="AM675">
            <v>0.70833333333333304</v>
          </cell>
          <cell r="AO675" t="str">
            <v/>
          </cell>
          <cell r="AW675" t="str">
            <v/>
          </cell>
          <cell r="AX675" t="str">
            <v/>
          </cell>
          <cell r="AZ675" t="str">
            <v/>
          </cell>
          <cell r="BA675" t="str">
            <v/>
          </cell>
          <cell r="BB675" t="str">
            <v/>
          </cell>
          <cell r="BC675" t="str">
            <v/>
          </cell>
        </row>
        <row r="676">
          <cell r="B676" t="str">
            <v>PC0126-000002038</v>
          </cell>
          <cell r="C676" t="str">
            <v>Pembelian material All DG Support AI</v>
          </cell>
          <cell r="D676" t="str">
            <v>Bima Kaltim Utama, PT</v>
          </cell>
          <cell r="E676" t="str">
            <v/>
          </cell>
          <cell r="F676" t="str">
            <v/>
          </cell>
          <cell r="G676" t="str">
            <v/>
          </cell>
          <cell r="H676" t="str">
            <v>SLAMET</v>
          </cell>
          <cell r="I676">
            <v>46190</v>
          </cell>
          <cell r="J676" t="str">
            <v>6100DB431</v>
          </cell>
          <cell r="K676" t="str">
            <v>B</v>
          </cell>
          <cell r="L676" t="str">
            <v>BID</v>
          </cell>
          <cell r="M676">
            <v>96</v>
          </cell>
          <cell r="N676" t="str">
            <v>RH</v>
          </cell>
          <cell r="O676" t="str">
            <v/>
          </cell>
          <cell r="P676">
            <v>862.63</v>
          </cell>
          <cell r="Q676" t="str">
            <v/>
          </cell>
          <cell r="R676" t="str">
            <v>RFQ</v>
          </cell>
          <cell r="T676" t="str">
            <v>MSW</v>
          </cell>
          <cell r="U676" t="str">
            <v>Bima Kaltim Utama, PT
Indo Tehnik Tanjung Tabalong, PT
Anugrah Mandiri Putra Tabalong, PT
Perwira Sentra Officindo, PT
Cahaya Mitra Saftindo, PT
Sarana Prima Lestari, CV
Cahaya Murni, CV
Antares Jaya Gemilang Prima, PT
Radian Fokus Mandiri, CV
Rahmat Parna Sakti, CV</v>
          </cell>
          <cell r="W676" t="str">
            <v xml:space="preserve"> of </v>
          </cell>
          <cell r="X676" t="str">
            <v xml:space="preserve"> of </v>
          </cell>
          <cell r="Y676">
            <v>46190</v>
          </cell>
          <cell r="Z676" t="str">
            <v/>
          </cell>
          <cell r="AC676" t="str">
            <v xml:space="preserve"> of </v>
          </cell>
          <cell r="AD676" t="str">
            <v xml:space="preserve"> of </v>
          </cell>
          <cell r="AF676" t="str">
            <v/>
          </cell>
          <cell r="AI676" t="str">
            <v xml:space="preserve"> of </v>
          </cell>
          <cell r="AJ676" t="str">
            <v xml:space="preserve"> of </v>
          </cell>
          <cell r="AL676" t="str">
            <v/>
          </cell>
          <cell r="AM676">
            <v>0.70833333333333304</v>
          </cell>
          <cell r="AO676" t="str">
            <v/>
          </cell>
          <cell r="AW676" t="str">
            <v/>
          </cell>
          <cell r="AX676" t="str">
            <v/>
          </cell>
          <cell r="AZ676" t="str">
            <v/>
          </cell>
          <cell r="BA676" t="str">
            <v/>
          </cell>
          <cell r="BB676" t="str">
            <v/>
          </cell>
          <cell r="BC676" t="str">
            <v/>
          </cell>
        </row>
        <row r="677">
          <cell r="B677" t="str">
            <v>PC0126-000001961</v>
          </cell>
          <cell r="C677" t="str">
            <v>Jasa Mobilisasi Generator dari PLTU ke IBT</v>
          </cell>
          <cell r="E677" t="str">
            <v/>
          </cell>
          <cell r="F677" t="str">
            <v/>
          </cell>
          <cell r="G677" t="str">
            <v/>
          </cell>
          <cell r="H677" t="str">
            <v>SLAMET</v>
          </cell>
          <cell r="J677" t="str">
            <v>6100DB431</v>
          </cell>
          <cell r="K677" t="str">
            <v>J</v>
          </cell>
          <cell r="L677" t="str">
            <v>BID</v>
          </cell>
          <cell r="N677" t="str">
            <v>RH</v>
          </cell>
          <cell r="O677" t="str">
            <v/>
          </cell>
          <cell r="Q677" t="str">
            <v/>
          </cell>
          <cell r="R677" t="str">
            <v>Searching Vendor</v>
          </cell>
          <cell r="T677" t="str">
            <v>MSW</v>
          </cell>
          <cell r="W677" t="str">
            <v xml:space="preserve"> of </v>
          </cell>
          <cell r="X677" t="str">
            <v xml:space="preserve"> of </v>
          </cell>
          <cell r="Z677" t="str">
            <v/>
          </cell>
          <cell r="AC677" t="str">
            <v xml:space="preserve"> of </v>
          </cell>
          <cell r="AD677" t="str">
            <v xml:space="preserve"> of </v>
          </cell>
          <cell r="AF677" t="str">
            <v/>
          </cell>
          <cell r="AI677" t="str">
            <v xml:space="preserve"> of </v>
          </cell>
          <cell r="AJ677" t="str">
            <v xml:space="preserve"> of </v>
          </cell>
          <cell r="AL677" t="str">
            <v/>
          </cell>
          <cell r="AM677">
            <v>0.70833333333333304</v>
          </cell>
          <cell r="AO677" t="str">
            <v/>
          </cell>
          <cell r="AW677" t="str">
            <v/>
          </cell>
          <cell r="AX677" t="str">
            <v/>
          </cell>
          <cell r="AZ677" t="str">
            <v/>
          </cell>
          <cell r="BA677" t="str">
            <v/>
          </cell>
          <cell r="BB677" t="str">
            <v/>
          </cell>
          <cell r="BC677" t="str">
            <v/>
          </cell>
        </row>
        <row r="678">
          <cell r="B678" t="str">
            <v>PC0126-000000531 (Line 3-4)</v>
          </cell>
          <cell r="C678" t="str">
            <v>Spare Part Repair Kit Pneumatic</v>
          </cell>
          <cell r="D678" t="str">
            <v>Alfa Teknik Mandiri Makmur, PT - Line 2
Kin Kitra Kencana, PT - Line 3,4
Solusi Cita Mandala, PT - Line 5
Rande Buana Teknik, PT - Line 6
Festo, PT - Line 7
Invaltech System Indonesia, PT - Line 8</v>
          </cell>
          <cell r="E678" t="str">
            <v/>
          </cell>
          <cell r="F678" t="str">
            <v/>
          </cell>
          <cell r="G678" t="str">
            <v/>
          </cell>
          <cell r="H678" t="str">
            <v>DEDE SUDARJI</v>
          </cell>
          <cell r="I678">
            <v>46073</v>
          </cell>
          <cell r="J678" t="str">
            <v>6100DB402</v>
          </cell>
          <cell r="K678" t="str">
            <v>B</v>
          </cell>
          <cell r="L678" t="str">
            <v>BID</v>
          </cell>
          <cell r="M678">
            <v>37</v>
          </cell>
          <cell r="N678" t="str">
            <v>RH</v>
          </cell>
          <cell r="O678" t="str">
            <v/>
          </cell>
          <cell r="P678">
            <v>10253.129999999999</v>
          </cell>
          <cell r="Q678" t="str">
            <v/>
          </cell>
          <cell r="R678" t="str">
            <v>PO Sign Vendor</v>
          </cell>
          <cell r="T678" t="str">
            <v>MSW</v>
          </cell>
          <cell r="U678" t="str">
            <v>Casa Terra Mandiri Indonesia, PT
Invaltech System Indonesia, PT
Forbes Marshall Indonesia, PT
Solusi Cita Mandala, PT
Berkat Pratama Teknik, CV
Kin Kitra Kencana, PT
Rande Buana Teknik, PT
Alfa Teknik Mandiri Makmur, PT
Lienetic Jaya, PT
Multitech Industrial Indonesia, PT
Antares Jaya Gemilang Prima, PT
Adijaya Mitra Perkasa, PT</v>
          </cell>
          <cell r="V678" t="str">
            <v>Casa Terra Mandiri Indonesia, PT
Invaltech System Indonesia, PT
Solusi Cita Mandala, PT
Kin Kitra Kencana, PT
Alfa Teknik Mandiri Makmur, PT
Antares Jaya Gemilang Prima, PT</v>
          </cell>
          <cell r="W678" t="str">
            <v xml:space="preserve"> of </v>
          </cell>
          <cell r="X678" t="str">
            <v xml:space="preserve"> of </v>
          </cell>
          <cell r="Y678">
            <v>46073</v>
          </cell>
          <cell r="Z678" t="str">
            <v/>
          </cell>
          <cell r="AA678" t="str">
            <v>Forbes Marshall Indonesia, PT
Antares Jaya Gemilang Prima, PT
Lienetic Jaya, PT
Alfa Teknik Mandiri Makmur, PT
Rande Buana Teknik, PT
Mff Oilfield Services and Engineering, PT
Multitech Industrial Indonesia, PT
Outsourcindo, PT</v>
          </cell>
          <cell r="AB678" t="str">
            <v>Forbes Marshall Indonesia, PT
Lienetic Jaya, PT</v>
          </cell>
          <cell r="AC678" t="str">
            <v xml:space="preserve"> of </v>
          </cell>
          <cell r="AD678" t="str">
            <v xml:space="preserve"> of </v>
          </cell>
          <cell r="AE678">
            <v>46141</v>
          </cell>
          <cell r="AF678" t="str">
            <v/>
          </cell>
          <cell r="AG678" t="str">
            <v>Forbes Marshall Indonesia, PT
Lienetic Jaya, PT
Lotus Inti Pratama, PT
Gading Mas Utama, PT
Artam Borneo Automatika, PT
Gamako Ekakarsa, PT
Putera Instrumenindo, PT
Rande Buana Teknik, PT
Alfa Teknik Mandiri Makmur, PT</v>
          </cell>
          <cell r="AH678" t="str">
            <v>Forbes Marshall Indonesia, PT
Lienetic Jaya, PT
Lotus Inti Pratama, PT</v>
          </cell>
          <cell r="AI678" t="str">
            <v xml:space="preserve"> of </v>
          </cell>
          <cell r="AJ678" t="str">
            <v xml:space="preserve"> of </v>
          </cell>
          <cell r="AK678">
            <v>46160</v>
          </cell>
          <cell r="AL678" t="str">
            <v/>
          </cell>
          <cell r="AM678">
            <v>0.70833333333333304</v>
          </cell>
          <cell r="AN678" t="str">
            <v>Forbes Marshall Indonesia, PT</v>
          </cell>
          <cell r="AO678" t="str">
            <v/>
          </cell>
          <cell r="AP678" t="str">
            <v>6100-PC0626-00468</v>
          </cell>
          <cell r="AQ678">
            <v>55507743</v>
          </cell>
          <cell r="AR678">
            <v>46168</v>
          </cell>
          <cell r="AS678">
            <v>46182</v>
          </cell>
          <cell r="AT678">
            <v>46202</v>
          </cell>
          <cell r="AU678">
            <v>46304</v>
          </cell>
          <cell r="AV678">
            <v>46203</v>
          </cell>
          <cell r="AW678" t="str">
            <v/>
          </cell>
          <cell r="AX678" t="str">
            <v/>
          </cell>
          <cell r="AZ678" t="str">
            <v/>
          </cell>
          <cell r="BA678" t="str">
            <v/>
          </cell>
          <cell r="BB678" t="str">
            <v/>
          </cell>
          <cell r="BC678" t="str">
            <v/>
          </cell>
        </row>
        <row r="679">
          <cell r="B679" t="str">
            <v>PC0126-000000531 (Line 1 &amp; 6)</v>
          </cell>
          <cell r="C679" t="str">
            <v>Spare Part Repair Kit Pneumatic</v>
          </cell>
          <cell r="D679" t="str">
            <v>Alfa Teknik Mandiri Makmur, PT - Line 2
Kin Kitra Kencana, PT - Line 3,4
Solusi Cita Mandala, PT - Line 5
Rande Buana Teknik, PT - Line 6
Festo, PT - Line 7
Invaltech System Indonesia, PT - Line 8</v>
          </cell>
          <cell r="E679" t="str">
            <v/>
          </cell>
          <cell r="F679" t="str">
            <v/>
          </cell>
          <cell r="G679" t="str">
            <v/>
          </cell>
          <cell r="H679" t="str">
            <v>DEDE SUDARJI</v>
          </cell>
          <cell r="I679">
            <v>46073</v>
          </cell>
          <cell r="J679" t="str">
            <v>6100DB402</v>
          </cell>
          <cell r="K679" t="str">
            <v>B</v>
          </cell>
          <cell r="L679" t="str">
            <v>BID</v>
          </cell>
          <cell r="M679">
            <v>37</v>
          </cell>
          <cell r="N679" t="str">
            <v>RH</v>
          </cell>
          <cell r="O679" t="str">
            <v/>
          </cell>
          <cell r="P679">
            <v>10253.129999999999</v>
          </cell>
          <cell r="Q679" t="str">
            <v/>
          </cell>
          <cell r="R679" t="str">
            <v>Searching Vendor</v>
          </cell>
          <cell r="T679" t="str">
            <v>MSW</v>
          </cell>
          <cell r="U679" t="str">
            <v>Casa Terra Mandiri Indonesia, PT
Invaltech System Indonesia, PT
Forbes Marshall Indonesia, PT
Solusi Cita Mandala, PT
Berkat Pratama Teknik, CV
Kin Kitra Kencana, PT
Rande Buana Teknik, PT
Alfa Teknik Mandiri Makmur, PT
Lienetic Jaya, PT
Multitech Industrial Indonesia, PT
Antares Jaya Gemilang Prima, PT
Adijaya Mitra Perkasa, PT</v>
          </cell>
          <cell r="V679" t="str">
            <v>Casa Terra Mandiri Indonesia, PT
Invaltech System Indonesia, PT
Solusi Cita Mandala, PT
Kin Kitra Kencana, PT
Alfa Teknik Mandiri Makmur, PT
Antares Jaya Gemilang Prima, PT</v>
          </cell>
          <cell r="W679" t="str">
            <v xml:space="preserve"> of </v>
          </cell>
          <cell r="X679" t="str">
            <v xml:space="preserve"> of </v>
          </cell>
          <cell r="Y679">
            <v>46073</v>
          </cell>
          <cell r="Z679" t="str">
            <v/>
          </cell>
          <cell r="AA679" t="str">
            <v>Forbes Marshall Indonesia, PT
Antares Jaya Gemilang Prima, PT
Lienetic Jaya, PT
Alfa Teknik Mandiri Makmur, PT
Rande Buana Teknik, PT
Mff Oilfield Services and Engineering, PT
Multitech Industrial Indonesia, PT
Outsourcindo, PT</v>
          </cell>
          <cell r="AB679" t="str">
            <v>Forbes Marshall Indonesia, PT
Lienetic Jaya, PT</v>
          </cell>
          <cell r="AC679" t="str">
            <v xml:space="preserve"> of </v>
          </cell>
          <cell r="AD679" t="str">
            <v xml:space="preserve"> of </v>
          </cell>
          <cell r="AE679">
            <v>46141</v>
          </cell>
          <cell r="AF679" t="str">
            <v/>
          </cell>
          <cell r="AG679" t="str">
            <v>Forbes Marshall Indonesia, PT
Lienetic Jaya, PT
Lotus Inti Pratama, PT
Gading Mas Utama, PT
Artam Borneo Automatika, PT
Gamako Ekakarsa, PT
Putera Instrumenindo, PT
Rande Buana Teknik, PT
Alfa Teknik Mandiri Makmur, PT</v>
          </cell>
          <cell r="AH679" t="str">
            <v>Forbes Marshall Indonesia, PT
Lienetic Jaya, PT
Lotus Inti Pratama, PT</v>
          </cell>
          <cell r="AI679" t="str">
            <v xml:space="preserve"> of </v>
          </cell>
          <cell r="AJ679" t="str">
            <v xml:space="preserve"> of </v>
          </cell>
          <cell r="AK679">
            <v>46160</v>
          </cell>
          <cell r="AL679" t="str">
            <v/>
          </cell>
          <cell r="AM679">
            <v>0.70833333333333304</v>
          </cell>
          <cell r="AO679" t="str">
            <v/>
          </cell>
          <cell r="AW679" t="str">
            <v/>
          </cell>
          <cell r="AX679" t="str">
            <v/>
          </cell>
          <cell r="AZ679" t="str">
            <v/>
          </cell>
          <cell r="BA679" t="str">
            <v/>
          </cell>
          <cell r="BB679" t="str">
            <v/>
          </cell>
          <cell r="BC679" t="str">
            <v/>
          </cell>
        </row>
        <row r="680">
          <cell r="B680" t="str">
            <v>PC0126-000001827</v>
          </cell>
          <cell r="C680" t="str">
            <v>Rental Office MSW MK 27th Floor</v>
          </cell>
          <cell r="D680" t="str">
            <v>AlamTri Power Indonesia, PT</v>
          </cell>
          <cell r="E680" t="str">
            <v/>
          </cell>
          <cell r="F680" t="str">
            <v/>
          </cell>
          <cell r="G680" t="str">
            <v/>
          </cell>
          <cell r="H680" t="str">
            <v>MUHAMMAD FIKRY MAULANA</v>
          </cell>
          <cell r="I680">
            <v>46196</v>
          </cell>
          <cell r="J680" t="str">
            <v>6100DK120</v>
          </cell>
          <cell r="K680" t="str">
            <v>B</v>
          </cell>
          <cell r="L680" t="str">
            <v>CTR</v>
          </cell>
          <cell r="N680" t="str">
            <v>RH</v>
          </cell>
          <cell r="O680" t="str">
            <v/>
          </cell>
          <cell r="P680">
            <v>29356.22</v>
          </cell>
          <cell r="Q680" t="str">
            <v/>
          </cell>
          <cell r="R680" t="str">
            <v>PO Sign Vendor</v>
          </cell>
          <cell r="T680" t="str">
            <v>MSW</v>
          </cell>
          <cell r="W680" t="str">
            <v xml:space="preserve"> of </v>
          </cell>
          <cell r="X680" t="str">
            <v xml:space="preserve"> of </v>
          </cell>
          <cell r="Z680" t="str">
            <v/>
          </cell>
          <cell r="AC680" t="str">
            <v xml:space="preserve"> of </v>
          </cell>
          <cell r="AD680" t="str">
            <v xml:space="preserve"> of </v>
          </cell>
          <cell r="AF680" t="str">
            <v/>
          </cell>
          <cell r="AI680" t="str">
            <v xml:space="preserve"> of </v>
          </cell>
          <cell r="AJ680" t="str">
            <v xml:space="preserve"> of </v>
          </cell>
          <cell r="AL680" t="str">
            <v/>
          </cell>
          <cell r="AM680">
            <v>0.70833333333333304</v>
          </cell>
          <cell r="AN680" t="str">
            <v>AlamTri Power Indonesia, PT</v>
          </cell>
          <cell r="AO680" t="str">
            <v/>
          </cell>
          <cell r="AP680" t="str">
            <v>6100-PC0626-00451</v>
          </cell>
          <cell r="AQ680">
            <v>513000000</v>
          </cell>
          <cell r="AT680">
            <v>46196</v>
          </cell>
          <cell r="AU680">
            <v>46225</v>
          </cell>
          <cell r="AV680">
            <v>46198</v>
          </cell>
          <cell r="AW680" t="str">
            <v/>
          </cell>
          <cell r="AX680" t="str">
            <v/>
          </cell>
          <cell r="AZ680" t="str">
            <v/>
          </cell>
          <cell r="BA680" t="str">
            <v/>
          </cell>
          <cell r="BB680" t="str">
            <v/>
          </cell>
          <cell r="BC680" t="str">
            <v/>
          </cell>
        </row>
        <row r="681">
          <cell r="B681" t="str">
            <v>PC0126-000002239</v>
          </cell>
          <cell r="C681" t="str">
            <v>General Over Haul (GOH) Tahap 1 DG 3G3</v>
          </cell>
          <cell r="D681" t="str">
            <v>Trakindo Utama, PT</v>
          </cell>
          <cell r="E681" t="str">
            <v/>
          </cell>
          <cell r="F681" t="str">
            <v/>
          </cell>
          <cell r="G681" t="str">
            <v/>
          </cell>
          <cell r="H681" t="str">
            <v>SLAMET</v>
          </cell>
          <cell r="I681">
            <v>46203</v>
          </cell>
          <cell r="J681" t="str">
            <v>6100DB432</v>
          </cell>
          <cell r="K681" t="str">
            <v>B &amp; J</v>
          </cell>
          <cell r="L681" t="str">
            <v>CTR</v>
          </cell>
          <cell r="N681" t="str">
            <v>RH</v>
          </cell>
          <cell r="O681" t="str">
            <v/>
          </cell>
          <cell r="P681">
            <v>16627.009999999998</v>
          </cell>
          <cell r="Q681" t="str">
            <v/>
          </cell>
          <cell r="R681" t="str">
            <v>PO Sign Vendor</v>
          </cell>
          <cell r="T681" t="str">
            <v>MSW</v>
          </cell>
          <cell r="W681" t="str">
            <v xml:space="preserve"> of </v>
          </cell>
          <cell r="X681" t="str">
            <v xml:space="preserve"> of </v>
          </cell>
          <cell r="Z681" t="str">
            <v/>
          </cell>
          <cell r="AC681" t="str">
            <v xml:space="preserve"> of </v>
          </cell>
          <cell r="AD681" t="str">
            <v xml:space="preserve"> of </v>
          </cell>
          <cell r="AF681" t="str">
            <v/>
          </cell>
          <cell r="AI681" t="str">
            <v xml:space="preserve"> of </v>
          </cell>
          <cell r="AJ681" t="str">
            <v xml:space="preserve"> of </v>
          </cell>
          <cell r="AL681" t="str">
            <v/>
          </cell>
          <cell r="AM681">
            <v>0.70833333333333304</v>
          </cell>
          <cell r="AN681" t="str">
            <v>Trakindo Utama, PT</v>
          </cell>
          <cell r="AO681" t="str">
            <v/>
          </cell>
          <cell r="AP681" t="str">
            <v>6100-PC0626-00470</v>
          </cell>
          <cell r="AQ681">
            <v>266346650</v>
          </cell>
          <cell r="AT681">
            <v>46203</v>
          </cell>
          <cell r="AU681">
            <v>46339</v>
          </cell>
          <cell r="AV681">
            <v>46203</v>
          </cell>
          <cell r="AW681" t="str">
            <v/>
          </cell>
          <cell r="AX681" t="str">
            <v/>
          </cell>
          <cell r="AZ681" t="str">
            <v/>
          </cell>
          <cell r="BA681" t="str">
            <v/>
          </cell>
          <cell r="BB681" t="str">
            <v/>
          </cell>
          <cell r="BC681" t="str">
            <v/>
          </cell>
        </row>
        <row r="682">
          <cell r="B682" t="str">
            <v>PC0126-000002301</v>
          </cell>
          <cell r="C682" t="str">
            <v>Jasa Pemeliharaan Valve, Aktuator, Pipa PLTU Periode Outage 2026</v>
          </cell>
          <cell r="E682" t="str">
            <v/>
          </cell>
          <cell r="F682" t="str">
            <v/>
          </cell>
          <cell r="G682" t="str">
            <v/>
          </cell>
          <cell r="H682" t="str">
            <v>RIZKY AGUSTINA</v>
          </cell>
          <cell r="J682" t="str">
            <v>6100DB401</v>
          </cell>
          <cell r="K682" t="str">
            <v>B &amp; J</v>
          </cell>
          <cell r="L682" t="str">
            <v>CTR</v>
          </cell>
          <cell r="N682" t="str">
            <v>RH</v>
          </cell>
          <cell r="O682" t="str">
            <v/>
          </cell>
          <cell r="P682">
            <v>97182.39</v>
          </cell>
          <cell r="Q682" t="str">
            <v/>
          </cell>
          <cell r="R682" t="str">
            <v>Create PO</v>
          </cell>
          <cell r="T682" t="str">
            <v>MSW</v>
          </cell>
          <cell r="W682" t="str">
            <v xml:space="preserve"> of </v>
          </cell>
          <cell r="X682" t="str">
            <v xml:space="preserve"> of </v>
          </cell>
          <cell r="Z682" t="str">
            <v/>
          </cell>
          <cell r="AC682" t="str">
            <v xml:space="preserve"> of </v>
          </cell>
          <cell r="AD682" t="str">
            <v xml:space="preserve"> of </v>
          </cell>
          <cell r="AF682" t="str">
            <v/>
          </cell>
          <cell r="AI682" t="str">
            <v xml:space="preserve"> of </v>
          </cell>
          <cell r="AJ682" t="str">
            <v xml:space="preserve"> of </v>
          </cell>
          <cell r="AL682" t="str">
            <v/>
          </cell>
          <cell r="AM682">
            <v>0.70833333333333304</v>
          </cell>
          <cell r="AN682" t="str">
            <v>Adijaya Mitra Perkasa, PT</v>
          </cell>
          <cell r="AO682" t="str">
            <v/>
          </cell>
          <cell r="AP682" t="str">
            <v>6100-PC0626-00481</v>
          </cell>
          <cell r="AW682" t="str">
            <v/>
          </cell>
          <cell r="AX682" t="str">
            <v/>
          </cell>
          <cell r="AZ682" t="str">
            <v/>
          </cell>
          <cell r="BA682" t="str">
            <v/>
          </cell>
          <cell r="BB682" t="str">
            <v/>
          </cell>
          <cell r="BC682" t="str">
            <v/>
          </cell>
        </row>
        <row r="683">
          <cell r="B683" t="str">
            <v>PC0126-000001894</v>
          </cell>
          <cell r="C683" t="str">
            <v>Perbaikan Bushing Transformer 35MVA SS2 sisi LV 20kV</v>
          </cell>
          <cell r="E683" t="str">
            <v/>
          </cell>
          <cell r="F683" t="str">
            <v/>
          </cell>
          <cell r="G683" t="str">
            <v/>
          </cell>
          <cell r="H683" t="str">
            <v>GUNARA FERY FAHNANI</v>
          </cell>
          <cell r="J683" t="str">
            <v>6100DB412</v>
          </cell>
          <cell r="L683" t="str">
            <v>BID</v>
          </cell>
          <cell r="N683" t="str">
            <v>RH</v>
          </cell>
          <cell r="O683" t="str">
            <v/>
          </cell>
          <cell r="P683">
            <v>14025</v>
          </cell>
          <cell r="Q683" t="str">
            <v/>
          </cell>
          <cell r="R683" t="str">
            <v>Searching Vendor</v>
          </cell>
          <cell r="T683" t="str">
            <v>MSW</v>
          </cell>
          <cell r="W683" t="str">
            <v xml:space="preserve"> of </v>
          </cell>
          <cell r="X683" t="str">
            <v xml:space="preserve"> of </v>
          </cell>
          <cell r="Z683" t="str">
            <v/>
          </cell>
          <cell r="AC683" t="str">
            <v xml:space="preserve"> of </v>
          </cell>
          <cell r="AD683" t="str">
            <v xml:space="preserve"> of </v>
          </cell>
          <cell r="AF683" t="str">
            <v/>
          </cell>
          <cell r="AI683" t="str">
            <v xml:space="preserve"> of </v>
          </cell>
          <cell r="AJ683" t="str">
            <v xml:space="preserve"> of </v>
          </cell>
          <cell r="AL683" t="str">
            <v/>
          </cell>
          <cell r="AM683">
            <v>0.70833333333333304</v>
          </cell>
          <cell r="AO683" t="str">
            <v/>
          </cell>
          <cell r="AW683" t="str">
            <v/>
          </cell>
          <cell r="AX683" t="str">
            <v/>
          </cell>
          <cell r="AZ683" t="str">
            <v/>
          </cell>
          <cell r="BA683" t="str">
            <v/>
          </cell>
          <cell r="BB683" t="str">
            <v/>
          </cell>
          <cell r="BC683" t="str">
            <v/>
          </cell>
        </row>
        <row r="684">
          <cell r="B684" t="str">
            <v>PC0126-000002364</v>
          </cell>
          <cell r="C684" t="str">
            <v>Spare Part Fire Alarm System</v>
          </cell>
          <cell r="E684" t="str">
            <v/>
          </cell>
          <cell r="F684" t="str">
            <v/>
          </cell>
          <cell r="G684" t="str">
            <v/>
          </cell>
          <cell r="H684" t="str">
            <v>ZAINI YUSUF</v>
          </cell>
          <cell r="J684" t="str">
            <v>6100DB402</v>
          </cell>
          <cell r="L684" t="str">
            <v>BID</v>
          </cell>
          <cell r="N684" t="str">
            <v>RH</v>
          </cell>
          <cell r="O684" t="str">
            <v/>
          </cell>
          <cell r="P684">
            <v>3550</v>
          </cell>
          <cell r="Q684" t="str">
            <v/>
          </cell>
          <cell r="R684" t="str">
            <v>Searching Vendor</v>
          </cell>
          <cell r="T684" t="str">
            <v>MSW</v>
          </cell>
          <cell r="W684" t="str">
            <v xml:space="preserve"> of </v>
          </cell>
          <cell r="X684" t="str">
            <v xml:space="preserve"> of </v>
          </cell>
          <cell r="Z684" t="str">
            <v/>
          </cell>
          <cell r="AC684" t="str">
            <v xml:space="preserve"> of </v>
          </cell>
          <cell r="AD684" t="str">
            <v xml:space="preserve"> of </v>
          </cell>
          <cell r="AF684" t="str">
            <v/>
          </cell>
          <cell r="AI684" t="str">
            <v xml:space="preserve"> of </v>
          </cell>
          <cell r="AJ684" t="str">
            <v xml:space="preserve"> of </v>
          </cell>
          <cell r="AL684" t="str">
            <v/>
          </cell>
          <cell r="AM684">
            <v>0.70833333333333304</v>
          </cell>
          <cell r="AO684" t="str">
            <v/>
          </cell>
          <cell r="AW684" t="str">
            <v/>
          </cell>
          <cell r="AX684" t="str">
            <v/>
          </cell>
          <cell r="AZ684" t="str">
            <v/>
          </cell>
          <cell r="BA684" t="str">
            <v/>
          </cell>
          <cell r="BB684" t="str">
            <v/>
          </cell>
          <cell r="BC684" t="str">
            <v/>
          </cell>
        </row>
        <row r="685">
          <cell r="B685" t="str">
            <v>PC0126-000002308</v>
          </cell>
          <cell r="C685" t="str">
            <v>Pembelian Material  ALL DG IBT</v>
          </cell>
          <cell r="E685" t="str">
            <v/>
          </cell>
          <cell r="F685" t="str">
            <v/>
          </cell>
          <cell r="G685" t="str">
            <v/>
          </cell>
          <cell r="H685" t="str">
            <v>SLAMET</v>
          </cell>
          <cell r="J685" t="str">
            <v>6100DB432</v>
          </cell>
          <cell r="L685" t="str">
            <v>BID</v>
          </cell>
          <cell r="N685" t="str">
            <v>RH</v>
          </cell>
          <cell r="O685" t="str">
            <v/>
          </cell>
          <cell r="P685">
            <v>5966.11</v>
          </cell>
          <cell r="Q685" t="str">
            <v/>
          </cell>
          <cell r="R685" t="str">
            <v>Searching Vendor</v>
          </cell>
          <cell r="T685" t="str">
            <v>MSW</v>
          </cell>
          <cell r="W685" t="str">
            <v xml:space="preserve"> of </v>
          </cell>
          <cell r="X685" t="str">
            <v xml:space="preserve"> of </v>
          </cell>
          <cell r="Z685" t="str">
            <v/>
          </cell>
          <cell r="AC685" t="str">
            <v xml:space="preserve"> of </v>
          </cell>
          <cell r="AD685" t="str">
            <v xml:space="preserve"> of </v>
          </cell>
          <cell r="AF685" t="str">
            <v/>
          </cell>
          <cell r="AI685" t="str">
            <v xml:space="preserve"> of </v>
          </cell>
          <cell r="AJ685" t="str">
            <v xml:space="preserve"> of </v>
          </cell>
          <cell r="AL685" t="str">
            <v/>
          </cell>
          <cell r="AM685">
            <v>0.70833333333333304</v>
          </cell>
          <cell r="AO685" t="str">
            <v/>
          </cell>
          <cell r="AW685" t="str">
            <v/>
          </cell>
          <cell r="AX685" t="str">
            <v/>
          </cell>
          <cell r="AZ685" t="str">
            <v/>
          </cell>
          <cell r="BA685" t="str">
            <v/>
          </cell>
          <cell r="BB685" t="str">
            <v/>
          </cell>
          <cell r="BC685" t="str">
            <v/>
          </cell>
        </row>
        <row r="686">
          <cell r="B686" t="str">
            <v>PC0126-000002350</v>
          </cell>
          <cell r="C686" t="str">
            <v>Penyediaan Jasa Service, ELEC &amp; IC Equipment pada TAC ATLAS COPCO</v>
          </cell>
          <cell r="E686" t="str">
            <v/>
          </cell>
          <cell r="F686" t="str">
            <v/>
          </cell>
          <cell r="G686" t="str">
            <v/>
          </cell>
          <cell r="H686" t="str">
            <v>ZAINI YUSUF</v>
          </cell>
          <cell r="J686" t="str">
            <v>6100DB402</v>
          </cell>
          <cell r="L686" t="str">
            <v>BID</v>
          </cell>
          <cell r="N686" t="str">
            <v>RH</v>
          </cell>
          <cell r="O686" t="str">
            <v/>
          </cell>
          <cell r="P686">
            <v>1121.5999999999999</v>
          </cell>
          <cell r="Q686" t="str">
            <v/>
          </cell>
          <cell r="R686" t="str">
            <v>Searching Vendor</v>
          </cell>
          <cell r="T686" t="str">
            <v>MSW</v>
          </cell>
          <cell r="W686" t="str">
            <v xml:space="preserve"> of </v>
          </cell>
          <cell r="X686" t="str">
            <v xml:space="preserve"> of </v>
          </cell>
          <cell r="Z686" t="str">
            <v/>
          </cell>
          <cell r="AC686" t="str">
            <v xml:space="preserve"> of </v>
          </cell>
          <cell r="AD686" t="str">
            <v xml:space="preserve"> of </v>
          </cell>
          <cell r="AF686" t="str">
            <v/>
          </cell>
          <cell r="AI686" t="str">
            <v xml:space="preserve"> of </v>
          </cell>
          <cell r="AJ686" t="str">
            <v xml:space="preserve"> of </v>
          </cell>
          <cell r="AL686" t="str">
            <v/>
          </cell>
          <cell r="AM686">
            <v>0.70833333333333304</v>
          </cell>
          <cell r="AO686" t="str">
            <v/>
          </cell>
          <cell r="AW686" t="str">
            <v/>
          </cell>
          <cell r="AX686" t="str">
            <v/>
          </cell>
          <cell r="AZ686" t="str">
            <v/>
          </cell>
          <cell r="BA686" t="str">
            <v/>
          </cell>
          <cell r="BB686" t="str">
            <v/>
          </cell>
          <cell r="BC686" t="str">
            <v/>
          </cell>
        </row>
        <row r="687">
          <cell r="B687" t="str">
            <v>PC0126-000002335</v>
          </cell>
          <cell r="C687" t="str">
            <v>Pembelian Oli untuk All  PM DG IBT</v>
          </cell>
          <cell r="E687" t="str">
            <v/>
          </cell>
          <cell r="F687" t="str">
            <v/>
          </cell>
          <cell r="G687" t="str">
            <v/>
          </cell>
          <cell r="H687" t="str">
            <v>SLAMET</v>
          </cell>
          <cell r="J687" t="str">
            <v>6100DB432</v>
          </cell>
          <cell r="L687" t="str">
            <v>BID</v>
          </cell>
          <cell r="N687" t="str">
            <v>RH</v>
          </cell>
          <cell r="O687" t="str">
            <v/>
          </cell>
          <cell r="P687">
            <v>8203</v>
          </cell>
          <cell r="Q687" t="str">
            <v/>
          </cell>
          <cell r="R687" t="str">
            <v>Searching Vendor</v>
          </cell>
          <cell r="T687" t="str">
            <v>MSW</v>
          </cell>
          <cell r="W687" t="str">
            <v xml:space="preserve"> of </v>
          </cell>
          <cell r="X687" t="str">
            <v xml:space="preserve"> of </v>
          </cell>
          <cell r="Z687" t="str">
            <v/>
          </cell>
          <cell r="AC687" t="str">
            <v xml:space="preserve"> of </v>
          </cell>
          <cell r="AD687" t="str">
            <v xml:space="preserve"> of </v>
          </cell>
          <cell r="AF687" t="str">
            <v/>
          </cell>
          <cell r="AI687" t="str">
            <v xml:space="preserve"> of </v>
          </cell>
          <cell r="AJ687" t="str">
            <v xml:space="preserve"> of </v>
          </cell>
          <cell r="AL687" t="str">
            <v/>
          </cell>
          <cell r="AM687">
            <v>0.70833333333333304</v>
          </cell>
          <cell r="AO687" t="str">
            <v/>
          </cell>
          <cell r="AW687" t="str">
            <v/>
          </cell>
          <cell r="AX687" t="str">
            <v/>
          </cell>
          <cell r="AZ687" t="str">
            <v/>
          </cell>
          <cell r="BA687" t="str">
            <v/>
          </cell>
          <cell r="BB687" t="str">
            <v/>
          </cell>
          <cell r="BC687" t="str">
            <v/>
          </cell>
        </row>
        <row r="688">
          <cell r="B688" t="str">
            <v>PC0126-000002143</v>
          </cell>
          <cell r="C688" t="str">
            <v>Additional Material Instalasi CCTV Process</v>
          </cell>
          <cell r="E688" t="str">
            <v/>
          </cell>
          <cell r="F688" t="str">
            <v/>
          </cell>
          <cell r="G688" t="str">
            <v/>
          </cell>
          <cell r="H688" t="str">
            <v>M. FARHAN TANDIA</v>
          </cell>
          <cell r="J688" t="str">
            <v>6100DB402</v>
          </cell>
          <cell r="L688" t="str">
            <v>BID</v>
          </cell>
          <cell r="N688" t="str">
            <v>RH</v>
          </cell>
          <cell r="O688" t="str">
            <v/>
          </cell>
          <cell r="P688">
            <v>52623.000749999999</v>
          </cell>
          <cell r="Q688" t="str">
            <v/>
          </cell>
          <cell r="R688" t="str">
            <v>Searching Vendor</v>
          </cell>
          <cell r="T688" t="str">
            <v>MSW</v>
          </cell>
          <cell r="W688" t="str">
            <v xml:space="preserve"> of </v>
          </cell>
          <cell r="X688" t="str">
            <v xml:space="preserve"> of </v>
          </cell>
          <cell r="Z688" t="str">
            <v/>
          </cell>
          <cell r="AC688" t="str">
            <v xml:space="preserve"> of </v>
          </cell>
          <cell r="AD688" t="str">
            <v xml:space="preserve"> of </v>
          </cell>
          <cell r="AF688" t="str">
            <v/>
          </cell>
          <cell r="AI688" t="str">
            <v xml:space="preserve"> of </v>
          </cell>
          <cell r="AJ688" t="str">
            <v xml:space="preserve"> of </v>
          </cell>
          <cell r="AL688" t="str">
            <v/>
          </cell>
          <cell r="AM688">
            <v>0.70833333333333304</v>
          </cell>
          <cell r="AO688" t="str">
            <v/>
          </cell>
          <cell r="AW688" t="str">
            <v/>
          </cell>
          <cell r="AX688" t="str">
            <v/>
          </cell>
          <cell r="AZ688" t="str">
            <v/>
          </cell>
          <cell r="BA688" t="str">
            <v/>
          </cell>
          <cell r="BB688" t="str">
            <v/>
          </cell>
          <cell r="BC688" t="str">
            <v/>
          </cell>
        </row>
        <row r="689">
          <cell r="B689" t="str">
            <v>PC0126-000002170</v>
          </cell>
          <cell r="C689" t="str">
            <v>GPS Module Wharton for DCS ABB</v>
          </cell>
          <cell r="E689" t="str">
            <v/>
          </cell>
          <cell r="F689" t="str">
            <v/>
          </cell>
          <cell r="G689" t="str">
            <v/>
          </cell>
          <cell r="H689" t="str">
            <v>DEDE SUDARJI</v>
          </cell>
          <cell r="J689" t="str">
            <v>6100DB402</v>
          </cell>
          <cell r="L689" t="str">
            <v>BID</v>
          </cell>
          <cell r="N689" t="str">
            <v>RH</v>
          </cell>
          <cell r="O689" t="str">
            <v/>
          </cell>
          <cell r="P689">
            <v>8000</v>
          </cell>
          <cell r="Q689" t="str">
            <v/>
          </cell>
          <cell r="R689" t="str">
            <v>Searching Vendor</v>
          </cell>
          <cell r="T689" t="str">
            <v>MSW</v>
          </cell>
          <cell r="W689" t="str">
            <v xml:space="preserve"> of </v>
          </cell>
          <cell r="X689" t="str">
            <v xml:space="preserve"> of </v>
          </cell>
          <cell r="Z689" t="str">
            <v/>
          </cell>
          <cell r="AC689" t="str">
            <v xml:space="preserve"> of </v>
          </cell>
          <cell r="AD689" t="str">
            <v xml:space="preserve"> of </v>
          </cell>
          <cell r="AF689" t="str">
            <v/>
          </cell>
          <cell r="AI689" t="str">
            <v xml:space="preserve"> of </v>
          </cell>
          <cell r="AJ689" t="str">
            <v xml:space="preserve"> of </v>
          </cell>
          <cell r="AL689" t="str">
            <v/>
          </cell>
          <cell r="AM689">
            <v>0.70833333333333304</v>
          </cell>
          <cell r="AO689" t="str">
            <v/>
          </cell>
          <cell r="AW689" t="str">
            <v/>
          </cell>
          <cell r="AX689" t="str">
            <v/>
          </cell>
          <cell r="AZ689" t="str">
            <v/>
          </cell>
          <cell r="BA689" t="str">
            <v/>
          </cell>
          <cell r="BB689" t="str">
            <v/>
          </cell>
          <cell r="BC689" t="str">
            <v/>
          </cell>
        </row>
        <row r="690">
          <cell r="B690" t="str">
            <v>PC0126-000002078</v>
          </cell>
          <cell r="C690" t="str">
            <v>Sparepart Network Switch</v>
          </cell>
          <cell r="E690" t="str">
            <v/>
          </cell>
          <cell r="F690" t="str">
            <v/>
          </cell>
          <cell r="G690" t="str">
            <v/>
          </cell>
          <cell r="H690" t="str">
            <v>M. FARHAN TANDIA</v>
          </cell>
          <cell r="J690" t="str">
            <v>6100DB402</v>
          </cell>
          <cell r="L690" t="str">
            <v>BID</v>
          </cell>
          <cell r="N690" t="str">
            <v>RH</v>
          </cell>
          <cell r="O690" t="str">
            <v/>
          </cell>
          <cell r="P690">
            <v>6902</v>
          </cell>
          <cell r="Q690" t="str">
            <v/>
          </cell>
          <cell r="R690" t="str">
            <v>Searching Vendor</v>
          </cell>
          <cell r="T690" t="str">
            <v>MSW</v>
          </cell>
          <cell r="W690" t="str">
            <v xml:space="preserve"> of </v>
          </cell>
          <cell r="X690" t="str">
            <v xml:space="preserve"> of </v>
          </cell>
          <cell r="Z690" t="str">
            <v/>
          </cell>
          <cell r="AC690" t="str">
            <v xml:space="preserve"> of </v>
          </cell>
          <cell r="AD690" t="str">
            <v xml:space="preserve"> of </v>
          </cell>
          <cell r="AF690" t="str">
            <v/>
          </cell>
          <cell r="AI690" t="str">
            <v xml:space="preserve"> of </v>
          </cell>
          <cell r="AJ690" t="str">
            <v xml:space="preserve"> of </v>
          </cell>
          <cell r="AL690" t="str">
            <v/>
          </cell>
          <cell r="AM690">
            <v>0.70833333333333304</v>
          </cell>
          <cell r="AO690" t="str">
            <v/>
          </cell>
          <cell r="AW690" t="str">
            <v/>
          </cell>
          <cell r="AX690" t="str">
            <v/>
          </cell>
          <cell r="AZ690" t="str">
            <v/>
          </cell>
          <cell r="BA690" t="str">
            <v/>
          </cell>
          <cell r="BB690" t="str">
            <v/>
          </cell>
          <cell r="BC690" t="str">
            <v/>
          </cell>
        </row>
        <row r="691">
          <cell r="B691" t="str">
            <v>PC0126-000001077</v>
          </cell>
          <cell r="C691" t="str">
            <v>Penyusunan kajian teknis pembuangan Air Limbah Domestik</v>
          </cell>
          <cell r="E691" t="str">
            <v/>
          </cell>
          <cell r="F691" t="str">
            <v/>
          </cell>
          <cell r="G691" t="str">
            <v/>
          </cell>
          <cell r="H691" t="str">
            <v>ARYO BASKORO</v>
          </cell>
          <cell r="J691" t="str">
            <v>6100DE720</v>
          </cell>
          <cell r="L691" t="str">
            <v>BID</v>
          </cell>
          <cell r="N691" t="str">
            <v>RH</v>
          </cell>
          <cell r="O691" t="str">
            <v/>
          </cell>
          <cell r="P691">
            <v>15000</v>
          </cell>
          <cell r="Q691" t="str">
            <v/>
          </cell>
          <cell r="R691" t="str">
            <v>Searching Vendor</v>
          </cell>
          <cell r="T691" t="str">
            <v>MSW</v>
          </cell>
          <cell r="W691" t="str">
            <v xml:space="preserve"> of </v>
          </cell>
          <cell r="X691" t="str">
            <v xml:space="preserve"> of </v>
          </cell>
          <cell r="Z691" t="str">
            <v/>
          </cell>
          <cell r="AC691" t="str">
            <v xml:space="preserve"> of </v>
          </cell>
          <cell r="AD691" t="str">
            <v xml:space="preserve"> of </v>
          </cell>
          <cell r="AF691" t="str">
            <v/>
          </cell>
          <cell r="AI691" t="str">
            <v xml:space="preserve"> of </v>
          </cell>
          <cell r="AJ691" t="str">
            <v xml:space="preserve"> of </v>
          </cell>
          <cell r="AL691" t="str">
            <v/>
          </cell>
          <cell r="AM691">
            <v>0.70833333333333304</v>
          </cell>
          <cell r="AO691" t="str">
            <v/>
          </cell>
          <cell r="AW691" t="str">
            <v/>
          </cell>
          <cell r="AX691" t="str">
            <v/>
          </cell>
          <cell r="AZ691" t="str">
            <v/>
          </cell>
          <cell r="BA691" t="str">
            <v/>
          </cell>
          <cell r="BB691" t="str">
            <v/>
          </cell>
          <cell r="BC691" t="str">
            <v/>
          </cell>
        </row>
        <row r="692">
          <cell r="E692" t="str">
            <v/>
          </cell>
          <cell r="F692" t="str">
            <v/>
          </cell>
          <cell r="G692" t="str">
            <v/>
          </cell>
          <cell r="O692" t="str">
            <v/>
          </cell>
          <cell r="Q692" t="str">
            <v/>
          </cell>
          <cell r="W692" t="str">
            <v xml:space="preserve"> of </v>
          </cell>
          <cell r="X692" t="str">
            <v xml:space="preserve"> of </v>
          </cell>
          <cell r="Z692" t="str">
            <v/>
          </cell>
          <cell r="AC692" t="str">
            <v xml:space="preserve"> of </v>
          </cell>
          <cell r="AD692" t="str">
            <v xml:space="preserve"> of </v>
          </cell>
          <cell r="AF692" t="str">
            <v/>
          </cell>
          <cell r="AI692" t="str">
            <v xml:space="preserve"> of </v>
          </cell>
          <cell r="AJ692" t="str">
            <v xml:space="preserve"> of </v>
          </cell>
          <cell r="AL692" t="str">
            <v/>
          </cell>
          <cell r="AM692">
            <v>0.70833333333333304</v>
          </cell>
          <cell r="AO692" t="str">
            <v/>
          </cell>
          <cell r="AW692" t="str">
            <v/>
          </cell>
          <cell r="AX692" t="str">
            <v/>
          </cell>
          <cell r="AZ692" t="str">
            <v/>
          </cell>
          <cell r="BA692" t="str">
            <v/>
          </cell>
          <cell r="BB692" t="str">
            <v/>
          </cell>
          <cell r="BC692" t="str">
            <v/>
          </cell>
        </row>
        <row r="693">
          <cell r="E693" t="str">
            <v/>
          </cell>
          <cell r="F693" t="str">
            <v/>
          </cell>
          <cell r="G693" t="str">
            <v/>
          </cell>
          <cell r="O693" t="str">
            <v/>
          </cell>
          <cell r="Q693" t="str">
            <v/>
          </cell>
          <cell r="W693" t="str">
            <v xml:space="preserve"> of </v>
          </cell>
          <cell r="X693" t="str">
            <v xml:space="preserve"> of </v>
          </cell>
          <cell r="Z693" t="str">
            <v/>
          </cell>
          <cell r="AC693" t="str">
            <v xml:space="preserve"> of </v>
          </cell>
          <cell r="AD693" t="str">
            <v xml:space="preserve"> of </v>
          </cell>
          <cell r="AF693" t="str">
            <v/>
          </cell>
          <cell r="AI693" t="str">
            <v xml:space="preserve"> of </v>
          </cell>
          <cell r="AJ693" t="str">
            <v xml:space="preserve"> of </v>
          </cell>
          <cell r="AL693" t="str">
            <v/>
          </cell>
          <cell r="AM693">
            <v>0.70833333333333304</v>
          </cell>
          <cell r="AO693" t="str">
            <v/>
          </cell>
          <cell r="AW693" t="str">
            <v/>
          </cell>
          <cell r="AX693" t="str">
            <v/>
          </cell>
          <cell r="AZ693" t="str">
            <v/>
          </cell>
          <cell r="BA693" t="str">
            <v/>
          </cell>
          <cell r="BB693" t="str">
            <v/>
          </cell>
          <cell r="BC693" t="str">
            <v/>
          </cell>
        </row>
        <row r="694">
          <cell r="E694" t="str">
            <v/>
          </cell>
          <cell r="F694" t="str">
            <v/>
          </cell>
          <cell r="G694" t="str">
            <v/>
          </cell>
          <cell r="O694" t="str">
            <v/>
          </cell>
          <cell r="Q694" t="str">
            <v/>
          </cell>
          <cell r="W694" t="str">
            <v xml:space="preserve"> of </v>
          </cell>
          <cell r="X694" t="str">
            <v xml:space="preserve"> of </v>
          </cell>
          <cell r="Z694" t="str">
            <v/>
          </cell>
          <cell r="AC694" t="str">
            <v xml:space="preserve"> of </v>
          </cell>
          <cell r="AD694" t="str">
            <v xml:space="preserve"> of </v>
          </cell>
          <cell r="AF694" t="str">
            <v/>
          </cell>
          <cell r="AI694" t="str">
            <v xml:space="preserve"> of </v>
          </cell>
          <cell r="AJ694" t="str">
            <v xml:space="preserve"> of </v>
          </cell>
          <cell r="AL694" t="str">
            <v/>
          </cell>
          <cell r="AM694">
            <v>0.70833333333333304</v>
          </cell>
          <cell r="AO694" t="str">
            <v/>
          </cell>
          <cell r="AW694" t="str">
            <v/>
          </cell>
          <cell r="AX694" t="str">
            <v/>
          </cell>
          <cell r="AZ694" t="str">
            <v/>
          </cell>
          <cell r="BA694" t="str">
            <v/>
          </cell>
          <cell r="BB694" t="str">
            <v/>
          </cell>
          <cell r="BC694" t="str">
            <v/>
          </cell>
        </row>
        <row r="695">
          <cell r="E695" t="str">
            <v/>
          </cell>
          <cell r="F695" t="str">
            <v/>
          </cell>
          <cell r="G695" t="str">
            <v/>
          </cell>
          <cell r="O695" t="str">
            <v/>
          </cell>
          <cell r="Q695" t="str">
            <v/>
          </cell>
          <cell r="W695" t="str">
            <v xml:space="preserve"> of </v>
          </cell>
          <cell r="X695" t="str">
            <v xml:space="preserve"> of </v>
          </cell>
          <cell r="Z695" t="str">
            <v/>
          </cell>
          <cell r="AC695" t="str">
            <v xml:space="preserve"> of </v>
          </cell>
          <cell r="AD695" t="str">
            <v xml:space="preserve"> of </v>
          </cell>
          <cell r="AF695" t="str">
            <v/>
          </cell>
          <cell r="AI695" t="str">
            <v xml:space="preserve"> of </v>
          </cell>
          <cell r="AJ695" t="str">
            <v xml:space="preserve"> of </v>
          </cell>
          <cell r="AL695" t="str">
            <v/>
          </cell>
          <cell r="AM695">
            <v>0.70833333333333304</v>
          </cell>
          <cell r="AO695" t="str">
            <v/>
          </cell>
          <cell r="AW695" t="str">
            <v/>
          </cell>
          <cell r="AX695" t="str">
            <v/>
          </cell>
          <cell r="AZ695" t="str">
            <v/>
          </cell>
          <cell r="BA695" t="str">
            <v/>
          </cell>
          <cell r="BB695" t="str">
            <v/>
          </cell>
          <cell r="BC695" t="str">
            <v/>
          </cell>
        </row>
        <row r="696">
          <cell r="E696" t="str">
            <v/>
          </cell>
          <cell r="F696" t="str">
            <v/>
          </cell>
          <cell r="G696" t="str">
            <v/>
          </cell>
          <cell r="O696" t="str">
            <v/>
          </cell>
          <cell r="Q696" t="str">
            <v/>
          </cell>
          <cell r="W696" t="str">
            <v xml:space="preserve"> of </v>
          </cell>
          <cell r="X696" t="str">
            <v xml:space="preserve"> of </v>
          </cell>
          <cell r="Z696" t="str">
            <v/>
          </cell>
          <cell r="AC696" t="str">
            <v xml:space="preserve"> of </v>
          </cell>
          <cell r="AD696" t="str">
            <v xml:space="preserve"> of </v>
          </cell>
          <cell r="AF696" t="str">
            <v/>
          </cell>
          <cell r="AI696" t="str">
            <v xml:space="preserve"> of </v>
          </cell>
          <cell r="AJ696" t="str">
            <v xml:space="preserve"> of </v>
          </cell>
          <cell r="AL696" t="str">
            <v/>
          </cell>
          <cell r="AM696">
            <v>0.70833333333333304</v>
          </cell>
          <cell r="AO696" t="str">
            <v/>
          </cell>
          <cell r="AW696" t="str">
            <v/>
          </cell>
          <cell r="AX696" t="str">
            <v/>
          </cell>
          <cell r="AZ696" t="str">
            <v/>
          </cell>
          <cell r="BA696" t="str">
            <v/>
          </cell>
          <cell r="BB696" t="str">
            <v/>
          </cell>
          <cell r="BC696" t="str">
            <v/>
          </cell>
        </row>
        <row r="697">
          <cell r="E697" t="str">
            <v/>
          </cell>
          <cell r="F697" t="str">
            <v/>
          </cell>
          <cell r="G697" t="str">
            <v/>
          </cell>
          <cell r="O697" t="str">
            <v/>
          </cell>
          <cell r="Q697" t="str">
            <v/>
          </cell>
          <cell r="W697" t="str">
            <v xml:space="preserve"> of </v>
          </cell>
          <cell r="X697" t="str">
            <v xml:space="preserve"> of </v>
          </cell>
          <cell r="Z697" t="str">
            <v/>
          </cell>
          <cell r="AC697" t="str">
            <v xml:space="preserve"> of </v>
          </cell>
          <cell r="AD697" t="str">
            <v xml:space="preserve"> of </v>
          </cell>
          <cell r="AF697" t="str">
            <v/>
          </cell>
          <cell r="AI697" t="str">
            <v xml:space="preserve"> of </v>
          </cell>
          <cell r="AJ697" t="str">
            <v xml:space="preserve"> of </v>
          </cell>
          <cell r="AL697" t="str">
            <v/>
          </cell>
          <cell r="AM697">
            <v>0.70833333333333304</v>
          </cell>
          <cell r="AO697" t="str">
            <v/>
          </cell>
          <cell r="AW697" t="str">
            <v/>
          </cell>
          <cell r="AX697" t="str">
            <v/>
          </cell>
          <cell r="AZ697" t="str">
            <v/>
          </cell>
          <cell r="BA697" t="str">
            <v/>
          </cell>
          <cell r="BB697" t="str">
            <v/>
          </cell>
          <cell r="BC697" t="str">
            <v/>
          </cell>
        </row>
        <row r="698">
          <cell r="E698" t="str">
            <v/>
          </cell>
          <cell r="F698" t="str">
            <v/>
          </cell>
          <cell r="G698" t="str">
            <v/>
          </cell>
          <cell r="O698" t="str">
            <v/>
          </cell>
          <cell r="Q698" t="str">
            <v/>
          </cell>
          <cell r="W698" t="str">
            <v xml:space="preserve"> of </v>
          </cell>
          <cell r="X698" t="str">
            <v xml:space="preserve"> of </v>
          </cell>
          <cell r="Z698" t="str">
            <v/>
          </cell>
          <cell r="AC698" t="str">
            <v xml:space="preserve"> of </v>
          </cell>
          <cell r="AD698" t="str">
            <v xml:space="preserve"> of </v>
          </cell>
          <cell r="AF698" t="str">
            <v/>
          </cell>
          <cell r="AI698" t="str">
            <v xml:space="preserve"> of </v>
          </cell>
          <cell r="AJ698" t="str">
            <v xml:space="preserve"> of </v>
          </cell>
          <cell r="AL698" t="str">
            <v/>
          </cell>
          <cell r="AM698">
            <v>0.70833333333333304</v>
          </cell>
          <cell r="AO698" t="str">
            <v/>
          </cell>
          <cell r="AW698" t="str">
            <v/>
          </cell>
          <cell r="AX698" t="str">
            <v/>
          </cell>
          <cell r="AZ698" t="str">
            <v/>
          </cell>
          <cell r="BA698" t="str">
            <v/>
          </cell>
          <cell r="BB698" t="str">
            <v/>
          </cell>
          <cell r="BC698" t="str">
            <v/>
          </cell>
        </row>
        <row r="699">
          <cell r="E699" t="str">
            <v/>
          </cell>
          <cell r="F699" t="str">
            <v/>
          </cell>
          <cell r="G699" t="str">
            <v/>
          </cell>
          <cell r="O699" t="str">
            <v/>
          </cell>
          <cell r="Q699" t="str">
            <v/>
          </cell>
          <cell r="W699" t="str">
            <v xml:space="preserve"> of </v>
          </cell>
          <cell r="X699" t="str">
            <v xml:space="preserve"> of </v>
          </cell>
          <cell r="Z699" t="str">
            <v/>
          </cell>
          <cell r="AC699" t="str">
            <v xml:space="preserve"> of </v>
          </cell>
          <cell r="AD699" t="str">
            <v xml:space="preserve"> of </v>
          </cell>
          <cell r="AF699" t="str">
            <v/>
          </cell>
          <cell r="AI699" t="str">
            <v xml:space="preserve"> of </v>
          </cell>
          <cell r="AJ699" t="str">
            <v xml:space="preserve"> of </v>
          </cell>
          <cell r="AL699" t="str">
            <v/>
          </cell>
          <cell r="AM699">
            <v>0.70833333333333304</v>
          </cell>
          <cell r="AO699" t="str">
            <v/>
          </cell>
          <cell r="AW699" t="str">
            <v/>
          </cell>
          <cell r="AX699" t="str">
            <v/>
          </cell>
          <cell r="AZ699" t="str">
            <v/>
          </cell>
          <cell r="BA699" t="str">
            <v/>
          </cell>
          <cell r="BB699" t="str">
            <v/>
          </cell>
          <cell r="BC699" t="str">
            <v/>
          </cell>
        </row>
        <row r="700">
          <cell r="E700" t="str">
            <v/>
          </cell>
          <cell r="F700" t="str">
            <v/>
          </cell>
          <cell r="G700" t="str">
            <v/>
          </cell>
          <cell r="O700" t="str">
            <v/>
          </cell>
          <cell r="Q700" t="str">
            <v/>
          </cell>
          <cell r="W700" t="str">
            <v xml:space="preserve"> of </v>
          </cell>
          <cell r="X700" t="str">
            <v xml:space="preserve"> of </v>
          </cell>
          <cell r="Z700" t="str">
            <v/>
          </cell>
          <cell r="AC700" t="str">
            <v xml:space="preserve"> of </v>
          </cell>
          <cell r="AD700" t="str">
            <v xml:space="preserve"> of </v>
          </cell>
          <cell r="AF700" t="str">
            <v/>
          </cell>
          <cell r="AI700" t="str">
            <v xml:space="preserve"> of </v>
          </cell>
          <cell r="AJ700" t="str">
            <v xml:space="preserve"> of </v>
          </cell>
          <cell r="AL700" t="str">
            <v/>
          </cell>
          <cell r="AM700">
            <v>0.70833333333333304</v>
          </cell>
          <cell r="AO700" t="str">
            <v/>
          </cell>
          <cell r="AW700" t="str">
            <v/>
          </cell>
          <cell r="AX700" t="str">
            <v/>
          </cell>
          <cell r="AZ700" t="str">
            <v/>
          </cell>
          <cell r="BA700" t="str">
            <v/>
          </cell>
          <cell r="BB700" t="str">
            <v/>
          </cell>
          <cell r="BC700" t="str">
            <v/>
          </cell>
        </row>
        <row r="701">
          <cell r="E701" t="str">
            <v/>
          </cell>
          <cell r="F701" t="str">
            <v/>
          </cell>
          <cell r="G701" t="str">
            <v/>
          </cell>
          <cell r="O701" t="str">
            <v/>
          </cell>
          <cell r="Q701" t="str">
            <v/>
          </cell>
          <cell r="W701" t="str">
            <v xml:space="preserve"> of </v>
          </cell>
          <cell r="X701" t="str">
            <v xml:space="preserve"> of </v>
          </cell>
          <cell r="Z701" t="str">
            <v/>
          </cell>
          <cell r="AC701" t="str">
            <v xml:space="preserve"> of </v>
          </cell>
          <cell r="AD701" t="str">
            <v xml:space="preserve"> of </v>
          </cell>
          <cell r="AF701" t="str">
            <v/>
          </cell>
          <cell r="AI701" t="str">
            <v xml:space="preserve"> of </v>
          </cell>
          <cell r="AJ701" t="str">
            <v xml:space="preserve"> of </v>
          </cell>
          <cell r="AL701" t="str">
            <v/>
          </cell>
          <cell r="AM701">
            <v>0.70833333333333304</v>
          </cell>
          <cell r="AO701" t="str">
            <v/>
          </cell>
          <cell r="AW701" t="str">
            <v/>
          </cell>
          <cell r="AX701" t="str">
            <v/>
          </cell>
          <cell r="AZ701" t="str">
            <v/>
          </cell>
          <cell r="BA701" t="str">
            <v/>
          </cell>
          <cell r="BB701" t="str">
            <v/>
          </cell>
          <cell r="BC701" t="str">
            <v/>
          </cell>
        </row>
        <row r="702">
          <cell r="E702" t="str">
            <v/>
          </cell>
          <cell r="F702" t="str">
            <v/>
          </cell>
          <cell r="G702" t="str">
            <v/>
          </cell>
          <cell r="O702" t="str">
            <v/>
          </cell>
          <cell r="Q702" t="str">
            <v/>
          </cell>
          <cell r="W702" t="str">
            <v xml:space="preserve"> of </v>
          </cell>
          <cell r="X702" t="str">
            <v xml:space="preserve"> of </v>
          </cell>
          <cell r="Z702" t="str">
            <v/>
          </cell>
          <cell r="AC702" t="str">
            <v xml:space="preserve"> of </v>
          </cell>
          <cell r="AD702" t="str">
            <v xml:space="preserve"> of </v>
          </cell>
          <cell r="AF702" t="str">
            <v/>
          </cell>
          <cell r="AI702" t="str">
            <v xml:space="preserve"> of </v>
          </cell>
          <cell r="AJ702" t="str">
            <v xml:space="preserve"> of </v>
          </cell>
          <cell r="AL702" t="str">
            <v/>
          </cell>
          <cell r="AM702">
            <v>0.70833333333333304</v>
          </cell>
          <cell r="AO702" t="str">
            <v/>
          </cell>
          <cell r="AW702" t="str">
            <v/>
          </cell>
          <cell r="AX702" t="str">
            <v/>
          </cell>
          <cell r="AZ702" t="str">
            <v/>
          </cell>
          <cell r="BA702" t="str">
            <v/>
          </cell>
          <cell r="BB702" t="str">
            <v/>
          </cell>
          <cell r="BC702" t="str">
            <v/>
          </cell>
        </row>
        <row r="703">
          <cell r="E703" t="str">
            <v/>
          </cell>
          <cell r="F703" t="str">
            <v/>
          </cell>
          <cell r="G703" t="str">
            <v/>
          </cell>
          <cell r="O703" t="str">
            <v/>
          </cell>
          <cell r="Q703" t="str">
            <v/>
          </cell>
          <cell r="W703" t="str">
            <v xml:space="preserve"> of </v>
          </cell>
          <cell r="X703" t="str">
            <v xml:space="preserve"> of </v>
          </cell>
          <cell r="Z703" t="str">
            <v/>
          </cell>
          <cell r="AC703" t="str">
            <v xml:space="preserve"> of </v>
          </cell>
          <cell r="AD703" t="str">
            <v xml:space="preserve"> of </v>
          </cell>
          <cell r="AF703" t="str">
            <v/>
          </cell>
          <cell r="AI703" t="str">
            <v xml:space="preserve"> of </v>
          </cell>
          <cell r="AJ703" t="str">
            <v xml:space="preserve"> of </v>
          </cell>
          <cell r="AL703" t="str">
            <v/>
          </cell>
          <cell r="AM703">
            <v>0.70833333333333304</v>
          </cell>
          <cell r="AO703" t="str">
            <v/>
          </cell>
          <cell r="AW703" t="str">
            <v/>
          </cell>
          <cell r="AX703" t="str">
            <v/>
          </cell>
          <cell r="AZ703" t="str">
            <v/>
          </cell>
          <cell r="BA703" t="str">
            <v/>
          </cell>
          <cell r="BB703" t="str">
            <v/>
          </cell>
          <cell r="BC703" t="str">
            <v/>
          </cell>
        </row>
        <row r="704">
          <cell r="E704" t="str">
            <v/>
          </cell>
          <cell r="F704" t="str">
            <v/>
          </cell>
          <cell r="G704" t="str">
            <v/>
          </cell>
          <cell r="O704" t="str">
            <v/>
          </cell>
          <cell r="Q704" t="str">
            <v/>
          </cell>
          <cell r="W704" t="str">
            <v xml:space="preserve"> of </v>
          </cell>
          <cell r="X704" t="str">
            <v xml:space="preserve"> of </v>
          </cell>
          <cell r="Z704" t="str">
            <v/>
          </cell>
          <cell r="AC704" t="str">
            <v xml:space="preserve"> of </v>
          </cell>
          <cell r="AD704" t="str">
            <v xml:space="preserve"> of </v>
          </cell>
          <cell r="AF704" t="str">
            <v/>
          </cell>
          <cell r="AI704" t="str">
            <v xml:space="preserve"> of </v>
          </cell>
          <cell r="AJ704" t="str">
            <v xml:space="preserve"> of </v>
          </cell>
          <cell r="AL704" t="str">
            <v/>
          </cell>
          <cell r="AM704">
            <v>0.70833333333333304</v>
          </cell>
          <cell r="AO704" t="str">
            <v/>
          </cell>
          <cell r="AW704" t="str">
            <v/>
          </cell>
          <cell r="AX704" t="str">
            <v/>
          </cell>
          <cell r="AZ704" t="str">
            <v/>
          </cell>
          <cell r="BA704" t="str">
            <v/>
          </cell>
          <cell r="BB704" t="str">
            <v/>
          </cell>
          <cell r="BC704" t="str">
            <v/>
          </cell>
        </row>
        <row r="705">
          <cell r="E705" t="str">
            <v/>
          </cell>
          <cell r="F705" t="str">
            <v/>
          </cell>
          <cell r="G705" t="str">
            <v/>
          </cell>
          <cell r="O705" t="str">
            <v/>
          </cell>
          <cell r="Q705" t="str">
            <v/>
          </cell>
          <cell r="W705" t="str">
            <v xml:space="preserve"> of </v>
          </cell>
          <cell r="X705" t="str">
            <v xml:space="preserve"> of </v>
          </cell>
          <cell r="Z705" t="str">
            <v/>
          </cell>
          <cell r="AC705" t="str">
            <v xml:space="preserve"> of </v>
          </cell>
          <cell r="AD705" t="str">
            <v xml:space="preserve"> of </v>
          </cell>
          <cell r="AF705" t="str">
            <v/>
          </cell>
          <cell r="AI705" t="str">
            <v xml:space="preserve"> of </v>
          </cell>
          <cell r="AJ705" t="str">
            <v xml:space="preserve"> of </v>
          </cell>
          <cell r="AL705" t="str">
            <v/>
          </cell>
          <cell r="AM705">
            <v>0.70833333333333304</v>
          </cell>
          <cell r="AO705" t="str">
            <v/>
          </cell>
          <cell r="AW705" t="str">
            <v/>
          </cell>
          <cell r="AX705" t="str">
            <v/>
          </cell>
          <cell r="AZ705" t="str">
            <v/>
          </cell>
          <cell r="BA705" t="str">
            <v/>
          </cell>
          <cell r="BB705" t="str">
            <v/>
          </cell>
          <cell r="BC705" t="str">
            <v/>
          </cell>
        </row>
        <row r="706">
          <cell r="E706" t="str">
            <v/>
          </cell>
          <cell r="F706" t="str">
            <v/>
          </cell>
          <cell r="G706" t="str">
            <v/>
          </cell>
          <cell r="O706" t="str">
            <v/>
          </cell>
          <cell r="Q706" t="str">
            <v/>
          </cell>
          <cell r="W706" t="str">
            <v xml:space="preserve"> of </v>
          </cell>
          <cell r="X706" t="str">
            <v xml:space="preserve"> of </v>
          </cell>
          <cell r="Z706" t="str">
            <v/>
          </cell>
          <cell r="AC706" t="str">
            <v xml:space="preserve"> of </v>
          </cell>
          <cell r="AD706" t="str">
            <v xml:space="preserve"> of </v>
          </cell>
          <cell r="AF706" t="str">
            <v/>
          </cell>
          <cell r="AI706" t="str">
            <v xml:space="preserve"> of </v>
          </cell>
          <cell r="AJ706" t="str">
            <v xml:space="preserve"> of </v>
          </cell>
          <cell r="AL706" t="str">
            <v/>
          </cell>
          <cell r="AM706">
            <v>0.70833333333333304</v>
          </cell>
          <cell r="AO706" t="str">
            <v/>
          </cell>
          <cell r="AW706" t="str">
            <v/>
          </cell>
          <cell r="AX706" t="str">
            <v/>
          </cell>
          <cell r="AZ706" t="str">
            <v/>
          </cell>
          <cell r="BA706" t="str">
            <v/>
          </cell>
          <cell r="BB706" t="str">
            <v/>
          </cell>
          <cell r="BC706" t="str">
            <v/>
          </cell>
        </row>
        <row r="707">
          <cell r="E707" t="str">
            <v/>
          </cell>
          <cell r="F707" t="str">
            <v/>
          </cell>
          <cell r="G707" t="str">
            <v/>
          </cell>
          <cell r="O707" t="str">
            <v/>
          </cell>
          <cell r="Q707" t="str">
            <v/>
          </cell>
          <cell r="W707" t="str">
            <v xml:space="preserve"> of </v>
          </cell>
          <cell r="X707" t="str">
            <v xml:space="preserve"> of </v>
          </cell>
          <cell r="Z707" t="str">
            <v/>
          </cell>
          <cell r="AC707" t="str">
            <v xml:space="preserve"> of </v>
          </cell>
          <cell r="AD707" t="str">
            <v xml:space="preserve"> of </v>
          </cell>
          <cell r="AF707" t="str">
            <v/>
          </cell>
          <cell r="AI707" t="str">
            <v xml:space="preserve"> of </v>
          </cell>
          <cell r="AJ707" t="str">
            <v xml:space="preserve"> of </v>
          </cell>
          <cell r="AL707" t="str">
            <v/>
          </cell>
          <cell r="AM707">
            <v>0.70833333333333304</v>
          </cell>
          <cell r="AO707" t="str">
            <v/>
          </cell>
          <cell r="AW707" t="str">
            <v/>
          </cell>
          <cell r="AX707" t="str">
            <v/>
          </cell>
          <cell r="AZ707" t="str">
            <v/>
          </cell>
          <cell r="BA707" t="str">
            <v/>
          </cell>
          <cell r="BB707" t="str">
            <v/>
          </cell>
          <cell r="BC707" t="str">
            <v/>
          </cell>
        </row>
        <row r="708">
          <cell r="E708" t="str">
            <v/>
          </cell>
          <cell r="F708" t="str">
            <v/>
          </cell>
          <cell r="G708" t="str">
            <v/>
          </cell>
          <cell r="O708" t="str">
            <v/>
          </cell>
          <cell r="Q708" t="str">
            <v/>
          </cell>
          <cell r="W708" t="str">
            <v xml:space="preserve"> of </v>
          </cell>
          <cell r="X708" t="str">
            <v xml:space="preserve"> of </v>
          </cell>
          <cell r="Z708" t="str">
            <v/>
          </cell>
          <cell r="AC708" t="str">
            <v xml:space="preserve"> of </v>
          </cell>
          <cell r="AD708" t="str">
            <v xml:space="preserve"> of </v>
          </cell>
          <cell r="AF708" t="str">
            <v/>
          </cell>
          <cell r="AI708" t="str">
            <v xml:space="preserve"> of </v>
          </cell>
          <cell r="AJ708" t="str">
            <v xml:space="preserve"> of </v>
          </cell>
          <cell r="AL708" t="str">
            <v/>
          </cell>
          <cell r="AM708">
            <v>0.70833333333333304</v>
          </cell>
          <cell r="AO708" t="str">
            <v/>
          </cell>
          <cell r="AW708" t="str">
            <v/>
          </cell>
          <cell r="AX708" t="str">
            <v/>
          </cell>
          <cell r="AZ708" t="str">
            <v/>
          </cell>
          <cell r="BA708" t="str">
            <v/>
          </cell>
          <cell r="BB708" t="str">
            <v/>
          </cell>
          <cell r="BC708" t="str">
            <v/>
          </cell>
        </row>
        <row r="709">
          <cell r="E709" t="str">
            <v/>
          </cell>
          <cell r="F709" t="str">
            <v/>
          </cell>
          <cell r="G709" t="str">
            <v/>
          </cell>
          <cell r="O709" t="str">
            <v/>
          </cell>
          <cell r="Q709" t="str">
            <v/>
          </cell>
          <cell r="W709" t="str">
            <v xml:space="preserve"> of </v>
          </cell>
          <cell r="X709" t="str">
            <v xml:space="preserve"> of </v>
          </cell>
          <cell r="Z709" t="str">
            <v/>
          </cell>
          <cell r="AC709" t="str">
            <v xml:space="preserve"> of </v>
          </cell>
          <cell r="AD709" t="str">
            <v xml:space="preserve"> of </v>
          </cell>
          <cell r="AF709" t="str">
            <v/>
          </cell>
          <cell r="AI709" t="str">
            <v xml:space="preserve"> of </v>
          </cell>
          <cell r="AJ709" t="str">
            <v xml:space="preserve"> of </v>
          </cell>
          <cell r="AL709" t="str">
            <v/>
          </cell>
          <cell r="AM709">
            <v>0.70833333333333304</v>
          </cell>
          <cell r="AO709" t="str">
            <v/>
          </cell>
          <cell r="AW709" t="str">
            <v/>
          </cell>
          <cell r="AX709" t="str">
            <v/>
          </cell>
          <cell r="AZ709" t="str">
            <v/>
          </cell>
          <cell r="BA709" t="str">
            <v/>
          </cell>
          <cell r="BB709" t="str">
            <v/>
          </cell>
          <cell r="BC709" t="str">
            <v/>
          </cell>
        </row>
        <row r="710">
          <cell r="E710" t="str">
            <v/>
          </cell>
          <cell r="F710" t="str">
            <v/>
          </cell>
          <cell r="G710" t="str">
            <v/>
          </cell>
          <cell r="O710" t="str">
            <v/>
          </cell>
          <cell r="Q710" t="str">
            <v/>
          </cell>
          <cell r="W710" t="str">
            <v xml:space="preserve"> of </v>
          </cell>
          <cell r="X710" t="str">
            <v xml:space="preserve"> of </v>
          </cell>
          <cell r="Z710" t="str">
            <v/>
          </cell>
          <cell r="AC710" t="str">
            <v xml:space="preserve"> of </v>
          </cell>
          <cell r="AD710" t="str">
            <v xml:space="preserve"> of </v>
          </cell>
          <cell r="AF710" t="str">
            <v/>
          </cell>
          <cell r="AI710" t="str">
            <v xml:space="preserve"> of </v>
          </cell>
          <cell r="AJ710" t="str">
            <v xml:space="preserve"> of </v>
          </cell>
          <cell r="AL710" t="str">
            <v/>
          </cell>
          <cell r="AM710">
            <v>0.70833333333333304</v>
          </cell>
          <cell r="AO710" t="str">
            <v/>
          </cell>
          <cell r="AW710" t="str">
            <v/>
          </cell>
          <cell r="AX710" t="str">
            <v/>
          </cell>
          <cell r="AZ710" t="str">
            <v/>
          </cell>
          <cell r="BA710" t="str">
            <v/>
          </cell>
          <cell r="BB710" t="str">
            <v/>
          </cell>
          <cell r="BC710" t="str">
            <v/>
          </cell>
        </row>
        <row r="711">
          <cell r="E711" t="str">
            <v/>
          </cell>
          <cell r="F711" t="str">
            <v/>
          </cell>
          <cell r="G711" t="str">
            <v/>
          </cell>
          <cell r="O711" t="str">
            <v/>
          </cell>
          <cell r="Q711" t="str">
            <v/>
          </cell>
          <cell r="W711" t="str">
            <v xml:space="preserve"> of </v>
          </cell>
          <cell r="X711" t="str">
            <v xml:space="preserve"> of </v>
          </cell>
          <cell r="Z711" t="str">
            <v/>
          </cell>
          <cell r="AC711" t="str">
            <v xml:space="preserve"> of </v>
          </cell>
          <cell r="AD711" t="str">
            <v xml:space="preserve"> of </v>
          </cell>
          <cell r="AF711" t="str">
            <v/>
          </cell>
          <cell r="AI711" t="str">
            <v xml:space="preserve"> of </v>
          </cell>
          <cell r="AJ711" t="str">
            <v xml:space="preserve"> of </v>
          </cell>
          <cell r="AL711" t="str">
            <v/>
          </cell>
          <cell r="AM711">
            <v>0.70833333333333304</v>
          </cell>
          <cell r="AO711" t="str">
            <v/>
          </cell>
          <cell r="AW711" t="str">
            <v/>
          </cell>
          <cell r="AX711" t="str">
            <v/>
          </cell>
          <cell r="AZ711" t="str">
            <v/>
          </cell>
          <cell r="BA711" t="str">
            <v/>
          </cell>
          <cell r="BB711" t="str">
            <v/>
          </cell>
          <cell r="BC711" t="str">
            <v/>
          </cell>
        </row>
        <row r="712">
          <cell r="E712" t="str">
            <v/>
          </cell>
          <cell r="F712" t="str">
            <v/>
          </cell>
          <cell r="G712" t="str">
            <v/>
          </cell>
          <cell r="O712" t="str">
            <v/>
          </cell>
          <cell r="Q712" t="str">
            <v/>
          </cell>
          <cell r="W712" t="str">
            <v xml:space="preserve"> of </v>
          </cell>
          <cell r="X712" t="str">
            <v xml:space="preserve"> of </v>
          </cell>
          <cell r="Z712" t="str">
            <v/>
          </cell>
          <cell r="AC712" t="str">
            <v xml:space="preserve"> of </v>
          </cell>
          <cell r="AD712" t="str">
            <v xml:space="preserve"> of </v>
          </cell>
          <cell r="AF712" t="str">
            <v/>
          </cell>
          <cell r="AI712" t="str">
            <v xml:space="preserve"> of </v>
          </cell>
          <cell r="AJ712" t="str">
            <v xml:space="preserve"> of </v>
          </cell>
          <cell r="AL712" t="str">
            <v/>
          </cell>
          <cell r="AM712">
            <v>0.70833333333333304</v>
          </cell>
          <cell r="AO712" t="str">
            <v/>
          </cell>
          <cell r="AW712" t="str">
            <v/>
          </cell>
          <cell r="AX712" t="str">
            <v/>
          </cell>
          <cell r="AZ712" t="str">
            <v/>
          </cell>
          <cell r="BA712" t="str">
            <v/>
          </cell>
          <cell r="BB712" t="str">
            <v/>
          </cell>
          <cell r="BC712" t="str">
            <v/>
          </cell>
        </row>
        <row r="713">
          <cell r="E713" t="str">
            <v/>
          </cell>
          <cell r="F713" t="str">
            <v/>
          </cell>
          <cell r="G713" t="str">
            <v/>
          </cell>
          <cell r="O713" t="str">
            <v/>
          </cell>
          <cell r="Q713" t="str">
            <v/>
          </cell>
          <cell r="W713" t="str">
            <v xml:space="preserve"> of </v>
          </cell>
          <cell r="X713" t="str">
            <v xml:space="preserve"> of </v>
          </cell>
          <cell r="Z713" t="str">
            <v/>
          </cell>
          <cell r="AC713" t="str">
            <v xml:space="preserve"> of </v>
          </cell>
          <cell r="AD713" t="str">
            <v xml:space="preserve"> of </v>
          </cell>
          <cell r="AF713" t="str">
            <v/>
          </cell>
          <cell r="AI713" t="str">
            <v xml:space="preserve"> of </v>
          </cell>
          <cell r="AJ713" t="str">
            <v xml:space="preserve"> of </v>
          </cell>
          <cell r="AL713" t="str">
            <v/>
          </cell>
          <cell r="AM713">
            <v>0.70833333333333304</v>
          </cell>
          <cell r="AO713" t="str">
            <v/>
          </cell>
          <cell r="AW713" t="str">
            <v/>
          </cell>
          <cell r="AX713" t="str">
            <v/>
          </cell>
          <cell r="AZ713" t="str">
            <v/>
          </cell>
          <cell r="BA713" t="str">
            <v/>
          </cell>
          <cell r="BB713" t="str">
            <v/>
          </cell>
          <cell r="BC713" t="str">
            <v/>
          </cell>
        </row>
        <row r="714">
          <cell r="E714" t="str">
            <v/>
          </cell>
          <cell r="F714" t="str">
            <v/>
          </cell>
          <cell r="G714" t="str">
            <v/>
          </cell>
          <cell r="O714" t="str">
            <v/>
          </cell>
          <cell r="Q714" t="str">
            <v/>
          </cell>
          <cell r="W714" t="str">
            <v xml:space="preserve"> of </v>
          </cell>
          <cell r="X714" t="str">
            <v xml:space="preserve"> of </v>
          </cell>
          <cell r="Z714" t="str">
            <v/>
          </cell>
          <cell r="AC714" t="str">
            <v xml:space="preserve"> of </v>
          </cell>
          <cell r="AD714" t="str">
            <v xml:space="preserve"> of </v>
          </cell>
          <cell r="AF714" t="str">
            <v/>
          </cell>
          <cell r="AI714" t="str">
            <v xml:space="preserve"> of </v>
          </cell>
          <cell r="AJ714" t="str">
            <v xml:space="preserve"> of </v>
          </cell>
          <cell r="AL714" t="str">
            <v/>
          </cell>
          <cell r="AM714">
            <v>0.70833333333333304</v>
          </cell>
          <cell r="AO714" t="str">
            <v/>
          </cell>
          <cell r="AW714" t="str">
            <v/>
          </cell>
          <cell r="AX714" t="str">
            <v/>
          </cell>
          <cell r="AZ714" t="str">
            <v/>
          </cell>
          <cell r="BA714" t="str">
            <v/>
          </cell>
          <cell r="BB714" t="str">
            <v/>
          </cell>
          <cell r="BC714" t="str">
            <v/>
          </cell>
        </row>
        <row r="715">
          <cell r="E715" t="str">
            <v/>
          </cell>
          <cell r="F715" t="str">
            <v/>
          </cell>
          <cell r="G715" t="str">
            <v/>
          </cell>
          <cell r="O715" t="str">
            <v/>
          </cell>
          <cell r="Q715" t="str">
            <v/>
          </cell>
          <cell r="W715" t="str">
            <v xml:space="preserve"> of </v>
          </cell>
          <cell r="X715" t="str">
            <v xml:space="preserve"> of </v>
          </cell>
          <cell r="Z715" t="str">
            <v/>
          </cell>
          <cell r="AC715" t="str">
            <v xml:space="preserve"> of </v>
          </cell>
          <cell r="AD715" t="str">
            <v xml:space="preserve"> of </v>
          </cell>
          <cell r="AF715" t="str">
            <v/>
          </cell>
          <cell r="AI715" t="str">
            <v xml:space="preserve"> of </v>
          </cell>
          <cell r="AJ715" t="str">
            <v xml:space="preserve"> of </v>
          </cell>
          <cell r="AL715" t="str">
            <v/>
          </cell>
          <cell r="AM715">
            <v>0.70833333333333304</v>
          </cell>
          <cell r="AO715" t="str">
            <v/>
          </cell>
          <cell r="AW715" t="str">
            <v/>
          </cell>
          <cell r="AX715" t="str">
            <v/>
          </cell>
          <cell r="AZ715" t="str">
            <v/>
          </cell>
          <cell r="BA715" t="str">
            <v/>
          </cell>
          <cell r="BB715" t="str">
            <v/>
          </cell>
          <cell r="BC715" t="str">
            <v/>
          </cell>
        </row>
        <row r="716">
          <cell r="E716" t="str">
            <v/>
          </cell>
          <cell r="F716" t="str">
            <v/>
          </cell>
          <cell r="G716" t="str">
            <v/>
          </cell>
          <cell r="O716" t="str">
            <v/>
          </cell>
          <cell r="Q716" t="str">
            <v/>
          </cell>
          <cell r="W716" t="str">
            <v xml:space="preserve"> of </v>
          </cell>
          <cell r="X716" t="str">
            <v xml:space="preserve"> of </v>
          </cell>
          <cell r="Z716" t="str">
            <v/>
          </cell>
          <cell r="AC716" t="str">
            <v xml:space="preserve"> of </v>
          </cell>
          <cell r="AD716" t="str">
            <v xml:space="preserve"> of </v>
          </cell>
          <cell r="AF716" t="str">
            <v/>
          </cell>
          <cell r="AI716" t="str">
            <v xml:space="preserve"> of </v>
          </cell>
          <cell r="AJ716" t="str">
            <v xml:space="preserve"> of </v>
          </cell>
          <cell r="AL716" t="str">
            <v/>
          </cell>
          <cell r="AM716">
            <v>0.70833333333333304</v>
          </cell>
          <cell r="AO716" t="str">
            <v/>
          </cell>
          <cell r="AW716" t="str">
            <v/>
          </cell>
          <cell r="AX716" t="str">
            <v/>
          </cell>
          <cell r="AZ716" t="str">
            <v/>
          </cell>
          <cell r="BA716" t="str">
            <v/>
          </cell>
          <cell r="BB716" t="str">
            <v/>
          </cell>
          <cell r="BC716" t="str">
            <v/>
          </cell>
        </row>
        <row r="717">
          <cell r="E717" t="str">
            <v/>
          </cell>
          <cell r="F717" t="str">
            <v/>
          </cell>
          <cell r="G717" t="str">
            <v/>
          </cell>
          <cell r="O717" t="str">
            <v/>
          </cell>
          <cell r="Q717" t="str">
            <v/>
          </cell>
          <cell r="W717" t="str">
            <v xml:space="preserve"> of </v>
          </cell>
          <cell r="X717" t="str">
            <v xml:space="preserve"> of </v>
          </cell>
          <cell r="Z717" t="str">
            <v/>
          </cell>
          <cell r="AC717" t="str">
            <v xml:space="preserve"> of </v>
          </cell>
          <cell r="AD717" t="str">
            <v xml:space="preserve"> of </v>
          </cell>
          <cell r="AF717" t="str">
            <v/>
          </cell>
          <cell r="AI717" t="str">
            <v xml:space="preserve"> of </v>
          </cell>
          <cell r="AJ717" t="str">
            <v xml:space="preserve"> of </v>
          </cell>
          <cell r="AL717" t="str">
            <v/>
          </cell>
          <cell r="AM717">
            <v>0.70833333333333304</v>
          </cell>
          <cell r="AO717" t="str">
            <v/>
          </cell>
          <cell r="AW717" t="str">
            <v/>
          </cell>
          <cell r="AX717" t="str">
            <v/>
          </cell>
          <cell r="AZ717" t="str">
            <v/>
          </cell>
          <cell r="BA717" t="str">
            <v/>
          </cell>
          <cell r="BB717" t="str">
            <v/>
          </cell>
          <cell r="BC717" t="str">
            <v/>
          </cell>
        </row>
        <row r="718">
          <cell r="E718" t="str">
            <v/>
          </cell>
          <cell r="F718" t="str">
            <v/>
          </cell>
          <cell r="G718" t="str">
            <v/>
          </cell>
          <cell r="O718" t="str">
            <v/>
          </cell>
          <cell r="Q718" t="str">
            <v/>
          </cell>
          <cell r="W718" t="str">
            <v xml:space="preserve"> of </v>
          </cell>
          <cell r="X718" t="str">
            <v xml:space="preserve"> of </v>
          </cell>
          <cell r="Z718" t="str">
            <v/>
          </cell>
          <cell r="AC718" t="str">
            <v xml:space="preserve"> of </v>
          </cell>
          <cell r="AD718" t="str">
            <v xml:space="preserve"> of </v>
          </cell>
          <cell r="AF718" t="str">
            <v/>
          </cell>
          <cell r="AI718" t="str">
            <v xml:space="preserve"> of </v>
          </cell>
          <cell r="AJ718" t="str">
            <v xml:space="preserve"> of </v>
          </cell>
          <cell r="AL718" t="str">
            <v/>
          </cell>
          <cell r="AM718">
            <v>0.70833333333333304</v>
          </cell>
          <cell r="AO718" t="str">
            <v/>
          </cell>
          <cell r="AW718" t="str">
            <v/>
          </cell>
          <cell r="AX718" t="str">
            <v/>
          </cell>
          <cell r="AZ718" t="str">
            <v/>
          </cell>
          <cell r="BA718" t="str">
            <v/>
          </cell>
          <cell r="BB718" t="str">
            <v/>
          </cell>
          <cell r="BC718" t="str">
            <v/>
          </cell>
        </row>
        <row r="719">
          <cell r="E719" t="str">
            <v/>
          </cell>
          <cell r="F719" t="str">
            <v/>
          </cell>
          <cell r="G719" t="str">
            <v/>
          </cell>
          <cell r="O719" t="str">
            <v/>
          </cell>
          <cell r="Q719" t="str">
            <v/>
          </cell>
          <cell r="W719" t="str">
            <v xml:space="preserve"> of </v>
          </cell>
          <cell r="X719" t="str">
            <v xml:space="preserve"> of </v>
          </cell>
          <cell r="Z719" t="str">
            <v/>
          </cell>
          <cell r="AC719" t="str">
            <v xml:space="preserve"> of </v>
          </cell>
          <cell r="AD719" t="str">
            <v xml:space="preserve"> of </v>
          </cell>
          <cell r="AF719" t="str">
            <v/>
          </cell>
          <cell r="AI719" t="str">
            <v xml:space="preserve"> of </v>
          </cell>
          <cell r="AJ719" t="str">
            <v xml:space="preserve"> of </v>
          </cell>
          <cell r="AL719" t="str">
            <v/>
          </cell>
          <cell r="AM719">
            <v>0.70833333333333304</v>
          </cell>
          <cell r="AO719" t="str">
            <v/>
          </cell>
          <cell r="AW719" t="str">
            <v/>
          </cell>
          <cell r="AX719" t="str">
            <v/>
          </cell>
          <cell r="AZ719" t="str">
            <v/>
          </cell>
          <cell r="BA719" t="str">
            <v/>
          </cell>
          <cell r="BB719" t="str">
            <v/>
          </cell>
          <cell r="BC719" t="str">
            <v/>
          </cell>
        </row>
        <row r="720">
          <cell r="E720" t="str">
            <v/>
          </cell>
          <cell r="F720" t="str">
            <v/>
          </cell>
          <cell r="G720" t="str">
            <v/>
          </cell>
          <cell r="O720" t="str">
            <v/>
          </cell>
          <cell r="Q720" t="str">
            <v/>
          </cell>
          <cell r="W720" t="str">
            <v xml:space="preserve"> of </v>
          </cell>
          <cell r="X720" t="str">
            <v xml:space="preserve"> of </v>
          </cell>
          <cell r="Z720" t="str">
            <v/>
          </cell>
          <cell r="AC720" t="str">
            <v xml:space="preserve"> of </v>
          </cell>
          <cell r="AD720" t="str">
            <v xml:space="preserve"> of </v>
          </cell>
          <cell r="AF720" t="str">
            <v/>
          </cell>
          <cell r="AI720" t="str">
            <v xml:space="preserve"> of </v>
          </cell>
          <cell r="AJ720" t="str">
            <v xml:space="preserve"> of </v>
          </cell>
          <cell r="AL720" t="str">
            <v/>
          </cell>
          <cell r="AM720">
            <v>0.70833333333333304</v>
          </cell>
          <cell r="AO720" t="str">
            <v/>
          </cell>
          <cell r="AW720" t="str">
            <v/>
          </cell>
          <cell r="AX720" t="str">
            <v/>
          </cell>
          <cell r="AZ720" t="str">
            <v/>
          </cell>
          <cell r="BA720" t="str">
            <v/>
          </cell>
          <cell r="BB720" t="str">
            <v/>
          </cell>
          <cell r="BC720" t="str">
            <v/>
          </cell>
        </row>
        <row r="721">
          <cell r="E721" t="str">
            <v/>
          </cell>
          <cell r="F721" t="str">
            <v/>
          </cell>
          <cell r="G721" t="str">
            <v/>
          </cell>
          <cell r="O721" t="str">
            <v/>
          </cell>
          <cell r="Q721" t="str">
            <v/>
          </cell>
          <cell r="W721" t="str">
            <v xml:space="preserve"> of </v>
          </cell>
          <cell r="X721" t="str">
            <v xml:space="preserve"> of </v>
          </cell>
          <cell r="Z721" t="str">
            <v/>
          </cell>
          <cell r="AC721" t="str">
            <v xml:space="preserve"> of </v>
          </cell>
          <cell r="AD721" t="str">
            <v xml:space="preserve"> of </v>
          </cell>
          <cell r="AF721" t="str">
            <v/>
          </cell>
          <cell r="AI721" t="str">
            <v xml:space="preserve"> of </v>
          </cell>
          <cell r="AJ721" t="str">
            <v xml:space="preserve"> of </v>
          </cell>
          <cell r="AL721" t="str">
            <v/>
          </cell>
          <cell r="AM721">
            <v>0.70833333333333304</v>
          </cell>
          <cell r="AO721" t="str">
            <v/>
          </cell>
          <cell r="AW721" t="str">
            <v/>
          </cell>
          <cell r="AX721" t="str">
            <v/>
          </cell>
          <cell r="AZ721" t="str">
            <v/>
          </cell>
          <cell r="BA721" t="str">
            <v/>
          </cell>
          <cell r="BB721" t="str">
            <v/>
          </cell>
          <cell r="BC721" t="str">
            <v/>
          </cell>
        </row>
        <row r="722">
          <cell r="E722" t="str">
            <v/>
          </cell>
          <cell r="F722" t="str">
            <v/>
          </cell>
          <cell r="G722" t="str">
            <v/>
          </cell>
          <cell r="O722" t="str">
            <v/>
          </cell>
          <cell r="Q722" t="str">
            <v/>
          </cell>
          <cell r="W722" t="str">
            <v xml:space="preserve"> of </v>
          </cell>
          <cell r="X722" t="str">
            <v xml:space="preserve"> of </v>
          </cell>
          <cell r="Z722" t="str">
            <v/>
          </cell>
          <cell r="AC722" t="str">
            <v xml:space="preserve"> of </v>
          </cell>
          <cell r="AD722" t="str">
            <v xml:space="preserve"> of </v>
          </cell>
          <cell r="AF722" t="str">
            <v/>
          </cell>
          <cell r="AI722" t="str">
            <v xml:space="preserve"> of </v>
          </cell>
          <cell r="AJ722" t="str">
            <v xml:space="preserve"> of </v>
          </cell>
          <cell r="AL722" t="str">
            <v/>
          </cell>
          <cell r="AM722">
            <v>0.70833333333333304</v>
          </cell>
          <cell r="AO722" t="str">
            <v/>
          </cell>
          <cell r="AW722" t="str">
            <v/>
          </cell>
          <cell r="AX722" t="str">
            <v/>
          </cell>
          <cell r="AZ722" t="str">
            <v/>
          </cell>
          <cell r="BA722" t="str">
            <v/>
          </cell>
          <cell r="BB722" t="str">
            <v/>
          </cell>
          <cell r="BC722" t="str">
            <v/>
          </cell>
        </row>
        <row r="723">
          <cell r="E723" t="str">
            <v/>
          </cell>
          <cell r="F723" t="str">
            <v/>
          </cell>
          <cell r="G723" t="str">
            <v/>
          </cell>
          <cell r="O723" t="str">
            <v/>
          </cell>
          <cell r="Q723" t="str">
            <v/>
          </cell>
          <cell r="W723" t="str">
            <v xml:space="preserve"> of </v>
          </cell>
          <cell r="X723" t="str">
            <v xml:space="preserve"> of </v>
          </cell>
          <cell r="Z723" t="str">
            <v/>
          </cell>
          <cell r="AC723" t="str">
            <v xml:space="preserve"> of </v>
          </cell>
          <cell r="AD723" t="str">
            <v xml:space="preserve"> of </v>
          </cell>
          <cell r="AF723" t="str">
            <v/>
          </cell>
          <cell r="AI723" t="str">
            <v xml:space="preserve"> of </v>
          </cell>
          <cell r="AJ723" t="str">
            <v xml:space="preserve"> of </v>
          </cell>
          <cell r="AL723" t="str">
            <v/>
          </cell>
          <cell r="AM723">
            <v>0.70833333333333304</v>
          </cell>
          <cell r="AO723" t="str">
            <v/>
          </cell>
          <cell r="AW723" t="str">
            <v/>
          </cell>
          <cell r="AX723" t="str">
            <v/>
          </cell>
          <cell r="AZ723" t="str">
            <v/>
          </cell>
          <cell r="BA723" t="str">
            <v/>
          </cell>
          <cell r="BB723" t="str">
            <v/>
          </cell>
          <cell r="BC723" t="str">
            <v/>
          </cell>
        </row>
        <row r="724">
          <cell r="E724" t="str">
            <v/>
          </cell>
          <cell r="F724" t="str">
            <v/>
          </cell>
          <cell r="G724" t="str">
            <v/>
          </cell>
          <cell r="O724" t="str">
            <v/>
          </cell>
          <cell r="Q724" t="str">
            <v/>
          </cell>
          <cell r="W724" t="str">
            <v xml:space="preserve"> of </v>
          </cell>
          <cell r="X724" t="str">
            <v xml:space="preserve"> of </v>
          </cell>
          <cell r="Z724" t="str">
            <v/>
          </cell>
          <cell r="AC724" t="str">
            <v xml:space="preserve"> of </v>
          </cell>
          <cell r="AD724" t="str">
            <v xml:space="preserve"> of </v>
          </cell>
          <cell r="AF724" t="str">
            <v/>
          </cell>
          <cell r="AI724" t="str">
            <v xml:space="preserve"> of </v>
          </cell>
          <cell r="AJ724" t="str">
            <v xml:space="preserve"> of </v>
          </cell>
          <cell r="AL724" t="str">
            <v/>
          </cell>
          <cell r="AM724">
            <v>0.70833333333333304</v>
          </cell>
          <cell r="AO724" t="str">
            <v/>
          </cell>
          <cell r="AW724" t="str">
            <v/>
          </cell>
          <cell r="AX724" t="str">
            <v/>
          </cell>
          <cell r="AZ724" t="str">
            <v/>
          </cell>
          <cell r="BA724" t="str">
            <v/>
          </cell>
          <cell r="BB724" t="str">
            <v/>
          </cell>
          <cell r="BC724" t="str">
            <v/>
          </cell>
        </row>
        <row r="725">
          <cell r="E725" t="str">
            <v/>
          </cell>
          <cell r="F725" t="str">
            <v/>
          </cell>
          <cell r="G725" t="str">
            <v/>
          </cell>
          <cell r="O725" t="str">
            <v/>
          </cell>
          <cell r="Q725" t="str">
            <v/>
          </cell>
          <cell r="W725" t="str">
            <v xml:space="preserve"> of </v>
          </cell>
          <cell r="X725" t="str">
            <v xml:space="preserve"> of </v>
          </cell>
          <cell r="Z725" t="str">
            <v/>
          </cell>
          <cell r="AC725" t="str">
            <v xml:space="preserve"> of </v>
          </cell>
          <cell r="AD725" t="str">
            <v xml:space="preserve"> of </v>
          </cell>
          <cell r="AF725" t="str">
            <v/>
          </cell>
          <cell r="AI725" t="str">
            <v xml:space="preserve"> of </v>
          </cell>
          <cell r="AJ725" t="str">
            <v xml:space="preserve"> of </v>
          </cell>
          <cell r="AL725" t="str">
            <v/>
          </cell>
          <cell r="AM725">
            <v>0.70833333333333304</v>
          </cell>
          <cell r="AO725" t="str">
            <v/>
          </cell>
          <cell r="AW725" t="str">
            <v/>
          </cell>
          <cell r="AX725" t="str">
            <v/>
          </cell>
          <cell r="AZ725" t="str">
            <v/>
          </cell>
          <cell r="BA725" t="str">
            <v/>
          </cell>
          <cell r="BB725" t="str">
            <v/>
          </cell>
          <cell r="BC725" t="str">
            <v/>
          </cell>
        </row>
        <row r="726">
          <cell r="E726" t="str">
            <v/>
          </cell>
          <cell r="F726" t="str">
            <v/>
          </cell>
          <cell r="G726" t="str">
            <v/>
          </cell>
          <cell r="O726" t="str">
            <v/>
          </cell>
          <cell r="Q726" t="str">
            <v/>
          </cell>
          <cell r="W726" t="str">
            <v xml:space="preserve"> of </v>
          </cell>
          <cell r="X726" t="str">
            <v xml:space="preserve"> of </v>
          </cell>
          <cell r="Z726" t="str">
            <v/>
          </cell>
          <cell r="AC726" t="str">
            <v xml:space="preserve"> of </v>
          </cell>
          <cell r="AD726" t="str">
            <v xml:space="preserve"> of </v>
          </cell>
          <cell r="AF726" t="str">
            <v/>
          </cell>
          <cell r="AI726" t="str">
            <v xml:space="preserve"> of </v>
          </cell>
          <cell r="AJ726" t="str">
            <v xml:space="preserve"> of </v>
          </cell>
          <cell r="AL726" t="str">
            <v/>
          </cell>
          <cell r="AM726">
            <v>0.70833333333333304</v>
          </cell>
          <cell r="AO726" t="str">
            <v/>
          </cell>
          <cell r="AW726" t="str">
            <v/>
          </cell>
          <cell r="AX726" t="str">
            <v/>
          </cell>
          <cell r="AZ726" t="str">
            <v/>
          </cell>
          <cell r="BA726" t="str">
            <v/>
          </cell>
          <cell r="BB726" t="str">
            <v/>
          </cell>
          <cell r="BC726" t="str">
            <v/>
          </cell>
        </row>
        <row r="727">
          <cell r="E727" t="str">
            <v/>
          </cell>
          <cell r="F727" t="str">
            <v/>
          </cell>
          <cell r="G727" t="str">
            <v/>
          </cell>
          <cell r="O727" t="str">
            <v/>
          </cell>
          <cell r="Q727" t="str">
            <v/>
          </cell>
          <cell r="W727" t="str">
            <v xml:space="preserve"> of </v>
          </cell>
          <cell r="X727" t="str">
            <v xml:space="preserve"> of </v>
          </cell>
          <cell r="Z727" t="str">
            <v/>
          </cell>
          <cell r="AC727" t="str">
            <v xml:space="preserve"> of </v>
          </cell>
          <cell r="AD727" t="str">
            <v xml:space="preserve"> of </v>
          </cell>
          <cell r="AF727" t="str">
            <v/>
          </cell>
          <cell r="AI727" t="str">
            <v xml:space="preserve"> of </v>
          </cell>
          <cell r="AJ727" t="str">
            <v xml:space="preserve"> of </v>
          </cell>
          <cell r="AL727" t="str">
            <v/>
          </cell>
          <cell r="AM727">
            <v>0.70833333333333304</v>
          </cell>
          <cell r="AO727" t="str">
            <v/>
          </cell>
          <cell r="AW727" t="str">
            <v/>
          </cell>
          <cell r="AX727" t="str">
            <v/>
          </cell>
          <cell r="AZ727" t="str">
            <v/>
          </cell>
          <cell r="BA727" t="str">
            <v/>
          </cell>
          <cell r="BB727" t="str">
            <v/>
          </cell>
          <cell r="BC727" t="str">
            <v/>
          </cell>
        </row>
        <row r="728">
          <cell r="E728" t="str">
            <v/>
          </cell>
          <cell r="F728" t="str">
            <v/>
          </cell>
          <cell r="G728" t="str">
            <v/>
          </cell>
          <cell r="O728" t="str">
            <v/>
          </cell>
          <cell r="Q728" t="str">
            <v/>
          </cell>
          <cell r="W728" t="str">
            <v xml:space="preserve"> of </v>
          </cell>
          <cell r="X728" t="str">
            <v xml:space="preserve"> of </v>
          </cell>
          <cell r="Z728" t="str">
            <v/>
          </cell>
          <cell r="AC728" t="str">
            <v xml:space="preserve"> of </v>
          </cell>
          <cell r="AD728" t="str">
            <v xml:space="preserve"> of </v>
          </cell>
          <cell r="AF728" t="str">
            <v/>
          </cell>
          <cell r="AI728" t="str">
            <v xml:space="preserve"> of </v>
          </cell>
          <cell r="AJ728" t="str">
            <v xml:space="preserve"> of </v>
          </cell>
          <cell r="AL728" t="str">
            <v/>
          </cell>
          <cell r="AM728">
            <v>0.70833333333333304</v>
          </cell>
          <cell r="AO728" t="str">
            <v/>
          </cell>
          <cell r="AW728" t="str">
            <v/>
          </cell>
          <cell r="AX728" t="str">
            <v/>
          </cell>
          <cell r="AZ728" t="str">
            <v/>
          </cell>
          <cell r="BA728" t="str">
            <v/>
          </cell>
          <cell r="BB728" t="str">
            <v/>
          </cell>
          <cell r="BC728" t="str">
            <v/>
          </cell>
        </row>
        <row r="729">
          <cell r="E729" t="str">
            <v/>
          </cell>
          <cell r="F729" t="str">
            <v/>
          </cell>
          <cell r="G729" t="str">
            <v/>
          </cell>
          <cell r="O729" t="str">
            <v/>
          </cell>
          <cell r="Q729" t="str">
            <v/>
          </cell>
          <cell r="W729" t="str">
            <v xml:space="preserve"> of </v>
          </cell>
          <cell r="X729" t="str">
            <v xml:space="preserve"> of </v>
          </cell>
          <cell r="Z729" t="str">
            <v/>
          </cell>
          <cell r="AC729" t="str">
            <v xml:space="preserve"> of </v>
          </cell>
          <cell r="AD729" t="str">
            <v xml:space="preserve"> of </v>
          </cell>
          <cell r="AF729" t="str">
            <v/>
          </cell>
          <cell r="AI729" t="str">
            <v xml:space="preserve"> of </v>
          </cell>
          <cell r="AJ729" t="str">
            <v xml:space="preserve"> of </v>
          </cell>
          <cell r="AL729" t="str">
            <v/>
          </cell>
          <cell r="AM729">
            <v>0.70833333333333304</v>
          </cell>
          <cell r="AO729" t="str">
            <v/>
          </cell>
          <cell r="AW729" t="str">
            <v/>
          </cell>
          <cell r="AX729" t="str">
            <v/>
          </cell>
          <cell r="AZ729" t="str">
            <v/>
          </cell>
          <cell r="BA729" t="str">
            <v/>
          </cell>
          <cell r="BB729" t="str">
            <v/>
          </cell>
          <cell r="BC729" t="str">
            <v/>
          </cell>
        </row>
        <row r="730">
          <cell r="E730" t="str">
            <v/>
          </cell>
          <cell r="F730" t="str">
            <v/>
          </cell>
          <cell r="G730" t="str">
            <v/>
          </cell>
          <cell r="O730" t="str">
            <v/>
          </cell>
          <cell r="Q730" t="str">
            <v/>
          </cell>
          <cell r="W730" t="str">
            <v xml:space="preserve"> of </v>
          </cell>
          <cell r="X730" t="str">
            <v xml:space="preserve"> of </v>
          </cell>
          <cell r="Z730" t="str">
            <v/>
          </cell>
          <cell r="AC730" t="str">
            <v xml:space="preserve"> of </v>
          </cell>
          <cell r="AD730" t="str">
            <v xml:space="preserve"> of </v>
          </cell>
          <cell r="AF730" t="str">
            <v/>
          </cell>
          <cell r="AI730" t="str">
            <v xml:space="preserve"> of </v>
          </cell>
          <cell r="AJ730" t="str">
            <v xml:space="preserve"> of </v>
          </cell>
          <cell r="AL730" t="str">
            <v/>
          </cell>
          <cell r="AM730">
            <v>0.70833333333333304</v>
          </cell>
          <cell r="AO730" t="str">
            <v/>
          </cell>
          <cell r="AW730" t="str">
            <v/>
          </cell>
          <cell r="AX730" t="str">
            <v/>
          </cell>
          <cell r="AZ730" t="str">
            <v/>
          </cell>
          <cell r="BA730" t="str">
            <v/>
          </cell>
          <cell r="BB730" t="str">
            <v/>
          </cell>
          <cell r="BC730" t="str">
            <v/>
          </cell>
        </row>
        <row r="731">
          <cell r="E731" t="str">
            <v/>
          </cell>
          <cell r="F731" t="str">
            <v/>
          </cell>
          <cell r="G731" t="str">
            <v/>
          </cell>
          <cell r="O731" t="str">
            <v/>
          </cell>
          <cell r="Q731" t="str">
            <v/>
          </cell>
          <cell r="W731" t="str">
            <v xml:space="preserve"> of </v>
          </cell>
          <cell r="X731" t="str">
            <v xml:space="preserve"> of </v>
          </cell>
          <cell r="Z731" t="str">
            <v/>
          </cell>
          <cell r="AC731" t="str">
            <v xml:space="preserve"> of </v>
          </cell>
          <cell r="AD731" t="str">
            <v xml:space="preserve"> of </v>
          </cell>
          <cell r="AF731" t="str">
            <v/>
          </cell>
          <cell r="AI731" t="str">
            <v xml:space="preserve"> of </v>
          </cell>
          <cell r="AJ731" t="str">
            <v xml:space="preserve"> of </v>
          </cell>
          <cell r="AL731" t="str">
            <v/>
          </cell>
          <cell r="AM731">
            <v>0.70833333333333304</v>
          </cell>
          <cell r="AO731" t="str">
            <v/>
          </cell>
          <cell r="AW731" t="str">
            <v/>
          </cell>
          <cell r="AX731" t="str">
            <v/>
          </cell>
          <cell r="AZ731" t="str">
            <v/>
          </cell>
          <cell r="BA731" t="str">
            <v/>
          </cell>
          <cell r="BB731" t="str">
            <v/>
          </cell>
          <cell r="BC731" t="str">
            <v/>
          </cell>
        </row>
        <row r="732">
          <cell r="E732" t="str">
            <v/>
          </cell>
          <cell r="F732" t="str">
            <v/>
          </cell>
          <cell r="G732" t="str">
            <v/>
          </cell>
          <cell r="O732" t="str">
            <v/>
          </cell>
          <cell r="Q732" t="str">
            <v/>
          </cell>
          <cell r="W732" t="str">
            <v xml:space="preserve"> of </v>
          </cell>
          <cell r="X732" t="str">
            <v xml:space="preserve"> of </v>
          </cell>
          <cell r="Z732" t="str">
            <v/>
          </cell>
          <cell r="AC732" t="str">
            <v xml:space="preserve"> of </v>
          </cell>
          <cell r="AD732" t="str">
            <v xml:space="preserve"> of </v>
          </cell>
          <cell r="AF732" t="str">
            <v/>
          </cell>
          <cell r="AI732" t="str">
            <v xml:space="preserve"> of </v>
          </cell>
          <cell r="AJ732" t="str">
            <v xml:space="preserve"> of </v>
          </cell>
          <cell r="AL732" t="str">
            <v/>
          </cell>
          <cell r="AM732">
            <v>0.70833333333333304</v>
          </cell>
          <cell r="AO732" t="str">
            <v/>
          </cell>
          <cell r="AW732" t="str">
            <v/>
          </cell>
          <cell r="AX732" t="str">
            <v/>
          </cell>
          <cell r="AZ732" t="str">
            <v/>
          </cell>
          <cell r="BA732" t="str">
            <v/>
          </cell>
          <cell r="BB732" t="str">
            <v/>
          </cell>
          <cell r="BC732" t="str">
            <v/>
          </cell>
        </row>
        <row r="733">
          <cell r="E733" t="str">
            <v/>
          </cell>
          <cell r="F733" t="str">
            <v/>
          </cell>
          <cell r="G733" t="str">
            <v/>
          </cell>
          <cell r="O733" t="str">
            <v/>
          </cell>
          <cell r="Q733" t="str">
            <v/>
          </cell>
          <cell r="W733" t="str">
            <v xml:space="preserve"> of </v>
          </cell>
          <cell r="X733" t="str">
            <v xml:space="preserve"> of </v>
          </cell>
          <cell r="Z733" t="str">
            <v/>
          </cell>
          <cell r="AC733" t="str">
            <v xml:space="preserve"> of </v>
          </cell>
          <cell r="AD733" t="str">
            <v xml:space="preserve"> of </v>
          </cell>
          <cell r="AF733" t="str">
            <v/>
          </cell>
          <cell r="AI733" t="str">
            <v xml:space="preserve"> of </v>
          </cell>
          <cell r="AJ733" t="str">
            <v xml:space="preserve"> of </v>
          </cell>
          <cell r="AL733" t="str">
            <v/>
          </cell>
          <cell r="AM733">
            <v>0.70833333333333304</v>
          </cell>
          <cell r="AO733" t="str">
            <v/>
          </cell>
          <cell r="AW733" t="str">
            <v/>
          </cell>
          <cell r="AX733" t="str">
            <v/>
          </cell>
          <cell r="AZ733" t="str">
            <v/>
          </cell>
          <cell r="BA733" t="str">
            <v/>
          </cell>
          <cell r="BB733" t="str">
            <v/>
          </cell>
          <cell r="BC733" t="str">
            <v/>
          </cell>
        </row>
        <row r="734">
          <cell r="E734" t="str">
            <v/>
          </cell>
          <cell r="F734" t="str">
            <v/>
          </cell>
          <cell r="G734" t="str">
            <v/>
          </cell>
          <cell r="O734" t="str">
            <v/>
          </cell>
          <cell r="Q734" t="str">
            <v/>
          </cell>
          <cell r="W734" t="str">
            <v xml:space="preserve"> of </v>
          </cell>
          <cell r="X734" t="str">
            <v xml:space="preserve"> of </v>
          </cell>
          <cell r="Z734" t="str">
            <v/>
          </cell>
          <cell r="AC734" t="str">
            <v xml:space="preserve"> of </v>
          </cell>
          <cell r="AD734" t="str">
            <v xml:space="preserve"> of </v>
          </cell>
          <cell r="AF734" t="str">
            <v/>
          </cell>
          <cell r="AI734" t="str">
            <v xml:space="preserve"> of </v>
          </cell>
          <cell r="AJ734" t="str">
            <v xml:space="preserve"> of </v>
          </cell>
          <cell r="AL734" t="str">
            <v/>
          </cell>
          <cell r="AM734">
            <v>0.70833333333333304</v>
          </cell>
          <cell r="AO734" t="str">
            <v/>
          </cell>
          <cell r="AW734" t="str">
            <v/>
          </cell>
          <cell r="AX734" t="str">
            <v/>
          </cell>
          <cell r="AZ734" t="str">
            <v/>
          </cell>
          <cell r="BA734" t="str">
            <v/>
          </cell>
          <cell r="BB734" t="str">
            <v/>
          </cell>
          <cell r="BC734" t="str">
            <v/>
          </cell>
        </row>
        <row r="735">
          <cell r="E735" t="str">
            <v/>
          </cell>
          <cell r="F735" t="str">
            <v/>
          </cell>
          <cell r="G735" t="str">
            <v/>
          </cell>
          <cell r="O735" t="str">
            <v/>
          </cell>
          <cell r="Q735" t="str">
            <v/>
          </cell>
          <cell r="W735" t="str">
            <v xml:space="preserve"> of </v>
          </cell>
          <cell r="X735" t="str">
            <v xml:space="preserve"> of </v>
          </cell>
          <cell r="Z735" t="str">
            <v/>
          </cell>
          <cell r="AC735" t="str">
            <v xml:space="preserve"> of </v>
          </cell>
          <cell r="AD735" t="str">
            <v xml:space="preserve"> of </v>
          </cell>
          <cell r="AF735" t="str">
            <v/>
          </cell>
          <cell r="AI735" t="str">
            <v xml:space="preserve"> of </v>
          </cell>
          <cell r="AJ735" t="str">
            <v xml:space="preserve"> of </v>
          </cell>
          <cell r="AL735" t="str">
            <v/>
          </cell>
          <cell r="AM735">
            <v>0.70833333333333304</v>
          </cell>
          <cell r="AO735" t="str">
            <v/>
          </cell>
          <cell r="AW735" t="str">
            <v/>
          </cell>
          <cell r="AX735" t="str">
            <v/>
          </cell>
          <cell r="AZ735" t="str">
            <v/>
          </cell>
          <cell r="BA735" t="str">
            <v/>
          </cell>
          <cell r="BB735" t="str">
            <v/>
          </cell>
          <cell r="BC735" t="str">
            <v/>
          </cell>
        </row>
        <row r="736">
          <cell r="E736" t="str">
            <v/>
          </cell>
          <cell r="F736" t="str">
            <v/>
          </cell>
          <cell r="G736" t="str">
            <v/>
          </cell>
          <cell r="O736" t="str">
            <v/>
          </cell>
          <cell r="Q736" t="str">
            <v/>
          </cell>
          <cell r="W736" t="str">
            <v xml:space="preserve"> of </v>
          </cell>
          <cell r="X736" t="str">
            <v xml:space="preserve"> of </v>
          </cell>
          <cell r="Z736" t="str">
            <v/>
          </cell>
          <cell r="AC736" t="str">
            <v xml:space="preserve"> of </v>
          </cell>
          <cell r="AD736" t="str">
            <v xml:space="preserve"> of </v>
          </cell>
          <cell r="AF736" t="str">
            <v/>
          </cell>
          <cell r="AI736" t="str">
            <v xml:space="preserve"> of </v>
          </cell>
          <cell r="AJ736" t="str">
            <v xml:space="preserve"> of </v>
          </cell>
          <cell r="AL736" t="str">
            <v/>
          </cell>
          <cell r="AM736">
            <v>0.70833333333333304</v>
          </cell>
          <cell r="AO736" t="str">
            <v/>
          </cell>
          <cell r="AW736" t="str">
            <v/>
          </cell>
          <cell r="AX736" t="str">
            <v/>
          </cell>
          <cell r="AZ736" t="str">
            <v/>
          </cell>
          <cell r="BA736" t="str">
            <v/>
          </cell>
          <cell r="BB736" t="str">
            <v/>
          </cell>
          <cell r="BC736" t="str">
            <v/>
          </cell>
        </row>
        <row r="737">
          <cell r="E737" t="str">
            <v/>
          </cell>
          <cell r="F737" t="str">
            <v/>
          </cell>
          <cell r="G737" t="str">
            <v/>
          </cell>
          <cell r="O737" t="str">
            <v/>
          </cell>
          <cell r="Q737" t="str">
            <v/>
          </cell>
          <cell r="W737" t="str">
            <v xml:space="preserve"> of </v>
          </cell>
          <cell r="X737" t="str">
            <v xml:space="preserve"> of </v>
          </cell>
          <cell r="Z737" t="str">
            <v/>
          </cell>
          <cell r="AC737" t="str">
            <v xml:space="preserve"> of </v>
          </cell>
          <cell r="AD737" t="str">
            <v xml:space="preserve"> of </v>
          </cell>
          <cell r="AF737" t="str">
            <v/>
          </cell>
          <cell r="AI737" t="str">
            <v xml:space="preserve"> of </v>
          </cell>
          <cell r="AJ737" t="str">
            <v xml:space="preserve"> of </v>
          </cell>
          <cell r="AL737" t="str">
            <v/>
          </cell>
          <cell r="AM737">
            <v>0.70833333333333304</v>
          </cell>
          <cell r="AO737" t="str">
            <v/>
          </cell>
          <cell r="AW737" t="str">
            <v/>
          </cell>
          <cell r="AX737" t="str">
            <v/>
          </cell>
          <cell r="AZ737" t="str">
            <v/>
          </cell>
          <cell r="BA737" t="str">
            <v/>
          </cell>
          <cell r="BB737" t="str">
            <v/>
          </cell>
          <cell r="BC737" t="str">
            <v/>
          </cell>
        </row>
        <row r="738">
          <cell r="E738" t="str">
            <v/>
          </cell>
          <cell r="F738" t="str">
            <v/>
          </cell>
          <cell r="G738" t="str">
            <v/>
          </cell>
          <cell r="O738" t="str">
            <v/>
          </cell>
          <cell r="Q738" t="str">
            <v/>
          </cell>
          <cell r="W738" t="str">
            <v xml:space="preserve"> of </v>
          </cell>
          <cell r="X738" t="str">
            <v xml:space="preserve"> of </v>
          </cell>
          <cell r="Z738" t="str">
            <v/>
          </cell>
          <cell r="AC738" t="str">
            <v xml:space="preserve"> of </v>
          </cell>
          <cell r="AD738" t="str">
            <v xml:space="preserve"> of </v>
          </cell>
          <cell r="AF738" t="str">
            <v/>
          </cell>
          <cell r="AI738" t="str">
            <v xml:space="preserve"> of </v>
          </cell>
          <cell r="AJ738" t="str">
            <v xml:space="preserve"> of </v>
          </cell>
          <cell r="AL738" t="str">
            <v/>
          </cell>
          <cell r="AM738">
            <v>0.70833333333333304</v>
          </cell>
          <cell r="AO738" t="str">
            <v/>
          </cell>
          <cell r="AW738" t="str">
            <v/>
          </cell>
          <cell r="AX738" t="str">
            <v/>
          </cell>
          <cell r="AZ738" t="str">
            <v/>
          </cell>
          <cell r="BA738" t="str">
            <v/>
          </cell>
          <cell r="BB738" t="str">
            <v/>
          </cell>
          <cell r="BC738" t="str">
            <v/>
          </cell>
        </row>
        <row r="739">
          <cell r="E739" t="str">
            <v/>
          </cell>
          <cell r="F739" t="str">
            <v/>
          </cell>
          <cell r="G739" t="str">
            <v/>
          </cell>
          <cell r="O739" t="str">
            <v/>
          </cell>
          <cell r="Q739" t="str">
            <v/>
          </cell>
          <cell r="W739" t="str">
            <v xml:space="preserve"> of </v>
          </cell>
          <cell r="X739" t="str">
            <v xml:space="preserve"> of </v>
          </cell>
          <cell r="Z739" t="str">
            <v/>
          </cell>
          <cell r="AC739" t="str">
            <v xml:space="preserve"> of </v>
          </cell>
          <cell r="AD739" t="str">
            <v xml:space="preserve"> of </v>
          </cell>
          <cell r="AF739" t="str">
            <v/>
          </cell>
          <cell r="AI739" t="str">
            <v xml:space="preserve"> of </v>
          </cell>
          <cell r="AJ739" t="str">
            <v xml:space="preserve"> of </v>
          </cell>
          <cell r="AL739" t="str">
            <v/>
          </cell>
          <cell r="AM739">
            <v>0.70833333333333304</v>
          </cell>
          <cell r="AO739" t="str">
            <v/>
          </cell>
          <cell r="AW739" t="str">
            <v/>
          </cell>
          <cell r="AX739" t="str">
            <v/>
          </cell>
          <cell r="AZ739" t="str">
            <v/>
          </cell>
          <cell r="BA739" t="str">
            <v/>
          </cell>
          <cell r="BB739" t="str">
            <v/>
          </cell>
          <cell r="BC739" t="str">
            <v/>
          </cell>
        </row>
        <row r="740">
          <cell r="E740" t="str">
            <v/>
          </cell>
          <cell r="F740" t="str">
            <v/>
          </cell>
          <cell r="G740" t="str">
            <v/>
          </cell>
          <cell r="O740" t="str">
            <v/>
          </cell>
          <cell r="Q740" t="str">
            <v/>
          </cell>
          <cell r="W740" t="str">
            <v xml:space="preserve"> of </v>
          </cell>
          <cell r="X740" t="str">
            <v xml:space="preserve"> of </v>
          </cell>
          <cell r="Z740" t="str">
            <v/>
          </cell>
          <cell r="AC740" t="str">
            <v xml:space="preserve"> of </v>
          </cell>
          <cell r="AD740" t="str">
            <v xml:space="preserve"> of </v>
          </cell>
          <cell r="AF740" t="str">
            <v/>
          </cell>
          <cell r="AI740" t="str">
            <v xml:space="preserve"> of </v>
          </cell>
          <cell r="AJ740" t="str">
            <v xml:space="preserve"> of </v>
          </cell>
          <cell r="AL740" t="str">
            <v/>
          </cell>
          <cell r="AM740">
            <v>0.70833333333333304</v>
          </cell>
          <cell r="AO740" t="str">
            <v/>
          </cell>
          <cell r="AW740" t="str">
            <v/>
          </cell>
          <cell r="AX740" t="str">
            <v/>
          </cell>
          <cell r="AZ740" t="str">
            <v/>
          </cell>
          <cell r="BA740" t="str">
            <v/>
          </cell>
          <cell r="BB740" t="str">
            <v/>
          </cell>
          <cell r="BC740" t="str">
            <v/>
          </cell>
        </row>
        <row r="741">
          <cell r="E741" t="str">
            <v/>
          </cell>
          <cell r="F741" t="str">
            <v/>
          </cell>
          <cell r="G741" t="str">
            <v/>
          </cell>
          <cell r="O741" t="str">
            <v/>
          </cell>
          <cell r="Q741" t="str">
            <v/>
          </cell>
          <cell r="W741" t="str">
            <v xml:space="preserve"> of </v>
          </cell>
          <cell r="X741" t="str">
            <v xml:space="preserve"> of </v>
          </cell>
          <cell r="Z741" t="str">
            <v/>
          </cell>
          <cell r="AC741" t="str">
            <v xml:space="preserve"> of </v>
          </cell>
          <cell r="AD741" t="str">
            <v xml:space="preserve"> of </v>
          </cell>
          <cell r="AF741" t="str">
            <v/>
          </cell>
          <cell r="AI741" t="str">
            <v xml:space="preserve"> of </v>
          </cell>
          <cell r="AJ741" t="str">
            <v xml:space="preserve"> of </v>
          </cell>
          <cell r="AL741" t="str">
            <v/>
          </cell>
          <cell r="AM741">
            <v>0.70833333333333304</v>
          </cell>
          <cell r="AO741" t="str">
            <v/>
          </cell>
          <cell r="AW741" t="str">
            <v/>
          </cell>
          <cell r="AX741" t="str">
            <v/>
          </cell>
          <cell r="AZ741" t="str">
            <v/>
          </cell>
          <cell r="BA741" t="str">
            <v/>
          </cell>
          <cell r="BB741" t="str">
            <v/>
          </cell>
          <cell r="BC741" t="str">
            <v/>
          </cell>
        </row>
        <row r="742">
          <cell r="E742" t="str">
            <v/>
          </cell>
          <cell r="F742" t="str">
            <v/>
          </cell>
          <cell r="G742" t="str">
            <v/>
          </cell>
          <cell r="O742" t="str">
            <v/>
          </cell>
          <cell r="Q742" t="str">
            <v/>
          </cell>
          <cell r="W742" t="str">
            <v xml:space="preserve"> of </v>
          </cell>
          <cell r="X742" t="str">
            <v xml:space="preserve"> of </v>
          </cell>
          <cell r="Z742" t="str">
            <v/>
          </cell>
          <cell r="AC742" t="str">
            <v xml:space="preserve"> of </v>
          </cell>
          <cell r="AD742" t="str">
            <v xml:space="preserve"> of </v>
          </cell>
          <cell r="AF742" t="str">
            <v/>
          </cell>
          <cell r="AI742" t="str">
            <v xml:space="preserve"> of </v>
          </cell>
          <cell r="AJ742" t="str">
            <v xml:space="preserve"> of </v>
          </cell>
          <cell r="AL742" t="str">
            <v/>
          </cell>
          <cell r="AM742">
            <v>0.70833333333333304</v>
          </cell>
          <cell r="AO742" t="str">
            <v/>
          </cell>
          <cell r="AW742" t="str">
            <v/>
          </cell>
          <cell r="AX742" t="str">
            <v/>
          </cell>
          <cell r="AZ742" t="str">
            <v/>
          </cell>
          <cell r="BA742" t="str">
            <v/>
          </cell>
          <cell r="BB742" t="str">
            <v/>
          </cell>
          <cell r="BC742" t="str">
            <v/>
          </cell>
        </row>
        <row r="743">
          <cell r="E743" t="str">
            <v/>
          </cell>
          <cell r="F743" t="str">
            <v/>
          </cell>
          <cell r="G743" t="str">
            <v/>
          </cell>
          <cell r="O743" t="str">
            <v/>
          </cell>
          <cell r="Q743" t="str">
            <v/>
          </cell>
          <cell r="W743" t="str">
            <v xml:space="preserve"> of </v>
          </cell>
          <cell r="X743" t="str">
            <v xml:space="preserve"> of </v>
          </cell>
          <cell r="Z743" t="str">
            <v/>
          </cell>
          <cell r="AC743" t="str">
            <v xml:space="preserve"> of </v>
          </cell>
          <cell r="AD743" t="str">
            <v xml:space="preserve"> of </v>
          </cell>
          <cell r="AF743" t="str">
            <v/>
          </cell>
          <cell r="AI743" t="str">
            <v xml:space="preserve"> of </v>
          </cell>
          <cell r="AJ743" t="str">
            <v xml:space="preserve"> of </v>
          </cell>
          <cell r="AL743" t="str">
            <v/>
          </cell>
          <cell r="AM743">
            <v>0.70833333333333304</v>
          </cell>
          <cell r="AO743" t="str">
            <v/>
          </cell>
          <cell r="AW743" t="str">
            <v/>
          </cell>
          <cell r="AX743" t="str">
            <v/>
          </cell>
          <cell r="AZ743" t="str">
            <v/>
          </cell>
          <cell r="BA743" t="str">
            <v/>
          </cell>
          <cell r="BB743" t="str">
            <v/>
          </cell>
          <cell r="BC743" t="str">
            <v/>
          </cell>
        </row>
        <row r="744">
          <cell r="E744" t="str">
            <v/>
          </cell>
          <cell r="F744" t="str">
            <v/>
          </cell>
          <cell r="G744" t="str">
            <v/>
          </cell>
          <cell r="O744" t="str">
            <v/>
          </cell>
          <cell r="Q744" t="str">
            <v/>
          </cell>
          <cell r="W744" t="str">
            <v xml:space="preserve"> of </v>
          </cell>
          <cell r="X744" t="str">
            <v xml:space="preserve"> of </v>
          </cell>
          <cell r="Z744" t="str">
            <v/>
          </cell>
          <cell r="AC744" t="str">
            <v xml:space="preserve"> of </v>
          </cell>
          <cell r="AD744" t="str">
            <v xml:space="preserve"> of </v>
          </cell>
          <cell r="AF744" t="str">
            <v/>
          </cell>
          <cell r="AI744" t="str">
            <v xml:space="preserve"> of </v>
          </cell>
          <cell r="AJ744" t="str">
            <v xml:space="preserve"> of </v>
          </cell>
          <cell r="AL744" t="str">
            <v/>
          </cell>
          <cell r="AM744">
            <v>0.70833333333333304</v>
          </cell>
          <cell r="AO744" t="str">
            <v/>
          </cell>
          <cell r="AW744" t="str">
            <v/>
          </cell>
          <cell r="AX744" t="str">
            <v/>
          </cell>
          <cell r="AZ744" t="str">
            <v/>
          </cell>
          <cell r="BA744" t="str">
            <v/>
          </cell>
          <cell r="BB744" t="str">
            <v/>
          </cell>
          <cell r="BC744" t="str">
            <v/>
          </cell>
        </row>
        <row r="745">
          <cell r="E745" t="str">
            <v/>
          </cell>
          <cell r="F745" t="str">
            <v/>
          </cell>
          <cell r="G745" t="str">
            <v/>
          </cell>
          <cell r="O745" t="str">
            <v/>
          </cell>
          <cell r="Q745" t="str">
            <v/>
          </cell>
          <cell r="W745" t="str">
            <v xml:space="preserve"> of </v>
          </cell>
          <cell r="X745" t="str">
            <v xml:space="preserve"> of </v>
          </cell>
          <cell r="Z745" t="str">
            <v/>
          </cell>
          <cell r="AC745" t="str">
            <v xml:space="preserve"> of </v>
          </cell>
          <cell r="AD745" t="str">
            <v xml:space="preserve"> of </v>
          </cell>
          <cell r="AF745" t="str">
            <v/>
          </cell>
          <cell r="AI745" t="str">
            <v xml:space="preserve"> of </v>
          </cell>
          <cell r="AJ745" t="str">
            <v xml:space="preserve"> of </v>
          </cell>
          <cell r="AL745" t="str">
            <v/>
          </cell>
          <cell r="AM745">
            <v>0.70833333333333304</v>
          </cell>
          <cell r="AO745" t="str">
            <v/>
          </cell>
          <cell r="AW745" t="str">
            <v/>
          </cell>
          <cell r="AX745" t="str">
            <v/>
          </cell>
          <cell r="AZ745" t="str">
            <v/>
          </cell>
          <cell r="BA745" t="str">
            <v/>
          </cell>
          <cell r="BB745" t="str">
            <v/>
          </cell>
          <cell r="BC745" t="str">
            <v/>
          </cell>
        </row>
        <row r="746">
          <cell r="E746" t="str">
            <v/>
          </cell>
          <cell r="F746" t="str">
            <v/>
          </cell>
          <cell r="G746" t="str">
            <v/>
          </cell>
          <cell r="O746" t="str">
            <v/>
          </cell>
          <cell r="Q746" t="str">
            <v/>
          </cell>
          <cell r="W746" t="str">
            <v xml:space="preserve"> of </v>
          </cell>
          <cell r="X746" t="str">
            <v xml:space="preserve"> of </v>
          </cell>
          <cell r="Z746" t="str">
            <v/>
          </cell>
          <cell r="AC746" t="str">
            <v xml:space="preserve"> of </v>
          </cell>
          <cell r="AD746" t="str">
            <v xml:space="preserve"> of </v>
          </cell>
          <cell r="AF746" t="str">
            <v/>
          </cell>
          <cell r="AI746" t="str">
            <v xml:space="preserve"> of </v>
          </cell>
          <cell r="AJ746" t="str">
            <v xml:space="preserve"> of </v>
          </cell>
          <cell r="AL746" t="str">
            <v/>
          </cell>
          <cell r="AM746">
            <v>0.70833333333333304</v>
          </cell>
          <cell r="AO746" t="str">
            <v/>
          </cell>
          <cell r="AW746" t="str">
            <v/>
          </cell>
          <cell r="AX746" t="str">
            <v/>
          </cell>
          <cell r="AZ746" t="str">
            <v/>
          </cell>
          <cell r="BA746" t="str">
            <v/>
          </cell>
          <cell r="BB746" t="str">
            <v/>
          </cell>
          <cell r="BC746" t="str">
            <v/>
          </cell>
        </row>
        <row r="747">
          <cell r="E747" t="str">
            <v/>
          </cell>
          <cell r="F747" t="str">
            <v/>
          </cell>
          <cell r="G747" t="str">
            <v/>
          </cell>
          <cell r="O747" t="str">
            <v/>
          </cell>
          <cell r="Q747" t="str">
            <v/>
          </cell>
          <cell r="W747" t="str">
            <v xml:space="preserve"> of </v>
          </cell>
          <cell r="X747" t="str">
            <v xml:space="preserve"> of </v>
          </cell>
          <cell r="Z747" t="str">
            <v/>
          </cell>
          <cell r="AC747" t="str">
            <v xml:space="preserve"> of </v>
          </cell>
          <cell r="AD747" t="str">
            <v xml:space="preserve"> of </v>
          </cell>
          <cell r="AF747" t="str">
            <v/>
          </cell>
          <cell r="AI747" t="str">
            <v xml:space="preserve"> of </v>
          </cell>
          <cell r="AJ747" t="str">
            <v xml:space="preserve"> of </v>
          </cell>
          <cell r="AL747" t="str">
            <v/>
          </cell>
          <cell r="AM747">
            <v>0.70833333333333304</v>
          </cell>
          <cell r="AO747" t="str">
            <v/>
          </cell>
          <cell r="AW747" t="str">
            <v/>
          </cell>
          <cell r="AX747" t="str">
            <v/>
          </cell>
          <cell r="AZ747" t="str">
            <v/>
          </cell>
          <cell r="BA747" t="str">
            <v/>
          </cell>
          <cell r="BB747" t="str">
            <v/>
          </cell>
          <cell r="BC747" t="str">
            <v/>
          </cell>
        </row>
        <row r="748">
          <cell r="E748" t="str">
            <v/>
          </cell>
          <cell r="F748" t="str">
            <v/>
          </cell>
          <cell r="G748" t="str">
            <v/>
          </cell>
          <cell r="O748" t="str">
            <v/>
          </cell>
          <cell r="Q748" t="str">
            <v/>
          </cell>
          <cell r="W748" t="str">
            <v xml:space="preserve"> of </v>
          </cell>
          <cell r="X748" t="str">
            <v xml:space="preserve"> of </v>
          </cell>
          <cell r="Z748" t="str">
            <v/>
          </cell>
          <cell r="AC748" t="str">
            <v xml:space="preserve"> of </v>
          </cell>
          <cell r="AD748" t="str">
            <v xml:space="preserve"> of </v>
          </cell>
          <cell r="AF748" t="str">
            <v/>
          </cell>
          <cell r="AI748" t="str">
            <v xml:space="preserve"> of </v>
          </cell>
          <cell r="AJ748" t="str">
            <v xml:space="preserve"> of </v>
          </cell>
          <cell r="AL748" t="str">
            <v/>
          </cell>
          <cell r="AM748">
            <v>0.70833333333333304</v>
          </cell>
          <cell r="AO748" t="str">
            <v/>
          </cell>
          <cell r="AW748" t="str">
            <v/>
          </cell>
          <cell r="AX748" t="str">
            <v/>
          </cell>
          <cell r="AZ748" t="str">
            <v/>
          </cell>
          <cell r="BA748" t="str">
            <v/>
          </cell>
          <cell r="BB748" t="str">
            <v/>
          </cell>
          <cell r="BC748" t="str">
            <v/>
          </cell>
        </row>
        <row r="749">
          <cell r="E749" t="str">
            <v/>
          </cell>
          <cell r="F749" t="str">
            <v/>
          </cell>
          <cell r="G749" t="str">
            <v/>
          </cell>
          <cell r="O749" t="str">
            <v/>
          </cell>
          <cell r="Q749" t="str">
            <v/>
          </cell>
          <cell r="W749" t="str">
            <v xml:space="preserve"> of </v>
          </cell>
          <cell r="X749" t="str">
            <v xml:space="preserve"> of </v>
          </cell>
          <cell r="Z749" t="str">
            <v/>
          </cell>
          <cell r="AC749" t="str">
            <v xml:space="preserve"> of </v>
          </cell>
          <cell r="AD749" t="str">
            <v xml:space="preserve"> of </v>
          </cell>
          <cell r="AF749" t="str">
            <v/>
          </cell>
          <cell r="AI749" t="str">
            <v xml:space="preserve"> of </v>
          </cell>
          <cell r="AJ749" t="str">
            <v xml:space="preserve"> of </v>
          </cell>
          <cell r="AL749" t="str">
            <v/>
          </cell>
          <cell r="AM749">
            <v>0.70833333333333304</v>
          </cell>
          <cell r="AO749" t="str">
            <v/>
          </cell>
          <cell r="AW749" t="str">
            <v/>
          </cell>
          <cell r="AX749" t="str">
            <v/>
          </cell>
          <cell r="AZ749" t="str">
            <v/>
          </cell>
          <cell r="BA749" t="str">
            <v/>
          </cell>
          <cell r="BB749" t="str">
            <v/>
          </cell>
          <cell r="BC749" t="str">
            <v/>
          </cell>
        </row>
        <row r="750">
          <cell r="E750" t="str">
            <v/>
          </cell>
          <cell r="F750" t="str">
            <v/>
          </cell>
          <cell r="G750" t="str">
            <v/>
          </cell>
          <cell r="O750" t="str">
            <v/>
          </cell>
          <cell r="Q750" t="str">
            <v/>
          </cell>
          <cell r="W750" t="str">
            <v xml:space="preserve"> of </v>
          </cell>
          <cell r="X750" t="str">
            <v xml:space="preserve"> of </v>
          </cell>
          <cell r="Z750" t="str">
            <v/>
          </cell>
          <cell r="AC750" t="str">
            <v xml:space="preserve"> of </v>
          </cell>
          <cell r="AD750" t="str">
            <v xml:space="preserve"> of </v>
          </cell>
          <cell r="AF750" t="str">
            <v/>
          </cell>
          <cell r="AI750" t="str">
            <v xml:space="preserve"> of </v>
          </cell>
          <cell r="AJ750" t="str">
            <v xml:space="preserve"> of </v>
          </cell>
          <cell r="AL750" t="str">
            <v/>
          </cell>
          <cell r="AM750">
            <v>0.70833333333333304</v>
          </cell>
          <cell r="AO750" t="str">
            <v/>
          </cell>
          <cell r="AW750" t="str">
            <v/>
          </cell>
          <cell r="AX750" t="str">
            <v/>
          </cell>
          <cell r="AZ750" t="str">
            <v/>
          </cell>
          <cell r="BA750" t="str">
            <v/>
          </cell>
          <cell r="BB750" t="str">
            <v/>
          </cell>
          <cell r="BC750" t="str">
            <v/>
          </cell>
        </row>
        <row r="751">
          <cell r="E751" t="str">
            <v/>
          </cell>
          <cell r="F751" t="str">
            <v/>
          </cell>
          <cell r="G751" t="str">
            <v/>
          </cell>
          <cell r="O751" t="str">
            <v/>
          </cell>
          <cell r="Q751" t="str">
            <v/>
          </cell>
          <cell r="W751" t="str">
            <v xml:space="preserve"> of </v>
          </cell>
          <cell r="X751" t="str">
            <v xml:space="preserve"> of </v>
          </cell>
          <cell r="Z751" t="str">
            <v/>
          </cell>
          <cell r="AC751" t="str">
            <v xml:space="preserve"> of </v>
          </cell>
          <cell r="AD751" t="str">
            <v xml:space="preserve"> of </v>
          </cell>
          <cell r="AF751" t="str">
            <v/>
          </cell>
          <cell r="AI751" t="str">
            <v xml:space="preserve"> of </v>
          </cell>
          <cell r="AJ751" t="str">
            <v xml:space="preserve"> of </v>
          </cell>
          <cell r="AL751" t="str">
            <v/>
          </cell>
          <cell r="AM751">
            <v>0.70833333333333304</v>
          </cell>
          <cell r="AO751" t="str">
            <v/>
          </cell>
          <cell r="AW751" t="str">
            <v/>
          </cell>
          <cell r="AX751" t="str">
            <v/>
          </cell>
          <cell r="AZ751" t="str">
            <v/>
          </cell>
          <cell r="BA751" t="str">
            <v/>
          </cell>
          <cell r="BB751" t="str">
            <v/>
          </cell>
          <cell r="BC751" t="str">
            <v/>
          </cell>
        </row>
        <row r="752">
          <cell r="E752" t="str">
            <v/>
          </cell>
          <cell r="F752" t="str">
            <v/>
          </cell>
          <cell r="G752" t="str">
            <v/>
          </cell>
          <cell r="O752" t="str">
            <v/>
          </cell>
          <cell r="Q752" t="str">
            <v/>
          </cell>
          <cell r="W752" t="str">
            <v xml:space="preserve"> of </v>
          </cell>
          <cell r="X752" t="str">
            <v xml:space="preserve"> of </v>
          </cell>
          <cell r="Z752" t="str">
            <v/>
          </cell>
          <cell r="AC752" t="str">
            <v xml:space="preserve"> of </v>
          </cell>
          <cell r="AD752" t="str">
            <v xml:space="preserve"> of </v>
          </cell>
          <cell r="AF752" t="str">
            <v/>
          </cell>
          <cell r="AI752" t="str">
            <v xml:space="preserve"> of </v>
          </cell>
          <cell r="AJ752" t="str">
            <v xml:space="preserve"> of </v>
          </cell>
          <cell r="AL752" t="str">
            <v/>
          </cell>
          <cell r="AM752">
            <v>0.70833333333333304</v>
          </cell>
          <cell r="AO752" t="str">
            <v/>
          </cell>
          <cell r="AW752" t="str">
            <v/>
          </cell>
          <cell r="AX752" t="str">
            <v/>
          </cell>
          <cell r="AZ752" t="str">
            <v/>
          </cell>
          <cell r="BA752" t="str">
            <v/>
          </cell>
          <cell r="BB752" t="str">
            <v/>
          </cell>
          <cell r="BC752" t="str">
            <v/>
          </cell>
        </row>
        <row r="753">
          <cell r="E753" t="str">
            <v/>
          </cell>
          <cell r="F753" t="str">
            <v/>
          </cell>
          <cell r="G753" t="str">
            <v/>
          </cell>
          <cell r="O753" t="str">
            <v/>
          </cell>
          <cell r="Q753" t="str">
            <v/>
          </cell>
          <cell r="W753" t="str">
            <v xml:space="preserve"> of </v>
          </cell>
          <cell r="X753" t="str">
            <v xml:space="preserve"> of </v>
          </cell>
          <cell r="Z753" t="str">
            <v/>
          </cell>
          <cell r="AC753" t="str">
            <v xml:space="preserve"> of </v>
          </cell>
          <cell r="AD753" t="str">
            <v xml:space="preserve"> of </v>
          </cell>
          <cell r="AF753" t="str">
            <v/>
          </cell>
          <cell r="AI753" t="str">
            <v xml:space="preserve"> of </v>
          </cell>
          <cell r="AJ753" t="str">
            <v xml:space="preserve"> of </v>
          </cell>
          <cell r="AL753" t="str">
            <v/>
          </cell>
          <cell r="AM753">
            <v>0.70833333333333304</v>
          </cell>
          <cell r="AO753" t="str">
            <v/>
          </cell>
          <cell r="AW753" t="str">
            <v/>
          </cell>
          <cell r="AX753" t="str">
            <v/>
          </cell>
          <cell r="AZ753" t="str">
            <v/>
          </cell>
          <cell r="BA753" t="str">
            <v/>
          </cell>
          <cell r="BB753" t="str">
            <v/>
          </cell>
          <cell r="BC753" t="str">
            <v/>
          </cell>
        </row>
        <row r="754">
          <cell r="E754" t="str">
            <v/>
          </cell>
          <cell r="F754" t="str">
            <v/>
          </cell>
          <cell r="G754" t="str">
            <v/>
          </cell>
          <cell r="O754" t="str">
            <v/>
          </cell>
          <cell r="Q754" t="str">
            <v/>
          </cell>
          <cell r="W754" t="str">
            <v xml:space="preserve"> of </v>
          </cell>
          <cell r="X754" t="str">
            <v xml:space="preserve"> of </v>
          </cell>
          <cell r="Z754" t="str">
            <v/>
          </cell>
          <cell r="AC754" t="str">
            <v xml:space="preserve"> of </v>
          </cell>
          <cell r="AD754" t="str">
            <v xml:space="preserve"> of </v>
          </cell>
          <cell r="AF754" t="str">
            <v/>
          </cell>
          <cell r="AI754" t="str">
            <v xml:space="preserve"> of </v>
          </cell>
          <cell r="AJ754" t="str">
            <v xml:space="preserve"> of </v>
          </cell>
          <cell r="AL754" t="str">
            <v/>
          </cell>
          <cell r="AM754">
            <v>0.70833333333333304</v>
          </cell>
          <cell r="AO754" t="str">
            <v/>
          </cell>
          <cell r="AW754" t="str">
            <v/>
          </cell>
          <cell r="AX754" t="str">
            <v/>
          </cell>
          <cell r="AZ754" t="str">
            <v/>
          </cell>
          <cell r="BA754" t="str">
            <v/>
          </cell>
          <cell r="BB754" t="str">
            <v/>
          </cell>
          <cell r="BC754" t="str">
            <v/>
          </cell>
        </row>
        <row r="755">
          <cell r="E755" t="str">
            <v/>
          </cell>
          <cell r="F755" t="str">
            <v/>
          </cell>
          <cell r="G755" t="str">
            <v/>
          </cell>
          <cell r="O755" t="str">
            <v/>
          </cell>
          <cell r="Q755" t="str">
            <v/>
          </cell>
          <cell r="W755" t="str">
            <v xml:space="preserve"> of </v>
          </cell>
          <cell r="X755" t="str">
            <v xml:space="preserve"> of </v>
          </cell>
          <cell r="Z755" t="str">
            <v/>
          </cell>
          <cell r="AC755" t="str">
            <v xml:space="preserve"> of </v>
          </cell>
          <cell r="AD755" t="str">
            <v xml:space="preserve"> of </v>
          </cell>
          <cell r="AF755" t="str">
            <v/>
          </cell>
          <cell r="AI755" t="str">
            <v xml:space="preserve"> of </v>
          </cell>
          <cell r="AJ755" t="str">
            <v xml:space="preserve"> of </v>
          </cell>
          <cell r="AL755" t="str">
            <v/>
          </cell>
          <cell r="AM755">
            <v>0.70833333333333304</v>
          </cell>
          <cell r="AO755" t="str">
            <v/>
          </cell>
          <cell r="AW755" t="str">
            <v/>
          </cell>
          <cell r="AX755" t="str">
            <v/>
          </cell>
          <cell r="AZ755" t="str">
            <v/>
          </cell>
          <cell r="BA755" t="str">
            <v/>
          </cell>
          <cell r="BB755" t="str">
            <v/>
          </cell>
          <cell r="BC755" t="str">
            <v/>
          </cell>
        </row>
        <row r="756">
          <cell r="E756" t="str">
            <v/>
          </cell>
          <cell r="F756" t="str">
            <v/>
          </cell>
          <cell r="G756" t="str">
            <v/>
          </cell>
          <cell r="O756" t="str">
            <v/>
          </cell>
          <cell r="Q756" t="str">
            <v/>
          </cell>
          <cell r="W756" t="str">
            <v xml:space="preserve"> of </v>
          </cell>
          <cell r="X756" t="str">
            <v xml:space="preserve"> of </v>
          </cell>
          <cell r="Z756" t="str">
            <v/>
          </cell>
          <cell r="AC756" t="str">
            <v xml:space="preserve"> of </v>
          </cell>
          <cell r="AD756" t="str">
            <v xml:space="preserve"> of </v>
          </cell>
          <cell r="AF756" t="str">
            <v/>
          </cell>
          <cell r="AI756" t="str">
            <v xml:space="preserve"> of </v>
          </cell>
          <cell r="AJ756" t="str">
            <v xml:space="preserve"> of </v>
          </cell>
          <cell r="AL756" t="str">
            <v/>
          </cell>
          <cell r="AM756">
            <v>0.70833333333333304</v>
          </cell>
          <cell r="AO756" t="str">
            <v/>
          </cell>
          <cell r="AW756" t="str">
            <v/>
          </cell>
          <cell r="AX756" t="str">
            <v/>
          </cell>
          <cell r="AZ756" t="str">
            <v/>
          </cell>
          <cell r="BA756" t="str">
            <v/>
          </cell>
          <cell r="BB756" t="str">
            <v/>
          </cell>
          <cell r="BC756" t="str">
            <v/>
          </cell>
        </row>
        <row r="757">
          <cell r="E757" t="str">
            <v/>
          </cell>
          <cell r="F757" t="str">
            <v/>
          </cell>
          <cell r="G757" t="str">
            <v/>
          </cell>
          <cell r="O757" t="str">
            <v/>
          </cell>
          <cell r="Q757" t="str">
            <v/>
          </cell>
          <cell r="W757" t="str">
            <v xml:space="preserve"> of </v>
          </cell>
          <cell r="X757" t="str">
            <v xml:space="preserve"> of </v>
          </cell>
          <cell r="Z757" t="str">
            <v/>
          </cell>
          <cell r="AC757" t="str">
            <v xml:space="preserve"> of </v>
          </cell>
          <cell r="AD757" t="str">
            <v xml:space="preserve"> of </v>
          </cell>
          <cell r="AF757" t="str">
            <v/>
          </cell>
          <cell r="AI757" t="str">
            <v xml:space="preserve"> of </v>
          </cell>
          <cell r="AJ757" t="str">
            <v xml:space="preserve"> of </v>
          </cell>
          <cell r="AL757" t="str">
            <v/>
          </cell>
          <cell r="AM757">
            <v>0.70833333333333304</v>
          </cell>
          <cell r="AO757" t="str">
            <v/>
          </cell>
          <cell r="AW757" t="str">
            <v/>
          </cell>
          <cell r="AX757" t="str">
            <v/>
          </cell>
          <cell r="AZ757" t="str">
            <v/>
          </cell>
          <cell r="BA757" t="str">
            <v/>
          </cell>
          <cell r="BB757" t="str">
            <v/>
          </cell>
          <cell r="BC757" t="str">
            <v/>
          </cell>
        </row>
        <row r="758">
          <cell r="E758" t="str">
            <v/>
          </cell>
          <cell r="F758" t="str">
            <v/>
          </cell>
          <cell r="G758" t="str">
            <v/>
          </cell>
          <cell r="O758" t="str">
            <v/>
          </cell>
          <cell r="Q758" t="str">
            <v/>
          </cell>
          <cell r="W758" t="str">
            <v xml:space="preserve"> of </v>
          </cell>
          <cell r="X758" t="str">
            <v xml:space="preserve"> of </v>
          </cell>
          <cell r="Z758" t="str">
            <v/>
          </cell>
          <cell r="AC758" t="str">
            <v xml:space="preserve"> of </v>
          </cell>
          <cell r="AD758" t="str">
            <v xml:space="preserve"> of </v>
          </cell>
          <cell r="AF758" t="str">
            <v/>
          </cell>
          <cell r="AI758" t="str">
            <v xml:space="preserve"> of </v>
          </cell>
          <cell r="AJ758" t="str">
            <v xml:space="preserve"> of </v>
          </cell>
          <cell r="AL758" t="str">
            <v/>
          </cell>
          <cell r="AM758">
            <v>0.70833333333333304</v>
          </cell>
          <cell r="AO758" t="str">
            <v/>
          </cell>
          <cell r="AW758" t="str">
            <v/>
          </cell>
          <cell r="AX758" t="str">
            <v/>
          </cell>
          <cell r="AZ758" t="str">
            <v/>
          </cell>
          <cell r="BA758" t="str">
            <v/>
          </cell>
          <cell r="BB758" t="str">
            <v/>
          </cell>
          <cell r="BC758" t="str">
            <v/>
          </cell>
        </row>
        <row r="759">
          <cell r="E759" t="str">
            <v/>
          </cell>
          <cell r="F759" t="str">
            <v/>
          </cell>
          <cell r="G759" t="str">
            <v/>
          </cell>
          <cell r="O759" t="str">
            <v/>
          </cell>
          <cell r="Q759" t="str">
            <v/>
          </cell>
          <cell r="W759" t="str">
            <v xml:space="preserve"> of </v>
          </cell>
          <cell r="X759" t="str">
            <v xml:space="preserve"> of </v>
          </cell>
          <cell r="Z759" t="str">
            <v/>
          </cell>
          <cell r="AC759" t="str">
            <v xml:space="preserve"> of </v>
          </cell>
          <cell r="AD759" t="str">
            <v xml:space="preserve"> of </v>
          </cell>
          <cell r="AF759" t="str">
            <v/>
          </cell>
          <cell r="AI759" t="str">
            <v xml:space="preserve"> of </v>
          </cell>
          <cell r="AJ759" t="str">
            <v xml:space="preserve"> of </v>
          </cell>
          <cell r="AL759" t="str">
            <v/>
          </cell>
          <cell r="AM759">
            <v>0.70833333333333304</v>
          </cell>
          <cell r="AO759" t="str">
            <v/>
          </cell>
          <cell r="AW759" t="str">
            <v/>
          </cell>
          <cell r="AX759" t="str">
            <v/>
          </cell>
          <cell r="AZ759" t="str">
            <v/>
          </cell>
          <cell r="BA759" t="str">
            <v/>
          </cell>
          <cell r="BB759" t="str">
            <v/>
          </cell>
          <cell r="BC759" t="str">
            <v/>
          </cell>
        </row>
        <row r="760">
          <cell r="E760" t="str">
            <v/>
          </cell>
          <cell r="F760" t="str">
            <v/>
          </cell>
          <cell r="G760" t="str">
            <v/>
          </cell>
          <cell r="O760" t="str">
            <v/>
          </cell>
          <cell r="Q760" t="str">
            <v/>
          </cell>
          <cell r="W760" t="str">
            <v xml:space="preserve"> of </v>
          </cell>
          <cell r="X760" t="str">
            <v xml:space="preserve"> of </v>
          </cell>
          <cell r="Z760" t="str">
            <v/>
          </cell>
          <cell r="AC760" t="str">
            <v xml:space="preserve"> of </v>
          </cell>
          <cell r="AD760" t="str">
            <v xml:space="preserve"> of </v>
          </cell>
          <cell r="AF760" t="str">
            <v/>
          </cell>
          <cell r="AI760" t="str">
            <v xml:space="preserve"> of </v>
          </cell>
          <cell r="AJ760" t="str">
            <v xml:space="preserve"> of </v>
          </cell>
          <cell r="AL760" t="str">
            <v/>
          </cell>
          <cell r="AM760">
            <v>0.70833333333333304</v>
          </cell>
          <cell r="AO760" t="str">
            <v/>
          </cell>
          <cell r="AW760" t="str">
            <v/>
          </cell>
          <cell r="AX760" t="str">
            <v/>
          </cell>
          <cell r="AZ760" t="str">
            <v/>
          </cell>
          <cell r="BA760" t="str">
            <v/>
          </cell>
          <cell r="BB760" t="str">
            <v/>
          </cell>
          <cell r="BC760" t="str">
            <v/>
          </cell>
        </row>
        <row r="761">
          <cell r="E761" t="str">
            <v/>
          </cell>
          <cell r="F761" t="str">
            <v/>
          </cell>
          <cell r="G761" t="str">
            <v/>
          </cell>
          <cell r="O761" t="str">
            <v/>
          </cell>
          <cell r="Q761" t="str">
            <v/>
          </cell>
          <cell r="W761" t="str">
            <v xml:space="preserve"> of </v>
          </cell>
          <cell r="X761" t="str">
            <v xml:space="preserve"> of </v>
          </cell>
          <cell r="Z761" t="str">
            <v/>
          </cell>
          <cell r="AC761" t="str">
            <v xml:space="preserve"> of </v>
          </cell>
          <cell r="AD761" t="str">
            <v xml:space="preserve"> of </v>
          </cell>
          <cell r="AF761" t="str">
            <v/>
          </cell>
          <cell r="AI761" t="str">
            <v xml:space="preserve"> of </v>
          </cell>
          <cell r="AJ761" t="str">
            <v xml:space="preserve"> of </v>
          </cell>
          <cell r="AL761" t="str">
            <v/>
          </cell>
          <cell r="AM761">
            <v>0.70833333333333304</v>
          </cell>
          <cell r="AO761" t="str">
            <v/>
          </cell>
          <cell r="AW761" t="str">
            <v/>
          </cell>
          <cell r="AX761" t="str">
            <v/>
          </cell>
          <cell r="AZ761" t="str">
            <v/>
          </cell>
          <cell r="BA761" t="str">
            <v/>
          </cell>
          <cell r="BB761" t="str">
            <v/>
          </cell>
          <cell r="BC761" t="str">
            <v/>
          </cell>
        </row>
        <row r="762">
          <cell r="E762" t="str">
            <v/>
          </cell>
          <cell r="F762" t="str">
            <v/>
          </cell>
          <cell r="G762" t="str">
            <v/>
          </cell>
          <cell r="O762" t="str">
            <v/>
          </cell>
          <cell r="Q762" t="str">
            <v/>
          </cell>
          <cell r="W762" t="str">
            <v xml:space="preserve"> of </v>
          </cell>
          <cell r="X762" t="str">
            <v xml:space="preserve"> of </v>
          </cell>
          <cell r="Z762" t="str">
            <v/>
          </cell>
          <cell r="AC762" t="str">
            <v xml:space="preserve"> of </v>
          </cell>
          <cell r="AD762" t="str">
            <v xml:space="preserve"> of </v>
          </cell>
          <cell r="AF762" t="str">
            <v/>
          </cell>
          <cell r="AI762" t="str">
            <v xml:space="preserve"> of </v>
          </cell>
          <cell r="AJ762" t="str">
            <v xml:space="preserve"> of </v>
          </cell>
          <cell r="AL762" t="str">
            <v/>
          </cell>
          <cell r="AM762">
            <v>0.70833333333333304</v>
          </cell>
          <cell r="AO762" t="str">
            <v/>
          </cell>
          <cell r="AW762" t="str">
            <v/>
          </cell>
          <cell r="AX762" t="str">
            <v/>
          </cell>
          <cell r="AZ762" t="str">
            <v/>
          </cell>
          <cell r="BA762" t="str">
            <v/>
          </cell>
          <cell r="BB762" t="str">
            <v/>
          </cell>
          <cell r="BC762" t="str">
            <v/>
          </cell>
        </row>
        <row r="763">
          <cell r="E763" t="str">
            <v/>
          </cell>
          <cell r="F763" t="str">
            <v/>
          </cell>
          <cell r="G763" t="str">
            <v/>
          </cell>
          <cell r="O763" t="str">
            <v/>
          </cell>
          <cell r="Q763" t="str">
            <v/>
          </cell>
          <cell r="W763" t="str">
            <v xml:space="preserve"> of </v>
          </cell>
          <cell r="X763" t="str">
            <v xml:space="preserve"> of </v>
          </cell>
          <cell r="Z763" t="str">
            <v/>
          </cell>
          <cell r="AC763" t="str">
            <v xml:space="preserve"> of </v>
          </cell>
          <cell r="AD763" t="str">
            <v xml:space="preserve"> of </v>
          </cell>
          <cell r="AF763" t="str">
            <v/>
          </cell>
          <cell r="AI763" t="str">
            <v xml:space="preserve"> of </v>
          </cell>
          <cell r="AJ763" t="str">
            <v xml:space="preserve"> of </v>
          </cell>
          <cell r="AL763" t="str">
            <v/>
          </cell>
          <cell r="AM763">
            <v>0.70833333333333304</v>
          </cell>
          <cell r="AO763" t="str">
            <v/>
          </cell>
          <cell r="AW763" t="str">
            <v/>
          </cell>
          <cell r="AX763" t="str">
            <v/>
          </cell>
          <cell r="AZ763" t="str">
            <v/>
          </cell>
          <cell r="BA763" t="str">
            <v/>
          </cell>
          <cell r="BB763" t="str">
            <v/>
          </cell>
          <cell r="BC763" t="str">
            <v/>
          </cell>
        </row>
        <row r="764">
          <cell r="E764" t="str">
            <v/>
          </cell>
          <cell r="F764" t="str">
            <v/>
          </cell>
          <cell r="G764" t="str">
            <v/>
          </cell>
          <cell r="O764" t="str">
            <v/>
          </cell>
          <cell r="Q764" t="str">
            <v/>
          </cell>
          <cell r="W764" t="str">
            <v xml:space="preserve"> of </v>
          </cell>
          <cell r="X764" t="str">
            <v xml:space="preserve"> of </v>
          </cell>
          <cell r="Z764" t="str">
            <v/>
          </cell>
          <cell r="AC764" t="str">
            <v xml:space="preserve"> of </v>
          </cell>
          <cell r="AD764" t="str">
            <v xml:space="preserve"> of </v>
          </cell>
          <cell r="AF764" t="str">
            <v/>
          </cell>
          <cell r="AI764" t="str">
            <v xml:space="preserve"> of </v>
          </cell>
          <cell r="AJ764" t="str">
            <v xml:space="preserve"> of </v>
          </cell>
          <cell r="AL764" t="str">
            <v/>
          </cell>
          <cell r="AM764">
            <v>0.70833333333333304</v>
          </cell>
          <cell r="AO764" t="str">
            <v/>
          </cell>
          <cell r="AW764" t="str">
            <v/>
          </cell>
          <cell r="AX764" t="str">
            <v/>
          </cell>
          <cell r="AZ764" t="str">
            <v/>
          </cell>
          <cell r="BA764" t="str">
            <v/>
          </cell>
          <cell r="BB764" t="str">
            <v/>
          </cell>
          <cell r="BC764" t="str">
            <v/>
          </cell>
        </row>
        <row r="765">
          <cell r="E765" t="str">
            <v/>
          </cell>
          <cell r="F765" t="str">
            <v/>
          </cell>
          <cell r="G765" t="str">
            <v/>
          </cell>
          <cell r="O765" t="str">
            <v/>
          </cell>
          <cell r="Q765" t="str">
            <v/>
          </cell>
          <cell r="W765" t="str">
            <v xml:space="preserve"> of </v>
          </cell>
          <cell r="X765" t="str">
            <v xml:space="preserve"> of </v>
          </cell>
          <cell r="Z765" t="str">
            <v/>
          </cell>
          <cell r="AC765" t="str">
            <v xml:space="preserve"> of </v>
          </cell>
          <cell r="AD765" t="str">
            <v xml:space="preserve"> of </v>
          </cell>
          <cell r="AF765" t="str">
            <v/>
          </cell>
          <cell r="AI765" t="str">
            <v xml:space="preserve"> of </v>
          </cell>
          <cell r="AJ765" t="str">
            <v xml:space="preserve"> of </v>
          </cell>
          <cell r="AL765" t="str">
            <v/>
          </cell>
          <cell r="AM765">
            <v>0.70833333333333304</v>
          </cell>
          <cell r="AO765" t="str">
            <v/>
          </cell>
          <cell r="AW765" t="str">
            <v/>
          </cell>
          <cell r="AX765" t="str">
            <v/>
          </cell>
          <cell r="AZ765" t="str">
            <v/>
          </cell>
          <cell r="BA765" t="str">
            <v/>
          </cell>
          <cell r="BB765" t="str">
            <v/>
          </cell>
          <cell r="BC765" t="str">
            <v/>
          </cell>
        </row>
        <row r="766">
          <cell r="E766" t="str">
            <v/>
          </cell>
          <cell r="F766" t="str">
            <v/>
          </cell>
          <cell r="G766" t="str">
            <v/>
          </cell>
          <cell r="O766" t="str">
            <v/>
          </cell>
          <cell r="Q766" t="str">
            <v/>
          </cell>
          <cell r="W766" t="str">
            <v xml:space="preserve"> of </v>
          </cell>
          <cell r="X766" t="str">
            <v xml:space="preserve"> of </v>
          </cell>
          <cell r="Z766" t="str">
            <v/>
          </cell>
          <cell r="AC766" t="str">
            <v xml:space="preserve"> of </v>
          </cell>
          <cell r="AD766" t="str">
            <v xml:space="preserve"> of </v>
          </cell>
          <cell r="AF766" t="str">
            <v/>
          </cell>
          <cell r="AI766" t="str">
            <v xml:space="preserve"> of </v>
          </cell>
          <cell r="AJ766" t="str">
            <v xml:space="preserve"> of </v>
          </cell>
          <cell r="AL766" t="str">
            <v/>
          </cell>
          <cell r="AM766">
            <v>0.70833333333333304</v>
          </cell>
          <cell r="AO766" t="str">
            <v/>
          </cell>
          <cell r="AW766" t="str">
            <v/>
          </cell>
          <cell r="AX766" t="str">
            <v/>
          </cell>
          <cell r="AZ766" t="str">
            <v/>
          </cell>
          <cell r="BA766" t="str">
            <v/>
          </cell>
          <cell r="BB766" t="str">
            <v/>
          </cell>
          <cell r="BC766" t="str">
            <v/>
          </cell>
        </row>
        <row r="767">
          <cell r="E767" t="str">
            <v/>
          </cell>
          <cell r="F767" t="str">
            <v/>
          </cell>
          <cell r="G767" t="str">
            <v/>
          </cell>
          <cell r="O767" t="str">
            <v/>
          </cell>
          <cell r="Q767" t="str">
            <v/>
          </cell>
          <cell r="W767" t="str">
            <v xml:space="preserve"> of </v>
          </cell>
          <cell r="X767" t="str">
            <v xml:space="preserve"> of </v>
          </cell>
          <cell r="Z767" t="str">
            <v/>
          </cell>
          <cell r="AC767" t="str">
            <v xml:space="preserve"> of </v>
          </cell>
          <cell r="AD767" t="str">
            <v xml:space="preserve"> of </v>
          </cell>
          <cell r="AF767" t="str">
            <v/>
          </cell>
          <cell r="AI767" t="str">
            <v xml:space="preserve"> of </v>
          </cell>
          <cell r="AJ767" t="str">
            <v xml:space="preserve"> of </v>
          </cell>
          <cell r="AL767" t="str">
            <v/>
          </cell>
          <cell r="AM767">
            <v>0.70833333333333304</v>
          </cell>
          <cell r="AO767" t="str">
            <v/>
          </cell>
          <cell r="AW767" t="str">
            <v/>
          </cell>
          <cell r="AX767" t="str">
            <v/>
          </cell>
          <cell r="AZ767" t="str">
            <v/>
          </cell>
          <cell r="BA767" t="str">
            <v/>
          </cell>
          <cell r="BB767" t="str">
            <v/>
          </cell>
          <cell r="BC767" t="str">
            <v/>
          </cell>
        </row>
        <row r="768">
          <cell r="E768" t="str">
            <v/>
          </cell>
          <cell r="F768" t="str">
            <v/>
          </cell>
          <cell r="G768" t="str">
            <v/>
          </cell>
          <cell r="O768" t="str">
            <v/>
          </cell>
          <cell r="Q768" t="str">
            <v/>
          </cell>
          <cell r="W768" t="str">
            <v xml:space="preserve"> of </v>
          </cell>
          <cell r="X768" t="str">
            <v xml:space="preserve"> of </v>
          </cell>
          <cell r="Z768" t="str">
            <v/>
          </cell>
          <cell r="AC768" t="str">
            <v xml:space="preserve"> of </v>
          </cell>
          <cell r="AD768" t="str">
            <v xml:space="preserve"> of </v>
          </cell>
          <cell r="AF768" t="str">
            <v/>
          </cell>
          <cell r="AI768" t="str">
            <v xml:space="preserve"> of </v>
          </cell>
          <cell r="AJ768" t="str">
            <v xml:space="preserve"> of </v>
          </cell>
          <cell r="AL768" t="str">
            <v/>
          </cell>
          <cell r="AM768">
            <v>0.70833333333333304</v>
          </cell>
          <cell r="AO768" t="str">
            <v/>
          </cell>
          <cell r="AW768" t="str">
            <v/>
          </cell>
          <cell r="AX768" t="str">
            <v/>
          </cell>
          <cell r="AZ768" t="str">
            <v/>
          </cell>
          <cell r="BA768" t="str">
            <v/>
          </cell>
          <cell r="BB768" t="str">
            <v/>
          </cell>
          <cell r="BC768" t="str">
            <v/>
          </cell>
        </row>
        <row r="769">
          <cell r="E769" t="str">
            <v/>
          </cell>
          <cell r="F769" t="str">
            <v/>
          </cell>
          <cell r="G769" t="str">
            <v/>
          </cell>
          <cell r="O769" t="str">
            <v/>
          </cell>
          <cell r="Q769" t="str">
            <v/>
          </cell>
          <cell r="W769" t="str">
            <v xml:space="preserve"> of </v>
          </cell>
          <cell r="X769" t="str">
            <v xml:space="preserve"> of </v>
          </cell>
          <cell r="Z769" t="str">
            <v/>
          </cell>
          <cell r="AC769" t="str">
            <v xml:space="preserve"> of </v>
          </cell>
          <cell r="AD769" t="str">
            <v xml:space="preserve"> of </v>
          </cell>
          <cell r="AF769" t="str">
            <v/>
          </cell>
          <cell r="AI769" t="str">
            <v xml:space="preserve"> of </v>
          </cell>
          <cell r="AJ769" t="str">
            <v xml:space="preserve"> of </v>
          </cell>
          <cell r="AL769" t="str">
            <v/>
          </cell>
          <cell r="AM769">
            <v>0.70833333333333304</v>
          </cell>
          <cell r="AO769" t="str">
            <v/>
          </cell>
          <cell r="AW769" t="str">
            <v/>
          </cell>
          <cell r="AX769" t="str">
            <v/>
          </cell>
          <cell r="AZ769" t="str">
            <v/>
          </cell>
          <cell r="BA769" t="str">
            <v/>
          </cell>
          <cell r="BB769" t="str">
            <v/>
          </cell>
          <cell r="BC769" t="str">
            <v/>
          </cell>
        </row>
        <row r="770">
          <cell r="E770" t="str">
            <v/>
          </cell>
          <cell r="F770" t="str">
            <v/>
          </cell>
          <cell r="G770" t="str">
            <v/>
          </cell>
          <cell r="O770" t="str">
            <v/>
          </cell>
          <cell r="Q770" t="str">
            <v/>
          </cell>
          <cell r="W770" t="str">
            <v xml:space="preserve"> of </v>
          </cell>
          <cell r="X770" t="str">
            <v xml:space="preserve"> of </v>
          </cell>
          <cell r="Z770" t="str">
            <v/>
          </cell>
          <cell r="AC770" t="str">
            <v xml:space="preserve"> of </v>
          </cell>
          <cell r="AD770" t="str">
            <v xml:space="preserve"> of </v>
          </cell>
          <cell r="AF770" t="str">
            <v/>
          </cell>
          <cell r="AI770" t="str">
            <v xml:space="preserve"> of </v>
          </cell>
          <cell r="AJ770" t="str">
            <v xml:space="preserve"> of </v>
          </cell>
          <cell r="AL770" t="str">
            <v/>
          </cell>
          <cell r="AM770">
            <v>0.70833333333333304</v>
          </cell>
          <cell r="AO770" t="str">
            <v/>
          </cell>
          <cell r="AW770" t="str">
            <v/>
          </cell>
          <cell r="AX770" t="str">
            <v/>
          </cell>
          <cell r="AZ770" t="str">
            <v/>
          </cell>
          <cell r="BA770" t="str">
            <v/>
          </cell>
          <cell r="BB770" t="str">
            <v/>
          </cell>
          <cell r="BC770" t="str">
            <v/>
          </cell>
        </row>
        <row r="771">
          <cell r="E771" t="str">
            <v/>
          </cell>
          <cell r="F771" t="str">
            <v/>
          </cell>
          <cell r="G771" t="str">
            <v/>
          </cell>
          <cell r="O771" t="str">
            <v/>
          </cell>
          <cell r="Q771" t="str">
            <v/>
          </cell>
          <cell r="W771" t="str">
            <v xml:space="preserve"> of </v>
          </cell>
          <cell r="X771" t="str">
            <v xml:space="preserve"> of </v>
          </cell>
          <cell r="Z771" t="str">
            <v/>
          </cell>
          <cell r="AC771" t="str">
            <v xml:space="preserve"> of </v>
          </cell>
          <cell r="AD771" t="str">
            <v xml:space="preserve"> of </v>
          </cell>
          <cell r="AF771" t="str">
            <v/>
          </cell>
          <cell r="AI771" t="str">
            <v xml:space="preserve"> of </v>
          </cell>
          <cell r="AJ771" t="str">
            <v xml:space="preserve"> of </v>
          </cell>
          <cell r="AL771" t="str">
            <v/>
          </cell>
          <cell r="AM771">
            <v>0.70833333333333304</v>
          </cell>
          <cell r="AO771" t="str">
            <v/>
          </cell>
          <cell r="AW771" t="str">
            <v/>
          </cell>
          <cell r="AX771" t="str">
            <v/>
          </cell>
          <cell r="AZ771" t="str">
            <v/>
          </cell>
          <cell r="BA771" t="str">
            <v/>
          </cell>
          <cell r="BB771" t="str">
            <v/>
          </cell>
          <cell r="BC771" t="str">
            <v/>
          </cell>
        </row>
        <row r="772">
          <cell r="E772" t="str">
            <v/>
          </cell>
          <cell r="F772" t="str">
            <v/>
          </cell>
          <cell r="G772" t="str">
            <v/>
          </cell>
          <cell r="O772" t="str">
            <v/>
          </cell>
          <cell r="Q772" t="str">
            <v/>
          </cell>
          <cell r="W772" t="str">
            <v xml:space="preserve"> of </v>
          </cell>
          <cell r="X772" t="str">
            <v xml:space="preserve"> of </v>
          </cell>
          <cell r="Z772" t="str">
            <v/>
          </cell>
          <cell r="AC772" t="str">
            <v xml:space="preserve"> of </v>
          </cell>
          <cell r="AD772" t="str">
            <v xml:space="preserve"> of </v>
          </cell>
          <cell r="AF772" t="str">
            <v/>
          </cell>
          <cell r="AI772" t="str">
            <v xml:space="preserve"> of </v>
          </cell>
          <cell r="AJ772" t="str">
            <v xml:space="preserve"> of </v>
          </cell>
          <cell r="AL772" t="str">
            <v/>
          </cell>
          <cell r="AM772">
            <v>0.70833333333333304</v>
          </cell>
          <cell r="AO772" t="str">
            <v/>
          </cell>
          <cell r="AW772" t="str">
            <v/>
          </cell>
          <cell r="AX772" t="str">
            <v/>
          </cell>
          <cell r="AZ772" t="str">
            <v/>
          </cell>
          <cell r="BA772" t="str">
            <v/>
          </cell>
          <cell r="BB772" t="str">
            <v/>
          </cell>
          <cell r="BC772" t="str">
            <v/>
          </cell>
        </row>
        <row r="773">
          <cell r="E773" t="str">
            <v/>
          </cell>
          <cell r="F773" t="str">
            <v/>
          </cell>
          <cell r="G773" t="str">
            <v/>
          </cell>
          <cell r="O773" t="str">
            <v/>
          </cell>
          <cell r="Q773" t="str">
            <v/>
          </cell>
          <cell r="W773" t="str">
            <v xml:space="preserve"> of </v>
          </cell>
          <cell r="X773" t="str">
            <v xml:space="preserve"> of </v>
          </cell>
          <cell r="Z773" t="str">
            <v/>
          </cell>
          <cell r="AC773" t="str">
            <v xml:space="preserve"> of </v>
          </cell>
          <cell r="AD773" t="str">
            <v xml:space="preserve"> of </v>
          </cell>
          <cell r="AF773" t="str">
            <v/>
          </cell>
          <cell r="AI773" t="str">
            <v xml:space="preserve"> of </v>
          </cell>
          <cell r="AJ773" t="str">
            <v xml:space="preserve"> of </v>
          </cell>
          <cell r="AL773" t="str">
            <v/>
          </cell>
          <cell r="AM773">
            <v>0.70833333333333304</v>
          </cell>
          <cell r="AO773" t="str">
            <v/>
          </cell>
          <cell r="AW773" t="str">
            <v/>
          </cell>
          <cell r="AX773" t="str">
            <v/>
          </cell>
          <cell r="AZ773" t="str">
            <v/>
          </cell>
          <cell r="BA773" t="str">
            <v/>
          </cell>
          <cell r="BB773" t="str">
            <v/>
          </cell>
          <cell r="BC773" t="str">
            <v/>
          </cell>
        </row>
        <row r="774">
          <cell r="E774" t="str">
            <v/>
          </cell>
          <cell r="F774" t="str">
            <v/>
          </cell>
          <cell r="G774" t="str">
            <v/>
          </cell>
          <cell r="O774" t="str">
            <v/>
          </cell>
          <cell r="Q774" t="str">
            <v/>
          </cell>
          <cell r="W774" t="str">
            <v xml:space="preserve"> of </v>
          </cell>
          <cell r="X774" t="str">
            <v xml:space="preserve"> of </v>
          </cell>
          <cell r="Z774" t="str">
            <v/>
          </cell>
          <cell r="AC774" t="str">
            <v xml:space="preserve"> of </v>
          </cell>
          <cell r="AD774" t="str">
            <v xml:space="preserve"> of </v>
          </cell>
          <cell r="AF774" t="str">
            <v/>
          </cell>
          <cell r="AI774" t="str">
            <v xml:space="preserve"> of </v>
          </cell>
          <cell r="AJ774" t="str">
            <v xml:space="preserve"> of </v>
          </cell>
          <cell r="AL774" t="str">
            <v/>
          </cell>
          <cell r="AM774">
            <v>0.70833333333333304</v>
          </cell>
          <cell r="AO774" t="str">
            <v/>
          </cell>
          <cell r="AW774" t="str">
            <v/>
          </cell>
          <cell r="AX774" t="str">
            <v/>
          </cell>
          <cell r="AZ774" t="str">
            <v/>
          </cell>
          <cell r="BA774" t="str">
            <v/>
          </cell>
          <cell r="BB774" t="str">
            <v/>
          </cell>
          <cell r="BC774" t="str">
            <v/>
          </cell>
        </row>
        <row r="775">
          <cell r="E775" t="str">
            <v/>
          </cell>
          <cell r="F775" t="str">
            <v/>
          </cell>
          <cell r="G775" t="str">
            <v/>
          </cell>
          <cell r="O775" t="str">
            <v/>
          </cell>
          <cell r="Q775" t="str">
            <v/>
          </cell>
          <cell r="W775" t="str">
            <v xml:space="preserve"> of </v>
          </cell>
          <cell r="X775" t="str">
            <v xml:space="preserve"> of </v>
          </cell>
          <cell r="Z775" t="str">
            <v/>
          </cell>
          <cell r="AC775" t="str">
            <v xml:space="preserve"> of </v>
          </cell>
          <cell r="AD775" t="str">
            <v xml:space="preserve"> of </v>
          </cell>
          <cell r="AF775" t="str">
            <v/>
          </cell>
          <cell r="AI775" t="str">
            <v xml:space="preserve"> of </v>
          </cell>
          <cell r="AJ775" t="str">
            <v xml:space="preserve"> of </v>
          </cell>
          <cell r="AL775" t="str">
            <v/>
          </cell>
          <cell r="AM775">
            <v>0.70833333333333304</v>
          </cell>
          <cell r="AO775" t="str">
            <v/>
          </cell>
          <cell r="AW775" t="str">
            <v/>
          </cell>
          <cell r="AX775" t="str">
            <v/>
          </cell>
          <cell r="AZ775" t="str">
            <v/>
          </cell>
          <cell r="BA775" t="str">
            <v/>
          </cell>
          <cell r="BB775" t="str">
            <v/>
          </cell>
          <cell r="BC775" t="str">
            <v/>
          </cell>
        </row>
        <row r="776">
          <cell r="E776" t="str">
            <v/>
          </cell>
          <cell r="F776" t="str">
            <v/>
          </cell>
          <cell r="G776" t="str">
            <v/>
          </cell>
          <cell r="O776" t="str">
            <v/>
          </cell>
          <cell r="Q776" t="str">
            <v/>
          </cell>
          <cell r="W776" t="str">
            <v xml:space="preserve"> of </v>
          </cell>
          <cell r="X776" t="str">
            <v xml:space="preserve"> of </v>
          </cell>
          <cell r="Z776" t="str">
            <v/>
          </cell>
          <cell r="AC776" t="str">
            <v xml:space="preserve"> of </v>
          </cell>
          <cell r="AD776" t="str">
            <v xml:space="preserve"> of </v>
          </cell>
          <cell r="AF776" t="str">
            <v/>
          </cell>
          <cell r="AI776" t="str">
            <v xml:space="preserve"> of </v>
          </cell>
          <cell r="AJ776" t="str">
            <v xml:space="preserve"> of </v>
          </cell>
          <cell r="AL776" t="str">
            <v/>
          </cell>
          <cell r="AM776">
            <v>0.70833333333333304</v>
          </cell>
          <cell r="AO776" t="str">
            <v/>
          </cell>
          <cell r="AW776" t="str">
            <v/>
          </cell>
          <cell r="AX776" t="str">
            <v/>
          </cell>
          <cell r="AZ776" t="str">
            <v/>
          </cell>
          <cell r="BA776" t="str">
            <v/>
          </cell>
          <cell r="BB776" t="str">
            <v/>
          </cell>
          <cell r="BC776" t="str">
            <v/>
          </cell>
        </row>
        <row r="777">
          <cell r="E777" t="str">
            <v/>
          </cell>
          <cell r="F777" t="str">
            <v/>
          </cell>
          <cell r="G777" t="str">
            <v/>
          </cell>
          <cell r="O777" t="str">
            <v/>
          </cell>
          <cell r="Q777" t="str">
            <v/>
          </cell>
          <cell r="W777" t="str">
            <v xml:space="preserve"> of </v>
          </cell>
          <cell r="X777" t="str">
            <v xml:space="preserve"> of </v>
          </cell>
          <cell r="Z777" t="str">
            <v/>
          </cell>
          <cell r="AC777" t="str">
            <v xml:space="preserve"> of </v>
          </cell>
          <cell r="AD777" t="str">
            <v xml:space="preserve"> of </v>
          </cell>
          <cell r="AF777" t="str">
            <v/>
          </cell>
          <cell r="AI777" t="str">
            <v xml:space="preserve"> of </v>
          </cell>
          <cell r="AJ777" t="str">
            <v xml:space="preserve"> of </v>
          </cell>
          <cell r="AL777" t="str">
            <v/>
          </cell>
          <cell r="AM777">
            <v>0.70833333333333304</v>
          </cell>
          <cell r="AO777" t="str">
            <v/>
          </cell>
          <cell r="AW777" t="str">
            <v/>
          </cell>
          <cell r="AX777" t="str">
            <v/>
          </cell>
          <cell r="AZ777" t="str">
            <v/>
          </cell>
          <cell r="BA777" t="str">
            <v/>
          </cell>
          <cell r="BB777" t="str">
            <v/>
          </cell>
          <cell r="BC777" t="str">
            <v/>
          </cell>
        </row>
        <row r="778">
          <cell r="E778" t="str">
            <v/>
          </cell>
          <cell r="F778" t="str">
            <v/>
          </cell>
          <cell r="G778" t="str">
            <v/>
          </cell>
          <cell r="O778" t="str">
            <v/>
          </cell>
          <cell r="Q778" t="str">
            <v/>
          </cell>
          <cell r="W778" t="str">
            <v xml:space="preserve"> of </v>
          </cell>
          <cell r="X778" t="str">
            <v xml:space="preserve"> of </v>
          </cell>
          <cell r="Z778" t="str">
            <v/>
          </cell>
          <cell r="AC778" t="str">
            <v xml:space="preserve"> of </v>
          </cell>
          <cell r="AD778" t="str">
            <v xml:space="preserve"> of </v>
          </cell>
          <cell r="AF778" t="str">
            <v/>
          </cell>
          <cell r="AI778" t="str">
            <v xml:space="preserve"> of </v>
          </cell>
          <cell r="AJ778" t="str">
            <v xml:space="preserve"> of </v>
          </cell>
          <cell r="AL778" t="str">
            <v/>
          </cell>
          <cell r="AM778">
            <v>0.70833333333333304</v>
          </cell>
          <cell r="AO778" t="str">
            <v/>
          </cell>
          <cell r="AW778" t="str">
            <v/>
          </cell>
          <cell r="AX778" t="str">
            <v/>
          </cell>
          <cell r="AZ778" t="str">
            <v/>
          </cell>
          <cell r="BA778" t="str">
            <v/>
          </cell>
          <cell r="BB778" t="str">
            <v/>
          </cell>
          <cell r="BC778" t="str">
            <v/>
          </cell>
        </row>
        <row r="779">
          <cell r="E779" t="str">
            <v/>
          </cell>
          <cell r="F779" t="str">
            <v/>
          </cell>
          <cell r="G779" t="str">
            <v/>
          </cell>
          <cell r="O779" t="str">
            <v/>
          </cell>
          <cell r="Q779" t="str">
            <v/>
          </cell>
          <cell r="W779" t="str">
            <v xml:space="preserve"> of </v>
          </cell>
          <cell r="X779" t="str">
            <v xml:space="preserve"> of </v>
          </cell>
          <cell r="Z779" t="str">
            <v/>
          </cell>
          <cell r="AC779" t="str">
            <v xml:space="preserve"> of </v>
          </cell>
          <cell r="AD779" t="str">
            <v xml:space="preserve"> of </v>
          </cell>
          <cell r="AF779" t="str">
            <v/>
          </cell>
          <cell r="AI779" t="str">
            <v xml:space="preserve"> of </v>
          </cell>
          <cell r="AJ779" t="str">
            <v xml:space="preserve"> of </v>
          </cell>
          <cell r="AL779" t="str">
            <v/>
          </cell>
          <cell r="AM779">
            <v>0.70833333333333304</v>
          </cell>
          <cell r="AO779" t="str">
            <v/>
          </cell>
          <cell r="AW779" t="str">
            <v/>
          </cell>
          <cell r="AX779" t="str">
            <v/>
          </cell>
          <cell r="AZ779" t="str">
            <v/>
          </cell>
          <cell r="BA779" t="str">
            <v/>
          </cell>
          <cell r="BB779" t="str">
            <v/>
          </cell>
          <cell r="BC779" t="str">
            <v/>
          </cell>
        </row>
        <row r="780">
          <cell r="E780" t="str">
            <v/>
          </cell>
          <cell r="F780" t="str">
            <v/>
          </cell>
          <cell r="G780" t="str">
            <v/>
          </cell>
          <cell r="O780" t="str">
            <v/>
          </cell>
          <cell r="Q780" t="str">
            <v/>
          </cell>
          <cell r="W780" t="str">
            <v xml:space="preserve"> of </v>
          </cell>
          <cell r="X780" t="str">
            <v xml:space="preserve"> of </v>
          </cell>
          <cell r="Z780" t="str">
            <v/>
          </cell>
          <cell r="AC780" t="str">
            <v xml:space="preserve"> of </v>
          </cell>
          <cell r="AD780" t="str">
            <v xml:space="preserve"> of </v>
          </cell>
          <cell r="AF780" t="str">
            <v/>
          </cell>
          <cell r="AI780" t="str">
            <v xml:space="preserve"> of </v>
          </cell>
          <cell r="AJ780" t="str">
            <v xml:space="preserve"> of </v>
          </cell>
          <cell r="AL780" t="str">
            <v/>
          </cell>
          <cell r="AM780">
            <v>0.70833333333333304</v>
          </cell>
          <cell r="AO780" t="str">
            <v/>
          </cell>
          <cell r="AW780" t="str">
            <v/>
          </cell>
          <cell r="AX780" t="str">
            <v/>
          </cell>
          <cell r="AZ780" t="str">
            <v/>
          </cell>
          <cell r="BA780" t="str">
            <v/>
          </cell>
          <cell r="BB780" t="str">
            <v/>
          </cell>
          <cell r="BC780" t="str">
            <v/>
          </cell>
        </row>
        <row r="781">
          <cell r="E781" t="str">
            <v/>
          </cell>
          <cell r="F781" t="str">
            <v/>
          </cell>
          <cell r="G781" t="str">
            <v/>
          </cell>
          <cell r="O781" t="str">
            <v/>
          </cell>
          <cell r="Q781" t="str">
            <v/>
          </cell>
          <cell r="W781" t="str">
            <v xml:space="preserve"> of </v>
          </cell>
          <cell r="X781" t="str">
            <v xml:space="preserve"> of </v>
          </cell>
          <cell r="Z781" t="str">
            <v/>
          </cell>
          <cell r="AC781" t="str">
            <v xml:space="preserve"> of </v>
          </cell>
          <cell r="AD781" t="str">
            <v xml:space="preserve"> of </v>
          </cell>
          <cell r="AF781" t="str">
            <v/>
          </cell>
          <cell r="AI781" t="str">
            <v xml:space="preserve"> of </v>
          </cell>
          <cell r="AJ781" t="str">
            <v xml:space="preserve"> of </v>
          </cell>
          <cell r="AL781" t="str">
            <v/>
          </cell>
          <cell r="AM781">
            <v>0.70833333333333304</v>
          </cell>
          <cell r="AO781" t="str">
            <v/>
          </cell>
          <cell r="AW781" t="str">
            <v/>
          </cell>
          <cell r="AX781" t="str">
            <v/>
          </cell>
          <cell r="AZ781" t="str">
            <v/>
          </cell>
          <cell r="BA781" t="str">
            <v/>
          </cell>
          <cell r="BB781" t="str">
            <v/>
          </cell>
          <cell r="BC781" t="str">
            <v/>
          </cell>
        </row>
        <row r="782">
          <cell r="E782" t="str">
            <v/>
          </cell>
          <cell r="F782" t="str">
            <v/>
          </cell>
          <cell r="G782" t="str">
            <v/>
          </cell>
          <cell r="O782" t="str">
            <v/>
          </cell>
          <cell r="Q782" t="str">
            <v/>
          </cell>
          <cell r="W782" t="str">
            <v xml:space="preserve"> of </v>
          </cell>
          <cell r="X782" t="str">
            <v xml:space="preserve"> of </v>
          </cell>
          <cell r="Z782" t="str">
            <v/>
          </cell>
          <cell r="AC782" t="str">
            <v xml:space="preserve"> of </v>
          </cell>
          <cell r="AD782" t="str">
            <v xml:space="preserve"> of </v>
          </cell>
          <cell r="AF782" t="str">
            <v/>
          </cell>
          <cell r="AI782" t="str">
            <v xml:space="preserve"> of </v>
          </cell>
          <cell r="AJ782" t="str">
            <v xml:space="preserve"> of </v>
          </cell>
          <cell r="AL782" t="str">
            <v/>
          </cell>
          <cell r="AM782">
            <v>0.70833333333333304</v>
          </cell>
          <cell r="AO782" t="str">
            <v/>
          </cell>
          <cell r="AW782" t="str">
            <v/>
          </cell>
          <cell r="AX782" t="str">
            <v/>
          </cell>
          <cell r="AZ782" t="str">
            <v/>
          </cell>
          <cell r="BA782" t="str">
            <v/>
          </cell>
          <cell r="BB782" t="str">
            <v/>
          </cell>
          <cell r="BC782" t="str">
            <v/>
          </cell>
        </row>
        <row r="783">
          <cell r="E783" t="str">
            <v/>
          </cell>
          <cell r="F783" t="str">
            <v/>
          </cell>
          <cell r="G783" t="str">
            <v/>
          </cell>
          <cell r="O783" t="str">
            <v/>
          </cell>
          <cell r="Q783" t="str">
            <v/>
          </cell>
          <cell r="W783" t="str">
            <v xml:space="preserve"> of </v>
          </cell>
          <cell r="X783" t="str">
            <v xml:space="preserve"> of </v>
          </cell>
          <cell r="Z783" t="str">
            <v/>
          </cell>
          <cell r="AC783" t="str">
            <v xml:space="preserve"> of </v>
          </cell>
          <cell r="AD783" t="str">
            <v xml:space="preserve"> of </v>
          </cell>
          <cell r="AF783" t="str">
            <v/>
          </cell>
          <cell r="AI783" t="str">
            <v xml:space="preserve"> of </v>
          </cell>
          <cell r="AJ783" t="str">
            <v xml:space="preserve"> of </v>
          </cell>
          <cell r="AL783" t="str">
            <v/>
          </cell>
          <cell r="AM783">
            <v>0.70833333333333304</v>
          </cell>
          <cell r="AO783" t="str">
            <v/>
          </cell>
          <cell r="AW783" t="str">
            <v/>
          </cell>
          <cell r="AX783" t="str">
            <v/>
          </cell>
          <cell r="AZ783" t="str">
            <v/>
          </cell>
          <cell r="BA783" t="str">
            <v/>
          </cell>
          <cell r="BB783" t="str">
            <v/>
          </cell>
          <cell r="BC783" t="str">
            <v/>
          </cell>
        </row>
        <row r="784">
          <cell r="E784" t="str">
            <v/>
          </cell>
          <cell r="F784" t="str">
            <v/>
          </cell>
          <cell r="G784" t="str">
            <v/>
          </cell>
          <cell r="O784" t="str">
            <v/>
          </cell>
          <cell r="Q784" t="str">
            <v/>
          </cell>
          <cell r="W784" t="str">
            <v xml:space="preserve"> of </v>
          </cell>
          <cell r="X784" t="str">
            <v xml:space="preserve"> of </v>
          </cell>
          <cell r="Z784" t="str">
            <v/>
          </cell>
          <cell r="AC784" t="str">
            <v xml:space="preserve"> of </v>
          </cell>
          <cell r="AD784" t="str">
            <v xml:space="preserve"> of </v>
          </cell>
          <cell r="AF784" t="str">
            <v/>
          </cell>
          <cell r="AI784" t="str">
            <v xml:space="preserve"> of </v>
          </cell>
          <cell r="AJ784" t="str">
            <v xml:space="preserve"> of </v>
          </cell>
          <cell r="AL784" t="str">
            <v/>
          </cell>
          <cell r="AM784">
            <v>0.70833333333333304</v>
          </cell>
          <cell r="AO784" t="str">
            <v/>
          </cell>
          <cell r="AW784" t="str">
            <v/>
          </cell>
          <cell r="AX784" t="str">
            <v/>
          </cell>
          <cell r="AZ784" t="str">
            <v/>
          </cell>
          <cell r="BA784" t="str">
            <v/>
          </cell>
          <cell r="BB784" t="str">
            <v/>
          </cell>
          <cell r="BC784" t="str">
            <v/>
          </cell>
        </row>
        <row r="785">
          <cell r="E785" t="str">
            <v/>
          </cell>
          <cell r="F785" t="str">
            <v/>
          </cell>
          <cell r="G785" t="str">
            <v/>
          </cell>
          <cell r="O785" t="str">
            <v/>
          </cell>
          <cell r="Q785" t="str">
            <v/>
          </cell>
          <cell r="W785" t="str">
            <v xml:space="preserve"> of </v>
          </cell>
          <cell r="X785" t="str">
            <v xml:space="preserve"> of </v>
          </cell>
          <cell r="Z785" t="str">
            <v/>
          </cell>
          <cell r="AC785" t="str">
            <v xml:space="preserve"> of </v>
          </cell>
          <cell r="AD785" t="str">
            <v xml:space="preserve"> of </v>
          </cell>
          <cell r="AF785" t="str">
            <v/>
          </cell>
          <cell r="AI785" t="str">
            <v xml:space="preserve"> of </v>
          </cell>
          <cell r="AJ785" t="str">
            <v xml:space="preserve"> of </v>
          </cell>
          <cell r="AL785" t="str">
            <v/>
          </cell>
          <cell r="AM785">
            <v>0.70833333333333304</v>
          </cell>
          <cell r="AO785" t="str">
            <v/>
          </cell>
          <cell r="AW785" t="str">
            <v/>
          </cell>
          <cell r="AX785" t="str">
            <v/>
          </cell>
          <cell r="AZ785" t="str">
            <v/>
          </cell>
          <cell r="BA785" t="str">
            <v/>
          </cell>
          <cell r="BB785" t="str">
            <v/>
          </cell>
          <cell r="BC785" t="str">
            <v/>
          </cell>
        </row>
        <row r="786">
          <cell r="E786" t="str">
            <v/>
          </cell>
          <cell r="F786" t="str">
            <v/>
          </cell>
          <cell r="G786" t="str">
            <v/>
          </cell>
          <cell r="O786" t="str">
            <v/>
          </cell>
          <cell r="Q786" t="str">
            <v/>
          </cell>
          <cell r="W786" t="str">
            <v xml:space="preserve"> of </v>
          </cell>
          <cell r="X786" t="str">
            <v xml:space="preserve"> of </v>
          </cell>
          <cell r="Z786" t="str">
            <v/>
          </cell>
          <cell r="AC786" t="str">
            <v xml:space="preserve"> of </v>
          </cell>
          <cell r="AD786" t="str">
            <v xml:space="preserve"> of </v>
          </cell>
          <cell r="AF786" t="str">
            <v/>
          </cell>
          <cell r="AI786" t="str">
            <v xml:space="preserve"> of </v>
          </cell>
          <cell r="AJ786" t="str">
            <v xml:space="preserve"> of </v>
          </cell>
          <cell r="AL786" t="str">
            <v/>
          </cell>
          <cell r="AM786">
            <v>0.70833333333333304</v>
          </cell>
          <cell r="AO786" t="str">
            <v/>
          </cell>
          <cell r="AW786" t="str">
            <v/>
          </cell>
          <cell r="AX786" t="str">
            <v/>
          </cell>
          <cell r="AZ786" t="str">
            <v/>
          </cell>
          <cell r="BA786" t="str">
            <v/>
          </cell>
          <cell r="BB786" t="str">
            <v/>
          </cell>
          <cell r="BC786" t="str">
            <v/>
          </cell>
        </row>
        <row r="787">
          <cell r="E787" t="str">
            <v/>
          </cell>
          <cell r="F787" t="str">
            <v/>
          </cell>
          <cell r="G787" t="str">
            <v/>
          </cell>
          <cell r="O787" t="str">
            <v/>
          </cell>
          <cell r="Q787" t="str">
            <v/>
          </cell>
          <cell r="W787" t="str">
            <v xml:space="preserve"> of </v>
          </cell>
          <cell r="X787" t="str">
            <v xml:space="preserve"> of </v>
          </cell>
          <cell r="Z787" t="str">
            <v/>
          </cell>
          <cell r="AC787" t="str">
            <v xml:space="preserve"> of </v>
          </cell>
          <cell r="AD787" t="str">
            <v xml:space="preserve"> of </v>
          </cell>
          <cell r="AF787" t="str">
            <v/>
          </cell>
          <cell r="AI787" t="str">
            <v xml:space="preserve"> of </v>
          </cell>
          <cell r="AJ787" t="str">
            <v xml:space="preserve"> of </v>
          </cell>
          <cell r="AL787" t="str">
            <v/>
          </cell>
          <cell r="AM787">
            <v>0.70833333333333304</v>
          </cell>
          <cell r="AO787" t="str">
            <v/>
          </cell>
          <cell r="AW787" t="str">
            <v/>
          </cell>
          <cell r="AX787" t="str">
            <v/>
          </cell>
          <cell r="AZ787" t="str">
            <v/>
          </cell>
          <cell r="BA787" t="str">
            <v/>
          </cell>
          <cell r="BB787" t="str">
            <v/>
          </cell>
          <cell r="BC787" t="str">
            <v/>
          </cell>
        </row>
        <row r="788">
          <cell r="E788" t="str">
            <v/>
          </cell>
          <cell r="F788" t="str">
            <v/>
          </cell>
          <cell r="G788" t="str">
            <v/>
          </cell>
          <cell r="O788" t="str">
            <v/>
          </cell>
          <cell r="Q788" t="str">
            <v/>
          </cell>
          <cell r="W788" t="str">
            <v xml:space="preserve"> of </v>
          </cell>
          <cell r="X788" t="str">
            <v xml:space="preserve"> of </v>
          </cell>
          <cell r="Z788" t="str">
            <v/>
          </cell>
          <cell r="AC788" t="str">
            <v xml:space="preserve"> of </v>
          </cell>
          <cell r="AD788" t="str">
            <v xml:space="preserve"> of </v>
          </cell>
          <cell r="AF788" t="str">
            <v/>
          </cell>
          <cell r="AI788" t="str">
            <v xml:space="preserve"> of </v>
          </cell>
          <cell r="AJ788" t="str">
            <v xml:space="preserve"> of </v>
          </cell>
          <cell r="AL788" t="str">
            <v/>
          </cell>
          <cell r="AM788">
            <v>0.70833333333333304</v>
          </cell>
          <cell r="AO788" t="str">
            <v/>
          </cell>
          <cell r="AW788" t="str">
            <v/>
          </cell>
          <cell r="AX788" t="str">
            <v/>
          </cell>
          <cell r="AZ788" t="str">
            <v/>
          </cell>
          <cell r="BA788" t="str">
            <v/>
          </cell>
          <cell r="BB788" t="str">
            <v/>
          </cell>
          <cell r="BC788" t="str">
            <v/>
          </cell>
        </row>
        <row r="789">
          <cell r="E789" t="str">
            <v/>
          </cell>
          <cell r="F789" t="str">
            <v/>
          </cell>
          <cell r="G789" t="str">
            <v/>
          </cell>
          <cell r="O789" t="str">
            <v/>
          </cell>
          <cell r="Q789" t="str">
            <v/>
          </cell>
          <cell r="W789" t="str">
            <v xml:space="preserve"> of </v>
          </cell>
          <cell r="X789" t="str">
            <v xml:space="preserve"> of </v>
          </cell>
          <cell r="Z789" t="str">
            <v/>
          </cell>
          <cell r="AC789" t="str">
            <v xml:space="preserve"> of </v>
          </cell>
          <cell r="AD789" t="str">
            <v xml:space="preserve"> of </v>
          </cell>
          <cell r="AF789" t="str">
            <v/>
          </cell>
          <cell r="AI789" t="str">
            <v xml:space="preserve"> of </v>
          </cell>
          <cell r="AJ789" t="str">
            <v xml:space="preserve"> of </v>
          </cell>
          <cell r="AL789" t="str">
            <v/>
          </cell>
          <cell r="AM789">
            <v>0.70833333333333304</v>
          </cell>
          <cell r="AO789" t="str">
            <v/>
          </cell>
          <cell r="AW789" t="str">
            <v/>
          </cell>
          <cell r="AX789" t="str">
            <v/>
          </cell>
          <cell r="AZ789" t="str">
            <v/>
          </cell>
          <cell r="BA789" t="str">
            <v/>
          </cell>
          <cell r="BB789" t="str">
            <v/>
          </cell>
          <cell r="BC789" t="str">
            <v/>
          </cell>
        </row>
        <row r="790">
          <cell r="E790" t="str">
            <v/>
          </cell>
          <cell r="F790" t="str">
            <v/>
          </cell>
          <cell r="G790" t="str">
            <v/>
          </cell>
          <cell r="O790" t="str">
            <v/>
          </cell>
          <cell r="Q790" t="str">
            <v/>
          </cell>
          <cell r="W790" t="str">
            <v xml:space="preserve"> of </v>
          </cell>
          <cell r="X790" t="str">
            <v xml:space="preserve"> of </v>
          </cell>
          <cell r="Z790" t="str">
            <v/>
          </cell>
          <cell r="AC790" t="str">
            <v xml:space="preserve"> of </v>
          </cell>
          <cell r="AD790" t="str">
            <v xml:space="preserve"> of </v>
          </cell>
          <cell r="AF790" t="str">
            <v/>
          </cell>
          <cell r="AI790" t="str">
            <v xml:space="preserve"> of </v>
          </cell>
          <cell r="AJ790" t="str">
            <v xml:space="preserve"> of </v>
          </cell>
          <cell r="AL790" t="str">
            <v/>
          </cell>
          <cell r="AM790">
            <v>0.70833333333333304</v>
          </cell>
          <cell r="AO790" t="str">
            <v/>
          </cell>
          <cell r="AW790" t="str">
            <v/>
          </cell>
          <cell r="AX790" t="str">
            <v/>
          </cell>
          <cell r="AZ790" t="str">
            <v/>
          </cell>
          <cell r="BA790" t="str">
            <v/>
          </cell>
          <cell r="BB790" t="str">
            <v/>
          </cell>
          <cell r="BC790" t="str">
            <v/>
          </cell>
        </row>
        <row r="791">
          <cell r="E791" t="str">
            <v/>
          </cell>
          <cell r="F791" t="str">
            <v/>
          </cell>
          <cell r="G791" t="str">
            <v/>
          </cell>
          <cell r="O791" t="str">
            <v/>
          </cell>
          <cell r="Q791" t="str">
            <v/>
          </cell>
          <cell r="W791" t="str">
            <v xml:space="preserve"> of </v>
          </cell>
          <cell r="X791" t="str">
            <v xml:space="preserve"> of </v>
          </cell>
          <cell r="Z791" t="str">
            <v/>
          </cell>
          <cell r="AC791" t="str">
            <v xml:space="preserve"> of </v>
          </cell>
          <cell r="AD791" t="str">
            <v xml:space="preserve"> of </v>
          </cell>
          <cell r="AF791" t="str">
            <v/>
          </cell>
          <cell r="AI791" t="str">
            <v xml:space="preserve"> of </v>
          </cell>
          <cell r="AJ791" t="str">
            <v xml:space="preserve"> of </v>
          </cell>
          <cell r="AL791" t="str">
            <v/>
          </cell>
          <cell r="AM791">
            <v>0.70833333333333304</v>
          </cell>
          <cell r="AO791" t="str">
            <v/>
          </cell>
          <cell r="AW791" t="str">
            <v/>
          </cell>
          <cell r="AX791" t="str">
            <v/>
          </cell>
          <cell r="AZ791" t="str">
            <v/>
          </cell>
          <cell r="BA791" t="str">
            <v/>
          </cell>
          <cell r="BB791" t="str">
            <v/>
          </cell>
          <cell r="BC791" t="str">
            <v/>
          </cell>
        </row>
        <row r="792">
          <cell r="E792" t="str">
            <v/>
          </cell>
          <cell r="F792" t="str">
            <v/>
          </cell>
          <cell r="G792" t="str">
            <v/>
          </cell>
          <cell r="O792" t="str">
            <v/>
          </cell>
          <cell r="Q792" t="str">
            <v/>
          </cell>
          <cell r="W792" t="str">
            <v xml:space="preserve"> of </v>
          </cell>
          <cell r="X792" t="str">
            <v xml:space="preserve"> of </v>
          </cell>
          <cell r="Z792" t="str">
            <v/>
          </cell>
          <cell r="AC792" t="str">
            <v xml:space="preserve"> of </v>
          </cell>
          <cell r="AD792" t="str">
            <v xml:space="preserve"> of </v>
          </cell>
          <cell r="AF792" t="str">
            <v/>
          </cell>
          <cell r="AI792" t="str">
            <v xml:space="preserve"> of </v>
          </cell>
          <cell r="AJ792" t="str">
            <v xml:space="preserve"> of </v>
          </cell>
          <cell r="AL792" t="str">
            <v/>
          </cell>
          <cell r="AM792">
            <v>0.70833333333333304</v>
          </cell>
          <cell r="AO792" t="str">
            <v/>
          </cell>
          <cell r="AW792" t="str">
            <v/>
          </cell>
          <cell r="AX792" t="str">
            <v/>
          </cell>
          <cell r="AZ792" t="str">
            <v/>
          </cell>
          <cell r="BA792" t="str">
            <v/>
          </cell>
          <cell r="BB792" t="str">
            <v/>
          </cell>
          <cell r="BC792" t="str">
            <v/>
          </cell>
        </row>
        <row r="793">
          <cell r="E793" t="str">
            <v/>
          </cell>
          <cell r="F793" t="str">
            <v/>
          </cell>
          <cell r="G793" t="str">
            <v/>
          </cell>
          <cell r="O793" t="str">
            <v/>
          </cell>
          <cell r="Q793" t="str">
            <v/>
          </cell>
          <cell r="W793" t="str">
            <v xml:space="preserve"> of </v>
          </cell>
          <cell r="X793" t="str">
            <v xml:space="preserve"> of </v>
          </cell>
          <cell r="Z793" t="str">
            <v/>
          </cell>
          <cell r="AC793" t="str">
            <v xml:space="preserve"> of </v>
          </cell>
          <cell r="AD793" t="str">
            <v xml:space="preserve"> of </v>
          </cell>
          <cell r="AF793" t="str">
            <v/>
          </cell>
          <cell r="AI793" t="str">
            <v xml:space="preserve"> of </v>
          </cell>
          <cell r="AJ793" t="str">
            <v xml:space="preserve"> of </v>
          </cell>
          <cell r="AL793" t="str">
            <v/>
          </cell>
          <cell r="AM793">
            <v>0.70833333333333304</v>
          </cell>
          <cell r="AO793" t="str">
            <v/>
          </cell>
          <cell r="AW793" t="str">
            <v/>
          </cell>
          <cell r="AX793" t="str">
            <v/>
          </cell>
          <cell r="AZ793" t="str">
            <v/>
          </cell>
          <cell r="BA793" t="str">
            <v/>
          </cell>
          <cell r="BB793" t="str">
            <v/>
          </cell>
          <cell r="BC793" t="str">
            <v/>
          </cell>
        </row>
        <row r="794">
          <cell r="E794" t="str">
            <v/>
          </cell>
          <cell r="F794" t="str">
            <v/>
          </cell>
          <cell r="G794" t="str">
            <v/>
          </cell>
          <cell r="O794" t="str">
            <v/>
          </cell>
          <cell r="Q794" t="str">
            <v/>
          </cell>
          <cell r="W794" t="str">
            <v xml:space="preserve"> of </v>
          </cell>
          <cell r="X794" t="str">
            <v xml:space="preserve"> of </v>
          </cell>
          <cell r="Z794" t="str">
            <v/>
          </cell>
          <cell r="AC794" t="str">
            <v xml:space="preserve"> of </v>
          </cell>
          <cell r="AD794" t="str">
            <v xml:space="preserve"> of </v>
          </cell>
          <cell r="AF794" t="str">
            <v/>
          </cell>
          <cell r="AI794" t="str">
            <v xml:space="preserve"> of </v>
          </cell>
          <cell r="AJ794" t="str">
            <v xml:space="preserve"> of </v>
          </cell>
          <cell r="AL794" t="str">
            <v/>
          </cell>
          <cell r="AM794">
            <v>0.70833333333333304</v>
          </cell>
          <cell r="AO794" t="str">
            <v/>
          </cell>
          <cell r="AW794" t="str">
            <v/>
          </cell>
          <cell r="AX794" t="str">
            <v/>
          </cell>
          <cell r="AZ794" t="str">
            <v/>
          </cell>
          <cell r="BA794" t="str">
            <v/>
          </cell>
          <cell r="BB794" t="str">
            <v/>
          </cell>
          <cell r="BC794" t="str">
            <v/>
          </cell>
        </row>
        <row r="795">
          <cell r="E795" t="str">
            <v/>
          </cell>
          <cell r="F795" t="str">
            <v/>
          </cell>
          <cell r="G795" t="str">
            <v/>
          </cell>
          <cell r="O795" t="str">
            <v/>
          </cell>
          <cell r="Q795" t="str">
            <v/>
          </cell>
          <cell r="W795" t="str">
            <v xml:space="preserve"> of </v>
          </cell>
          <cell r="X795" t="str">
            <v xml:space="preserve"> of </v>
          </cell>
          <cell r="Z795" t="str">
            <v/>
          </cell>
          <cell r="AC795" t="str">
            <v xml:space="preserve"> of </v>
          </cell>
          <cell r="AD795" t="str">
            <v xml:space="preserve"> of </v>
          </cell>
          <cell r="AF795" t="str">
            <v/>
          </cell>
          <cell r="AI795" t="str">
            <v xml:space="preserve"> of </v>
          </cell>
          <cell r="AJ795" t="str">
            <v xml:space="preserve"> of </v>
          </cell>
          <cell r="AL795" t="str">
            <v/>
          </cell>
          <cell r="AM795">
            <v>0.70833333333333304</v>
          </cell>
          <cell r="AO795" t="str">
            <v/>
          </cell>
          <cell r="AW795" t="str">
            <v/>
          </cell>
          <cell r="AX795" t="str">
            <v/>
          </cell>
          <cell r="AZ795" t="str">
            <v/>
          </cell>
          <cell r="BA795" t="str">
            <v/>
          </cell>
          <cell r="BB795" t="str">
            <v/>
          </cell>
          <cell r="BC795" t="str">
            <v/>
          </cell>
        </row>
        <row r="796">
          <cell r="E796" t="str">
            <v/>
          </cell>
          <cell r="F796" t="str">
            <v/>
          </cell>
          <cell r="G796" t="str">
            <v/>
          </cell>
          <cell r="O796" t="str">
            <v/>
          </cell>
          <cell r="Q796" t="str">
            <v/>
          </cell>
          <cell r="W796" t="str">
            <v xml:space="preserve"> of </v>
          </cell>
          <cell r="X796" t="str">
            <v xml:space="preserve"> of </v>
          </cell>
          <cell r="Z796" t="str">
            <v/>
          </cell>
          <cell r="AC796" t="str">
            <v xml:space="preserve"> of </v>
          </cell>
          <cell r="AD796" t="str">
            <v xml:space="preserve"> of </v>
          </cell>
          <cell r="AF796" t="str">
            <v/>
          </cell>
          <cell r="AI796" t="str">
            <v xml:space="preserve"> of </v>
          </cell>
          <cell r="AJ796" t="str">
            <v xml:space="preserve"> of </v>
          </cell>
          <cell r="AL796" t="str">
            <v/>
          </cell>
          <cell r="AM796">
            <v>0.70833333333333304</v>
          </cell>
          <cell r="AO796" t="str">
            <v/>
          </cell>
          <cell r="AW796" t="str">
            <v/>
          </cell>
          <cell r="AX796" t="str">
            <v/>
          </cell>
          <cell r="AZ796" t="str">
            <v/>
          </cell>
          <cell r="BA796" t="str">
            <v/>
          </cell>
          <cell r="BB796" t="str">
            <v/>
          </cell>
          <cell r="BC796" t="str">
            <v/>
          </cell>
        </row>
        <row r="797">
          <cell r="E797" t="str">
            <v/>
          </cell>
          <cell r="F797" t="str">
            <v/>
          </cell>
          <cell r="G797" t="str">
            <v/>
          </cell>
          <cell r="O797" t="str">
            <v/>
          </cell>
          <cell r="Q797" t="str">
            <v/>
          </cell>
          <cell r="W797" t="str">
            <v xml:space="preserve"> of </v>
          </cell>
          <cell r="X797" t="str">
            <v xml:space="preserve"> of </v>
          </cell>
          <cell r="Z797" t="str">
            <v/>
          </cell>
          <cell r="AC797" t="str">
            <v xml:space="preserve"> of </v>
          </cell>
          <cell r="AD797" t="str">
            <v xml:space="preserve"> of </v>
          </cell>
          <cell r="AF797" t="str">
            <v/>
          </cell>
          <cell r="AI797" t="str">
            <v xml:space="preserve"> of </v>
          </cell>
          <cell r="AJ797" t="str">
            <v xml:space="preserve"> of </v>
          </cell>
          <cell r="AL797" t="str">
            <v/>
          </cell>
          <cell r="AM797">
            <v>0.70833333333333304</v>
          </cell>
          <cell r="AO797" t="str">
            <v/>
          </cell>
          <cell r="AW797" t="str">
            <v/>
          </cell>
          <cell r="AX797" t="str">
            <v/>
          </cell>
          <cell r="AZ797" t="str">
            <v/>
          </cell>
          <cell r="BA797" t="str">
            <v/>
          </cell>
          <cell r="BB797" t="str">
            <v/>
          </cell>
          <cell r="BC797" t="str">
            <v/>
          </cell>
        </row>
        <row r="798">
          <cell r="E798" t="str">
            <v/>
          </cell>
          <cell r="F798" t="str">
            <v/>
          </cell>
          <cell r="G798" t="str">
            <v/>
          </cell>
          <cell r="O798" t="str">
            <v/>
          </cell>
          <cell r="Q798" t="str">
            <v/>
          </cell>
          <cell r="W798" t="str">
            <v xml:space="preserve"> of </v>
          </cell>
          <cell r="X798" t="str">
            <v xml:space="preserve"> of </v>
          </cell>
          <cell r="Z798" t="str">
            <v/>
          </cell>
          <cell r="AC798" t="str">
            <v xml:space="preserve"> of </v>
          </cell>
          <cell r="AD798" t="str">
            <v xml:space="preserve"> of </v>
          </cell>
          <cell r="AF798" t="str">
            <v/>
          </cell>
          <cell r="AI798" t="str">
            <v xml:space="preserve"> of </v>
          </cell>
          <cell r="AJ798" t="str">
            <v xml:space="preserve"> of </v>
          </cell>
          <cell r="AL798" t="str">
            <v/>
          </cell>
          <cell r="AM798">
            <v>0.70833333333333304</v>
          </cell>
          <cell r="AO798" t="str">
            <v/>
          </cell>
          <cell r="AW798" t="str">
            <v/>
          </cell>
          <cell r="AX798" t="str">
            <v/>
          </cell>
          <cell r="AZ798" t="str">
            <v/>
          </cell>
          <cell r="BA798" t="str">
            <v/>
          </cell>
          <cell r="BB798" t="str">
            <v/>
          </cell>
          <cell r="BC798" t="str">
            <v/>
          </cell>
        </row>
        <row r="799">
          <cell r="E799" t="str">
            <v/>
          </cell>
          <cell r="F799" t="str">
            <v/>
          </cell>
          <cell r="G799" t="str">
            <v/>
          </cell>
          <cell r="O799" t="str">
            <v/>
          </cell>
          <cell r="Q799" t="str">
            <v/>
          </cell>
          <cell r="W799" t="str">
            <v xml:space="preserve"> of </v>
          </cell>
          <cell r="X799" t="str">
            <v xml:space="preserve"> of </v>
          </cell>
          <cell r="Z799" t="str">
            <v/>
          </cell>
          <cell r="AC799" t="str">
            <v xml:space="preserve"> of </v>
          </cell>
          <cell r="AD799" t="str">
            <v xml:space="preserve"> of </v>
          </cell>
          <cell r="AF799" t="str">
            <v/>
          </cell>
          <cell r="AI799" t="str">
            <v xml:space="preserve"> of </v>
          </cell>
          <cell r="AJ799" t="str">
            <v xml:space="preserve"> of </v>
          </cell>
          <cell r="AL799" t="str">
            <v/>
          </cell>
          <cell r="AM799">
            <v>0.70833333333333304</v>
          </cell>
          <cell r="AO799" t="str">
            <v/>
          </cell>
          <cell r="AW799" t="str">
            <v/>
          </cell>
          <cell r="AX799" t="str">
            <v/>
          </cell>
          <cell r="AZ799" t="str">
            <v/>
          </cell>
          <cell r="BA799" t="str">
            <v/>
          </cell>
          <cell r="BB799" t="str">
            <v/>
          </cell>
          <cell r="BC799" t="str">
            <v/>
          </cell>
        </row>
        <row r="800">
          <cell r="E800" t="str">
            <v/>
          </cell>
          <cell r="F800" t="str">
            <v/>
          </cell>
          <cell r="G800" t="str">
            <v/>
          </cell>
          <cell r="O800" t="str">
            <v/>
          </cell>
          <cell r="Q800" t="str">
            <v/>
          </cell>
          <cell r="W800" t="str">
            <v xml:space="preserve"> of </v>
          </cell>
          <cell r="X800" t="str">
            <v xml:space="preserve"> of </v>
          </cell>
          <cell r="Z800" t="str">
            <v/>
          </cell>
          <cell r="AC800" t="str">
            <v xml:space="preserve"> of </v>
          </cell>
          <cell r="AD800" t="str">
            <v xml:space="preserve"> of </v>
          </cell>
          <cell r="AF800" t="str">
            <v/>
          </cell>
          <cell r="AI800" t="str">
            <v xml:space="preserve"> of </v>
          </cell>
          <cell r="AJ800" t="str">
            <v xml:space="preserve"> of </v>
          </cell>
          <cell r="AL800" t="str">
            <v/>
          </cell>
          <cell r="AM800">
            <v>0.70833333333333304</v>
          </cell>
          <cell r="AO800" t="str">
            <v/>
          </cell>
          <cell r="AW800" t="str">
            <v/>
          </cell>
          <cell r="AX800" t="str">
            <v/>
          </cell>
          <cell r="AZ800" t="str">
            <v/>
          </cell>
          <cell r="BA800" t="str">
            <v/>
          </cell>
          <cell r="BB800" t="str">
            <v/>
          </cell>
          <cell r="BC800" t="str">
            <v/>
          </cell>
        </row>
        <row r="801">
          <cell r="E801" t="str">
            <v/>
          </cell>
          <cell r="F801" t="str">
            <v/>
          </cell>
          <cell r="G801" t="str">
            <v/>
          </cell>
          <cell r="O801" t="str">
            <v/>
          </cell>
          <cell r="Q801" t="str">
            <v/>
          </cell>
          <cell r="W801" t="str">
            <v xml:space="preserve"> of </v>
          </cell>
          <cell r="X801" t="str">
            <v xml:space="preserve"> of </v>
          </cell>
          <cell r="Z801" t="str">
            <v/>
          </cell>
          <cell r="AC801" t="str">
            <v xml:space="preserve"> of </v>
          </cell>
          <cell r="AD801" t="str">
            <v xml:space="preserve"> of </v>
          </cell>
          <cell r="AF801" t="str">
            <v/>
          </cell>
          <cell r="AI801" t="str">
            <v xml:space="preserve"> of </v>
          </cell>
          <cell r="AJ801" t="str">
            <v xml:space="preserve"> of </v>
          </cell>
          <cell r="AL801" t="str">
            <v/>
          </cell>
          <cell r="AM801">
            <v>0.70833333333333304</v>
          </cell>
          <cell r="AO801" t="str">
            <v/>
          </cell>
          <cell r="AW801" t="str">
            <v/>
          </cell>
          <cell r="AX801" t="str">
            <v/>
          </cell>
          <cell r="AZ801" t="str">
            <v/>
          </cell>
          <cell r="BA801" t="str">
            <v/>
          </cell>
          <cell r="BB801" t="str">
            <v/>
          </cell>
          <cell r="BC801" t="str">
            <v/>
          </cell>
        </row>
        <row r="802">
          <cell r="E802" t="str">
            <v/>
          </cell>
          <cell r="F802" t="str">
            <v/>
          </cell>
          <cell r="G802" t="str">
            <v/>
          </cell>
          <cell r="O802" t="str">
            <v/>
          </cell>
          <cell r="Q802" t="str">
            <v/>
          </cell>
          <cell r="W802" t="str">
            <v xml:space="preserve"> of </v>
          </cell>
          <cell r="X802" t="str">
            <v xml:space="preserve"> of </v>
          </cell>
          <cell r="Z802" t="str">
            <v/>
          </cell>
          <cell r="AC802" t="str">
            <v xml:space="preserve"> of </v>
          </cell>
          <cell r="AD802" t="str">
            <v xml:space="preserve"> of </v>
          </cell>
          <cell r="AF802" t="str">
            <v/>
          </cell>
          <cell r="AI802" t="str">
            <v xml:space="preserve"> of </v>
          </cell>
          <cell r="AJ802" t="str">
            <v xml:space="preserve"> of </v>
          </cell>
          <cell r="AL802" t="str">
            <v/>
          </cell>
          <cell r="AM802">
            <v>0.70833333333333304</v>
          </cell>
          <cell r="AO802" t="str">
            <v/>
          </cell>
          <cell r="AW802" t="str">
            <v/>
          </cell>
          <cell r="AX802" t="str">
            <v/>
          </cell>
          <cell r="AZ802" t="str">
            <v/>
          </cell>
          <cell r="BA802" t="str">
            <v/>
          </cell>
          <cell r="BB802" t="str">
            <v/>
          </cell>
          <cell r="BC802" t="str">
            <v/>
          </cell>
        </row>
        <row r="803">
          <cell r="E803" t="str">
            <v/>
          </cell>
          <cell r="F803" t="str">
            <v/>
          </cell>
          <cell r="G803" t="str">
            <v/>
          </cell>
          <cell r="O803" t="str">
            <v/>
          </cell>
          <cell r="Q803" t="str">
            <v/>
          </cell>
          <cell r="W803" t="str">
            <v xml:space="preserve"> of </v>
          </cell>
          <cell r="X803" t="str">
            <v xml:space="preserve"> of </v>
          </cell>
          <cell r="Z803" t="str">
            <v/>
          </cell>
          <cell r="AC803" t="str">
            <v xml:space="preserve"> of </v>
          </cell>
          <cell r="AD803" t="str">
            <v xml:space="preserve"> of </v>
          </cell>
          <cell r="AF803" t="str">
            <v/>
          </cell>
          <cell r="AI803" t="str">
            <v xml:space="preserve"> of </v>
          </cell>
          <cell r="AJ803" t="str">
            <v xml:space="preserve"> of </v>
          </cell>
          <cell r="AL803" t="str">
            <v/>
          </cell>
          <cell r="AM803">
            <v>0.70833333333333304</v>
          </cell>
          <cell r="AO803" t="str">
            <v/>
          </cell>
          <cell r="AW803" t="str">
            <v/>
          </cell>
          <cell r="AX803" t="str">
            <v/>
          </cell>
          <cell r="AZ803" t="str">
            <v/>
          </cell>
          <cell r="BA803" t="str">
            <v/>
          </cell>
          <cell r="BB803" t="str">
            <v/>
          </cell>
          <cell r="BC803" t="str">
            <v/>
          </cell>
        </row>
        <row r="804">
          <cell r="E804" t="str">
            <v/>
          </cell>
          <cell r="F804" t="str">
            <v/>
          </cell>
          <cell r="G804" t="str">
            <v/>
          </cell>
          <cell r="O804" t="str">
            <v/>
          </cell>
          <cell r="Q804" t="str">
            <v/>
          </cell>
          <cell r="W804" t="str">
            <v xml:space="preserve"> of </v>
          </cell>
          <cell r="X804" t="str">
            <v xml:space="preserve"> of </v>
          </cell>
          <cell r="Z804" t="str">
            <v/>
          </cell>
          <cell r="AC804" t="str">
            <v xml:space="preserve"> of </v>
          </cell>
          <cell r="AD804" t="str">
            <v xml:space="preserve"> of </v>
          </cell>
          <cell r="AF804" t="str">
            <v/>
          </cell>
          <cell r="AI804" t="str">
            <v xml:space="preserve"> of </v>
          </cell>
          <cell r="AJ804" t="str">
            <v xml:space="preserve"> of </v>
          </cell>
          <cell r="AL804" t="str">
            <v/>
          </cell>
          <cell r="AM804">
            <v>0.70833333333333304</v>
          </cell>
          <cell r="AO804" t="str">
            <v/>
          </cell>
          <cell r="AW804" t="str">
            <v/>
          </cell>
          <cell r="AX804" t="str">
            <v/>
          </cell>
          <cell r="AZ804" t="str">
            <v/>
          </cell>
          <cell r="BA804" t="str">
            <v/>
          </cell>
          <cell r="BB804" t="str">
            <v/>
          </cell>
          <cell r="BC804" t="str">
            <v/>
          </cell>
        </row>
        <row r="805">
          <cell r="E805" t="str">
            <v/>
          </cell>
          <cell r="F805" t="str">
            <v/>
          </cell>
          <cell r="G805" t="str">
            <v/>
          </cell>
          <cell r="O805" t="str">
            <v/>
          </cell>
          <cell r="Q805" t="str">
            <v/>
          </cell>
          <cell r="W805" t="str">
            <v xml:space="preserve"> of </v>
          </cell>
          <cell r="X805" t="str">
            <v xml:space="preserve"> of </v>
          </cell>
          <cell r="Z805" t="str">
            <v/>
          </cell>
          <cell r="AC805" t="str">
            <v xml:space="preserve"> of </v>
          </cell>
          <cell r="AD805" t="str">
            <v xml:space="preserve"> of </v>
          </cell>
          <cell r="AF805" t="str">
            <v/>
          </cell>
          <cell r="AI805" t="str">
            <v xml:space="preserve"> of </v>
          </cell>
          <cell r="AJ805" t="str">
            <v xml:space="preserve"> of </v>
          </cell>
          <cell r="AL805" t="str">
            <v/>
          </cell>
          <cell r="AM805">
            <v>0.70833333333333304</v>
          </cell>
          <cell r="AO805" t="str">
            <v/>
          </cell>
          <cell r="AW805" t="str">
            <v/>
          </cell>
          <cell r="AX805" t="str">
            <v/>
          </cell>
          <cell r="AZ805" t="str">
            <v/>
          </cell>
          <cell r="BA805" t="str">
            <v/>
          </cell>
          <cell r="BB805" t="str">
            <v/>
          </cell>
          <cell r="BC805" t="str">
            <v/>
          </cell>
        </row>
        <row r="806">
          <cell r="E806" t="str">
            <v/>
          </cell>
          <cell r="F806" t="str">
            <v/>
          </cell>
          <cell r="G806" t="str">
            <v/>
          </cell>
          <cell r="O806" t="str">
            <v/>
          </cell>
          <cell r="Q806" t="str">
            <v/>
          </cell>
          <cell r="W806" t="str">
            <v xml:space="preserve"> of </v>
          </cell>
          <cell r="X806" t="str">
            <v xml:space="preserve"> of </v>
          </cell>
          <cell r="Z806" t="str">
            <v/>
          </cell>
          <cell r="AC806" t="str">
            <v xml:space="preserve"> of </v>
          </cell>
          <cell r="AD806" t="str">
            <v xml:space="preserve"> of </v>
          </cell>
          <cell r="AF806" t="str">
            <v/>
          </cell>
          <cell r="AI806" t="str">
            <v xml:space="preserve"> of </v>
          </cell>
          <cell r="AJ806" t="str">
            <v xml:space="preserve"> of </v>
          </cell>
          <cell r="AL806" t="str">
            <v/>
          </cell>
          <cell r="AM806">
            <v>0.70833333333333304</v>
          </cell>
          <cell r="AO806" t="str">
            <v/>
          </cell>
          <cell r="AW806" t="str">
            <v/>
          </cell>
          <cell r="AX806" t="str">
            <v/>
          </cell>
          <cell r="AZ806" t="str">
            <v/>
          </cell>
          <cell r="BA806" t="str">
            <v/>
          </cell>
          <cell r="BB806" t="str">
            <v/>
          </cell>
          <cell r="BC806" t="str">
            <v/>
          </cell>
        </row>
        <row r="807">
          <cell r="E807" t="str">
            <v/>
          </cell>
          <cell r="F807" t="str">
            <v/>
          </cell>
          <cell r="G807" t="str">
            <v/>
          </cell>
          <cell r="O807" t="str">
            <v/>
          </cell>
          <cell r="Q807" t="str">
            <v/>
          </cell>
          <cell r="W807" t="str">
            <v xml:space="preserve"> of </v>
          </cell>
          <cell r="X807" t="str">
            <v xml:space="preserve"> of </v>
          </cell>
          <cell r="Z807" t="str">
            <v/>
          </cell>
          <cell r="AC807" t="str">
            <v xml:space="preserve"> of </v>
          </cell>
          <cell r="AD807" t="str">
            <v xml:space="preserve"> of </v>
          </cell>
          <cell r="AF807" t="str">
            <v/>
          </cell>
          <cell r="AI807" t="str">
            <v xml:space="preserve"> of </v>
          </cell>
          <cell r="AJ807" t="str">
            <v xml:space="preserve"> of </v>
          </cell>
          <cell r="AL807" t="str">
            <v/>
          </cell>
          <cell r="AM807">
            <v>0.70833333333333304</v>
          </cell>
          <cell r="AO807" t="str">
            <v/>
          </cell>
          <cell r="AW807" t="str">
            <v/>
          </cell>
          <cell r="AX807" t="str">
            <v/>
          </cell>
          <cell r="AZ807" t="str">
            <v/>
          </cell>
          <cell r="BA807" t="str">
            <v/>
          </cell>
          <cell r="BB807" t="str">
            <v/>
          </cell>
          <cell r="BC807" t="str">
            <v/>
          </cell>
        </row>
        <row r="808">
          <cell r="E808" t="str">
            <v/>
          </cell>
          <cell r="F808" t="str">
            <v/>
          </cell>
          <cell r="G808" t="str">
            <v/>
          </cell>
          <cell r="O808" t="str">
            <v/>
          </cell>
          <cell r="Q808" t="str">
            <v/>
          </cell>
          <cell r="W808" t="str">
            <v xml:space="preserve"> of </v>
          </cell>
          <cell r="X808" t="str">
            <v xml:space="preserve"> of </v>
          </cell>
          <cell r="Z808" t="str">
            <v/>
          </cell>
          <cell r="AC808" t="str">
            <v xml:space="preserve"> of </v>
          </cell>
          <cell r="AD808" t="str">
            <v xml:space="preserve"> of </v>
          </cell>
          <cell r="AF808" t="str">
            <v/>
          </cell>
          <cell r="AI808" t="str">
            <v xml:space="preserve"> of </v>
          </cell>
          <cell r="AJ808" t="str">
            <v xml:space="preserve"> of </v>
          </cell>
          <cell r="AL808" t="str">
            <v/>
          </cell>
          <cell r="AM808">
            <v>0.70833333333333304</v>
          </cell>
          <cell r="AO808" t="str">
            <v/>
          </cell>
          <cell r="AW808" t="str">
            <v/>
          </cell>
          <cell r="AX808" t="str">
            <v/>
          </cell>
          <cell r="AZ808" t="str">
            <v/>
          </cell>
          <cell r="BA808" t="str">
            <v/>
          </cell>
          <cell r="BB808" t="str">
            <v/>
          </cell>
          <cell r="BC808" t="str">
            <v/>
          </cell>
        </row>
        <row r="809">
          <cell r="E809" t="str">
            <v/>
          </cell>
          <cell r="F809" t="str">
            <v/>
          </cell>
          <cell r="G809" t="str">
            <v/>
          </cell>
          <cell r="O809" t="str">
            <v/>
          </cell>
          <cell r="Q809" t="str">
            <v/>
          </cell>
          <cell r="W809" t="str">
            <v xml:space="preserve"> of </v>
          </cell>
          <cell r="X809" t="str">
            <v xml:space="preserve"> of </v>
          </cell>
          <cell r="Z809" t="str">
            <v/>
          </cell>
          <cell r="AC809" t="str">
            <v xml:space="preserve"> of </v>
          </cell>
          <cell r="AD809" t="str">
            <v xml:space="preserve"> of </v>
          </cell>
          <cell r="AF809" t="str">
            <v/>
          </cell>
          <cell r="AI809" t="str">
            <v xml:space="preserve"> of </v>
          </cell>
          <cell r="AJ809" t="str">
            <v xml:space="preserve"> of </v>
          </cell>
          <cell r="AL809" t="str">
            <v/>
          </cell>
          <cell r="AM809">
            <v>0.70833333333333304</v>
          </cell>
          <cell r="AO809" t="str">
            <v/>
          </cell>
          <cell r="AW809" t="str">
            <v/>
          </cell>
          <cell r="AX809" t="str">
            <v/>
          </cell>
          <cell r="AZ809" t="str">
            <v/>
          </cell>
          <cell r="BA809" t="str">
            <v/>
          </cell>
          <cell r="BB809" t="str">
            <v/>
          </cell>
          <cell r="BC809" t="str">
            <v/>
          </cell>
        </row>
        <row r="810">
          <cell r="E810" t="str">
            <v/>
          </cell>
          <cell r="F810" t="str">
            <v/>
          </cell>
          <cell r="G810" t="str">
            <v/>
          </cell>
          <cell r="O810" t="str">
            <v/>
          </cell>
          <cell r="Q810" t="str">
            <v/>
          </cell>
          <cell r="W810" t="str">
            <v xml:space="preserve"> of </v>
          </cell>
          <cell r="X810" t="str">
            <v xml:space="preserve"> of </v>
          </cell>
          <cell r="Z810" t="str">
            <v/>
          </cell>
          <cell r="AC810" t="str">
            <v xml:space="preserve"> of </v>
          </cell>
          <cell r="AD810" t="str">
            <v xml:space="preserve"> of </v>
          </cell>
          <cell r="AF810" t="str">
            <v/>
          </cell>
          <cell r="AI810" t="str">
            <v xml:space="preserve"> of </v>
          </cell>
          <cell r="AJ810" t="str">
            <v xml:space="preserve"> of </v>
          </cell>
          <cell r="AL810" t="str">
            <v/>
          </cell>
          <cell r="AM810">
            <v>0.70833333333333304</v>
          </cell>
          <cell r="AO810" t="str">
            <v/>
          </cell>
          <cell r="AW810" t="str">
            <v/>
          </cell>
          <cell r="AX810" t="str">
            <v/>
          </cell>
          <cell r="AZ810" t="str">
            <v/>
          </cell>
          <cell r="BA810" t="str">
            <v/>
          </cell>
          <cell r="BB810" t="str">
            <v/>
          </cell>
          <cell r="BC810" t="str">
            <v/>
          </cell>
        </row>
        <row r="811">
          <cell r="E811" t="str">
            <v/>
          </cell>
          <cell r="F811" t="str">
            <v/>
          </cell>
          <cell r="G811" t="str">
            <v/>
          </cell>
          <cell r="O811" t="str">
            <v/>
          </cell>
          <cell r="Q811" t="str">
            <v/>
          </cell>
          <cell r="W811" t="str">
            <v xml:space="preserve"> of </v>
          </cell>
          <cell r="X811" t="str">
            <v xml:space="preserve"> of </v>
          </cell>
          <cell r="Z811" t="str">
            <v/>
          </cell>
          <cell r="AC811" t="str">
            <v xml:space="preserve"> of </v>
          </cell>
          <cell r="AD811" t="str">
            <v xml:space="preserve"> of </v>
          </cell>
          <cell r="AF811" t="str">
            <v/>
          </cell>
          <cell r="AI811" t="str">
            <v xml:space="preserve"> of </v>
          </cell>
          <cell r="AJ811" t="str">
            <v xml:space="preserve"> of </v>
          </cell>
          <cell r="AL811" t="str">
            <v/>
          </cell>
          <cell r="AM811">
            <v>0.70833333333333304</v>
          </cell>
          <cell r="AO811" t="str">
            <v/>
          </cell>
          <cell r="AW811" t="str">
            <v/>
          </cell>
          <cell r="AX811" t="str">
            <v/>
          </cell>
          <cell r="AZ811" t="str">
            <v/>
          </cell>
          <cell r="BA811" t="str">
            <v/>
          </cell>
          <cell r="BB811" t="str">
            <v/>
          </cell>
          <cell r="BC811" t="str">
            <v/>
          </cell>
        </row>
        <row r="812">
          <cell r="E812" t="str">
            <v/>
          </cell>
          <cell r="F812" t="str">
            <v/>
          </cell>
          <cell r="G812" t="str">
            <v/>
          </cell>
          <cell r="O812" t="str">
            <v/>
          </cell>
          <cell r="Q812" t="str">
            <v/>
          </cell>
          <cell r="W812" t="str">
            <v xml:space="preserve"> of </v>
          </cell>
          <cell r="X812" t="str">
            <v xml:space="preserve"> of </v>
          </cell>
          <cell r="Z812" t="str">
            <v/>
          </cell>
          <cell r="AC812" t="str">
            <v xml:space="preserve"> of </v>
          </cell>
          <cell r="AD812" t="str">
            <v xml:space="preserve"> of </v>
          </cell>
          <cell r="AF812" t="str">
            <v/>
          </cell>
          <cell r="AI812" t="str">
            <v xml:space="preserve"> of </v>
          </cell>
          <cell r="AJ812" t="str">
            <v xml:space="preserve"> of </v>
          </cell>
          <cell r="AL812" t="str">
            <v/>
          </cell>
          <cell r="AM812">
            <v>0.70833333333333304</v>
          </cell>
          <cell r="AO812" t="str">
            <v/>
          </cell>
          <cell r="AW812" t="str">
            <v/>
          </cell>
          <cell r="AX812" t="str">
            <v/>
          </cell>
          <cell r="AZ812" t="str">
            <v/>
          </cell>
          <cell r="BA812" t="str">
            <v/>
          </cell>
          <cell r="BB812" t="str">
            <v/>
          </cell>
          <cell r="BC812" t="str">
            <v/>
          </cell>
        </row>
        <row r="813">
          <cell r="E813" t="str">
            <v/>
          </cell>
          <cell r="F813" t="str">
            <v/>
          </cell>
          <cell r="G813" t="str">
            <v/>
          </cell>
          <cell r="O813" t="str">
            <v/>
          </cell>
          <cell r="Q813" t="str">
            <v/>
          </cell>
          <cell r="W813" t="str">
            <v xml:space="preserve"> of </v>
          </cell>
          <cell r="X813" t="str">
            <v xml:space="preserve"> of </v>
          </cell>
          <cell r="Z813" t="str">
            <v/>
          </cell>
          <cell r="AC813" t="str">
            <v xml:space="preserve"> of </v>
          </cell>
          <cell r="AD813" t="str">
            <v xml:space="preserve"> of </v>
          </cell>
          <cell r="AF813" t="str">
            <v/>
          </cell>
          <cell r="AI813" t="str">
            <v xml:space="preserve"> of </v>
          </cell>
          <cell r="AJ813" t="str">
            <v xml:space="preserve"> of </v>
          </cell>
          <cell r="AL813" t="str">
            <v/>
          </cell>
          <cell r="AM813">
            <v>0.70833333333333304</v>
          </cell>
          <cell r="AO813" t="str">
            <v/>
          </cell>
          <cell r="AW813" t="str">
            <v/>
          </cell>
          <cell r="AX813" t="str">
            <v/>
          </cell>
          <cell r="AZ813" t="str">
            <v/>
          </cell>
          <cell r="BA813" t="str">
            <v/>
          </cell>
          <cell r="BB813" t="str">
            <v/>
          </cell>
          <cell r="BC813" t="str">
            <v/>
          </cell>
        </row>
        <row r="814">
          <cell r="E814" t="str">
            <v/>
          </cell>
          <cell r="F814" t="str">
            <v/>
          </cell>
          <cell r="G814" t="str">
            <v/>
          </cell>
          <cell r="O814" t="str">
            <v/>
          </cell>
          <cell r="Q814" t="str">
            <v/>
          </cell>
          <cell r="W814" t="str">
            <v xml:space="preserve"> of </v>
          </cell>
          <cell r="X814" t="str">
            <v xml:space="preserve"> of </v>
          </cell>
          <cell r="Z814" t="str">
            <v/>
          </cell>
          <cell r="AC814" t="str">
            <v xml:space="preserve"> of </v>
          </cell>
          <cell r="AD814" t="str">
            <v xml:space="preserve"> of </v>
          </cell>
          <cell r="AF814" t="str">
            <v/>
          </cell>
          <cell r="AI814" t="str">
            <v xml:space="preserve"> of </v>
          </cell>
          <cell r="AJ814" t="str">
            <v xml:space="preserve"> of </v>
          </cell>
          <cell r="AL814" t="str">
            <v/>
          </cell>
          <cell r="AM814">
            <v>0.70833333333333304</v>
          </cell>
          <cell r="AO814" t="str">
            <v/>
          </cell>
          <cell r="AW814" t="str">
            <v/>
          </cell>
          <cell r="AX814" t="str">
            <v/>
          </cell>
          <cell r="AZ814" t="str">
            <v/>
          </cell>
          <cell r="BA814" t="str">
            <v/>
          </cell>
          <cell r="BB814" t="str">
            <v/>
          </cell>
          <cell r="BC814" t="str">
            <v/>
          </cell>
        </row>
        <row r="815">
          <cell r="E815" t="str">
            <v/>
          </cell>
          <cell r="F815" t="str">
            <v/>
          </cell>
          <cell r="G815" t="str">
            <v/>
          </cell>
          <cell r="O815" t="str">
            <v/>
          </cell>
          <cell r="Q815" t="str">
            <v/>
          </cell>
          <cell r="W815" t="str">
            <v xml:space="preserve"> of </v>
          </cell>
          <cell r="X815" t="str">
            <v xml:space="preserve"> of </v>
          </cell>
          <cell r="Z815" t="str">
            <v/>
          </cell>
          <cell r="AC815" t="str">
            <v xml:space="preserve"> of </v>
          </cell>
          <cell r="AD815" t="str">
            <v xml:space="preserve"> of </v>
          </cell>
          <cell r="AF815" t="str">
            <v/>
          </cell>
          <cell r="AI815" t="str">
            <v xml:space="preserve"> of </v>
          </cell>
          <cell r="AJ815" t="str">
            <v xml:space="preserve"> of </v>
          </cell>
          <cell r="AL815" t="str">
            <v/>
          </cell>
          <cell r="AM815">
            <v>0.70833333333333304</v>
          </cell>
          <cell r="AO815" t="str">
            <v/>
          </cell>
          <cell r="AW815" t="str">
            <v/>
          </cell>
          <cell r="AX815" t="str">
            <v/>
          </cell>
          <cell r="AZ815" t="str">
            <v/>
          </cell>
          <cell r="BA815" t="str">
            <v/>
          </cell>
          <cell r="BB815" t="str">
            <v/>
          </cell>
          <cell r="BC815" t="str">
            <v/>
          </cell>
        </row>
        <row r="816">
          <cell r="E816" t="str">
            <v/>
          </cell>
          <cell r="F816" t="str">
            <v/>
          </cell>
          <cell r="G816" t="str">
            <v/>
          </cell>
          <cell r="O816" t="str">
            <v/>
          </cell>
          <cell r="Q816" t="str">
            <v/>
          </cell>
          <cell r="W816" t="str">
            <v xml:space="preserve"> of </v>
          </cell>
          <cell r="X816" t="str">
            <v xml:space="preserve"> of </v>
          </cell>
          <cell r="Z816" t="str">
            <v/>
          </cell>
          <cell r="AC816" t="str">
            <v xml:space="preserve"> of </v>
          </cell>
          <cell r="AD816" t="str">
            <v xml:space="preserve"> of </v>
          </cell>
          <cell r="AF816" t="str">
            <v/>
          </cell>
          <cell r="AI816" t="str">
            <v xml:space="preserve"> of </v>
          </cell>
          <cell r="AJ816" t="str">
            <v xml:space="preserve"> of </v>
          </cell>
          <cell r="AL816" t="str">
            <v/>
          </cell>
          <cell r="AM816">
            <v>0.70833333333333304</v>
          </cell>
          <cell r="AO816" t="str">
            <v/>
          </cell>
          <cell r="AW816" t="str">
            <v/>
          </cell>
          <cell r="AX816" t="str">
            <v/>
          </cell>
          <cell r="AZ816" t="str">
            <v/>
          </cell>
          <cell r="BA816" t="str">
            <v/>
          </cell>
          <cell r="BB816" t="str">
            <v/>
          </cell>
          <cell r="BC816" t="str">
            <v/>
          </cell>
        </row>
        <row r="817">
          <cell r="E817" t="str">
            <v/>
          </cell>
          <cell r="F817" t="str">
            <v/>
          </cell>
          <cell r="G817" t="str">
            <v/>
          </cell>
          <cell r="O817" t="str">
            <v/>
          </cell>
          <cell r="Q817" t="str">
            <v/>
          </cell>
          <cell r="W817" t="str">
            <v xml:space="preserve"> of </v>
          </cell>
          <cell r="X817" t="str">
            <v xml:space="preserve"> of </v>
          </cell>
          <cell r="Z817" t="str">
            <v/>
          </cell>
          <cell r="AC817" t="str">
            <v xml:space="preserve"> of </v>
          </cell>
          <cell r="AD817" t="str">
            <v xml:space="preserve"> of </v>
          </cell>
          <cell r="AF817" t="str">
            <v/>
          </cell>
          <cell r="AI817" t="str">
            <v xml:space="preserve"> of </v>
          </cell>
          <cell r="AJ817" t="str">
            <v xml:space="preserve"> of </v>
          </cell>
          <cell r="AL817" t="str">
            <v/>
          </cell>
          <cell r="AM817">
            <v>0.70833333333333304</v>
          </cell>
          <cell r="AO817" t="str">
            <v/>
          </cell>
          <cell r="AW817" t="str">
            <v/>
          </cell>
          <cell r="AX817" t="str">
            <v/>
          </cell>
          <cell r="AZ817" t="str">
            <v/>
          </cell>
          <cell r="BA817" t="str">
            <v/>
          </cell>
          <cell r="BB817" t="str">
            <v/>
          </cell>
          <cell r="BC817" t="str">
            <v/>
          </cell>
        </row>
        <row r="818">
          <cell r="E818" t="str">
            <v/>
          </cell>
          <cell r="F818" t="str">
            <v/>
          </cell>
          <cell r="G818" t="str">
            <v/>
          </cell>
          <cell r="O818" t="str">
            <v/>
          </cell>
          <cell r="Q818" t="str">
            <v/>
          </cell>
          <cell r="W818" t="str">
            <v xml:space="preserve"> of </v>
          </cell>
          <cell r="X818" t="str">
            <v xml:space="preserve"> of </v>
          </cell>
          <cell r="Z818" t="str">
            <v/>
          </cell>
          <cell r="AC818" t="str">
            <v xml:space="preserve"> of </v>
          </cell>
          <cell r="AD818" t="str">
            <v xml:space="preserve"> of </v>
          </cell>
          <cell r="AF818" t="str">
            <v/>
          </cell>
          <cell r="AI818" t="str">
            <v xml:space="preserve"> of </v>
          </cell>
          <cell r="AJ818" t="str">
            <v xml:space="preserve"> of </v>
          </cell>
          <cell r="AL818" t="str">
            <v/>
          </cell>
          <cell r="AM818">
            <v>0.70833333333333304</v>
          </cell>
          <cell r="AO818" t="str">
            <v/>
          </cell>
          <cell r="AW818" t="str">
            <v/>
          </cell>
          <cell r="AX818" t="str">
            <v/>
          </cell>
          <cell r="AZ818" t="str">
            <v/>
          </cell>
          <cell r="BA818" t="str">
            <v/>
          </cell>
          <cell r="BB818" t="str">
            <v/>
          </cell>
          <cell r="BC818" t="str">
            <v/>
          </cell>
        </row>
        <row r="819">
          <cell r="E819" t="str">
            <v/>
          </cell>
          <cell r="F819" t="str">
            <v/>
          </cell>
          <cell r="G819" t="str">
            <v/>
          </cell>
          <cell r="O819" t="str">
            <v/>
          </cell>
          <cell r="Q819" t="str">
            <v/>
          </cell>
          <cell r="W819" t="str">
            <v xml:space="preserve"> of </v>
          </cell>
          <cell r="X819" t="str">
            <v xml:space="preserve"> of </v>
          </cell>
          <cell r="Z819" t="str">
            <v/>
          </cell>
          <cell r="AC819" t="str">
            <v xml:space="preserve"> of </v>
          </cell>
          <cell r="AD819" t="str">
            <v xml:space="preserve"> of </v>
          </cell>
          <cell r="AF819" t="str">
            <v/>
          </cell>
          <cell r="AI819" t="str">
            <v xml:space="preserve"> of </v>
          </cell>
          <cell r="AJ819" t="str">
            <v xml:space="preserve"> of </v>
          </cell>
          <cell r="AL819" t="str">
            <v/>
          </cell>
          <cell r="AM819">
            <v>0.70833333333333304</v>
          </cell>
          <cell r="AO819" t="str">
            <v/>
          </cell>
          <cell r="AW819" t="str">
            <v/>
          </cell>
          <cell r="AX819" t="str">
            <v/>
          </cell>
          <cell r="AZ819" t="str">
            <v/>
          </cell>
          <cell r="BA819" t="str">
            <v/>
          </cell>
          <cell r="BB819" t="str">
            <v/>
          </cell>
          <cell r="BC819" t="str">
            <v/>
          </cell>
        </row>
        <row r="820">
          <cell r="E820" t="str">
            <v/>
          </cell>
          <cell r="F820" t="str">
            <v/>
          </cell>
          <cell r="G820" t="str">
            <v/>
          </cell>
          <cell r="O820" t="str">
            <v/>
          </cell>
          <cell r="Q820" t="str">
            <v/>
          </cell>
          <cell r="W820" t="str">
            <v xml:space="preserve"> of </v>
          </cell>
          <cell r="X820" t="str">
            <v xml:space="preserve"> of </v>
          </cell>
          <cell r="Z820" t="str">
            <v/>
          </cell>
          <cell r="AC820" t="str">
            <v xml:space="preserve"> of </v>
          </cell>
          <cell r="AD820" t="str">
            <v xml:space="preserve"> of </v>
          </cell>
          <cell r="AF820" t="str">
            <v/>
          </cell>
          <cell r="AI820" t="str">
            <v xml:space="preserve"> of </v>
          </cell>
          <cell r="AJ820" t="str">
            <v xml:space="preserve"> of </v>
          </cell>
          <cell r="AL820" t="str">
            <v/>
          </cell>
          <cell r="AM820">
            <v>0.70833333333333304</v>
          </cell>
          <cell r="AO820" t="str">
            <v/>
          </cell>
          <cell r="AW820" t="str">
            <v/>
          </cell>
          <cell r="AX820" t="str">
            <v/>
          </cell>
          <cell r="AZ820" t="str">
            <v/>
          </cell>
          <cell r="BA820" t="str">
            <v/>
          </cell>
          <cell r="BB820" t="str">
            <v/>
          </cell>
          <cell r="BC820" t="str">
            <v/>
          </cell>
        </row>
        <row r="821">
          <cell r="E821" t="str">
            <v/>
          </cell>
          <cell r="F821" t="str">
            <v/>
          </cell>
          <cell r="G821" t="str">
            <v/>
          </cell>
          <cell r="O821" t="str">
            <v/>
          </cell>
          <cell r="Q821" t="str">
            <v/>
          </cell>
          <cell r="W821" t="str">
            <v xml:space="preserve"> of </v>
          </cell>
          <cell r="X821" t="str">
            <v xml:space="preserve"> of </v>
          </cell>
          <cell r="Z821" t="str">
            <v/>
          </cell>
          <cell r="AC821" t="str">
            <v xml:space="preserve"> of </v>
          </cell>
          <cell r="AD821" t="str">
            <v xml:space="preserve"> of </v>
          </cell>
          <cell r="AF821" t="str">
            <v/>
          </cell>
          <cell r="AI821" t="str">
            <v xml:space="preserve"> of </v>
          </cell>
          <cell r="AJ821" t="str">
            <v xml:space="preserve"> of </v>
          </cell>
          <cell r="AL821" t="str">
            <v/>
          </cell>
          <cell r="AM821">
            <v>0.70833333333333304</v>
          </cell>
          <cell r="AO821" t="str">
            <v/>
          </cell>
          <cell r="AW821" t="str">
            <v/>
          </cell>
          <cell r="AX821" t="str">
            <v/>
          </cell>
          <cell r="AZ821" t="str">
            <v/>
          </cell>
          <cell r="BA821" t="str">
            <v/>
          </cell>
          <cell r="BB821" t="str">
            <v/>
          </cell>
          <cell r="BC821" t="str">
            <v/>
          </cell>
        </row>
        <row r="822">
          <cell r="E822" t="str">
            <v/>
          </cell>
          <cell r="F822" t="str">
            <v/>
          </cell>
          <cell r="G822" t="str">
            <v/>
          </cell>
          <cell r="O822" t="str">
            <v/>
          </cell>
          <cell r="Q822" t="str">
            <v/>
          </cell>
          <cell r="W822" t="str">
            <v xml:space="preserve"> of </v>
          </cell>
          <cell r="X822" t="str">
            <v xml:space="preserve"> of </v>
          </cell>
          <cell r="Z822" t="str">
            <v/>
          </cell>
          <cell r="AC822" t="str">
            <v xml:space="preserve"> of </v>
          </cell>
          <cell r="AD822" t="str">
            <v xml:space="preserve"> of </v>
          </cell>
          <cell r="AF822" t="str">
            <v/>
          </cell>
          <cell r="AI822" t="str">
            <v xml:space="preserve"> of </v>
          </cell>
          <cell r="AJ822" t="str">
            <v xml:space="preserve"> of </v>
          </cell>
          <cell r="AL822" t="str">
            <v/>
          </cell>
          <cell r="AM822">
            <v>0.70833333333333304</v>
          </cell>
          <cell r="AO822" t="str">
            <v/>
          </cell>
          <cell r="AW822" t="str">
            <v/>
          </cell>
          <cell r="AX822" t="str">
            <v/>
          </cell>
          <cell r="AZ822" t="str">
            <v/>
          </cell>
          <cell r="BA822" t="str">
            <v/>
          </cell>
          <cell r="BB822" t="str">
            <v/>
          </cell>
          <cell r="BC822" t="str">
            <v/>
          </cell>
        </row>
        <row r="823">
          <cell r="E823" t="str">
            <v/>
          </cell>
          <cell r="F823" t="str">
            <v/>
          </cell>
          <cell r="G823" t="str">
            <v/>
          </cell>
          <cell r="O823" t="str">
            <v/>
          </cell>
          <cell r="Q823" t="str">
            <v/>
          </cell>
          <cell r="W823" t="str">
            <v xml:space="preserve"> of </v>
          </cell>
          <cell r="X823" t="str">
            <v xml:space="preserve"> of </v>
          </cell>
          <cell r="Z823" t="str">
            <v/>
          </cell>
          <cell r="AC823" t="str">
            <v xml:space="preserve"> of </v>
          </cell>
          <cell r="AD823" t="str">
            <v xml:space="preserve"> of </v>
          </cell>
          <cell r="AF823" t="str">
            <v/>
          </cell>
          <cell r="AI823" t="str">
            <v xml:space="preserve"> of </v>
          </cell>
          <cell r="AJ823" t="str">
            <v xml:space="preserve"> of </v>
          </cell>
          <cell r="AL823" t="str">
            <v/>
          </cell>
          <cell r="AM823">
            <v>0.70833333333333304</v>
          </cell>
          <cell r="AO823" t="str">
            <v/>
          </cell>
          <cell r="AW823" t="str">
            <v/>
          </cell>
          <cell r="AX823" t="str">
            <v/>
          </cell>
          <cell r="AZ823" t="str">
            <v/>
          </cell>
          <cell r="BA823" t="str">
            <v/>
          </cell>
          <cell r="BB823" t="str">
            <v/>
          </cell>
          <cell r="BC823" t="str">
            <v/>
          </cell>
        </row>
        <row r="824">
          <cell r="E824" t="str">
            <v/>
          </cell>
          <cell r="F824" t="str">
            <v/>
          </cell>
          <cell r="G824" t="str">
            <v/>
          </cell>
          <cell r="O824" t="str">
            <v/>
          </cell>
          <cell r="Q824" t="str">
            <v/>
          </cell>
          <cell r="W824" t="str">
            <v xml:space="preserve"> of </v>
          </cell>
          <cell r="X824" t="str">
            <v xml:space="preserve"> of </v>
          </cell>
          <cell r="Z824" t="str">
            <v/>
          </cell>
          <cell r="AC824" t="str">
            <v xml:space="preserve"> of </v>
          </cell>
          <cell r="AD824" t="str">
            <v xml:space="preserve"> of </v>
          </cell>
          <cell r="AF824" t="str">
            <v/>
          </cell>
          <cell r="AI824" t="str">
            <v xml:space="preserve"> of </v>
          </cell>
          <cell r="AJ824" t="str">
            <v xml:space="preserve"> of </v>
          </cell>
          <cell r="AL824" t="str">
            <v/>
          </cell>
          <cell r="AM824">
            <v>0.70833333333333304</v>
          </cell>
          <cell r="AO824" t="str">
            <v/>
          </cell>
          <cell r="AW824" t="str">
            <v/>
          </cell>
          <cell r="AX824" t="str">
            <v/>
          </cell>
          <cell r="AZ824" t="str">
            <v/>
          </cell>
          <cell r="BA824" t="str">
            <v/>
          </cell>
          <cell r="BB824" t="str">
            <v/>
          </cell>
          <cell r="BC824" t="str">
            <v/>
          </cell>
        </row>
        <row r="825">
          <cell r="E825" t="str">
            <v/>
          </cell>
          <cell r="F825" t="str">
            <v/>
          </cell>
          <cell r="G825" t="str">
            <v/>
          </cell>
          <cell r="O825" t="str">
            <v/>
          </cell>
          <cell r="Q825" t="str">
            <v/>
          </cell>
          <cell r="W825" t="str">
            <v xml:space="preserve"> of </v>
          </cell>
          <cell r="X825" t="str">
            <v xml:space="preserve"> of </v>
          </cell>
          <cell r="Z825" t="str">
            <v/>
          </cell>
          <cell r="AC825" t="str">
            <v xml:space="preserve"> of </v>
          </cell>
          <cell r="AD825" t="str">
            <v xml:space="preserve"> of </v>
          </cell>
          <cell r="AF825" t="str">
            <v/>
          </cell>
          <cell r="AI825" t="str">
            <v xml:space="preserve"> of </v>
          </cell>
          <cell r="AJ825" t="str">
            <v xml:space="preserve"> of </v>
          </cell>
          <cell r="AL825" t="str">
            <v/>
          </cell>
          <cell r="AM825">
            <v>0.70833333333333304</v>
          </cell>
          <cell r="AO825" t="str">
            <v/>
          </cell>
          <cell r="AW825" t="str">
            <v/>
          </cell>
          <cell r="AX825" t="str">
            <v/>
          </cell>
          <cell r="AZ825" t="str">
            <v/>
          </cell>
          <cell r="BA825" t="str">
            <v/>
          </cell>
          <cell r="BB825" t="str">
            <v/>
          </cell>
          <cell r="BC825" t="str">
            <v/>
          </cell>
        </row>
        <row r="826">
          <cell r="E826" t="str">
            <v/>
          </cell>
          <cell r="F826" t="str">
            <v/>
          </cell>
          <cell r="G826" t="str">
            <v/>
          </cell>
          <cell r="O826" t="str">
            <v/>
          </cell>
          <cell r="Q826" t="str">
            <v/>
          </cell>
          <cell r="W826" t="str">
            <v xml:space="preserve"> of </v>
          </cell>
          <cell r="X826" t="str">
            <v xml:space="preserve"> of </v>
          </cell>
          <cell r="Z826" t="str">
            <v/>
          </cell>
          <cell r="AC826" t="str">
            <v xml:space="preserve"> of </v>
          </cell>
          <cell r="AD826" t="str">
            <v xml:space="preserve"> of </v>
          </cell>
          <cell r="AF826" t="str">
            <v/>
          </cell>
          <cell r="AI826" t="str">
            <v xml:space="preserve"> of </v>
          </cell>
          <cell r="AJ826" t="str">
            <v xml:space="preserve"> of </v>
          </cell>
          <cell r="AL826" t="str">
            <v/>
          </cell>
          <cell r="AM826">
            <v>0.70833333333333304</v>
          </cell>
          <cell r="AO826" t="str">
            <v/>
          </cell>
          <cell r="AW826" t="str">
            <v/>
          </cell>
          <cell r="AX826" t="str">
            <v/>
          </cell>
          <cell r="AZ826" t="str">
            <v/>
          </cell>
          <cell r="BA826" t="str">
            <v/>
          </cell>
          <cell r="BB826" t="str">
            <v/>
          </cell>
          <cell r="BC826" t="str">
            <v/>
          </cell>
        </row>
        <row r="827">
          <cell r="E827" t="str">
            <v/>
          </cell>
          <cell r="F827" t="str">
            <v/>
          </cell>
          <cell r="G827" t="str">
            <v/>
          </cell>
          <cell r="O827" t="str">
            <v/>
          </cell>
          <cell r="Q827" t="str">
            <v/>
          </cell>
          <cell r="W827" t="str">
            <v xml:space="preserve"> of </v>
          </cell>
          <cell r="X827" t="str">
            <v xml:space="preserve"> of </v>
          </cell>
          <cell r="Z827" t="str">
            <v/>
          </cell>
          <cell r="AC827" t="str">
            <v xml:space="preserve"> of </v>
          </cell>
          <cell r="AD827" t="str">
            <v xml:space="preserve"> of </v>
          </cell>
          <cell r="AF827" t="str">
            <v/>
          </cell>
          <cell r="AI827" t="str">
            <v xml:space="preserve"> of </v>
          </cell>
          <cell r="AJ827" t="str">
            <v xml:space="preserve"> of </v>
          </cell>
          <cell r="AL827" t="str">
            <v/>
          </cell>
          <cell r="AM827">
            <v>0.70833333333333304</v>
          </cell>
          <cell r="AO827" t="str">
            <v/>
          </cell>
          <cell r="AW827" t="str">
            <v/>
          </cell>
          <cell r="AX827" t="str">
            <v/>
          </cell>
          <cell r="AZ827" t="str">
            <v/>
          </cell>
          <cell r="BA827" t="str">
            <v/>
          </cell>
          <cell r="BB827" t="str">
            <v/>
          </cell>
          <cell r="BC827" t="str">
            <v/>
          </cell>
        </row>
        <row r="828">
          <cell r="E828" t="str">
            <v/>
          </cell>
          <cell r="F828" t="str">
            <v/>
          </cell>
          <cell r="G828" t="str">
            <v/>
          </cell>
          <cell r="O828" t="str">
            <v/>
          </cell>
          <cell r="Q828" t="str">
            <v/>
          </cell>
          <cell r="W828" t="str">
            <v xml:space="preserve"> of </v>
          </cell>
          <cell r="X828" t="str">
            <v xml:space="preserve"> of </v>
          </cell>
          <cell r="Z828" t="str">
            <v/>
          </cell>
          <cell r="AC828" t="str">
            <v xml:space="preserve"> of </v>
          </cell>
          <cell r="AD828" t="str">
            <v xml:space="preserve"> of </v>
          </cell>
          <cell r="AF828" t="str">
            <v/>
          </cell>
          <cell r="AI828" t="str">
            <v xml:space="preserve"> of </v>
          </cell>
          <cell r="AJ828" t="str">
            <v xml:space="preserve"> of </v>
          </cell>
          <cell r="AL828" t="str">
            <v/>
          </cell>
          <cell r="AM828">
            <v>0.70833333333333304</v>
          </cell>
          <cell r="AO828" t="str">
            <v/>
          </cell>
          <cell r="AW828" t="str">
            <v/>
          </cell>
          <cell r="AX828" t="str">
            <v/>
          </cell>
          <cell r="AZ828" t="str">
            <v/>
          </cell>
          <cell r="BA828" t="str">
            <v/>
          </cell>
          <cell r="BB828" t="str">
            <v/>
          </cell>
          <cell r="BC828" t="str">
            <v/>
          </cell>
        </row>
        <row r="829">
          <cell r="E829" t="str">
            <v/>
          </cell>
          <cell r="F829" t="str">
            <v/>
          </cell>
          <cell r="G829" t="str">
            <v/>
          </cell>
          <cell r="O829" t="str">
            <v/>
          </cell>
          <cell r="Q829" t="str">
            <v/>
          </cell>
          <cell r="W829" t="str">
            <v xml:space="preserve"> of </v>
          </cell>
          <cell r="X829" t="str">
            <v xml:space="preserve"> of </v>
          </cell>
          <cell r="Z829" t="str">
            <v/>
          </cell>
          <cell r="AC829" t="str">
            <v xml:space="preserve"> of </v>
          </cell>
          <cell r="AD829" t="str">
            <v xml:space="preserve"> of </v>
          </cell>
          <cell r="AF829" t="str">
            <v/>
          </cell>
          <cell r="AI829" t="str">
            <v xml:space="preserve"> of </v>
          </cell>
          <cell r="AJ829" t="str">
            <v xml:space="preserve"> of </v>
          </cell>
          <cell r="AL829" t="str">
            <v/>
          </cell>
          <cell r="AM829">
            <v>0.70833333333333304</v>
          </cell>
          <cell r="AO829" t="str">
            <v/>
          </cell>
          <cell r="AW829" t="str">
            <v/>
          </cell>
          <cell r="AX829" t="str">
            <v/>
          </cell>
          <cell r="AZ829" t="str">
            <v/>
          </cell>
          <cell r="BA829" t="str">
            <v/>
          </cell>
          <cell r="BB829" t="str">
            <v/>
          </cell>
          <cell r="BC829" t="str">
            <v/>
          </cell>
        </row>
        <row r="830">
          <cell r="E830" t="str">
            <v/>
          </cell>
          <cell r="F830" t="str">
            <v/>
          </cell>
          <cell r="G830" t="str">
            <v/>
          </cell>
          <cell r="O830" t="str">
            <v/>
          </cell>
          <cell r="Q830" t="str">
            <v/>
          </cell>
          <cell r="W830" t="str">
            <v xml:space="preserve"> of </v>
          </cell>
          <cell r="X830" t="str">
            <v xml:space="preserve"> of </v>
          </cell>
          <cell r="Z830" t="str">
            <v/>
          </cell>
          <cell r="AC830" t="str">
            <v xml:space="preserve"> of </v>
          </cell>
          <cell r="AD830" t="str">
            <v xml:space="preserve"> of </v>
          </cell>
          <cell r="AF830" t="str">
            <v/>
          </cell>
          <cell r="AI830" t="str">
            <v xml:space="preserve"> of </v>
          </cell>
          <cell r="AJ830" t="str">
            <v xml:space="preserve"> of </v>
          </cell>
          <cell r="AL830" t="str">
            <v/>
          </cell>
          <cell r="AM830">
            <v>0.70833333333333304</v>
          </cell>
          <cell r="AO830" t="str">
            <v/>
          </cell>
          <cell r="AW830" t="str">
            <v/>
          </cell>
          <cell r="AX830" t="str">
            <v/>
          </cell>
          <cell r="AZ830" t="str">
            <v/>
          </cell>
          <cell r="BA830" t="str">
            <v/>
          </cell>
          <cell r="BB830" t="str">
            <v/>
          </cell>
          <cell r="BC830" t="str">
            <v/>
          </cell>
        </row>
        <row r="831">
          <cell r="E831" t="str">
            <v/>
          </cell>
          <cell r="F831" t="str">
            <v/>
          </cell>
          <cell r="G831" t="str">
            <v/>
          </cell>
          <cell r="O831" t="str">
            <v/>
          </cell>
          <cell r="Q831" t="str">
            <v/>
          </cell>
          <cell r="W831" t="str">
            <v xml:space="preserve"> of </v>
          </cell>
          <cell r="X831" t="str">
            <v xml:space="preserve"> of </v>
          </cell>
          <cell r="Z831" t="str">
            <v/>
          </cell>
          <cell r="AC831" t="str">
            <v xml:space="preserve"> of </v>
          </cell>
          <cell r="AD831" t="str">
            <v xml:space="preserve"> of </v>
          </cell>
          <cell r="AF831" t="str">
            <v/>
          </cell>
          <cell r="AI831" t="str">
            <v xml:space="preserve"> of </v>
          </cell>
          <cell r="AJ831" t="str">
            <v xml:space="preserve"> of </v>
          </cell>
          <cell r="AL831" t="str">
            <v/>
          </cell>
          <cell r="AM831">
            <v>0.70833333333333304</v>
          </cell>
          <cell r="AO831" t="str">
            <v/>
          </cell>
          <cell r="AW831" t="str">
            <v/>
          </cell>
          <cell r="AX831" t="str">
            <v/>
          </cell>
          <cell r="AZ831" t="str">
            <v/>
          </cell>
          <cell r="BA831" t="str">
            <v/>
          </cell>
          <cell r="BB831" t="str">
            <v/>
          </cell>
          <cell r="BC831" t="str">
            <v/>
          </cell>
        </row>
        <row r="832">
          <cell r="E832" t="str">
            <v/>
          </cell>
          <cell r="F832" t="str">
            <v/>
          </cell>
          <cell r="G832" t="str">
            <v/>
          </cell>
          <cell r="O832" t="str">
            <v/>
          </cell>
          <cell r="Q832" t="str">
            <v/>
          </cell>
          <cell r="W832" t="str">
            <v xml:space="preserve"> of </v>
          </cell>
          <cell r="X832" t="str">
            <v xml:space="preserve"> of </v>
          </cell>
          <cell r="Z832" t="str">
            <v/>
          </cell>
          <cell r="AC832" t="str">
            <v xml:space="preserve"> of </v>
          </cell>
          <cell r="AD832" t="str">
            <v xml:space="preserve"> of </v>
          </cell>
          <cell r="AF832" t="str">
            <v/>
          </cell>
          <cell r="AI832" t="str">
            <v xml:space="preserve"> of </v>
          </cell>
          <cell r="AJ832" t="str">
            <v xml:space="preserve"> of </v>
          </cell>
          <cell r="AL832" t="str">
            <v/>
          </cell>
          <cell r="AM832">
            <v>0.70833333333333304</v>
          </cell>
          <cell r="AO832" t="str">
            <v/>
          </cell>
          <cell r="AW832" t="str">
            <v/>
          </cell>
          <cell r="AX832" t="str">
            <v/>
          </cell>
          <cell r="AZ832" t="str">
            <v/>
          </cell>
          <cell r="BA832" t="str">
            <v/>
          </cell>
          <cell r="BB832" t="str">
            <v/>
          </cell>
          <cell r="BC832" t="str">
            <v/>
          </cell>
        </row>
        <row r="833">
          <cell r="E833" t="str">
            <v/>
          </cell>
          <cell r="F833" t="str">
            <v/>
          </cell>
          <cell r="G833" t="str">
            <v/>
          </cell>
          <cell r="O833" t="str">
            <v/>
          </cell>
          <cell r="Q833" t="str">
            <v/>
          </cell>
          <cell r="W833" t="str">
            <v xml:space="preserve"> of </v>
          </cell>
          <cell r="X833" t="str">
            <v xml:space="preserve"> of </v>
          </cell>
          <cell r="Z833" t="str">
            <v/>
          </cell>
          <cell r="AC833" t="str">
            <v xml:space="preserve"> of </v>
          </cell>
          <cell r="AD833" t="str">
            <v xml:space="preserve"> of </v>
          </cell>
          <cell r="AF833" t="str">
            <v/>
          </cell>
          <cell r="AI833" t="str">
            <v xml:space="preserve"> of </v>
          </cell>
          <cell r="AJ833" t="str">
            <v xml:space="preserve"> of </v>
          </cell>
          <cell r="AL833" t="str">
            <v/>
          </cell>
          <cell r="AM833">
            <v>0.70833333333333304</v>
          </cell>
          <cell r="AO833" t="str">
            <v/>
          </cell>
          <cell r="AW833" t="str">
            <v/>
          </cell>
          <cell r="AX833" t="str">
            <v/>
          </cell>
          <cell r="AZ833" t="str">
            <v/>
          </cell>
          <cell r="BA833" t="str">
            <v/>
          </cell>
          <cell r="BB833" t="str">
            <v/>
          </cell>
          <cell r="BC833" t="str">
            <v/>
          </cell>
        </row>
        <row r="834">
          <cell r="E834" t="str">
            <v/>
          </cell>
          <cell r="F834" t="str">
            <v/>
          </cell>
          <cell r="G834" t="str">
            <v/>
          </cell>
          <cell r="O834" t="str">
            <v/>
          </cell>
          <cell r="Q834" t="str">
            <v/>
          </cell>
          <cell r="W834" t="str">
            <v xml:space="preserve"> of </v>
          </cell>
          <cell r="X834" t="str">
            <v xml:space="preserve"> of </v>
          </cell>
          <cell r="Z834" t="str">
            <v/>
          </cell>
          <cell r="AC834" t="str">
            <v xml:space="preserve"> of </v>
          </cell>
          <cell r="AD834" t="str">
            <v xml:space="preserve"> of </v>
          </cell>
          <cell r="AF834" t="str">
            <v/>
          </cell>
          <cell r="AI834" t="str">
            <v xml:space="preserve"> of </v>
          </cell>
          <cell r="AJ834" t="str">
            <v xml:space="preserve"> of </v>
          </cell>
          <cell r="AL834" t="str">
            <v/>
          </cell>
          <cell r="AM834">
            <v>0.70833333333333304</v>
          </cell>
          <cell r="AO834" t="str">
            <v/>
          </cell>
          <cell r="AW834" t="str">
            <v/>
          </cell>
          <cell r="AX834" t="str">
            <v/>
          </cell>
          <cell r="AZ834" t="str">
            <v/>
          </cell>
          <cell r="BA834" t="str">
            <v/>
          </cell>
          <cell r="BB834" t="str">
            <v/>
          </cell>
          <cell r="BC834" t="str">
            <v/>
          </cell>
        </row>
        <row r="835">
          <cell r="E835" t="str">
            <v/>
          </cell>
          <cell r="F835" t="str">
            <v/>
          </cell>
          <cell r="G835" t="str">
            <v/>
          </cell>
          <cell r="O835" t="str">
            <v/>
          </cell>
          <cell r="Q835" t="str">
            <v/>
          </cell>
          <cell r="W835" t="str">
            <v xml:space="preserve"> of </v>
          </cell>
          <cell r="X835" t="str">
            <v xml:space="preserve"> of </v>
          </cell>
          <cell r="Z835" t="str">
            <v/>
          </cell>
          <cell r="AC835" t="str">
            <v xml:space="preserve"> of </v>
          </cell>
          <cell r="AD835" t="str">
            <v xml:space="preserve"> of </v>
          </cell>
          <cell r="AF835" t="str">
            <v/>
          </cell>
          <cell r="AI835" t="str">
            <v xml:space="preserve"> of </v>
          </cell>
          <cell r="AJ835" t="str">
            <v xml:space="preserve"> of </v>
          </cell>
          <cell r="AL835" t="str">
            <v/>
          </cell>
          <cell r="AM835">
            <v>0.70833333333333304</v>
          </cell>
          <cell r="AO835" t="str">
            <v/>
          </cell>
          <cell r="AW835" t="str">
            <v/>
          </cell>
          <cell r="AX835" t="str">
            <v/>
          </cell>
          <cell r="AZ835" t="str">
            <v/>
          </cell>
          <cell r="BA835" t="str">
            <v/>
          </cell>
          <cell r="BB835" t="str">
            <v/>
          </cell>
          <cell r="BC835" t="str">
            <v/>
          </cell>
        </row>
        <row r="836">
          <cell r="E836" t="str">
            <v/>
          </cell>
          <cell r="F836" t="str">
            <v/>
          </cell>
          <cell r="G836" t="str">
            <v/>
          </cell>
          <cell r="O836" t="str">
            <v/>
          </cell>
          <cell r="Q836" t="str">
            <v/>
          </cell>
          <cell r="W836" t="str">
            <v xml:space="preserve"> of </v>
          </cell>
          <cell r="X836" t="str">
            <v xml:space="preserve"> of </v>
          </cell>
          <cell r="Z836" t="str">
            <v/>
          </cell>
          <cell r="AC836" t="str">
            <v xml:space="preserve"> of </v>
          </cell>
          <cell r="AD836" t="str">
            <v xml:space="preserve"> of </v>
          </cell>
          <cell r="AF836" t="str">
            <v/>
          </cell>
          <cell r="AI836" t="str">
            <v xml:space="preserve"> of </v>
          </cell>
          <cell r="AJ836" t="str">
            <v xml:space="preserve"> of </v>
          </cell>
          <cell r="AL836" t="str">
            <v/>
          </cell>
          <cell r="AM836">
            <v>0.70833333333333304</v>
          </cell>
          <cell r="AO836" t="str">
            <v/>
          </cell>
          <cell r="AW836" t="str">
            <v/>
          </cell>
          <cell r="AX836" t="str">
            <v/>
          </cell>
          <cell r="AZ836" t="str">
            <v/>
          </cell>
          <cell r="BA836" t="str">
            <v/>
          </cell>
          <cell r="BB836" t="str">
            <v/>
          </cell>
          <cell r="BC836" t="str">
            <v/>
          </cell>
        </row>
        <row r="837">
          <cell r="E837" t="str">
            <v/>
          </cell>
          <cell r="F837" t="str">
            <v/>
          </cell>
          <cell r="G837" t="str">
            <v/>
          </cell>
          <cell r="O837" t="str">
            <v/>
          </cell>
          <cell r="Q837" t="str">
            <v/>
          </cell>
          <cell r="W837" t="str">
            <v xml:space="preserve"> of </v>
          </cell>
          <cell r="X837" t="str">
            <v xml:space="preserve"> of </v>
          </cell>
          <cell r="Z837" t="str">
            <v/>
          </cell>
          <cell r="AC837" t="str">
            <v xml:space="preserve"> of </v>
          </cell>
          <cell r="AD837" t="str">
            <v xml:space="preserve"> of </v>
          </cell>
          <cell r="AF837" t="str">
            <v/>
          </cell>
          <cell r="AI837" t="str">
            <v xml:space="preserve"> of </v>
          </cell>
          <cell r="AJ837" t="str">
            <v xml:space="preserve"> of </v>
          </cell>
          <cell r="AL837" t="str">
            <v/>
          </cell>
          <cell r="AM837">
            <v>0.70833333333333304</v>
          </cell>
          <cell r="AO837" t="str">
            <v/>
          </cell>
          <cell r="AW837" t="str">
            <v/>
          </cell>
          <cell r="AX837" t="str">
            <v/>
          </cell>
          <cell r="AZ837" t="str">
            <v/>
          </cell>
          <cell r="BA837" t="str">
            <v/>
          </cell>
          <cell r="BB837" t="str">
            <v/>
          </cell>
          <cell r="BC837" t="str">
            <v/>
          </cell>
        </row>
        <row r="838">
          <cell r="E838" t="str">
            <v/>
          </cell>
          <cell r="F838" t="str">
            <v/>
          </cell>
          <cell r="G838" t="str">
            <v/>
          </cell>
          <cell r="O838" t="str">
            <v/>
          </cell>
          <cell r="Q838" t="str">
            <v/>
          </cell>
          <cell r="W838" t="str">
            <v xml:space="preserve"> of </v>
          </cell>
          <cell r="X838" t="str">
            <v xml:space="preserve"> of </v>
          </cell>
          <cell r="Z838" t="str">
            <v/>
          </cell>
          <cell r="AC838" t="str">
            <v xml:space="preserve"> of </v>
          </cell>
          <cell r="AD838" t="str">
            <v xml:space="preserve"> of </v>
          </cell>
          <cell r="AF838" t="str">
            <v/>
          </cell>
          <cell r="AI838" t="str">
            <v xml:space="preserve"> of </v>
          </cell>
          <cell r="AJ838" t="str">
            <v xml:space="preserve"> of </v>
          </cell>
          <cell r="AL838" t="str">
            <v/>
          </cell>
          <cell r="AM838">
            <v>0.70833333333333304</v>
          </cell>
          <cell r="AO838" t="str">
            <v/>
          </cell>
          <cell r="AW838" t="str">
            <v/>
          </cell>
          <cell r="AX838" t="str">
            <v/>
          </cell>
          <cell r="AZ838" t="str">
            <v/>
          </cell>
          <cell r="BA838" t="str">
            <v/>
          </cell>
          <cell r="BB838" t="str">
            <v/>
          </cell>
          <cell r="BC838" t="str">
            <v/>
          </cell>
        </row>
        <row r="839">
          <cell r="E839" t="str">
            <v/>
          </cell>
          <cell r="F839" t="str">
            <v/>
          </cell>
          <cell r="G839" t="str">
            <v/>
          </cell>
          <cell r="O839" t="str">
            <v/>
          </cell>
          <cell r="Q839" t="str">
            <v/>
          </cell>
          <cell r="W839" t="str">
            <v xml:space="preserve"> of </v>
          </cell>
          <cell r="X839" t="str">
            <v xml:space="preserve"> of </v>
          </cell>
          <cell r="Z839" t="str">
            <v/>
          </cell>
          <cell r="AC839" t="str">
            <v xml:space="preserve"> of </v>
          </cell>
          <cell r="AD839" t="str">
            <v xml:space="preserve"> of </v>
          </cell>
          <cell r="AF839" t="str">
            <v/>
          </cell>
          <cell r="AI839" t="str">
            <v xml:space="preserve"> of </v>
          </cell>
          <cell r="AJ839" t="str">
            <v xml:space="preserve"> of </v>
          </cell>
          <cell r="AL839" t="str">
            <v/>
          </cell>
          <cell r="AM839">
            <v>0.70833333333333304</v>
          </cell>
          <cell r="AO839" t="str">
            <v/>
          </cell>
          <cell r="AW839" t="str">
            <v/>
          </cell>
          <cell r="AX839" t="str">
            <v/>
          </cell>
          <cell r="AZ839" t="str">
            <v/>
          </cell>
          <cell r="BA839" t="str">
            <v/>
          </cell>
          <cell r="BB839" t="str">
            <v/>
          </cell>
          <cell r="BC839" t="str">
            <v/>
          </cell>
        </row>
        <row r="840">
          <cell r="E840" t="str">
            <v/>
          </cell>
          <cell r="F840" t="str">
            <v/>
          </cell>
          <cell r="G840" t="str">
            <v/>
          </cell>
          <cell r="O840" t="str">
            <v/>
          </cell>
          <cell r="Q840" t="str">
            <v/>
          </cell>
          <cell r="W840" t="str">
            <v xml:space="preserve"> of </v>
          </cell>
          <cell r="X840" t="str">
            <v xml:space="preserve"> of </v>
          </cell>
          <cell r="Z840" t="str">
            <v/>
          </cell>
          <cell r="AC840" t="str">
            <v xml:space="preserve"> of </v>
          </cell>
          <cell r="AD840" t="str">
            <v xml:space="preserve"> of </v>
          </cell>
          <cell r="AF840" t="str">
            <v/>
          </cell>
          <cell r="AI840" t="str">
            <v xml:space="preserve"> of </v>
          </cell>
          <cell r="AJ840" t="str">
            <v xml:space="preserve"> of </v>
          </cell>
          <cell r="AL840" t="str">
            <v/>
          </cell>
          <cell r="AM840">
            <v>0.70833333333333304</v>
          </cell>
          <cell r="AO840" t="str">
            <v/>
          </cell>
          <cell r="AW840" t="str">
            <v/>
          </cell>
          <cell r="AX840" t="str">
            <v/>
          </cell>
          <cell r="AZ840" t="str">
            <v/>
          </cell>
          <cell r="BA840" t="str">
            <v/>
          </cell>
          <cell r="BB840" t="str">
            <v/>
          </cell>
          <cell r="BC840" t="str">
            <v/>
          </cell>
        </row>
        <row r="841">
          <cell r="E841" t="str">
            <v/>
          </cell>
          <cell r="F841" t="str">
            <v/>
          </cell>
          <cell r="G841" t="str">
            <v/>
          </cell>
          <cell r="O841" t="str">
            <v/>
          </cell>
          <cell r="Q841" t="str">
            <v/>
          </cell>
          <cell r="W841" t="str">
            <v xml:space="preserve"> of </v>
          </cell>
          <cell r="X841" t="str">
            <v xml:space="preserve"> of </v>
          </cell>
          <cell r="Z841" t="str">
            <v/>
          </cell>
          <cell r="AC841" t="str">
            <v xml:space="preserve"> of </v>
          </cell>
          <cell r="AD841" t="str">
            <v xml:space="preserve"> of </v>
          </cell>
          <cell r="AF841" t="str">
            <v/>
          </cell>
          <cell r="AI841" t="str">
            <v xml:space="preserve"> of </v>
          </cell>
          <cell r="AJ841" t="str">
            <v xml:space="preserve"> of </v>
          </cell>
          <cell r="AL841" t="str">
            <v/>
          </cell>
          <cell r="AM841">
            <v>0.70833333333333304</v>
          </cell>
          <cell r="AO841" t="str">
            <v/>
          </cell>
          <cell r="AW841" t="str">
            <v/>
          </cell>
          <cell r="AX841" t="str">
            <v/>
          </cell>
          <cell r="AZ841" t="str">
            <v/>
          </cell>
          <cell r="BA841" t="str">
            <v/>
          </cell>
          <cell r="BB841" t="str">
            <v/>
          </cell>
          <cell r="BC841" t="str">
            <v/>
          </cell>
        </row>
        <row r="842">
          <cell r="E842" t="str">
            <v/>
          </cell>
          <cell r="F842" t="str">
            <v/>
          </cell>
          <cell r="G842" t="str">
            <v/>
          </cell>
          <cell r="O842" t="str">
            <v/>
          </cell>
          <cell r="Q842" t="str">
            <v/>
          </cell>
          <cell r="W842" t="str">
            <v xml:space="preserve"> of </v>
          </cell>
          <cell r="X842" t="str">
            <v xml:space="preserve"> of </v>
          </cell>
          <cell r="Z842" t="str">
            <v/>
          </cell>
          <cell r="AC842" t="str">
            <v xml:space="preserve"> of </v>
          </cell>
          <cell r="AD842" t="str">
            <v xml:space="preserve"> of </v>
          </cell>
          <cell r="AF842" t="str">
            <v/>
          </cell>
          <cell r="AI842" t="str">
            <v xml:space="preserve"> of </v>
          </cell>
          <cell r="AJ842" t="str">
            <v xml:space="preserve"> of </v>
          </cell>
          <cell r="AL842" t="str">
            <v/>
          </cell>
          <cell r="AM842">
            <v>0.70833333333333304</v>
          </cell>
          <cell r="AO842" t="str">
            <v/>
          </cell>
          <cell r="AW842" t="str">
            <v/>
          </cell>
          <cell r="AX842" t="str">
            <v/>
          </cell>
          <cell r="AZ842" t="str">
            <v/>
          </cell>
          <cell r="BA842" t="str">
            <v/>
          </cell>
          <cell r="BB842" t="str">
            <v/>
          </cell>
          <cell r="BC842" t="str">
            <v/>
          </cell>
        </row>
        <row r="843">
          <cell r="E843" t="str">
            <v/>
          </cell>
          <cell r="F843" t="str">
            <v/>
          </cell>
          <cell r="G843" t="str">
            <v/>
          </cell>
          <cell r="O843" t="str">
            <v/>
          </cell>
          <cell r="Q843" t="str">
            <v/>
          </cell>
          <cell r="W843" t="str">
            <v xml:space="preserve"> of </v>
          </cell>
          <cell r="X843" t="str">
            <v xml:space="preserve"> of </v>
          </cell>
          <cell r="Z843" t="str">
            <v/>
          </cell>
          <cell r="AC843" t="str">
            <v xml:space="preserve"> of </v>
          </cell>
          <cell r="AD843" t="str">
            <v xml:space="preserve"> of </v>
          </cell>
          <cell r="AF843" t="str">
            <v/>
          </cell>
          <cell r="AI843" t="str">
            <v xml:space="preserve"> of </v>
          </cell>
          <cell r="AJ843" t="str">
            <v xml:space="preserve"> of </v>
          </cell>
          <cell r="AL843" t="str">
            <v/>
          </cell>
          <cell r="AM843">
            <v>0.70833333333333304</v>
          </cell>
          <cell r="AO843" t="str">
            <v/>
          </cell>
          <cell r="AW843" t="str">
            <v/>
          </cell>
          <cell r="AX843" t="str">
            <v/>
          </cell>
          <cell r="AZ843" t="str">
            <v/>
          </cell>
          <cell r="BA843" t="str">
            <v/>
          </cell>
          <cell r="BB843" t="str">
            <v/>
          </cell>
          <cell r="BC843" t="str">
            <v/>
          </cell>
        </row>
        <row r="844">
          <cell r="E844" t="str">
            <v/>
          </cell>
          <cell r="F844" t="str">
            <v/>
          </cell>
          <cell r="G844" t="str">
            <v/>
          </cell>
          <cell r="O844" t="str">
            <v/>
          </cell>
          <cell r="Q844" t="str">
            <v/>
          </cell>
          <cell r="W844" t="str">
            <v xml:space="preserve"> of </v>
          </cell>
          <cell r="X844" t="str">
            <v xml:space="preserve"> of </v>
          </cell>
          <cell r="Z844" t="str">
            <v/>
          </cell>
          <cell r="AC844" t="str">
            <v xml:space="preserve"> of </v>
          </cell>
          <cell r="AD844" t="str">
            <v xml:space="preserve"> of </v>
          </cell>
          <cell r="AF844" t="str">
            <v/>
          </cell>
          <cell r="AI844" t="str">
            <v xml:space="preserve"> of </v>
          </cell>
          <cell r="AJ844" t="str">
            <v xml:space="preserve"> of </v>
          </cell>
          <cell r="AL844" t="str">
            <v/>
          </cell>
          <cell r="AM844">
            <v>0.70833333333333304</v>
          </cell>
          <cell r="AO844" t="str">
            <v/>
          </cell>
          <cell r="AW844" t="str">
            <v/>
          </cell>
          <cell r="AX844" t="str">
            <v/>
          </cell>
          <cell r="AZ844" t="str">
            <v/>
          </cell>
          <cell r="BA844" t="str">
            <v/>
          </cell>
          <cell r="BB844" t="str">
            <v/>
          </cell>
          <cell r="BC844" t="str">
            <v/>
          </cell>
        </row>
        <row r="845">
          <cell r="E845" t="str">
            <v/>
          </cell>
          <cell r="F845" t="str">
            <v/>
          </cell>
          <cell r="G845" t="str">
            <v/>
          </cell>
          <cell r="O845" t="str">
            <v/>
          </cell>
          <cell r="Q845" t="str">
            <v/>
          </cell>
          <cell r="W845" t="str">
            <v xml:space="preserve"> of </v>
          </cell>
          <cell r="X845" t="str">
            <v xml:space="preserve"> of </v>
          </cell>
          <cell r="Z845" t="str">
            <v/>
          </cell>
          <cell r="AC845" t="str">
            <v xml:space="preserve"> of </v>
          </cell>
          <cell r="AD845" t="str">
            <v xml:space="preserve"> of </v>
          </cell>
          <cell r="AF845" t="str">
            <v/>
          </cell>
          <cell r="AI845" t="str">
            <v xml:space="preserve"> of </v>
          </cell>
          <cell r="AJ845" t="str">
            <v xml:space="preserve"> of </v>
          </cell>
          <cell r="AL845" t="str">
            <v/>
          </cell>
          <cell r="AM845">
            <v>0.70833333333333304</v>
          </cell>
          <cell r="AO845" t="str">
            <v/>
          </cell>
          <cell r="AW845" t="str">
            <v/>
          </cell>
          <cell r="AX845" t="str">
            <v/>
          </cell>
          <cell r="AZ845" t="str">
            <v/>
          </cell>
          <cell r="BA845" t="str">
            <v/>
          </cell>
          <cell r="BB845" t="str">
            <v/>
          </cell>
          <cell r="BC845" t="str">
            <v/>
          </cell>
        </row>
        <row r="846">
          <cell r="E846" t="str">
            <v/>
          </cell>
          <cell r="F846" t="str">
            <v/>
          </cell>
          <cell r="G846" t="str">
            <v/>
          </cell>
          <cell r="O846" t="str">
            <v/>
          </cell>
          <cell r="Q846" t="str">
            <v/>
          </cell>
          <cell r="W846" t="str">
            <v xml:space="preserve"> of </v>
          </cell>
          <cell r="X846" t="str">
            <v xml:space="preserve"> of </v>
          </cell>
          <cell r="Z846" t="str">
            <v/>
          </cell>
          <cell r="AC846" t="str">
            <v xml:space="preserve"> of </v>
          </cell>
          <cell r="AD846" t="str">
            <v xml:space="preserve"> of </v>
          </cell>
          <cell r="AF846" t="str">
            <v/>
          </cell>
          <cell r="AI846" t="str">
            <v xml:space="preserve"> of </v>
          </cell>
          <cell r="AJ846" t="str">
            <v xml:space="preserve"> of </v>
          </cell>
          <cell r="AL846" t="str">
            <v/>
          </cell>
          <cell r="AM846">
            <v>0.70833333333333304</v>
          </cell>
          <cell r="AO846" t="str">
            <v/>
          </cell>
          <cell r="AW846" t="str">
            <v/>
          </cell>
          <cell r="AX846" t="str">
            <v/>
          </cell>
          <cell r="AZ846" t="str">
            <v/>
          </cell>
          <cell r="BA846" t="str">
            <v/>
          </cell>
          <cell r="BB846" t="str">
            <v/>
          </cell>
          <cell r="BC846" t="str">
            <v/>
          </cell>
        </row>
        <row r="847">
          <cell r="E847" t="str">
            <v/>
          </cell>
          <cell r="F847" t="str">
            <v/>
          </cell>
          <cell r="G847" t="str">
            <v/>
          </cell>
          <cell r="O847" t="str">
            <v/>
          </cell>
          <cell r="Q847" t="str">
            <v/>
          </cell>
          <cell r="W847" t="str">
            <v xml:space="preserve"> of </v>
          </cell>
          <cell r="X847" t="str">
            <v xml:space="preserve"> of </v>
          </cell>
          <cell r="Z847" t="str">
            <v/>
          </cell>
          <cell r="AC847" t="str">
            <v xml:space="preserve"> of </v>
          </cell>
          <cell r="AD847" t="str">
            <v xml:space="preserve"> of </v>
          </cell>
          <cell r="AF847" t="str">
            <v/>
          </cell>
          <cell r="AI847" t="str">
            <v xml:space="preserve"> of </v>
          </cell>
          <cell r="AJ847" t="str">
            <v xml:space="preserve"> of </v>
          </cell>
          <cell r="AL847" t="str">
            <v/>
          </cell>
          <cell r="AM847">
            <v>0.70833333333333304</v>
          </cell>
          <cell r="AO847" t="str">
            <v/>
          </cell>
          <cell r="AW847" t="str">
            <v/>
          </cell>
          <cell r="AX847" t="str">
            <v/>
          </cell>
          <cell r="AZ847" t="str">
            <v/>
          </cell>
          <cell r="BA847" t="str">
            <v/>
          </cell>
          <cell r="BB847" t="str">
            <v/>
          </cell>
          <cell r="BC847" t="str">
            <v/>
          </cell>
        </row>
        <row r="848">
          <cell r="E848" t="str">
            <v/>
          </cell>
          <cell r="F848" t="str">
            <v/>
          </cell>
          <cell r="G848" t="str">
            <v/>
          </cell>
          <cell r="O848" t="str">
            <v/>
          </cell>
          <cell r="Q848" t="str">
            <v/>
          </cell>
          <cell r="W848" t="str">
            <v xml:space="preserve"> of </v>
          </cell>
          <cell r="X848" t="str">
            <v xml:space="preserve"> of </v>
          </cell>
          <cell r="Z848" t="str">
            <v/>
          </cell>
          <cell r="AC848" t="str">
            <v xml:space="preserve"> of </v>
          </cell>
          <cell r="AD848" t="str">
            <v xml:space="preserve"> of </v>
          </cell>
          <cell r="AF848" t="str">
            <v/>
          </cell>
          <cell r="AI848" t="str">
            <v xml:space="preserve"> of </v>
          </cell>
          <cell r="AJ848" t="str">
            <v xml:space="preserve"> of </v>
          </cell>
          <cell r="AL848" t="str">
            <v/>
          </cell>
          <cell r="AM848">
            <v>0.70833333333333304</v>
          </cell>
          <cell r="AO848" t="str">
            <v/>
          </cell>
          <cell r="AW848" t="str">
            <v/>
          </cell>
          <cell r="AX848" t="str">
            <v/>
          </cell>
          <cell r="AZ848" t="str">
            <v/>
          </cell>
          <cell r="BA848" t="str">
            <v/>
          </cell>
          <cell r="BB848" t="str">
            <v/>
          </cell>
          <cell r="BC848" t="str">
            <v/>
          </cell>
        </row>
        <row r="849">
          <cell r="E849" t="str">
            <v/>
          </cell>
          <cell r="F849" t="str">
            <v/>
          </cell>
          <cell r="G849" t="str">
            <v/>
          </cell>
          <cell r="O849" t="str">
            <v/>
          </cell>
          <cell r="Q849" t="str">
            <v/>
          </cell>
          <cell r="W849" t="str">
            <v xml:space="preserve"> of </v>
          </cell>
          <cell r="X849" t="str">
            <v xml:space="preserve"> of </v>
          </cell>
          <cell r="Z849" t="str">
            <v/>
          </cell>
          <cell r="AC849" t="str">
            <v xml:space="preserve"> of </v>
          </cell>
          <cell r="AD849" t="str">
            <v xml:space="preserve"> of </v>
          </cell>
          <cell r="AF849" t="str">
            <v/>
          </cell>
          <cell r="AI849" t="str">
            <v xml:space="preserve"> of </v>
          </cell>
          <cell r="AJ849" t="str">
            <v xml:space="preserve"> of </v>
          </cell>
          <cell r="AL849" t="str">
            <v/>
          </cell>
          <cell r="AM849">
            <v>0.70833333333333304</v>
          </cell>
          <cell r="AO849" t="str">
            <v/>
          </cell>
          <cell r="AW849" t="str">
            <v/>
          </cell>
          <cell r="AX849" t="str">
            <v/>
          </cell>
          <cell r="AZ849" t="str">
            <v/>
          </cell>
          <cell r="BA849" t="str">
            <v/>
          </cell>
          <cell r="BB849" t="str">
            <v/>
          </cell>
          <cell r="BC849" t="str">
            <v/>
          </cell>
        </row>
        <row r="850">
          <cell r="E850" t="str">
            <v/>
          </cell>
          <cell r="F850" t="str">
            <v/>
          </cell>
          <cell r="G850" t="str">
            <v/>
          </cell>
          <cell r="O850" t="str">
            <v/>
          </cell>
          <cell r="Q850" t="str">
            <v/>
          </cell>
          <cell r="W850" t="str">
            <v xml:space="preserve"> of </v>
          </cell>
          <cell r="X850" t="str">
            <v xml:space="preserve"> of </v>
          </cell>
          <cell r="Z850" t="str">
            <v/>
          </cell>
          <cell r="AC850" t="str">
            <v xml:space="preserve"> of </v>
          </cell>
          <cell r="AD850" t="str">
            <v xml:space="preserve"> of </v>
          </cell>
          <cell r="AF850" t="str">
            <v/>
          </cell>
          <cell r="AI850" t="str">
            <v xml:space="preserve"> of </v>
          </cell>
          <cell r="AJ850" t="str">
            <v xml:space="preserve"> of </v>
          </cell>
          <cell r="AL850" t="str">
            <v/>
          </cell>
          <cell r="AM850">
            <v>0.70833333333333304</v>
          </cell>
          <cell r="AO850" t="str">
            <v/>
          </cell>
          <cell r="AW850" t="str">
            <v/>
          </cell>
          <cell r="AX850" t="str">
            <v/>
          </cell>
          <cell r="AZ850" t="str">
            <v/>
          </cell>
          <cell r="BA850" t="str">
            <v/>
          </cell>
          <cell r="BB850" t="str">
            <v/>
          </cell>
          <cell r="BC850" t="str">
            <v/>
          </cell>
        </row>
        <row r="851">
          <cell r="E851" t="str">
            <v/>
          </cell>
          <cell r="F851" t="str">
            <v/>
          </cell>
          <cell r="G851" t="str">
            <v/>
          </cell>
          <cell r="O851" t="str">
            <v/>
          </cell>
          <cell r="Q851" t="str">
            <v/>
          </cell>
          <cell r="W851" t="str">
            <v xml:space="preserve"> of </v>
          </cell>
          <cell r="X851" t="str">
            <v xml:space="preserve"> of </v>
          </cell>
          <cell r="Z851" t="str">
            <v/>
          </cell>
          <cell r="AC851" t="str">
            <v xml:space="preserve"> of </v>
          </cell>
          <cell r="AD851" t="str">
            <v xml:space="preserve"> of </v>
          </cell>
          <cell r="AF851" t="str">
            <v/>
          </cell>
          <cell r="AI851" t="str">
            <v xml:space="preserve"> of </v>
          </cell>
          <cell r="AJ851" t="str">
            <v xml:space="preserve"> of </v>
          </cell>
          <cell r="AL851" t="str">
            <v/>
          </cell>
          <cell r="AM851">
            <v>0.70833333333333304</v>
          </cell>
          <cell r="AO851" t="str">
            <v/>
          </cell>
          <cell r="AW851" t="str">
            <v/>
          </cell>
          <cell r="AX851" t="str">
            <v/>
          </cell>
          <cell r="AZ851" t="str">
            <v/>
          </cell>
          <cell r="BA851" t="str">
            <v/>
          </cell>
          <cell r="BB851" t="str">
            <v/>
          </cell>
          <cell r="BC851" t="str">
            <v/>
          </cell>
        </row>
        <row r="852">
          <cell r="E852" t="str">
            <v/>
          </cell>
          <cell r="F852" t="str">
            <v/>
          </cell>
          <cell r="G852" t="str">
            <v/>
          </cell>
          <cell r="O852" t="str">
            <v/>
          </cell>
          <cell r="Q852" t="str">
            <v/>
          </cell>
          <cell r="W852" t="str">
            <v xml:space="preserve"> of </v>
          </cell>
          <cell r="X852" t="str">
            <v xml:space="preserve"> of </v>
          </cell>
          <cell r="Z852" t="str">
            <v/>
          </cell>
          <cell r="AC852" t="str">
            <v xml:space="preserve"> of </v>
          </cell>
          <cell r="AD852" t="str">
            <v xml:space="preserve"> of </v>
          </cell>
          <cell r="AF852" t="str">
            <v/>
          </cell>
          <cell r="AI852" t="str">
            <v xml:space="preserve"> of </v>
          </cell>
          <cell r="AJ852" t="str">
            <v xml:space="preserve"> of </v>
          </cell>
          <cell r="AL852" t="str">
            <v/>
          </cell>
          <cell r="AM852">
            <v>0.70833333333333304</v>
          </cell>
          <cell r="AO852" t="str">
            <v/>
          </cell>
          <cell r="AW852" t="str">
            <v/>
          </cell>
          <cell r="AX852" t="str">
            <v/>
          </cell>
          <cell r="AZ852" t="str">
            <v/>
          </cell>
          <cell r="BA852" t="str">
            <v/>
          </cell>
          <cell r="BB852" t="str">
            <v/>
          </cell>
          <cell r="BC852" t="str">
            <v/>
          </cell>
        </row>
        <row r="853">
          <cell r="E853" t="str">
            <v/>
          </cell>
          <cell r="F853" t="str">
            <v/>
          </cell>
          <cell r="G853" t="str">
            <v/>
          </cell>
          <cell r="O853" t="str">
            <v/>
          </cell>
          <cell r="Q853" t="str">
            <v/>
          </cell>
          <cell r="W853" t="str">
            <v xml:space="preserve"> of </v>
          </cell>
          <cell r="X853" t="str">
            <v xml:space="preserve"> of </v>
          </cell>
          <cell r="Z853" t="str">
            <v/>
          </cell>
          <cell r="AC853" t="str">
            <v xml:space="preserve"> of </v>
          </cell>
          <cell r="AD853" t="str">
            <v xml:space="preserve"> of </v>
          </cell>
          <cell r="AF853" t="str">
            <v/>
          </cell>
          <cell r="AI853" t="str">
            <v xml:space="preserve"> of </v>
          </cell>
          <cell r="AJ853" t="str">
            <v xml:space="preserve"> of </v>
          </cell>
          <cell r="AL853" t="str">
            <v/>
          </cell>
          <cell r="AM853">
            <v>0.70833333333333304</v>
          </cell>
          <cell r="AO853" t="str">
            <v/>
          </cell>
          <cell r="AW853" t="str">
            <v/>
          </cell>
          <cell r="AX853" t="str">
            <v/>
          </cell>
          <cell r="AZ853" t="str">
            <v/>
          </cell>
          <cell r="BA853" t="str">
            <v/>
          </cell>
          <cell r="BB853" t="str">
            <v/>
          </cell>
          <cell r="BC853" t="str">
            <v/>
          </cell>
        </row>
        <row r="854">
          <cell r="E854" t="str">
            <v/>
          </cell>
          <cell r="F854" t="str">
            <v/>
          </cell>
          <cell r="G854" t="str">
            <v/>
          </cell>
          <cell r="O854" t="str">
            <v/>
          </cell>
          <cell r="Q854" t="str">
            <v/>
          </cell>
          <cell r="W854" t="str">
            <v xml:space="preserve"> of </v>
          </cell>
          <cell r="X854" t="str">
            <v xml:space="preserve"> of </v>
          </cell>
          <cell r="Z854" t="str">
            <v/>
          </cell>
          <cell r="AC854" t="str">
            <v xml:space="preserve"> of </v>
          </cell>
          <cell r="AD854" t="str">
            <v xml:space="preserve"> of </v>
          </cell>
          <cell r="AF854" t="str">
            <v/>
          </cell>
          <cell r="AI854" t="str">
            <v xml:space="preserve"> of </v>
          </cell>
          <cell r="AJ854" t="str">
            <v xml:space="preserve"> of </v>
          </cell>
          <cell r="AL854" t="str">
            <v/>
          </cell>
          <cell r="AM854">
            <v>0.70833333333333304</v>
          </cell>
          <cell r="AO854" t="str">
            <v/>
          </cell>
          <cell r="AW854" t="str">
            <v/>
          </cell>
          <cell r="AX854" t="str">
            <v/>
          </cell>
          <cell r="AZ854" t="str">
            <v/>
          </cell>
          <cell r="BA854" t="str">
            <v/>
          </cell>
          <cell r="BB854" t="str">
            <v/>
          </cell>
          <cell r="BC854" t="str">
            <v/>
          </cell>
        </row>
        <row r="855">
          <cell r="E855" t="str">
            <v/>
          </cell>
          <cell r="F855" t="str">
            <v/>
          </cell>
          <cell r="G855" t="str">
            <v/>
          </cell>
          <cell r="O855" t="str">
            <v/>
          </cell>
          <cell r="Q855" t="str">
            <v/>
          </cell>
          <cell r="W855" t="str">
            <v xml:space="preserve"> of </v>
          </cell>
          <cell r="X855" t="str">
            <v xml:space="preserve"> of </v>
          </cell>
          <cell r="Z855" t="str">
            <v/>
          </cell>
          <cell r="AC855" t="str">
            <v xml:space="preserve"> of </v>
          </cell>
          <cell r="AD855" t="str">
            <v xml:space="preserve"> of </v>
          </cell>
          <cell r="AF855" t="str">
            <v/>
          </cell>
          <cell r="AI855" t="str">
            <v xml:space="preserve"> of </v>
          </cell>
          <cell r="AJ855" t="str">
            <v xml:space="preserve"> of </v>
          </cell>
          <cell r="AL855" t="str">
            <v/>
          </cell>
          <cell r="AM855">
            <v>0.70833333333333304</v>
          </cell>
          <cell r="AO855" t="str">
            <v/>
          </cell>
          <cell r="AW855" t="str">
            <v/>
          </cell>
          <cell r="AX855" t="str">
            <v/>
          </cell>
          <cell r="AZ855" t="str">
            <v/>
          </cell>
          <cell r="BA855" t="str">
            <v/>
          </cell>
          <cell r="BB855" t="str">
            <v/>
          </cell>
          <cell r="BC855" t="str">
            <v/>
          </cell>
        </row>
        <row r="856">
          <cell r="E856" t="str">
            <v/>
          </cell>
          <cell r="F856" t="str">
            <v/>
          </cell>
          <cell r="G856" t="str">
            <v/>
          </cell>
          <cell r="O856" t="str">
            <v/>
          </cell>
          <cell r="Q856" t="str">
            <v/>
          </cell>
          <cell r="W856" t="str">
            <v xml:space="preserve"> of </v>
          </cell>
          <cell r="X856" t="str">
            <v xml:space="preserve"> of </v>
          </cell>
          <cell r="Z856" t="str">
            <v/>
          </cell>
          <cell r="AC856" t="str">
            <v xml:space="preserve"> of </v>
          </cell>
          <cell r="AD856" t="str">
            <v xml:space="preserve"> of </v>
          </cell>
          <cell r="AF856" t="str">
            <v/>
          </cell>
          <cell r="AI856" t="str">
            <v xml:space="preserve"> of </v>
          </cell>
          <cell r="AJ856" t="str">
            <v xml:space="preserve"> of </v>
          </cell>
          <cell r="AL856" t="str">
            <v/>
          </cell>
          <cell r="AM856">
            <v>0.70833333333333304</v>
          </cell>
          <cell r="AO856" t="str">
            <v/>
          </cell>
          <cell r="AW856" t="str">
            <v/>
          </cell>
          <cell r="AX856" t="str">
            <v/>
          </cell>
          <cell r="AZ856" t="str">
            <v/>
          </cell>
          <cell r="BA856" t="str">
            <v/>
          </cell>
          <cell r="BB856" t="str">
            <v/>
          </cell>
          <cell r="BC856" t="str">
            <v/>
          </cell>
        </row>
        <row r="857">
          <cell r="E857" t="str">
            <v/>
          </cell>
          <cell r="F857" t="str">
            <v/>
          </cell>
          <cell r="G857" t="str">
            <v/>
          </cell>
          <cell r="O857" t="str">
            <v/>
          </cell>
          <cell r="Q857" t="str">
            <v/>
          </cell>
          <cell r="W857" t="str">
            <v xml:space="preserve"> of </v>
          </cell>
          <cell r="X857" t="str">
            <v xml:space="preserve"> of </v>
          </cell>
          <cell r="Z857" t="str">
            <v/>
          </cell>
          <cell r="AC857" t="str">
            <v xml:space="preserve"> of </v>
          </cell>
          <cell r="AD857" t="str">
            <v xml:space="preserve"> of </v>
          </cell>
          <cell r="AF857" t="str">
            <v/>
          </cell>
          <cell r="AI857" t="str">
            <v xml:space="preserve"> of </v>
          </cell>
          <cell r="AJ857" t="str">
            <v xml:space="preserve"> of </v>
          </cell>
          <cell r="AL857" t="str">
            <v/>
          </cell>
          <cell r="AM857">
            <v>0.70833333333333304</v>
          </cell>
          <cell r="AO857" t="str">
            <v/>
          </cell>
          <cell r="AW857" t="str">
            <v/>
          </cell>
          <cell r="AX857" t="str">
            <v/>
          </cell>
          <cell r="AZ857" t="str">
            <v/>
          </cell>
          <cell r="BA857" t="str">
            <v/>
          </cell>
          <cell r="BB857" t="str">
            <v/>
          </cell>
          <cell r="BC857" t="str">
            <v/>
          </cell>
        </row>
        <row r="858">
          <cell r="E858" t="str">
            <v/>
          </cell>
          <cell r="F858" t="str">
            <v/>
          </cell>
          <cell r="G858" t="str">
            <v/>
          </cell>
          <cell r="O858" t="str">
            <v/>
          </cell>
          <cell r="Q858" t="str">
            <v/>
          </cell>
          <cell r="W858" t="str">
            <v xml:space="preserve"> of </v>
          </cell>
          <cell r="X858" t="str">
            <v xml:space="preserve"> of </v>
          </cell>
          <cell r="Z858" t="str">
            <v/>
          </cell>
          <cell r="AC858" t="str">
            <v xml:space="preserve"> of </v>
          </cell>
          <cell r="AD858" t="str">
            <v xml:space="preserve"> of </v>
          </cell>
          <cell r="AF858" t="str">
            <v/>
          </cell>
          <cell r="AI858" t="str">
            <v xml:space="preserve"> of </v>
          </cell>
          <cell r="AJ858" t="str">
            <v xml:space="preserve"> of </v>
          </cell>
          <cell r="AL858" t="str">
            <v/>
          </cell>
          <cell r="AM858">
            <v>0.70833333333333304</v>
          </cell>
          <cell r="AO858" t="str">
            <v/>
          </cell>
          <cell r="AW858" t="str">
            <v/>
          </cell>
          <cell r="AX858" t="str">
            <v/>
          </cell>
          <cell r="AZ858" t="str">
            <v/>
          </cell>
          <cell r="BA858" t="str">
            <v/>
          </cell>
          <cell r="BB858" t="str">
            <v/>
          </cell>
          <cell r="BC858" t="str">
            <v/>
          </cell>
        </row>
        <row r="859">
          <cell r="E859" t="str">
            <v/>
          </cell>
          <cell r="F859" t="str">
            <v/>
          </cell>
          <cell r="G859" t="str">
            <v/>
          </cell>
          <cell r="O859" t="str">
            <v/>
          </cell>
          <cell r="Q859" t="str">
            <v/>
          </cell>
          <cell r="W859" t="str">
            <v xml:space="preserve"> of </v>
          </cell>
          <cell r="X859" t="str">
            <v xml:space="preserve"> of </v>
          </cell>
          <cell r="Z859" t="str">
            <v/>
          </cell>
          <cell r="AC859" t="str">
            <v xml:space="preserve"> of </v>
          </cell>
          <cell r="AD859" t="str">
            <v xml:space="preserve"> of </v>
          </cell>
          <cell r="AF859" t="str">
            <v/>
          </cell>
          <cell r="AI859" t="str">
            <v xml:space="preserve"> of </v>
          </cell>
          <cell r="AJ859" t="str">
            <v xml:space="preserve"> of </v>
          </cell>
          <cell r="AL859" t="str">
            <v/>
          </cell>
          <cell r="AM859">
            <v>0.70833333333333304</v>
          </cell>
          <cell r="AO859" t="str">
            <v/>
          </cell>
          <cell r="AW859" t="str">
            <v/>
          </cell>
          <cell r="AX859" t="str">
            <v/>
          </cell>
          <cell r="AZ859" t="str">
            <v/>
          </cell>
          <cell r="BA859" t="str">
            <v/>
          </cell>
          <cell r="BB859" t="str">
            <v/>
          </cell>
          <cell r="BC859" t="str">
            <v/>
          </cell>
        </row>
        <row r="860">
          <cell r="E860" t="str">
            <v/>
          </cell>
          <cell r="F860" t="str">
            <v/>
          </cell>
          <cell r="G860" t="str">
            <v/>
          </cell>
          <cell r="O860" t="str">
            <v/>
          </cell>
          <cell r="Q860" t="str">
            <v/>
          </cell>
          <cell r="W860" t="str">
            <v xml:space="preserve"> of </v>
          </cell>
          <cell r="X860" t="str">
            <v xml:space="preserve"> of </v>
          </cell>
          <cell r="Z860" t="str">
            <v/>
          </cell>
          <cell r="AC860" t="str">
            <v xml:space="preserve"> of </v>
          </cell>
          <cell r="AD860" t="str">
            <v xml:space="preserve"> of </v>
          </cell>
          <cell r="AF860" t="str">
            <v/>
          </cell>
          <cell r="AI860" t="str">
            <v xml:space="preserve"> of </v>
          </cell>
          <cell r="AJ860" t="str">
            <v xml:space="preserve"> of </v>
          </cell>
          <cell r="AL860" t="str">
            <v/>
          </cell>
          <cell r="AM860">
            <v>0.70833333333333304</v>
          </cell>
          <cell r="AO860" t="str">
            <v/>
          </cell>
          <cell r="AW860" t="str">
            <v/>
          </cell>
          <cell r="AX860" t="str">
            <v/>
          </cell>
          <cell r="AZ860" t="str">
            <v/>
          </cell>
          <cell r="BA860" t="str">
            <v/>
          </cell>
          <cell r="BB860" t="str">
            <v/>
          </cell>
          <cell r="BC860" t="str">
            <v/>
          </cell>
        </row>
        <row r="861">
          <cell r="E861" t="str">
            <v/>
          </cell>
          <cell r="F861" t="str">
            <v/>
          </cell>
          <cell r="G861" t="str">
            <v/>
          </cell>
          <cell r="O861" t="str">
            <v/>
          </cell>
          <cell r="Q861" t="str">
            <v/>
          </cell>
          <cell r="W861" t="str">
            <v xml:space="preserve"> of </v>
          </cell>
          <cell r="X861" t="str">
            <v xml:space="preserve"> of </v>
          </cell>
          <cell r="Z861" t="str">
            <v/>
          </cell>
          <cell r="AC861" t="str">
            <v xml:space="preserve"> of </v>
          </cell>
          <cell r="AD861" t="str">
            <v xml:space="preserve"> of </v>
          </cell>
          <cell r="AF861" t="str">
            <v/>
          </cell>
          <cell r="AI861" t="str">
            <v xml:space="preserve"> of </v>
          </cell>
          <cell r="AJ861" t="str">
            <v xml:space="preserve"> of </v>
          </cell>
          <cell r="AL861" t="str">
            <v/>
          </cell>
          <cell r="AM861">
            <v>0.70833333333333304</v>
          </cell>
          <cell r="AO861" t="str">
            <v/>
          </cell>
          <cell r="AW861" t="str">
            <v/>
          </cell>
          <cell r="AX861" t="str">
            <v/>
          </cell>
          <cell r="AZ861" t="str">
            <v/>
          </cell>
          <cell r="BA861" t="str">
            <v/>
          </cell>
          <cell r="BB861" t="str">
            <v/>
          </cell>
          <cell r="BC861" t="str">
            <v/>
          </cell>
        </row>
        <row r="862">
          <cell r="E862" t="str">
            <v/>
          </cell>
          <cell r="F862" t="str">
            <v/>
          </cell>
          <cell r="G862" t="str">
            <v/>
          </cell>
          <cell r="O862" t="str">
            <v/>
          </cell>
          <cell r="Q862" t="str">
            <v/>
          </cell>
          <cell r="W862" t="str">
            <v xml:space="preserve"> of </v>
          </cell>
          <cell r="X862" t="str">
            <v xml:space="preserve"> of </v>
          </cell>
          <cell r="Z862" t="str">
            <v/>
          </cell>
          <cell r="AC862" t="str">
            <v xml:space="preserve"> of </v>
          </cell>
          <cell r="AD862" t="str">
            <v xml:space="preserve"> of </v>
          </cell>
          <cell r="AF862" t="str">
            <v/>
          </cell>
          <cell r="AI862" t="str">
            <v xml:space="preserve"> of </v>
          </cell>
          <cell r="AJ862" t="str">
            <v xml:space="preserve"> of </v>
          </cell>
          <cell r="AL862" t="str">
            <v/>
          </cell>
          <cell r="AM862">
            <v>0.70833333333333304</v>
          </cell>
          <cell r="AO862" t="str">
            <v/>
          </cell>
          <cell r="AW862" t="str">
            <v/>
          </cell>
          <cell r="AX862" t="str">
            <v/>
          </cell>
          <cell r="AZ862" t="str">
            <v/>
          </cell>
          <cell r="BA862" t="str">
            <v/>
          </cell>
          <cell r="BB862" t="str">
            <v/>
          </cell>
          <cell r="BC862" t="str">
            <v/>
          </cell>
        </row>
        <row r="863">
          <cell r="E863" t="str">
            <v/>
          </cell>
          <cell r="F863" t="str">
            <v/>
          </cell>
          <cell r="G863" t="str">
            <v/>
          </cell>
          <cell r="O863" t="str">
            <v/>
          </cell>
          <cell r="Q863" t="str">
            <v/>
          </cell>
          <cell r="W863" t="str">
            <v xml:space="preserve"> of </v>
          </cell>
          <cell r="X863" t="str">
            <v xml:space="preserve"> of </v>
          </cell>
          <cell r="Z863" t="str">
            <v/>
          </cell>
          <cell r="AC863" t="str">
            <v xml:space="preserve"> of </v>
          </cell>
          <cell r="AD863" t="str">
            <v xml:space="preserve"> of </v>
          </cell>
          <cell r="AF863" t="str">
            <v/>
          </cell>
          <cell r="AI863" t="str">
            <v xml:space="preserve"> of </v>
          </cell>
          <cell r="AJ863" t="str">
            <v xml:space="preserve"> of </v>
          </cell>
          <cell r="AL863" t="str">
            <v/>
          </cell>
          <cell r="AM863">
            <v>0.70833333333333304</v>
          </cell>
          <cell r="AO863" t="str">
            <v/>
          </cell>
          <cell r="AW863" t="str">
            <v/>
          </cell>
          <cell r="AX863" t="str">
            <v/>
          </cell>
          <cell r="AZ863" t="str">
            <v/>
          </cell>
          <cell r="BA863" t="str">
            <v/>
          </cell>
          <cell r="BB863" t="str">
            <v/>
          </cell>
          <cell r="BC863" t="str">
            <v/>
          </cell>
        </row>
        <row r="864">
          <cell r="E864" t="str">
            <v/>
          </cell>
          <cell r="F864" t="str">
            <v/>
          </cell>
          <cell r="G864" t="str">
            <v/>
          </cell>
          <cell r="O864" t="str">
            <v/>
          </cell>
          <cell r="Q864" t="str">
            <v/>
          </cell>
          <cell r="W864" t="str">
            <v xml:space="preserve"> of </v>
          </cell>
          <cell r="X864" t="str">
            <v xml:space="preserve"> of </v>
          </cell>
          <cell r="Z864" t="str">
            <v/>
          </cell>
          <cell r="AC864" t="str">
            <v xml:space="preserve"> of </v>
          </cell>
          <cell r="AD864" t="str">
            <v xml:space="preserve"> of </v>
          </cell>
          <cell r="AF864" t="str">
            <v/>
          </cell>
          <cell r="AI864" t="str">
            <v xml:space="preserve"> of </v>
          </cell>
          <cell r="AJ864" t="str">
            <v xml:space="preserve"> of </v>
          </cell>
          <cell r="AL864" t="str">
            <v/>
          </cell>
          <cell r="AM864">
            <v>0.70833333333333304</v>
          </cell>
          <cell r="AO864" t="str">
            <v/>
          </cell>
          <cell r="AW864" t="str">
            <v/>
          </cell>
          <cell r="AX864" t="str">
            <v/>
          </cell>
          <cell r="AZ864" t="str">
            <v/>
          </cell>
          <cell r="BA864" t="str">
            <v/>
          </cell>
          <cell r="BB864" t="str">
            <v/>
          </cell>
          <cell r="BC864" t="str">
            <v/>
          </cell>
        </row>
        <row r="865">
          <cell r="E865" t="str">
            <v/>
          </cell>
          <cell r="F865" t="str">
            <v/>
          </cell>
          <cell r="G865" t="str">
            <v/>
          </cell>
          <cell r="O865" t="str">
            <v/>
          </cell>
          <cell r="Q865" t="str">
            <v/>
          </cell>
          <cell r="W865" t="str">
            <v xml:space="preserve"> of </v>
          </cell>
          <cell r="X865" t="str">
            <v xml:space="preserve"> of </v>
          </cell>
          <cell r="Z865" t="str">
            <v/>
          </cell>
          <cell r="AC865" t="str">
            <v xml:space="preserve"> of </v>
          </cell>
          <cell r="AD865" t="str">
            <v xml:space="preserve"> of </v>
          </cell>
          <cell r="AF865" t="str">
            <v/>
          </cell>
          <cell r="AI865" t="str">
            <v xml:space="preserve"> of </v>
          </cell>
          <cell r="AJ865" t="str">
            <v xml:space="preserve"> of </v>
          </cell>
          <cell r="AL865" t="str">
            <v/>
          </cell>
          <cell r="AM865">
            <v>0.70833333333333304</v>
          </cell>
          <cell r="AO865" t="str">
            <v/>
          </cell>
          <cell r="AW865" t="str">
            <v/>
          </cell>
          <cell r="AX865" t="str">
            <v/>
          </cell>
          <cell r="AZ865" t="str">
            <v/>
          </cell>
          <cell r="BA865" t="str">
            <v/>
          </cell>
          <cell r="BB865" t="str">
            <v/>
          </cell>
          <cell r="BC865" t="str">
            <v/>
          </cell>
        </row>
        <row r="866">
          <cell r="E866" t="str">
            <v/>
          </cell>
          <cell r="F866" t="str">
            <v/>
          </cell>
          <cell r="G866" t="str">
            <v/>
          </cell>
          <cell r="O866" t="str">
            <v/>
          </cell>
          <cell r="Q866" t="str">
            <v/>
          </cell>
          <cell r="W866" t="str">
            <v xml:space="preserve"> of </v>
          </cell>
          <cell r="X866" t="str">
            <v xml:space="preserve"> of </v>
          </cell>
          <cell r="Z866" t="str">
            <v/>
          </cell>
          <cell r="AC866" t="str">
            <v xml:space="preserve"> of </v>
          </cell>
          <cell r="AD866" t="str">
            <v xml:space="preserve"> of </v>
          </cell>
          <cell r="AF866" t="str">
            <v/>
          </cell>
          <cell r="AI866" t="str">
            <v xml:space="preserve"> of </v>
          </cell>
          <cell r="AJ866" t="str">
            <v xml:space="preserve"> of </v>
          </cell>
          <cell r="AL866" t="str">
            <v/>
          </cell>
          <cell r="AM866">
            <v>0.70833333333333304</v>
          </cell>
          <cell r="AO866" t="str">
            <v/>
          </cell>
          <cell r="AW866" t="str">
            <v/>
          </cell>
          <cell r="AX866" t="str">
            <v/>
          </cell>
          <cell r="AZ866" t="str">
            <v/>
          </cell>
          <cell r="BA866" t="str">
            <v/>
          </cell>
          <cell r="BB866" t="str">
            <v/>
          </cell>
          <cell r="BC866" t="str">
            <v/>
          </cell>
        </row>
        <row r="867">
          <cell r="E867" t="str">
            <v/>
          </cell>
          <cell r="F867" t="str">
            <v/>
          </cell>
          <cell r="G867" t="str">
            <v/>
          </cell>
          <cell r="O867" t="str">
            <v/>
          </cell>
          <cell r="Q867" t="str">
            <v/>
          </cell>
          <cell r="W867" t="str">
            <v xml:space="preserve"> of </v>
          </cell>
          <cell r="X867" t="str">
            <v xml:space="preserve"> of </v>
          </cell>
          <cell r="Z867" t="str">
            <v/>
          </cell>
          <cell r="AC867" t="str">
            <v xml:space="preserve"> of </v>
          </cell>
          <cell r="AD867" t="str">
            <v xml:space="preserve"> of </v>
          </cell>
          <cell r="AF867" t="str">
            <v/>
          </cell>
          <cell r="AI867" t="str">
            <v xml:space="preserve"> of </v>
          </cell>
          <cell r="AJ867" t="str">
            <v xml:space="preserve"> of </v>
          </cell>
          <cell r="AL867" t="str">
            <v/>
          </cell>
          <cell r="AM867">
            <v>0.70833333333333304</v>
          </cell>
          <cell r="AO867" t="str">
            <v/>
          </cell>
          <cell r="AW867" t="str">
            <v/>
          </cell>
          <cell r="AX867" t="str">
            <v/>
          </cell>
          <cell r="AZ867" t="str">
            <v/>
          </cell>
          <cell r="BA867" t="str">
            <v/>
          </cell>
          <cell r="BB867" t="str">
            <v/>
          </cell>
          <cell r="BC867" t="str">
            <v/>
          </cell>
        </row>
        <row r="868">
          <cell r="E868" t="str">
            <v/>
          </cell>
          <cell r="F868" t="str">
            <v/>
          </cell>
          <cell r="G868" t="str">
            <v/>
          </cell>
          <cell r="O868" t="str">
            <v/>
          </cell>
          <cell r="Q868" t="str">
            <v/>
          </cell>
          <cell r="W868" t="str">
            <v xml:space="preserve"> of </v>
          </cell>
          <cell r="X868" t="str">
            <v xml:space="preserve"> of </v>
          </cell>
          <cell r="Z868" t="str">
            <v/>
          </cell>
          <cell r="AC868" t="str">
            <v xml:space="preserve"> of </v>
          </cell>
          <cell r="AD868" t="str">
            <v xml:space="preserve"> of </v>
          </cell>
          <cell r="AF868" t="str">
            <v/>
          </cell>
          <cell r="AI868" t="str">
            <v xml:space="preserve"> of </v>
          </cell>
          <cell r="AJ868" t="str">
            <v xml:space="preserve"> of </v>
          </cell>
          <cell r="AL868" t="str">
            <v/>
          </cell>
          <cell r="AM868">
            <v>0.70833333333333304</v>
          </cell>
          <cell r="AO868" t="str">
            <v/>
          </cell>
          <cell r="AW868" t="str">
            <v/>
          </cell>
          <cell r="AX868" t="str">
            <v/>
          </cell>
          <cell r="AZ868" t="str">
            <v/>
          </cell>
          <cell r="BA868" t="str">
            <v/>
          </cell>
          <cell r="BB868" t="str">
            <v/>
          </cell>
          <cell r="BC868" t="str">
            <v/>
          </cell>
        </row>
        <row r="869">
          <cell r="E869" t="str">
            <v/>
          </cell>
          <cell r="F869" t="str">
            <v/>
          </cell>
          <cell r="G869" t="str">
            <v/>
          </cell>
          <cell r="O869" t="str">
            <v/>
          </cell>
          <cell r="Q869" t="str">
            <v/>
          </cell>
          <cell r="W869" t="str">
            <v xml:space="preserve"> of </v>
          </cell>
          <cell r="X869" t="str">
            <v xml:space="preserve"> of </v>
          </cell>
          <cell r="Z869" t="str">
            <v/>
          </cell>
          <cell r="AC869" t="str">
            <v xml:space="preserve"> of </v>
          </cell>
          <cell r="AD869" t="str">
            <v xml:space="preserve"> of </v>
          </cell>
          <cell r="AF869" t="str">
            <v/>
          </cell>
          <cell r="AI869" t="str">
            <v xml:space="preserve"> of </v>
          </cell>
          <cell r="AJ869" t="str">
            <v xml:space="preserve"> of </v>
          </cell>
          <cell r="AL869" t="str">
            <v/>
          </cell>
          <cell r="AM869">
            <v>0.70833333333333304</v>
          </cell>
          <cell r="AO869" t="str">
            <v/>
          </cell>
          <cell r="AW869" t="str">
            <v/>
          </cell>
          <cell r="AX869" t="str">
            <v/>
          </cell>
          <cell r="AZ869" t="str">
            <v/>
          </cell>
          <cell r="BA869" t="str">
            <v/>
          </cell>
          <cell r="BB869" t="str">
            <v/>
          </cell>
          <cell r="BC869" t="str">
            <v/>
          </cell>
        </row>
        <row r="870">
          <cell r="E870" t="str">
            <v/>
          </cell>
          <cell r="F870" t="str">
            <v/>
          </cell>
          <cell r="G870" t="str">
            <v/>
          </cell>
          <cell r="O870" t="str">
            <v/>
          </cell>
          <cell r="Q870" t="str">
            <v/>
          </cell>
          <cell r="W870" t="str">
            <v xml:space="preserve"> of </v>
          </cell>
          <cell r="X870" t="str">
            <v xml:space="preserve"> of </v>
          </cell>
          <cell r="Z870" t="str">
            <v/>
          </cell>
          <cell r="AC870" t="str">
            <v xml:space="preserve"> of </v>
          </cell>
          <cell r="AD870" t="str">
            <v xml:space="preserve"> of </v>
          </cell>
          <cell r="AF870" t="str">
            <v/>
          </cell>
          <cell r="AI870" t="str">
            <v xml:space="preserve"> of </v>
          </cell>
          <cell r="AJ870" t="str">
            <v xml:space="preserve"> of </v>
          </cell>
          <cell r="AL870" t="str">
            <v/>
          </cell>
          <cell r="AM870">
            <v>0.70833333333333304</v>
          </cell>
          <cell r="AO870" t="str">
            <v/>
          </cell>
          <cell r="AW870" t="str">
            <v/>
          </cell>
          <cell r="AX870" t="str">
            <v/>
          </cell>
          <cell r="AZ870" t="str">
            <v/>
          </cell>
          <cell r="BA870" t="str">
            <v/>
          </cell>
          <cell r="BB870" t="str">
            <v/>
          </cell>
          <cell r="BC870" t="str">
            <v/>
          </cell>
        </row>
        <row r="871">
          <cell r="E871" t="str">
            <v/>
          </cell>
          <cell r="F871" t="str">
            <v/>
          </cell>
          <cell r="G871" t="str">
            <v/>
          </cell>
          <cell r="O871" t="str">
            <v/>
          </cell>
          <cell r="Q871" t="str">
            <v/>
          </cell>
          <cell r="W871" t="str">
            <v xml:space="preserve"> of </v>
          </cell>
          <cell r="X871" t="str">
            <v xml:space="preserve"> of </v>
          </cell>
          <cell r="Z871" t="str">
            <v/>
          </cell>
          <cell r="AC871" t="str">
            <v xml:space="preserve"> of </v>
          </cell>
          <cell r="AD871" t="str">
            <v xml:space="preserve"> of </v>
          </cell>
          <cell r="AF871" t="str">
            <v/>
          </cell>
          <cell r="AI871" t="str">
            <v xml:space="preserve"> of </v>
          </cell>
          <cell r="AJ871" t="str">
            <v xml:space="preserve"> of </v>
          </cell>
          <cell r="AL871" t="str">
            <v/>
          </cell>
          <cell r="AM871">
            <v>0.70833333333333304</v>
          </cell>
          <cell r="AO871" t="str">
            <v/>
          </cell>
          <cell r="AW871" t="str">
            <v/>
          </cell>
          <cell r="AX871" t="str">
            <v/>
          </cell>
          <cell r="AZ871" t="str">
            <v/>
          </cell>
          <cell r="BA871" t="str">
            <v/>
          </cell>
          <cell r="BB871" t="str">
            <v/>
          </cell>
          <cell r="BC871" t="str">
            <v/>
          </cell>
        </row>
        <row r="872">
          <cell r="E872" t="str">
            <v/>
          </cell>
          <cell r="F872" t="str">
            <v/>
          </cell>
          <cell r="G872" t="str">
            <v/>
          </cell>
          <cell r="O872" t="str">
            <v/>
          </cell>
          <cell r="Q872" t="str">
            <v/>
          </cell>
          <cell r="W872" t="str">
            <v xml:space="preserve"> of </v>
          </cell>
          <cell r="X872" t="str">
            <v xml:space="preserve"> of </v>
          </cell>
          <cell r="Z872" t="str">
            <v/>
          </cell>
          <cell r="AC872" t="str">
            <v xml:space="preserve"> of </v>
          </cell>
          <cell r="AD872" t="str">
            <v xml:space="preserve"> of </v>
          </cell>
          <cell r="AF872" t="str">
            <v/>
          </cell>
          <cell r="AI872" t="str">
            <v xml:space="preserve"> of </v>
          </cell>
          <cell r="AJ872" t="str">
            <v xml:space="preserve"> of </v>
          </cell>
          <cell r="AL872" t="str">
            <v/>
          </cell>
          <cell r="AM872">
            <v>0.70833333333333304</v>
          </cell>
          <cell r="AO872" t="str">
            <v/>
          </cell>
          <cell r="AW872" t="str">
            <v/>
          </cell>
          <cell r="AX872" t="str">
            <v/>
          </cell>
          <cell r="AZ872" t="str">
            <v/>
          </cell>
          <cell r="BA872" t="str">
            <v/>
          </cell>
          <cell r="BB872" t="str">
            <v/>
          </cell>
          <cell r="BC872" t="str">
            <v/>
          </cell>
        </row>
        <row r="873">
          <cell r="E873" t="str">
            <v/>
          </cell>
          <cell r="F873" t="str">
            <v/>
          </cell>
          <cell r="G873" t="str">
            <v/>
          </cell>
          <cell r="O873" t="str">
            <v/>
          </cell>
          <cell r="Q873" t="str">
            <v/>
          </cell>
          <cell r="W873" t="str">
            <v xml:space="preserve"> of </v>
          </cell>
          <cell r="X873" t="str">
            <v xml:space="preserve"> of </v>
          </cell>
          <cell r="Z873" t="str">
            <v/>
          </cell>
          <cell r="AC873" t="str">
            <v xml:space="preserve"> of </v>
          </cell>
          <cell r="AD873" t="str">
            <v xml:space="preserve"> of </v>
          </cell>
          <cell r="AF873" t="str">
            <v/>
          </cell>
          <cell r="AI873" t="str">
            <v xml:space="preserve"> of </v>
          </cell>
          <cell r="AJ873" t="str">
            <v xml:space="preserve"> of </v>
          </cell>
          <cell r="AL873" t="str">
            <v/>
          </cell>
          <cell r="AM873">
            <v>0.70833333333333304</v>
          </cell>
          <cell r="AO873" t="str">
            <v/>
          </cell>
          <cell r="AW873" t="str">
            <v/>
          </cell>
          <cell r="AX873" t="str">
            <v/>
          </cell>
          <cell r="AZ873" t="str">
            <v/>
          </cell>
          <cell r="BA873" t="str">
            <v/>
          </cell>
          <cell r="BB873" t="str">
            <v/>
          </cell>
          <cell r="BC873" t="str">
            <v/>
          </cell>
        </row>
        <row r="874">
          <cell r="E874" t="str">
            <v/>
          </cell>
          <cell r="F874" t="str">
            <v/>
          </cell>
          <cell r="G874" t="str">
            <v/>
          </cell>
          <cell r="O874" t="str">
            <v/>
          </cell>
          <cell r="Q874" t="str">
            <v/>
          </cell>
          <cell r="W874" t="str">
            <v xml:space="preserve"> of </v>
          </cell>
          <cell r="X874" t="str">
            <v xml:space="preserve"> of </v>
          </cell>
          <cell r="Z874" t="str">
            <v/>
          </cell>
          <cell r="AC874" t="str">
            <v xml:space="preserve"> of </v>
          </cell>
          <cell r="AD874" t="str">
            <v xml:space="preserve"> of </v>
          </cell>
          <cell r="AF874" t="str">
            <v/>
          </cell>
          <cell r="AI874" t="str">
            <v xml:space="preserve"> of </v>
          </cell>
          <cell r="AJ874" t="str">
            <v xml:space="preserve"> of </v>
          </cell>
          <cell r="AL874" t="str">
            <v/>
          </cell>
          <cell r="AM874">
            <v>0.70833333333333304</v>
          </cell>
          <cell r="AO874" t="str">
            <v/>
          </cell>
          <cell r="AW874" t="str">
            <v/>
          </cell>
          <cell r="AX874" t="str">
            <v/>
          </cell>
          <cell r="AZ874" t="str">
            <v/>
          </cell>
          <cell r="BA874" t="str">
            <v/>
          </cell>
          <cell r="BB874" t="str">
            <v/>
          </cell>
          <cell r="BC874" t="str">
            <v/>
          </cell>
        </row>
        <row r="875">
          <cell r="E875" t="str">
            <v/>
          </cell>
          <cell r="F875" t="str">
            <v/>
          </cell>
          <cell r="G875" t="str">
            <v/>
          </cell>
          <cell r="O875" t="str">
            <v/>
          </cell>
          <cell r="Q875" t="str">
            <v/>
          </cell>
          <cell r="W875" t="str">
            <v xml:space="preserve"> of </v>
          </cell>
          <cell r="X875" t="str">
            <v xml:space="preserve"> of </v>
          </cell>
          <cell r="Z875" t="str">
            <v/>
          </cell>
          <cell r="AC875" t="str">
            <v xml:space="preserve"> of </v>
          </cell>
          <cell r="AD875" t="str">
            <v xml:space="preserve"> of </v>
          </cell>
          <cell r="AF875" t="str">
            <v/>
          </cell>
          <cell r="AI875" t="str">
            <v xml:space="preserve"> of </v>
          </cell>
          <cell r="AJ875" t="str">
            <v xml:space="preserve"> of </v>
          </cell>
          <cell r="AL875" t="str">
            <v/>
          </cell>
          <cell r="AM875">
            <v>0.70833333333333304</v>
          </cell>
          <cell r="AO875" t="str">
            <v/>
          </cell>
          <cell r="AW875" t="str">
            <v/>
          </cell>
          <cell r="AX875" t="str">
            <v/>
          </cell>
          <cell r="AZ875" t="str">
            <v/>
          </cell>
          <cell r="BA875" t="str">
            <v/>
          </cell>
          <cell r="BB875" t="str">
            <v/>
          </cell>
          <cell r="BC875" t="str">
            <v/>
          </cell>
        </row>
        <row r="876">
          <cell r="E876" t="str">
            <v/>
          </cell>
          <cell r="F876" t="str">
            <v/>
          </cell>
          <cell r="G876" t="str">
            <v/>
          </cell>
          <cell r="O876" t="str">
            <v/>
          </cell>
          <cell r="Q876" t="str">
            <v/>
          </cell>
          <cell r="W876" t="str">
            <v xml:space="preserve"> of </v>
          </cell>
          <cell r="X876" t="str">
            <v xml:space="preserve"> of </v>
          </cell>
          <cell r="Z876" t="str">
            <v/>
          </cell>
          <cell r="AC876" t="str">
            <v xml:space="preserve"> of </v>
          </cell>
          <cell r="AD876" t="str">
            <v xml:space="preserve"> of </v>
          </cell>
          <cell r="AF876" t="str">
            <v/>
          </cell>
          <cell r="AI876" t="str">
            <v xml:space="preserve"> of </v>
          </cell>
          <cell r="AJ876" t="str">
            <v xml:space="preserve"> of </v>
          </cell>
          <cell r="AL876" t="str">
            <v/>
          </cell>
          <cell r="AM876">
            <v>0.70833333333333304</v>
          </cell>
          <cell r="AO876" t="str">
            <v/>
          </cell>
          <cell r="AW876" t="str">
            <v/>
          </cell>
          <cell r="AX876" t="str">
            <v/>
          </cell>
          <cell r="AZ876" t="str">
            <v/>
          </cell>
          <cell r="BA876" t="str">
            <v/>
          </cell>
          <cell r="BB876" t="str">
            <v/>
          </cell>
          <cell r="BC876" t="str">
            <v/>
          </cell>
        </row>
        <row r="877">
          <cell r="E877" t="str">
            <v/>
          </cell>
          <cell r="F877" t="str">
            <v/>
          </cell>
          <cell r="G877" t="str">
            <v/>
          </cell>
          <cell r="O877" t="str">
            <v/>
          </cell>
          <cell r="Q877" t="str">
            <v/>
          </cell>
          <cell r="W877" t="str">
            <v xml:space="preserve"> of </v>
          </cell>
          <cell r="X877" t="str">
            <v xml:space="preserve"> of </v>
          </cell>
          <cell r="Z877" t="str">
            <v/>
          </cell>
          <cell r="AC877" t="str">
            <v xml:space="preserve"> of </v>
          </cell>
          <cell r="AD877" t="str">
            <v xml:space="preserve"> of </v>
          </cell>
          <cell r="AF877" t="str">
            <v/>
          </cell>
          <cell r="AI877" t="str">
            <v xml:space="preserve"> of </v>
          </cell>
          <cell r="AJ877" t="str">
            <v xml:space="preserve"> of </v>
          </cell>
          <cell r="AL877" t="str">
            <v/>
          </cell>
          <cell r="AM877">
            <v>0.70833333333333304</v>
          </cell>
          <cell r="AO877" t="str">
            <v/>
          </cell>
          <cell r="AW877" t="str">
            <v/>
          </cell>
          <cell r="AX877" t="str">
            <v/>
          </cell>
          <cell r="AZ877" t="str">
            <v/>
          </cell>
          <cell r="BA877" t="str">
            <v/>
          </cell>
          <cell r="BB877" t="str">
            <v/>
          </cell>
          <cell r="BC877" t="str">
            <v/>
          </cell>
        </row>
        <row r="878">
          <cell r="E878" t="str">
            <v/>
          </cell>
          <cell r="F878" t="str">
            <v/>
          </cell>
          <cell r="G878" t="str">
            <v/>
          </cell>
          <cell r="O878" t="str">
            <v/>
          </cell>
          <cell r="Q878" t="str">
            <v/>
          </cell>
          <cell r="W878" t="str">
            <v xml:space="preserve"> of </v>
          </cell>
          <cell r="X878" t="str">
            <v xml:space="preserve"> of </v>
          </cell>
          <cell r="Z878" t="str">
            <v/>
          </cell>
          <cell r="AC878" t="str">
            <v xml:space="preserve"> of </v>
          </cell>
          <cell r="AD878" t="str">
            <v xml:space="preserve"> of </v>
          </cell>
          <cell r="AF878" t="str">
            <v/>
          </cell>
          <cell r="AI878" t="str">
            <v xml:space="preserve"> of </v>
          </cell>
          <cell r="AJ878" t="str">
            <v xml:space="preserve"> of </v>
          </cell>
          <cell r="AL878" t="str">
            <v/>
          </cell>
          <cell r="AM878">
            <v>0.70833333333333304</v>
          </cell>
          <cell r="AO878" t="str">
            <v/>
          </cell>
          <cell r="AW878" t="str">
            <v/>
          </cell>
          <cell r="AX878" t="str">
            <v/>
          </cell>
          <cell r="AZ878" t="str">
            <v/>
          </cell>
          <cell r="BA878" t="str">
            <v/>
          </cell>
          <cell r="BB878" t="str">
            <v/>
          </cell>
          <cell r="BC878" t="str">
            <v/>
          </cell>
        </row>
        <row r="879">
          <cell r="E879" t="str">
            <v/>
          </cell>
          <cell r="F879" t="str">
            <v/>
          </cell>
          <cell r="G879" t="str">
            <v/>
          </cell>
          <cell r="O879" t="str">
            <v/>
          </cell>
          <cell r="Q879" t="str">
            <v/>
          </cell>
          <cell r="W879" t="str">
            <v xml:space="preserve"> of </v>
          </cell>
          <cell r="X879" t="str">
            <v xml:space="preserve"> of </v>
          </cell>
          <cell r="Z879" t="str">
            <v/>
          </cell>
          <cell r="AC879" t="str">
            <v xml:space="preserve"> of </v>
          </cell>
          <cell r="AD879" t="str">
            <v xml:space="preserve"> of </v>
          </cell>
          <cell r="AF879" t="str">
            <v/>
          </cell>
          <cell r="AI879" t="str">
            <v xml:space="preserve"> of </v>
          </cell>
          <cell r="AJ879" t="str">
            <v xml:space="preserve"> of </v>
          </cell>
          <cell r="AL879" t="str">
            <v/>
          </cell>
          <cell r="AM879">
            <v>0.70833333333333304</v>
          </cell>
          <cell r="AO879" t="str">
            <v/>
          </cell>
          <cell r="AW879" t="str">
            <v/>
          </cell>
          <cell r="AX879" t="str">
            <v/>
          </cell>
          <cell r="AZ879" t="str">
            <v/>
          </cell>
          <cell r="BA879" t="str">
            <v/>
          </cell>
          <cell r="BB879" t="str">
            <v/>
          </cell>
          <cell r="BC879" t="str">
            <v/>
          </cell>
        </row>
        <row r="880">
          <cell r="E880" t="str">
            <v/>
          </cell>
          <cell r="F880" t="str">
            <v/>
          </cell>
          <cell r="G880" t="str">
            <v/>
          </cell>
          <cell r="O880" t="str">
            <v/>
          </cell>
          <cell r="Q880" t="str">
            <v/>
          </cell>
          <cell r="W880" t="str">
            <v xml:space="preserve"> of </v>
          </cell>
          <cell r="X880" t="str">
            <v xml:space="preserve"> of </v>
          </cell>
          <cell r="Z880" t="str">
            <v/>
          </cell>
          <cell r="AC880" t="str">
            <v xml:space="preserve"> of </v>
          </cell>
          <cell r="AD880" t="str">
            <v xml:space="preserve"> of </v>
          </cell>
          <cell r="AF880" t="str">
            <v/>
          </cell>
          <cell r="AI880" t="str">
            <v xml:space="preserve"> of </v>
          </cell>
          <cell r="AJ880" t="str">
            <v xml:space="preserve"> of </v>
          </cell>
          <cell r="AL880" t="str">
            <v/>
          </cell>
          <cell r="AM880">
            <v>0.70833333333333304</v>
          </cell>
          <cell r="AO880" t="str">
            <v/>
          </cell>
          <cell r="AW880" t="str">
            <v/>
          </cell>
          <cell r="AX880" t="str">
            <v/>
          </cell>
          <cell r="AZ880" t="str">
            <v/>
          </cell>
          <cell r="BA880" t="str">
            <v/>
          </cell>
          <cell r="BB880" t="str">
            <v/>
          </cell>
          <cell r="BC880" t="str">
            <v/>
          </cell>
        </row>
        <row r="881">
          <cell r="E881" t="str">
            <v/>
          </cell>
          <cell r="F881" t="str">
            <v/>
          </cell>
          <cell r="G881" t="str">
            <v/>
          </cell>
          <cell r="O881" t="str">
            <v/>
          </cell>
          <cell r="Q881" t="str">
            <v/>
          </cell>
          <cell r="W881" t="str">
            <v xml:space="preserve"> of </v>
          </cell>
          <cell r="X881" t="str">
            <v xml:space="preserve"> of </v>
          </cell>
          <cell r="Z881" t="str">
            <v/>
          </cell>
          <cell r="AC881" t="str">
            <v xml:space="preserve"> of </v>
          </cell>
          <cell r="AD881" t="str">
            <v xml:space="preserve"> of </v>
          </cell>
          <cell r="AF881" t="str">
            <v/>
          </cell>
          <cell r="AI881" t="str">
            <v xml:space="preserve"> of </v>
          </cell>
          <cell r="AJ881" t="str">
            <v xml:space="preserve"> of </v>
          </cell>
          <cell r="AL881" t="str">
            <v/>
          </cell>
          <cell r="AM881">
            <v>0.70833333333333304</v>
          </cell>
          <cell r="AO881" t="str">
            <v/>
          </cell>
          <cell r="AW881" t="str">
            <v/>
          </cell>
          <cell r="AX881" t="str">
            <v/>
          </cell>
          <cell r="AZ881" t="str">
            <v/>
          </cell>
          <cell r="BA881" t="str">
            <v/>
          </cell>
          <cell r="BB881" t="str">
            <v/>
          </cell>
          <cell r="BC881" t="str">
            <v/>
          </cell>
        </row>
        <row r="882">
          <cell r="E882" t="str">
            <v/>
          </cell>
          <cell r="F882" t="str">
            <v/>
          </cell>
          <cell r="G882" t="str">
            <v/>
          </cell>
          <cell r="O882" t="str">
            <v/>
          </cell>
          <cell r="Q882" t="str">
            <v/>
          </cell>
          <cell r="W882" t="str">
            <v xml:space="preserve"> of </v>
          </cell>
          <cell r="X882" t="str">
            <v xml:space="preserve"> of </v>
          </cell>
          <cell r="Z882" t="str">
            <v/>
          </cell>
          <cell r="AC882" t="str">
            <v xml:space="preserve"> of </v>
          </cell>
          <cell r="AD882" t="str">
            <v xml:space="preserve"> of </v>
          </cell>
          <cell r="AF882" t="str">
            <v/>
          </cell>
          <cell r="AI882" t="str">
            <v xml:space="preserve"> of </v>
          </cell>
          <cell r="AJ882" t="str">
            <v xml:space="preserve"> of </v>
          </cell>
          <cell r="AL882" t="str">
            <v/>
          </cell>
          <cell r="AM882">
            <v>0.70833333333333304</v>
          </cell>
          <cell r="AO882" t="str">
            <v/>
          </cell>
          <cell r="AW882" t="str">
            <v/>
          </cell>
          <cell r="AX882" t="str">
            <v/>
          </cell>
          <cell r="AZ882" t="str">
            <v/>
          </cell>
          <cell r="BA882" t="str">
            <v/>
          </cell>
          <cell r="BB882" t="str">
            <v/>
          </cell>
          <cell r="BC882" t="str">
            <v/>
          </cell>
        </row>
        <row r="883">
          <cell r="E883" t="str">
            <v/>
          </cell>
          <cell r="F883" t="str">
            <v/>
          </cell>
          <cell r="G883" t="str">
            <v/>
          </cell>
          <cell r="O883" t="str">
            <v/>
          </cell>
          <cell r="Q883" t="str">
            <v/>
          </cell>
          <cell r="W883" t="str">
            <v xml:space="preserve"> of </v>
          </cell>
          <cell r="X883" t="str">
            <v xml:space="preserve"> of </v>
          </cell>
          <cell r="Z883" t="str">
            <v/>
          </cell>
          <cell r="AC883" t="str">
            <v xml:space="preserve"> of </v>
          </cell>
          <cell r="AD883" t="str">
            <v xml:space="preserve"> of </v>
          </cell>
          <cell r="AF883" t="str">
            <v/>
          </cell>
          <cell r="AI883" t="str">
            <v xml:space="preserve"> of </v>
          </cell>
          <cell r="AJ883" t="str">
            <v xml:space="preserve"> of </v>
          </cell>
          <cell r="AL883" t="str">
            <v/>
          </cell>
          <cell r="AM883">
            <v>0.70833333333333304</v>
          </cell>
          <cell r="AO883" t="str">
            <v/>
          </cell>
          <cell r="AW883" t="str">
            <v/>
          </cell>
          <cell r="AX883" t="str">
            <v/>
          </cell>
          <cell r="AZ883" t="str">
            <v/>
          </cell>
          <cell r="BA883" t="str">
            <v/>
          </cell>
          <cell r="BB883" t="str">
            <v/>
          </cell>
          <cell r="BC883" t="str">
            <v/>
          </cell>
        </row>
        <row r="884">
          <cell r="E884" t="str">
            <v/>
          </cell>
          <cell r="F884" t="str">
            <v/>
          </cell>
          <cell r="G884" t="str">
            <v/>
          </cell>
          <cell r="O884" t="str">
            <v/>
          </cell>
          <cell r="Q884" t="str">
            <v/>
          </cell>
          <cell r="W884" t="str">
            <v xml:space="preserve"> of </v>
          </cell>
          <cell r="X884" t="str">
            <v xml:space="preserve"> of </v>
          </cell>
          <cell r="Z884" t="str">
            <v/>
          </cell>
          <cell r="AC884" t="str">
            <v xml:space="preserve"> of </v>
          </cell>
          <cell r="AD884" t="str">
            <v xml:space="preserve"> of </v>
          </cell>
          <cell r="AF884" t="str">
            <v/>
          </cell>
          <cell r="AI884" t="str">
            <v xml:space="preserve"> of </v>
          </cell>
          <cell r="AJ884" t="str">
            <v xml:space="preserve"> of </v>
          </cell>
          <cell r="AL884" t="str">
            <v/>
          </cell>
          <cell r="AM884">
            <v>0.70833333333333304</v>
          </cell>
          <cell r="AO884" t="str">
            <v/>
          </cell>
          <cell r="AW884" t="str">
            <v/>
          </cell>
          <cell r="AX884" t="str">
            <v/>
          </cell>
          <cell r="AZ884" t="str">
            <v/>
          </cell>
          <cell r="BA884" t="str">
            <v/>
          </cell>
          <cell r="BB884" t="str">
            <v/>
          </cell>
          <cell r="BC884" t="str">
            <v/>
          </cell>
        </row>
        <row r="885">
          <cell r="E885" t="str">
            <v/>
          </cell>
          <cell r="F885" t="str">
            <v/>
          </cell>
          <cell r="G885" t="str">
            <v/>
          </cell>
          <cell r="O885" t="str">
            <v/>
          </cell>
          <cell r="Q885" t="str">
            <v/>
          </cell>
          <cell r="W885" t="str">
            <v xml:space="preserve"> of </v>
          </cell>
          <cell r="X885" t="str">
            <v xml:space="preserve"> of </v>
          </cell>
          <cell r="Z885" t="str">
            <v/>
          </cell>
          <cell r="AC885" t="str">
            <v xml:space="preserve"> of </v>
          </cell>
          <cell r="AD885" t="str">
            <v xml:space="preserve"> of </v>
          </cell>
          <cell r="AF885" t="str">
            <v/>
          </cell>
          <cell r="AI885" t="str">
            <v xml:space="preserve"> of </v>
          </cell>
          <cell r="AJ885" t="str">
            <v xml:space="preserve"> of </v>
          </cell>
          <cell r="AL885" t="str">
            <v/>
          </cell>
          <cell r="AM885">
            <v>0.70833333333333304</v>
          </cell>
          <cell r="AO885" t="str">
            <v/>
          </cell>
          <cell r="AW885" t="str">
            <v/>
          </cell>
          <cell r="AX885" t="str">
            <v/>
          </cell>
          <cell r="AZ885" t="str">
            <v/>
          </cell>
          <cell r="BA885" t="str">
            <v/>
          </cell>
          <cell r="BB885" t="str">
            <v/>
          </cell>
          <cell r="BC885" t="str">
            <v/>
          </cell>
        </row>
        <row r="886">
          <cell r="E886" t="str">
            <v/>
          </cell>
          <cell r="F886" t="str">
            <v/>
          </cell>
          <cell r="G886" t="str">
            <v/>
          </cell>
          <cell r="O886" t="str">
            <v/>
          </cell>
          <cell r="Q886" t="str">
            <v/>
          </cell>
          <cell r="W886" t="str">
            <v xml:space="preserve"> of </v>
          </cell>
          <cell r="X886" t="str">
            <v xml:space="preserve"> of </v>
          </cell>
          <cell r="Z886" t="str">
            <v/>
          </cell>
          <cell r="AC886" t="str">
            <v xml:space="preserve"> of </v>
          </cell>
          <cell r="AD886" t="str">
            <v xml:space="preserve"> of </v>
          </cell>
          <cell r="AF886" t="str">
            <v/>
          </cell>
          <cell r="AI886" t="str">
            <v xml:space="preserve"> of </v>
          </cell>
          <cell r="AJ886" t="str">
            <v xml:space="preserve"> of </v>
          </cell>
          <cell r="AL886" t="str">
            <v/>
          </cell>
          <cell r="AM886">
            <v>0.70833333333333304</v>
          </cell>
          <cell r="AO886" t="str">
            <v/>
          </cell>
          <cell r="AW886" t="str">
            <v/>
          </cell>
          <cell r="AX886" t="str">
            <v/>
          </cell>
          <cell r="AZ886" t="str">
            <v/>
          </cell>
          <cell r="BA886" t="str">
            <v/>
          </cell>
          <cell r="BB886" t="str">
            <v/>
          </cell>
          <cell r="BC886" t="str">
            <v/>
          </cell>
        </row>
        <row r="887">
          <cell r="E887" t="str">
            <v/>
          </cell>
          <cell r="F887" t="str">
            <v/>
          </cell>
          <cell r="G887" t="str">
            <v/>
          </cell>
          <cell r="O887" t="str">
            <v/>
          </cell>
          <cell r="Q887" t="str">
            <v/>
          </cell>
          <cell r="W887" t="str">
            <v xml:space="preserve"> of </v>
          </cell>
          <cell r="X887" t="str">
            <v xml:space="preserve"> of </v>
          </cell>
          <cell r="Z887" t="str">
            <v/>
          </cell>
          <cell r="AC887" t="str">
            <v xml:space="preserve"> of </v>
          </cell>
          <cell r="AD887" t="str">
            <v xml:space="preserve"> of </v>
          </cell>
          <cell r="AF887" t="str">
            <v/>
          </cell>
          <cell r="AI887" t="str">
            <v xml:space="preserve"> of </v>
          </cell>
          <cell r="AJ887" t="str">
            <v xml:space="preserve"> of </v>
          </cell>
          <cell r="AL887" t="str">
            <v/>
          </cell>
          <cell r="AM887">
            <v>0.70833333333333304</v>
          </cell>
          <cell r="AO887" t="str">
            <v/>
          </cell>
          <cell r="AW887" t="str">
            <v/>
          </cell>
          <cell r="AX887" t="str">
            <v/>
          </cell>
          <cell r="AZ887" t="str">
            <v/>
          </cell>
          <cell r="BA887" t="str">
            <v/>
          </cell>
          <cell r="BB887" t="str">
            <v/>
          </cell>
          <cell r="BC887" t="str">
            <v/>
          </cell>
        </row>
        <row r="888">
          <cell r="E888" t="str">
            <v/>
          </cell>
          <cell r="F888" t="str">
            <v/>
          </cell>
          <cell r="G888" t="str">
            <v/>
          </cell>
          <cell r="O888" t="str">
            <v/>
          </cell>
          <cell r="Q888" t="str">
            <v/>
          </cell>
          <cell r="W888" t="str">
            <v xml:space="preserve"> of </v>
          </cell>
          <cell r="X888" t="str">
            <v xml:space="preserve"> of </v>
          </cell>
          <cell r="Z888" t="str">
            <v/>
          </cell>
          <cell r="AC888" t="str">
            <v xml:space="preserve"> of </v>
          </cell>
          <cell r="AD888" t="str">
            <v xml:space="preserve"> of </v>
          </cell>
          <cell r="AF888" t="str">
            <v/>
          </cell>
          <cell r="AI888" t="str">
            <v xml:space="preserve"> of </v>
          </cell>
          <cell r="AJ888" t="str">
            <v xml:space="preserve"> of </v>
          </cell>
          <cell r="AL888" t="str">
            <v/>
          </cell>
          <cell r="AM888">
            <v>0.70833333333333304</v>
          </cell>
          <cell r="AO888" t="str">
            <v/>
          </cell>
          <cell r="AW888" t="str">
            <v/>
          </cell>
          <cell r="AX888" t="str">
            <v/>
          </cell>
          <cell r="AZ888" t="str">
            <v/>
          </cell>
          <cell r="BA888" t="str">
            <v/>
          </cell>
          <cell r="BB888" t="str">
            <v/>
          </cell>
          <cell r="BC888" t="str">
            <v/>
          </cell>
        </row>
        <row r="889">
          <cell r="E889" t="str">
            <v/>
          </cell>
          <cell r="F889" t="str">
            <v/>
          </cell>
          <cell r="G889" t="str">
            <v/>
          </cell>
          <cell r="O889" t="str">
            <v/>
          </cell>
          <cell r="Q889" t="str">
            <v/>
          </cell>
          <cell r="W889" t="str">
            <v xml:space="preserve"> of </v>
          </cell>
          <cell r="X889" t="str">
            <v xml:space="preserve"> of </v>
          </cell>
          <cell r="Z889" t="str">
            <v/>
          </cell>
          <cell r="AC889" t="str">
            <v xml:space="preserve"> of </v>
          </cell>
          <cell r="AD889" t="str">
            <v xml:space="preserve"> of </v>
          </cell>
          <cell r="AF889" t="str">
            <v/>
          </cell>
          <cell r="AI889" t="str">
            <v xml:space="preserve"> of </v>
          </cell>
          <cell r="AJ889" t="str">
            <v xml:space="preserve"> of </v>
          </cell>
          <cell r="AL889" t="str">
            <v/>
          </cell>
          <cell r="AM889">
            <v>0.70833333333333304</v>
          </cell>
          <cell r="AO889" t="str">
            <v/>
          </cell>
          <cell r="AW889" t="str">
            <v/>
          </cell>
          <cell r="AX889" t="str">
            <v/>
          </cell>
          <cell r="AZ889" t="str">
            <v/>
          </cell>
          <cell r="BA889" t="str">
            <v/>
          </cell>
          <cell r="BB889" t="str">
            <v/>
          </cell>
          <cell r="BC889" t="str">
            <v/>
          </cell>
        </row>
        <row r="890">
          <cell r="E890" t="str">
            <v/>
          </cell>
          <cell r="F890" t="str">
            <v/>
          </cell>
          <cell r="G890" t="str">
            <v/>
          </cell>
          <cell r="O890" t="str">
            <v/>
          </cell>
          <cell r="Q890" t="str">
            <v/>
          </cell>
          <cell r="W890" t="str">
            <v xml:space="preserve"> of </v>
          </cell>
          <cell r="X890" t="str">
            <v xml:space="preserve"> of </v>
          </cell>
          <cell r="Z890" t="str">
            <v/>
          </cell>
          <cell r="AC890" t="str">
            <v xml:space="preserve"> of </v>
          </cell>
          <cell r="AD890" t="str">
            <v xml:space="preserve"> of </v>
          </cell>
          <cell r="AF890" t="str">
            <v/>
          </cell>
          <cell r="AI890" t="str">
            <v xml:space="preserve"> of </v>
          </cell>
          <cell r="AJ890" t="str">
            <v xml:space="preserve"> of </v>
          </cell>
          <cell r="AL890" t="str">
            <v/>
          </cell>
          <cell r="AM890">
            <v>0.70833333333333304</v>
          </cell>
          <cell r="AO890" t="str">
            <v/>
          </cell>
          <cell r="AW890" t="str">
            <v/>
          </cell>
          <cell r="AX890" t="str">
            <v/>
          </cell>
          <cell r="AZ890" t="str">
            <v/>
          </cell>
          <cell r="BA890" t="str">
            <v/>
          </cell>
          <cell r="BB890" t="str">
            <v/>
          </cell>
          <cell r="BC890" t="str">
            <v/>
          </cell>
        </row>
        <row r="891">
          <cell r="E891" t="str">
            <v/>
          </cell>
          <cell r="F891" t="str">
            <v/>
          </cell>
          <cell r="G891" t="str">
            <v/>
          </cell>
          <cell r="O891" t="str">
            <v/>
          </cell>
          <cell r="Q891" t="str">
            <v/>
          </cell>
          <cell r="W891" t="str">
            <v xml:space="preserve"> of </v>
          </cell>
          <cell r="X891" t="str">
            <v xml:space="preserve"> of </v>
          </cell>
          <cell r="Z891" t="str">
            <v/>
          </cell>
          <cell r="AC891" t="str">
            <v xml:space="preserve"> of </v>
          </cell>
          <cell r="AD891" t="str">
            <v xml:space="preserve"> of </v>
          </cell>
          <cell r="AF891" t="str">
            <v/>
          </cell>
          <cell r="AI891" t="str">
            <v xml:space="preserve"> of </v>
          </cell>
          <cell r="AJ891" t="str">
            <v xml:space="preserve"> of </v>
          </cell>
          <cell r="AL891" t="str">
            <v/>
          </cell>
          <cell r="AM891">
            <v>0.70833333333333304</v>
          </cell>
          <cell r="AO891" t="str">
            <v/>
          </cell>
          <cell r="AW891" t="str">
            <v/>
          </cell>
          <cell r="AX891" t="str">
            <v/>
          </cell>
          <cell r="AZ891" t="str">
            <v/>
          </cell>
          <cell r="BA891" t="str">
            <v/>
          </cell>
          <cell r="BB891" t="str">
            <v/>
          </cell>
          <cell r="BC891" t="str">
            <v/>
          </cell>
        </row>
        <row r="892">
          <cell r="E892" t="str">
            <v/>
          </cell>
          <cell r="F892" t="str">
            <v/>
          </cell>
          <cell r="G892" t="str">
            <v/>
          </cell>
          <cell r="O892" t="str">
            <v/>
          </cell>
          <cell r="Q892" t="str">
            <v/>
          </cell>
          <cell r="W892" t="str">
            <v xml:space="preserve"> of </v>
          </cell>
          <cell r="X892" t="str">
            <v xml:space="preserve"> of </v>
          </cell>
          <cell r="Z892" t="str">
            <v/>
          </cell>
          <cell r="AC892" t="str">
            <v xml:space="preserve"> of </v>
          </cell>
          <cell r="AD892" t="str">
            <v xml:space="preserve"> of </v>
          </cell>
          <cell r="AF892" t="str">
            <v/>
          </cell>
          <cell r="AI892" t="str">
            <v xml:space="preserve"> of </v>
          </cell>
          <cell r="AJ892" t="str">
            <v xml:space="preserve"> of </v>
          </cell>
          <cell r="AL892" t="str">
            <v/>
          </cell>
          <cell r="AM892">
            <v>0.70833333333333304</v>
          </cell>
          <cell r="AO892" t="str">
            <v/>
          </cell>
          <cell r="AW892" t="str">
            <v/>
          </cell>
          <cell r="AX892" t="str">
            <v/>
          </cell>
          <cell r="AZ892" t="str">
            <v/>
          </cell>
          <cell r="BA892" t="str">
            <v/>
          </cell>
          <cell r="BB892" t="str">
            <v/>
          </cell>
          <cell r="BC892" t="str">
            <v/>
          </cell>
        </row>
        <row r="893">
          <cell r="E893" t="str">
            <v/>
          </cell>
          <cell r="F893" t="str">
            <v/>
          </cell>
          <cell r="G893" t="str">
            <v/>
          </cell>
          <cell r="O893" t="str">
            <v/>
          </cell>
          <cell r="Q893" t="str">
            <v/>
          </cell>
          <cell r="W893" t="str">
            <v xml:space="preserve"> of </v>
          </cell>
          <cell r="X893" t="str">
            <v xml:space="preserve"> of </v>
          </cell>
          <cell r="Z893" t="str">
            <v/>
          </cell>
          <cell r="AC893" t="str">
            <v xml:space="preserve"> of </v>
          </cell>
          <cell r="AD893" t="str">
            <v xml:space="preserve"> of </v>
          </cell>
          <cell r="AF893" t="str">
            <v/>
          </cell>
          <cell r="AI893" t="str">
            <v xml:space="preserve"> of </v>
          </cell>
          <cell r="AJ893" t="str">
            <v xml:space="preserve"> of </v>
          </cell>
          <cell r="AL893" t="str">
            <v/>
          </cell>
          <cell r="AM893">
            <v>0.70833333333333304</v>
          </cell>
          <cell r="AO893" t="str">
            <v/>
          </cell>
          <cell r="AW893" t="str">
            <v/>
          </cell>
          <cell r="AX893" t="str">
            <v/>
          </cell>
          <cell r="AZ893" t="str">
            <v/>
          </cell>
          <cell r="BA893" t="str">
            <v/>
          </cell>
          <cell r="BB893" t="str">
            <v/>
          </cell>
          <cell r="BC893" t="str">
            <v/>
          </cell>
        </row>
        <row r="894">
          <cell r="E894" t="str">
            <v/>
          </cell>
          <cell r="F894" t="str">
            <v/>
          </cell>
          <cell r="G894" t="str">
            <v/>
          </cell>
          <cell r="O894" t="str">
            <v/>
          </cell>
          <cell r="Q894" t="str">
            <v/>
          </cell>
          <cell r="W894" t="str">
            <v xml:space="preserve"> of </v>
          </cell>
          <cell r="X894" t="str">
            <v xml:space="preserve"> of </v>
          </cell>
          <cell r="Z894" t="str">
            <v/>
          </cell>
          <cell r="AC894" t="str">
            <v xml:space="preserve"> of </v>
          </cell>
          <cell r="AD894" t="str">
            <v xml:space="preserve"> of </v>
          </cell>
          <cell r="AF894" t="str">
            <v/>
          </cell>
          <cell r="AI894" t="str">
            <v xml:space="preserve"> of </v>
          </cell>
          <cell r="AJ894" t="str">
            <v xml:space="preserve"> of </v>
          </cell>
          <cell r="AL894" t="str">
            <v/>
          </cell>
          <cell r="AM894">
            <v>0.70833333333333304</v>
          </cell>
          <cell r="AO894" t="str">
            <v/>
          </cell>
          <cell r="AW894" t="str">
            <v/>
          </cell>
          <cell r="AX894" t="str">
            <v/>
          </cell>
          <cell r="AZ894" t="str">
            <v/>
          </cell>
          <cell r="BA894" t="str">
            <v/>
          </cell>
          <cell r="BB894" t="str">
            <v/>
          </cell>
          <cell r="BC894" t="str">
            <v/>
          </cell>
        </row>
        <row r="895">
          <cell r="E895" t="str">
            <v/>
          </cell>
          <cell r="F895" t="str">
            <v/>
          </cell>
          <cell r="G895" t="str">
            <v/>
          </cell>
          <cell r="O895" t="str">
            <v/>
          </cell>
          <cell r="Q895" t="str">
            <v/>
          </cell>
          <cell r="W895" t="str">
            <v xml:space="preserve"> of </v>
          </cell>
          <cell r="X895" t="str">
            <v xml:space="preserve"> of </v>
          </cell>
          <cell r="Z895" t="str">
            <v/>
          </cell>
          <cell r="AC895" t="str">
            <v xml:space="preserve"> of </v>
          </cell>
          <cell r="AD895" t="str">
            <v xml:space="preserve"> of </v>
          </cell>
          <cell r="AF895" t="str">
            <v/>
          </cell>
          <cell r="AI895" t="str">
            <v xml:space="preserve"> of </v>
          </cell>
          <cell r="AJ895" t="str">
            <v xml:space="preserve"> of </v>
          </cell>
          <cell r="AL895" t="str">
            <v/>
          </cell>
          <cell r="AM895">
            <v>0.70833333333333304</v>
          </cell>
          <cell r="AO895" t="str">
            <v/>
          </cell>
          <cell r="AW895" t="str">
            <v/>
          </cell>
          <cell r="AX895" t="str">
            <v/>
          </cell>
          <cell r="AZ895" t="str">
            <v/>
          </cell>
          <cell r="BA895" t="str">
            <v/>
          </cell>
          <cell r="BB895" t="str">
            <v/>
          </cell>
          <cell r="BC895" t="str">
            <v/>
          </cell>
        </row>
        <row r="896">
          <cell r="E896" t="str">
            <v/>
          </cell>
          <cell r="F896" t="str">
            <v/>
          </cell>
          <cell r="G896" t="str">
            <v/>
          </cell>
          <cell r="O896" t="str">
            <v/>
          </cell>
          <cell r="Q896" t="str">
            <v/>
          </cell>
          <cell r="W896" t="str">
            <v xml:space="preserve"> of </v>
          </cell>
          <cell r="X896" t="str">
            <v xml:space="preserve"> of </v>
          </cell>
          <cell r="Z896" t="str">
            <v/>
          </cell>
          <cell r="AC896" t="str">
            <v xml:space="preserve"> of </v>
          </cell>
          <cell r="AD896" t="str">
            <v xml:space="preserve"> of </v>
          </cell>
          <cell r="AF896" t="str">
            <v/>
          </cell>
          <cell r="AI896" t="str">
            <v xml:space="preserve"> of </v>
          </cell>
          <cell r="AJ896" t="str">
            <v xml:space="preserve"> of </v>
          </cell>
          <cell r="AL896" t="str">
            <v/>
          </cell>
          <cell r="AM896">
            <v>0.70833333333333304</v>
          </cell>
          <cell r="AO896" t="str">
            <v/>
          </cell>
          <cell r="AW896" t="str">
            <v/>
          </cell>
          <cell r="AX896" t="str">
            <v/>
          </cell>
          <cell r="AZ896" t="str">
            <v/>
          </cell>
          <cell r="BA896" t="str">
            <v/>
          </cell>
          <cell r="BB896" t="str">
            <v/>
          </cell>
          <cell r="BC896" t="str">
            <v/>
          </cell>
        </row>
        <row r="897">
          <cell r="E897" t="str">
            <v/>
          </cell>
          <cell r="F897" t="str">
            <v/>
          </cell>
          <cell r="G897" t="str">
            <v/>
          </cell>
          <cell r="O897" t="str">
            <v/>
          </cell>
          <cell r="Q897" t="str">
            <v/>
          </cell>
          <cell r="W897" t="str">
            <v xml:space="preserve"> of </v>
          </cell>
          <cell r="X897" t="str">
            <v xml:space="preserve"> of </v>
          </cell>
          <cell r="Z897" t="str">
            <v/>
          </cell>
          <cell r="AC897" t="str">
            <v xml:space="preserve"> of </v>
          </cell>
          <cell r="AD897" t="str">
            <v xml:space="preserve"> of </v>
          </cell>
          <cell r="AF897" t="str">
            <v/>
          </cell>
          <cell r="AI897" t="str">
            <v xml:space="preserve"> of </v>
          </cell>
          <cell r="AJ897" t="str">
            <v xml:space="preserve"> of </v>
          </cell>
          <cell r="AL897" t="str">
            <v/>
          </cell>
          <cell r="AM897">
            <v>0.70833333333333304</v>
          </cell>
          <cell r="AO897" t="str">
            <v/>
          </cell>
          <cell r="AW897" t="str">
            <v/>
          </cell>
          <cell r="AX897" t="str">
            <v/>
          </cell>
          <cell r="AZ897" t="str">
            <v/>
          </cell>
          <cell r="BA897" t="str">
            <v/>
          </cell>
          <cell r="BB897" t="str">
            <v/>
          </cell>
          <cell r="BC897" t="str">
            <v/>
          </cell>
        </row>
        <row r="898">
          <cell r="E898" t="str">
            <v/>
          </cell>
          <cell r="F898" t="str">
            <v/>
          </cell>
          <cell r="G898" t="str">
            <v/>
          </cell>
          <cell r="O898" t="str">
            <v/>
          </cell>
          <cell r="Q898" t="str">
            <v/>
          </cell>
          <cell r="W898" t="str">
            <v xml:space="preserve"> of </v>
          </cell>
          <cell r="X898" t="str">
            <v xml:space="preserve"> of </v>
          </cell>
          <cell r="Z898" t="str">
            <v/>
          </cell>
          <cell r="AC898" t="str">
            <v xml:space="preserve"> of </v>
          </cell>
          <cell r="AD898" t="str">
            <v xml:space="preserve"> of </v>
          </cell>
          <cell r="AF898" t="str">
            <v/>
          </cell>
          <cell r="AI898" t="str">
            <v xml:space="preserve"> of </v>
          </cell>
          <cell r="AJ898" t="str">
            <v xml:space="preserve"> of </v>
          </cell>
          <cell r="AL898" t="str">
            <v/>
          </cell>
          <cell r="AM898">
            <v>0.70833333333333304</v>
          </cell>
          <cell r="AO898" t="str">
            <v/>
          </cell>
          <cell r="AW898" t="str">
            <v/>
          </cell>
          <cell r="AX898" t="str">
            <v/>
          </cell>
          <cell r="AZ898" t="str">
            <v/>
          </cell>
          <cell r="BA898" t="str">
            <v/>
          </cell>
          <cell r="BB898" t="str">
            <v/>
          </cell>
          <cell r="BC898" t="str">
            <v/>
          </cell>
        </row>
        <row r="899">
          <cell r="E899" t="str">
            <v/>
          </cell>
          <cell r="F899" t="str">
            <v/>
          </cell>
          <cell r="G899" t="str">
            <v/>
          </cell>
          <cell r="O899" t="str">
            <v/>
          </cell>
          <cell r="Q899" t="str">
            <v/>
          </cell>
          <cell r="W899" t="str">
            <v xml:space="preserve"> of </v>
          </cell>
          <cell r="X899" t="str">
            <v xml:space="preserve"> of </v>
          </cell>
          <cell r="Z899" t="str">
            <v/>
          </cell>
          <cell r="AC899" t="str">
            <v xml:space="preserve"> of </v>
          </cell>
          <cell r="AD899" t="str">
            <v xml:space="preserve"> of </v>
          </cell>
          <cell r="AF899" t="str">
            <v/>
          </cell>
          <cell r="AI899" t="str">
            <v xml:space="preserve"> of </v>
          </cell>
          <cell r="AJ899" t="str">
            <v xml:space="preserve"> of </v>
          </cell>
          <cell r="AL899" t="str">
            <v/>
          </cell>
          <cell r="AM899">
            <v>0.70833333333333304</v>
          </cell>
          <cell r="AO899" t="str">
            <v/>
          </cell>
          <cell r="AW899" t="str">
            <v/>
          </cell>
          <cell r="AX899" t="str">
            <v/>
          </cell>
          <cell r="AZ899" t="str">
            <v/>
          </cell>
          <cell r="BA899" t="str">
            <v/>
          </cell>
          <cell r="BB899" t="str">
            <v/>
          </cell>
          <cell r="BC899" t="str">
            <v/>
          </cell>
        </row>
        <row r="900">
          <cell r="E900" t="str">
            <v/>
          </cell>
          <cell r="F900" t="str">
            <v/>
          </cell>
          <cell r="G900" t="str">
            <v/>
          </cell>
          <cell r="O900" t="str">
            <v/>
          </cell>
          <cell r="Q900" t="str">
            <v/>
          </cell>
          <cell r="W900" t="str">
            <v xml:space="preserve"> of </v>
          </cell>
          <cell r="X900" t="str">
            <v xml:space="preserve"> of </v>
          </cell>
          <cell r="Z900" t="str">
            <v/>
          </cell>
          <cell r="AC900" t="str">
            <v xml:space="preserve"> of </v>
          </cell>
          <cell r="AD900" t="str">
            <v xml:space="preserve"> of </v>
          </cell>
          <cell r="AF900" t="str">
            <v/>
          </cell>
          <cell r="AI900" t="str">
            <v xml:space="preserve"> of </v>
          </cell>
          <cell r="AJ900" t="str">
            <v xml:space="preserve"> of </v>
          </cell>
          <cell r="AL900" t="str">
            <v/>
          </cell>
          <cell r="AM900">
            <v>0.70833333333333304</v>
          </cell>
          <cell r="AO900" t="str">
            <v/>
          </cell>
          <cell r="AW900" t="str">
            <v/>
          </cell>
          <cell r="AX900" t="str">
            <v/>
          </cell>
          <cell r="AZ900" t="str">
            <v/>
          </cell>
          <cell r="BA900" t="str">
            <v/>
          </cell>
          <cell r="BB900" t="str">
            <v/>
          </cell>
          <cell r="BC900" t="str">
            <v/>
          </cell>
        </row>
        <row r="901">
          <cell r="E901" t="str">
            <v/>
          </cell>
          <cell r="F901" t="str">
            <v/>
          </cell>
          <cell r="G901" t="str">
            <v/>
          </cell>
          <cell r="O901" t="str">
            <v/>
          </cell>
          <cell r="Q901" t="str">
            <v/>
          </cell>
          <cell r="W901" t="str">
            <v xml:space="preserve"> of </v>
          </cell>
          <cell r="X901" t="str">
            <v xml:space="preserve"> of </v>
          </cell>
          <cell r="Z901" t="str">
            <v/>
          </cell>
          <cell r="AC901" t="str">
            <v xml:space="preserve"> of </v>
          </cell>
          <cell r="AD901" t="str">
            <v xml:space="preserve"> of </v>
          </cell>
          <cell r="AF901" t="str">
            <v/>
          </cell>
          <cell r="AI901" t="str">
            <v xml:space="preserve"> of </v>
          </cell>
          <cell r="AJ901" t="str">
            <v xml:space="preserve"> of </v>
          </cell>
          <cell r="AL901" t="str">
            <v/>
          </cell>
          <cell r="AM901">
            <v>0.70833333333333304</v>
          </cell>
          <cell r="AO901" t="str">
            <v/>
          </cell>
          <cell r="AW901" t="str">
            <v/>
          </cell>
          <cell r="AX901" t="str">
            <v/>
          </cell>
          <cell r="AZ901" t="str">
            <v/>
          </cell>
          <cell r="BA901" t="str">
            <v/>
          </cell>
          <cell r="BB901" t="str">
            <v/>
          </cell>
          <cell r="BC901" t="str">
            <v/>
          </cell>
        </row>
        <row r="902">
          <cell r="E902" t="str">
            <v/>
          </cell>
          <cell r="F902" t="str">
            <v/>
          </cell>
          <cell r="G902" t="str">
            <v/>
          </cell>
          <cell r="O902" t="str">
            <v/>
          </cell>
          <cell r="Q902" t="str">
            <v/>
          </cell>
          <cell r="W902" t="str">
            <v xml:space="preserve"> of </v>
          </cell>
          <cell r="X902" t="str">
            <v xml:space="preserve"> of </v>
          </cell>
          <cell r="Z902" t="str">
            <v/>
          </cell>
          <cell r="AC902" t="str">
            <v xml:space="preserve"> of </v>
          </cell>
          <cell r="AD902" t="str">
            <v xml:space="preserve"> of </v>
          </cell>
          <cell r="AF902" t="str">
            <v/>
          </cell>
          <cell r="AI902" t="str">
            <v xml:space="preserve"> of </v>
          </cell>
          <cell r="AJ902" t="str">
            <v xml:space="preserve"> of </v>
          </cell>
          <cell r="AL902" t="str">
            <v/>
          </cell>
          <cell r="AM902">
            <v>0.70833333333333304</v>
          </cell>
          <cell r="AO902" t="str">
            <v/>
          </cell>
          <cell r="AW902" t="str">
            <v/>
          </cell>
          <cell r="AX902" t="str">
            <v/>
          </cell>
          <cell r="AZ902" t="str">
            <v/>
          </cell>
          <cell r="BA902" t="str">
            <v/>
          </cell>
          <cell r="BB902" t="str">
            <v/>
          </cell>
          <cell r="BC902" t="str">
            <v/>
          </cell>
        </row>
        <row r="903">
          <cell r="E903" t="str">
            <v/>
          </cell>
          <cell r="F903" t="str">
            <v/>
          </cell>
          <cell r="G903" t="str">
            <v/>
          </cell>
          <cell r="O903" t="str">
            <v/>
          </cell>
          <cell r="Q903" t="str">
            <v/>
          </cell>
          <cell r="W903" t="str">
            <v xml:space="preserve"> of </v>
          </cell>
          <cell r="X903" t="str">
            <v xml:space="preserve"> of </v>
          </cell>
          <cell r="Z903" t="str">
            <v/>
          </cell>
          <cell r="AC903" t="str">
            <v xml:space="preserve"> of </v>
          </cell>
          <cell r="AD903" t="str">
            <v xml:space="preserve"> of </v>
          </cell>
          <cell r="AF903" t="str">
            <v/>
          </cell>
          <cell r="AI903" t="str">
            <v xml:space="preserve"> of </v>
          </cell>
          <cell r="AJ903" t="str">
            <v xml:space="preserve"> of </v>
          </cell>
          <cell r="AL903" t="str">
            <v/>
          </cell>
          <cell r="AM903">
            <v>0.70833333333333304</v>
          </cell>
          <cell r="AO903" t="str">
            <v/>
          </cell>
          <cell r="AW903" t="str">
            <v/>
          </cell>
          <cell r="AX903" t="str">
            <v/>
          </cell>
          <cell r="AZ903" t="str">
            <v/>
          </cell>
          <cell r="BA903" t="str">
            <v/>
          </cell>
          <cell r="BB903" t="str">
            <v/>
          </cell>
          <cell r="BC903" t="str">
            <v/>
          </cell>
        </row>
        <row r="904">
          <cell r="E904" t="str">
            <v/>
          </cell>
          <cell r="F904" t="str">
            <v/>
          </cell>
          <cell r="G904" t="str">
            <v/>
          </cell>
          <cell r="O904" t="str">
            <v/>
          </cell>
          <cell r="Q904" t="str">
            <v/>
          </cell>
          <cell r="W904" t="str">
            <v xml:space="preserve"> of </v>
          </cell>
          <cell r="X904" t="str">
            <v xml:space="preserve"> of </v>
          </cell>
          <cell r="Z904" t="str">
            <v/>
          </cell>
          <cell r="AC904" t="str">
            <v xml:space="preserve"> of </v>
          </cell>
          <cell r="AD904" t="str">
            <v xml:space="preserve"> of </v>
          </cell>
          <cell r="AF904" t="str">
            <v/>
          </cell>
          <cell r="AI904" t="str">
            <v xml:space="preserve"> of </v>
          </cell>
          <cell r="AJ904" t="str">
            <v xml:space="preserve"> of </v>
          </cell>
          <cell r="AL904" t="str">
            <v/>
          </cell>
          <cell r="AM904">
            <v>0.70833333333333304</v>
          </cell>
          <cell r="AO904" t="str">
            <v/>
          </cell>
          <cell r="AW904" t="str">
            <v/>
          </cell>
          <cell r="AX904" t="str">
            <v/>
          </cell>
          <cell r="AZ904" t="str">
            <v/>
          </cell>
          <cell r="BA904" t="str">
            <v/>
          </cell>
          <cell r="BB904" t="str">
            <v/>
          </cell>
          <cell r="BC904" t="str">
            <v/>
          </cell>
        </row>
        <row r="905">
          <cell r="E905" t="str">
            <v/>
          </cell>
          <cell r="F905" t="str">
            <v/>
          </cell>
          <cell r="G905" t="str">
            <v/>
          </cell>
          <cell r="O905" t="str">
            <v/>
          </cell>
          <cell r="Q905" t="str">
            <v/>
          </cell>
          <cell r="W905" t="str">
            <v xml:space="preserve"> of </v>
          </cell>
          <cell r="X905" t="str">
            <v xml:space="preserve"> of </v>
          </cell>
          <cell r="Z905" t="str">
            <v/>
          </cell>
          <cell r="AC905" t="str">
            <v xml:space="preserve"> of </v>
          </cell>
          <cell r="AD905" t="str">
            <v xml:space="preserve"> of </v>
          </cell>
          <cell r="AF905" t="str">
            <v/>
          </cell>
          <cell r="AI905" t="str">
            <v xml:space="preserve"> of </v>
          </cell>
          <cell r="AJ905" t="str">
            <v xml:space="preserve"> of </v>
          </cell>
          <cell r="AL905" t="str">
            <v/>
          </cell>
          <cell r="AM905">
            <v>0.70833333333333304</v>
          </cell>
          <cell r="AO905" t="str">
            <v/>
          </cell>
          <cell r="AW905" t="str">
            <v/>
          </cell>
          <cell r="AX905" t="str">
            <v/>
          </cell>
          <cell r="AZ905" t="str">
            <v/>
          </cell>
          <cell r="BA905" t="str">
            <v/>
          </cell>
          <cell r="BB905" t="str">
            <v/>
          </cell>
          <cell r="BC905" t="str">
            <v/>
          </cell>
        </row>
        <row r="906">
          <cell r="E906" t="str">
            <v/>
          </cell>
          <cell r="F906" t="str">
            <v/>
          </cell>
          <cell r="G906" t="str">
            <v/>
          </cell>
          <cell r="O906" t="str">
            <v/>
          </cell>
          <cell r="Q906" t="str">
            <v/>
          </cell>
          <cell r="W906" t="str">
            <v xml:space="preserve"> of </v>
          </cell>
          <cell r="X906" t="str">
            <v xml:space="preserve"> of </v>
          </cell>
          <cell r="Z906" t="str">
            <v/>
          </cell>
          <cell r="AC906" t="str">
            <v xml:space="preserve"> of </v>
          </cell>
          <cell r="AD906" t="str">
            <v xml:space="preserve"> of </v>
          </cell>
          <cell r="AF906" t="str">
            <v/>
          </cell>
          <cell r="AI906" t="str">
            <v xml:space="preserve"> of </v>
          </cell>
          <cell r="AJ906" t="str">
            <v xml:space="preserve"> of </v>
          </cell>
          <cell r="AL906" t="str">
            <v/>
          </cell>
          <cell r="AM906">
            <v>0.70833333333333304</v>
          </cell>
          <cell r="AO906" t="str">
            <v/>
          </cell>
          <cell r="AW906" t="str">
            <v/>
          </cell>
          <cell r="AX906" t="str">
            <v/>
          </cell>
          <cell r="AZ906" t="str">
            <v/>
          </cell>
          <cell r="BA906" t="str">
            <v/>
          </cell>
          <cell r="BB906" t="str">
            <v/>
          </cell>
          <cell r="BC906" t="str">
            <v/>
          </cell>
        </row>
        <row r="907">
          <cell r="E907" t="str">
            <v/>
          </cell>
          <cell r="F907" t="str">
            <v/>
          </cell>
          <cell r="G907" t="str">
            <v/>
          </cell>
          <cell r="O907" t="str">
            <v/>
          </cell>
          <cell r="Q907" t="str">
            <v/>
          </cell>
          <cell r="W907" t="str">
            <v xml:space="preserve"> of </v>
          </cell>
          <cell r="X907" t="str">
            <v xml:space="preserve"> of </v>
          </cell>
          <cell r="Z907" t="str">
            <v/>
          </cell>
          <cell r="AC907" t="str">
            <v xml:space="preserve"> of </v>
          </cell>
          <cell r="AD907" t="str">
            <v xml:space="preserve"> of </v>
          </cell>
          <cell r="AF907" t="str">
            <v/>
          </cell>
          <cell r="AI907" t="str">
            <v xml:space="preserve"> of </v>
          </cell>
          <cell r="AJ907" t="str">
            <v xml:space="preserve"> of </v>
          </cell>
          <cell r="AL907" t="str">
            <v/>
          </cell>
          <cell r="AM907">
            <v>0.70833333333333304</v>
          </cell>
          <cell r="AO907" t="str">
            <v/>
          </cell>
          <cell r="AW907" t="str">
            <v/>
          </cell>
          <cell r="AX907" t="str">
            <v/>
          </cell>
          <cell r="AZ907" t="str">
            <v/>
          </cell>
          <cell r="BA907" t="str">
            <v/>
          </cell>
          <cell r="BB907" t="str">
            <v/>
          </cell>
          <cell r="BC907" t="str">
            <v/>
          </cell>
        </row>
        <row r="908">
          <cell r="E908" t="str">
            <v/>
          </cell>
          <cell r="F908" t="str">
            <v/>
          </cell>
          <cell r="G908" t="str">
            <v/>
          </cell>
          <cell r="O908" t="str">
            <v/>
          </cell>
          <cell r="Q908" t="str">
            <v/>
          </cell>
          <cell r="W908" t="str">
            <v xml:space="preserve"> of </v>
          </cell>
          <cell r="X908" t="str">
            <v xml:space="preserve"> of </v>
          </cell>
          <cell r="Z908" t="str">
            <v/>
          </cell>
          <cell r="AC908" t="str">
            <v xml:space="preserve"> of </v>
          </cell>
          <cell r="AD908" t="str">
            <v xml:space="preserve"> of </v>
          </cell>
          <cell r="AF908" t="str">
            <v/>
          </cell>
          <cell r="AI908" t="str">
            <v xml:space="preserve"> of </v>
          </cell>
          <cell r="AJ908" t="str">
            <v xml:space="preserve"> of </v>
          </cell>
          <cell r="AL908" t="str">
            <v/>
          </cell>
          <cell r="AM908">
            <v>0.70833333333333304</v>
          </cell>
          <cell r="AO908" t="str">
            <v/>
          </cell>
          <cell r="AW908" t="str">
            <v/>
          </cell>
          <cell r="AX908" t="str">
            <v/>
          </cell>
          <cell r="AZ908" t="str">
            <v/>
          </cell>
          <cell r="BA908" t="str">
            <v/>
          </cell>
          <cell r="BB908" t="str">
            <v/>
          </cell>
          <cell r="BC908" t="str">
            <v/>
          </cell>
        </row>
        <row r="909">
          <cell r="E909" t="str">
            <v/>
          </cell>
          <cell r="F909" t="str">
            <v/>
          </cell>
          <cell r="G909" t="str">
            <v/>
          </cell>
          <cell r="O909" t="str">
            <v/>
          </cell>
          <cell r="Q909" t="str">
            <v/>
          </cell>
          <cell r="W909" t="str">
            <v xml:space="preserve"> of </v>
          </cell>
          <cell r="X909" t="str">
            <v xml:space="preserve"> of </v>
          </cell>
          <cell r="Z909" t="str">
            <v/>
          </cell>
          <cell r="AC909" t="str">
            <v xml:space="preserve"> of </v>
          </cell>
          <cell r="AD909" t="str">
            <v xml:space="preserve"> of </v>
          </cell>
          <cell r="AF909" t="str">
            <v/>
          </cell>
          <cell r="AI909" t="str">
            <v xml:space="preserve"> of </v>
          </cell>
          <cell r="AJ909" t="str">
            <v xml:space="preserve"> of </v>
          </cell>
          <cell r="AL909" t="str">
            <v/>
          </cell>
          <cell r="AM909">
            <v>0.70833333333333304</v>
          </cell>
          <cell r="AO909" t="str">
            <v/>
          </cell>
          <cell r="AW909" t="str">
            <v/>
          </cell>
          <cell r="AX909" t="str">
            <v/>
          </cell>
          <cell r="AZ909" t="str">
            <v/>
          </cell>
          <cell r="BA909" t="str">
            <v/>
          </cell>
          <cell r="BB909" t="str">
            <v/>
          </cell>
          <cell r="BC909" t="str">
            <v/>
          </cell>
        </row>
        <row r="910">
          <cell r="E910" t="str">
            <v/>
          </cell>
          <cell r="F910" t="str">
            <v/>
          </cell>
          <cell r="G910" t="str">
            <v/>
          </cell>
          <cell r="O910" t="str">
            <v/>
          </cell>
          <cell r="Q910" t="str">
            <v/>
          </cell>
          <cell r="W910" t="str">
            <v xml:space="preserve"> of </v>
          </cell>
          <cell r="X910" t="str">
            <v xml:space="preserve"> of </v>
          </cell>
          <cell r="Z910" t="str">
            <v/>
          </cell>
          <cell r="AC910" t="str">
            <v xml:space="preserve"> of </v>
          </cell>
          <cell r="AD910" t="str">
            <v xml:space="preserve"> of </v>
          </cell>
          <cell r="AF910" t="str">
            <v/>
          </cell>
          <cell r="AI910" t="str">
            <v xml:space="preserve"> of </v>
          </cell>
          <cell r="AJ910" t="str">
            <v xml:space="preserve"> of </v>
          </cell>
          <cell r="AM910">
            <v>0.70833333333333304</v>
          </cell>
          <cell r="AO910" t="str">
            <v/>
          </cell>
          <cell r="AW910" t="str">
            <v/>
          </cell>
          <cell r="AX910" t="str">
            <v/>
          </cell>
          <cell r="AZ910" t="str">
            <v/>
          </cell>
          <cell r="BA910" t="str">
            <v/>
          </cell>
          <cell r="BB910" t="str">
            <v/>
          </cell>
          <cell r="BC910" t="str">
            <v/>
          </cell>
        </row>
        <row r="913">
          <cell r="F913" t="str">
            <v/>
          </cell>
        </row>
      </sheetData>
      <sheetData sheetId="2">
        <row r="6">
          <cell r="B6" t="str">
            <v>Company Name</v>
          </cell>
          <cell r="C6" t="str">
            <v>Email</v>
          </cell>
          <cell r="D6" t="str">
            <v>Customer Contact</v>
          </cell>
          <cell r="E6" t="str">
            <v>Company Phone</v>
          </cell>
          <cell r="F6" t="str">
            <v>Address</v>
          </cell>
          <cell r="G6" t="str">
            <v>ME</v>
          </cell>
          <cell r="H6" t="str">
            <v>EL</v>
          </cell>
          <cell r="I6" t="str">
            <v>IC</v>
          </cell>
          <cell r="J6" t="str">
            <v>CHE</v>
          </cell>
          <cell r="K6" t="str">
            <v>HSE</v>
          </cell>
          <cell r="L6" t="str">
            <v>IT</v>
          </cell>
          <cell r="M6" t="str">
            <v>Consumable</v>
          </cell>
          <cell r="N6" t="str">
            <v>Contractor</v>
          </cell>
          <cell r="O6" t="str">
            <v>Consultant</v>
          </cell>
          <cell r="P6" t="str">
            <v>Groceries</v>
          </cell>
          <cell r="Q6" t="str">
            <v>ATK</v>
          </cell>
          <cell r="R6" t="str">
            <v>Medic Supplies</v>
          </cell>
          <cell r="S6" t="str">
            <v>GT</v>
          </cell>
          <cell r="T6" t="str">
            <v>Sole Agent</v>
          </cell>
          <cell r="U6" t="str">
            <v>Organization</v>
          </cell>
          <cell r="V6" t="str">
            <v>Status
AVL/DVL</v>
          </cell>
          <cell r="W6" t="str">
            <v>Company Status</v>
          </cell>
          <cell r="X6" t="str">
            <v>Detail Core Business</v>
          </cell>
          <cell r="Y6" t="str">
            <v>Core Business</v>
          </cell>
        </row>
        <row r="7">
          <cell r="B7" t="str">
            <v>Gama Tritunggal Pratama, PT</v>
          </cell>
          <cell r="C7" t="str">
            <v>sri@gamatri.com</v>
          </cell>
          <cell r="D7" t="str">
            <v>Sri Puspita Sari</v>
          </cell>
          <cell r="E7" t="str">
            <v>081384343248</v>
          </cell>
          <cell r="F7" t="str">
            <v>Komp. Pulogadung Trade Centre (PTC) Blok H8. No 12.Jl. Raya Bekasi KM. 21. Rawa Terate . Cakung. JakTim DKI Jakarta - 13920 Tabalong</v>
          </cell>
          <cell r="G7" t="b">
            <v>1</v>
          </cell>
          <cell r="H7" t="b">
            <v>0</v>
          </cell>
          <cell r="I7" t="b">
            <v>0</v>
          </cell>
          <cell r="J7" t="b">
            <v>0</v>
          </cell>
          <cell r="K7" t="b">
            <v>1</v>
          </cell>
          <cell r="L7" t="b">
            <v>0</v>
          </cell>
          <cell r="M7" t="b">
            <v>0</v>
          </cell>
          <cell r="N7" t="b">
            <v>0</v>
          </cell>
          <cell r="O7" t="b">
            <v>0</v>
          </cell>
          <cell r="P7" t="b">
            <v>0</v>
          </cell>
          <cell r="Q7" t="b">
            <v>0</v>
          </cell>
          <cell r="R7" t="b">
            <v>0</v>
          </cell>
          <cell r="S7" t="b">
            <v>0</v>
          </cell>
          <cell r="T7" t="b">
            <v>0</v>
          </cell>
          <cell r="U7" t="str">
            <v>A</v>
          </cell>
          <cell r="V7" t="str">
            <v>Register</v>
          </cell>
          <cell r="W7" t="str">
            <v>GT - ME</v>
          </cell>
          <cell r="X7" t="str">
            <v>General Trading - Mechanical</v>
          </cell>
          <cell r="Y7" t="str">
            <v>Mechanical</v>
          </cell>
        </row>
        <row r="8">
          <cell r="B8" t="str">
            <v>Jaya Multi Usaha, CV</v>
          </cell>
          <cell r="C8" t="str">
            <v>sandy.asfar@mds-services.co.id</v>
          </cell>
          <cell r="D8" t="str">
            <v>Zainal Arifin</v>
          </cell>
          <cell r="F8" t="str">
            <v>Jl. Ampel Sawahan 1 No 15 Surabaya Jatim</v>
          </cell>
          <cell r="G8" t="b">
            <v>0</v>
          </cell>
          <cell r="H8" t="b">
            <v>0</v>
          </cell>
          <cell r="I8" t="b">
            <v>0</v>
          </cell>
          <cell r="J8" t="b">
            <v>0</v>
          </cell>
          <cell r="K8" t="b">
            <v>0</v>
          </cell>
          <cell r="L8" t="b">
            <v>1</v>
          </cell>
          <cell r="M8" t="b">
            <v>0</v>
          </cell>
          <cell r="N8" t="b">
            <v>0</v>
          </cell>
          <cell r="O8" t="b">
            <v>0</v>
          </cell>
          <cell r="P8" t="b">
            <v>0</v>
          </cell>
          <cell r="Q8" t="b">
            <v>0</v>
          </cell>
          <cell r="R8" t="b">
            <v>0</v>
          </cell>
          <cell r="S8" t="b">
            <v>0</v>
          </cell>
          <cell r="T8" t="b">
            <v>0</v>
          </cell>
          <cell r="U8" t="str">
            <v>NA</v>
          </cell>
          <cell r="V8" t="str">
            <v>No Register</v>
          </cell>
          <cell r="W8" t="str">
            <v>GT - OF</v>
          </cell>
          <cell r="X8" t="str">
            <v>General Trading - Office Supplies</v>
          </cell>
          <cell r="Y8" t="str">
            <v>Radio (Komunikasi)</v>
          </cell>
        </row>
        <row r="9">
          <cell r="B9" t="str">
            <v>Supercon Reksa Buana</v>
          </cell>
          <cell r="C9" t="str">
            <v/>
          </cell>
          <cell r="D9" t="str">
            <v/>
          </cell>
          <cell r="E9" t="str">
            <v/>
          </cell>
          <cell r="G9" t="str">
            <v>□</v>
          </cell>
          <cell r="H9" t="str">
            <v>□</v>
          </cell>
          <cell r="I9" t="str">
            <v>□</v>
          </cell>
          <cell r="J9" t="str">
            <v>□</v>
          </cell>
          <cell r="K9" t="str">
            <v>□</v>
          </cell>
          <cell r="L9" t="str">
            <v>□</v>
          </cell>
          <cell r="M9" t="str">
            <v>□</v>
          </cell>
          <cell r="N9" t="str">
            <v>□</v>
          </cell>
          <cell r="O9" t="str">
            <v>□</v>
          </cell>
          <cell r="P9" t="str">
            <v>□</v>
          </cell>
          <cell r="Q9" t="str">
            <v>□</v>
          </cell>
          <cell r="R9" t="str">
            <v>□</v>
          </cell>
          <cell r="S9" t="str">
            <v>□</v>
          </cell>
          <cell r="T9" t="str">
            <v>□</v>
          </cell>
          <cell r="U9" t="str">
            <v>NA</v>
          </cell>
          <cell r="V9" t="str">
            <v>No Register</v>
          </cell>
          <cell r="W9" t="str">
            <v/>
          </cell>
          <cell r="Y9" t="str">
            <v/>
          </cell>
        </row>
        <row r="10">
          <cell r="B10" t="str">
            <v>Punj Llyod Pte Ltd</v>
          </cell>
          <cell r="C10" t="str">
            <v/>
          </cell>
          <cell r="D10" t="str">
            <v/>
          </cell>
          <cell r="E10" t="str">
            <v/>
          </cell>
          <cell r="F10" t="str">
            <v>60 Alexandra Terrace #09-01, The Comtech (Lobby A) Singapore 118502</v>
          </cell>
          <cell r="G10" t="str">
            <v>□</v>
          </cell>
          <cell r="H10" t="str">
            <v>□</v>
          </cell>
          <cell r="I10" t="str">
            <v>□</v>
          </cell>
          <cell r="J10" t="str">
            <v>□</v>
          </cell>
          <cell r="K10" t="str">
            <v>□</v>
          </cell>
          <cell r="L10" t="str">
            <v>□</v>
          </cell>
          <cell r="M10" t="str">
            <v>□</v>
          </cell>
          <cell r="N10" t="str">
            <v>□</v>
          </cell>
          <cell r="O10" t="str">
            <v>□</v>
          </cell>
          <cell r="P10" t="str">
            <v>□</v>
          </cell>
          <cell r="Q10" t="str">
            <v>□</v>
          </cell>
          <cell r="R10" t="str">
            <v>□</v>
          </cell>
          <cell r="S10" t="str">
            <v>□</v>
          </cell>
          <cell r="T10" t="str">
            <v>□</v>
          </cell>
          <cell r="U10" t="str">
            <v>NA</v>
          </cell>
          <cell r="V10" t="str">
            <v>No Register</v>
          </cell>
          <cell r="W10" t="str">
            <v/>
          </cell>
          <cell r="Y10" t="str">
            <v/>
          </cell>
        </row>
        <row r="11">
          <cell r="B11" t="str">
            <v>Punj Llyod Indonesia, PT</v>
          </cell>
          <cell r="C11" t="str">
            <v/>
          </cell>
          <cell r="D11" t="str">
            <v/>
          </cell>
          <cell r="E11" t="str">
            <v/>
          </cell>
          <cell r="F11" t="str">
            <v>Wisma GKBI 17th Floor, Suite 1708, Jl. Jend. Sudirman No. 28 Jakarta</v>
          </cell>
          <cell r="G11" t="str">
            <v>□</v>
          </cell>
          <cell r="H11" t="str">
            <v>□</v>
          </cell>
          <cell r="I11" t="str">
            <v>□</v>
          </cell>
          <cell r="J11" t="str">
            <v>□</v>
          </cell>
          <cell r="K11" t="str">
            <v>□</v>
          </cell>
          <cell r="L11" t="str">
            <v>□</v>
          </cell>
          <cell r="M11" t="str">
            <v>□</v>
          </cell>
          <cell r="N11" t="str">
            <v>□</v>
          </cell>
          <cell r="O11" t="str">
            <v>□</v>
          </cell>
          <cell r="P11" t="str">
            <v>□</v>
          </cell>
          <cell r="Q11" t="str">
            <v>□</v>
          </cell>
          <cell r="R11" t="str">
            <v>□</v>
          </cell>
          <cell r="S11" t="str">
            <v>□</v>
          </cell>
          <cell r="T11" t="str">
            <v>□</v>
          </cell>
          <cell r="U11" t="str">
            <v>NA</v>
          </cell>
          <cell r="V11" t="str">
            <v>No Register</v>
          </cell>
          <cell r="W11" t="str">
            <v/>
          </cell>
          <cell r="Y11" t="str">
            <v/>
          </cell>
        </row>
        <row r="12">
          <cell r="B12" t="str">
            <v>Siemens Indonesia, PT</v>
          </cell>
          <cell r="C12" t="str">
            <v>adhi.komara@siemens-energy.com; dwi.ahkadi@siemens-energy.com</v>
          </cell>
          <cell r="D12" t="str">
            <v>Adhi Komara; Sunu</v>
          </cell>
          <cell r="E12" t="str">
            <v>08121069528; 08121083134</v>
          </cell>
          <cell r="F12" t="str">
            <v>Perkantoran Hijau Arkadia Tower F Lantai 17, Jl. TB Simatupang Kav. 88, Jakarta Selatan</v>
          </cell>
          <cell r="G12" t="str">
            <v>□</v>
          </cell>
          <cell r="H12" t="str">
            <v>□</v>
          </cell>
          <cell r="I12" t="str">
            <v>□</v>
          </cell>
          <cell r="J12" t="str">
            <v>□</v>
          </cell>
          <cell r="K12" t="str">
            <v>□</v>
          </cell>
          <cell r="L12" t="str">
            <v>□</v>
          </cell>
          <cell r="M12" t="str">
            <v>□</v>
          </cell>
          <cell r="N12" t="str">
            <v>□</v>
          </cell>
          <cell r="O12" t="str">
            <v>□</v>
          </cell>
          <cell r="P12" t="str">
            <v>□</v>
          </cell>
          <cell r="Q12" t="str">
            <v>□</v>
          </cell>
          <cell r="R12" t="str">
            <v>□</v>
          </cell>
          <cell r="S12" t="str">
            <v>□</v>
          </cell>
          <cell r="T12" t="str">
            <v>□</v>
          </cell>
          <cell r="U12" t="str">
            <v>NA</v>
          </cell>
          <cell r="V12" t="str">
            <v>Register</v>
          </cell>
          <cell r="W12" t="str">
            <v>GT - ME</v>
          </cell>
          <cell r="X12" t="str">
            <v>General Trading - Mechanical</v>
          </cell>
          <cell r="Y12" t="str">
            <v>AD Siemens</v>
          </cell>
        </row>
        <row r="13">
          <cell r="B13" t="str">
            <v>Poyry Indonesia, PT</v>
          </cell>
          <cell r="C13" t="str">
            <v/>
          </cell>
          <cell r="D13" t="str">
            <v/>
          </cell>
          <cell r="E13" t="str">
            <v/>
          </cell>
          <cell r="G13" t="str">
            <v>□</v>
          </cell>
          <cell r="H13" t="str">
            <v>□</v>
          </cell>
          <cell r="I13" t="str">
            <v>□</v>
          </cell>
          <cell r="J13" t="str">
            <v>□</v>
          </cell>
          <cell r="K13" t="str">
            <v>□</v>
          </cell>
          <cell r="L13" t="str">
            <v>□</v>
          </cell>
          <cell r="M13" t="str">
            <v>□</v>
          </cell>
          <cell r="N13" t="str">
            <v>□</v>
          </cell>
          <cell r="O13" t="str">
            <v>□</v>
          </cell>
          <cell r="P13" t="str">
            <v>□</v>
          </cell>
          <cell r="Q13" t="str">
            <v>□</v>
          </cell>
          <cell r="R13" t="str">
            <v>□</v>
          </cell>
          <cell r="S13" t="str">
            <v>□</v>
          </cell>
          <cell r="T13" t="str">
            <v>□</v>
          </cell>
          <cell r="U13" t="str">
            <v>NA</v>
          </cell>
          <cell r="V13" t="str">
            <v>No Register</v>
          </cell>
          <cell r="W13" t="str">
            <v/>
          </cell>
          <cell r="Y13" t="str">
            <v/>
          </cell>
        </row>
        <row r="14">
          <cell r="B14" t="str">
            <v>Berkat Manunggal Jaya, PT</v>
          </cell>
          <cell r="C14" t="str">
            <v>marketing@bmj.co.id</v>
          </cell>
          <cell r="D14" t="str">
            <v/>
          </cell>
          <cell r="G14" t="str">
            <v>□</v>
          </cell>
          <cell r="H14" t="str">
            <v>□</v>
          </cell>
          <cell r="I14" t="str">
            <v>□</v>
          </cell>
          <cell r="J14" t="str">
            <v>□</v>
          </cell>
          <cell r="K14" t="str">
            <v>□</v>
          </cell>
          <cell r="L14" t="str">
            <v>□</v>
          </cell>
          <cell r="M14" t="str">
            <v>□</v>
          </cell>
          <cell r="N14" t="str">
            <v>□</v>
          </cell>
          <cell r="O14" t="str">
            <v>□</v>
          </cell>
          <cell r="P14" t="str">
            <v>□</v>
          </cell>
          <cell r="Q14" t="str">
            <v>□</v>
          </cell>
          <cell r="R14" t="str">
            <v>□</v>
          </cell>
          <cell r="S14" t="str">
            <v>□</v>
          </cell>
          <cell r="T14" t="str">
            <v>□</v>
          </cell>
          <cell r="U14" t="str">
            <v>NA</v>
          </cell>
          <cell r="V14" t="str">
            <v>No Register</v>
          </cell>
          <cell r="W14" t="str">
            <v/>
          </cell>
          <cell r="Y14" t="str">
            <v/>
          </cell>
        </row>
        <row r="15">
          <cell r="B15" t="str">
            <v>Duta Permata Murni</v>
          </cell>
          <cell r="C15" t="str">
            <v/>
          </cell>
          <cell r="D15" t="str">
            <v/>
          </cell>
          <cell r="E15" t="str">
            <v/>
          </cell>
          <cell r="G15" t="str">
            <v>□</v>
          </cell>
          <cell r="H15" t="str">
            <v>□</v>
          </cell>
          <cell r="I15" t="str">
            <v>□</v>
          </cell>
          <cell r="J15" t="str">
            <v>□</v>
          </cell>
          <cell r="K15" t="str">
            <v>□</v>
          </cell>
          <cell r="L15" t="str">
            <v>□</v>
          </cell>
          <cell r="M15" t="str">
            <v>□</v>
          </cell>
          <cell r="N15" t="str">
            <v>□</v>
          </cell>
          <cell r="O15" t="str">
            <v>□</v>
          </cell>
          <cell r="P15" t="str">
            <v>□</v>
          </cell>
          <cell r="Q15" t="str">
            <v>□</v>
          </cell>
          <cell r="R15" t="str">
            <v>□</v>
          </cell>
          <cell r="S15" t="str">
            <v>□</v>
          </cell>
          <cell r="T15" t="str">
            <v>□</v>
          </cell>
          <cell r="U15" t="str">
            <v>NA</v>
          </cell>
          <cell r="V15" t="str">
            <v>No Register</v>
          </cell>
          <cell r="W15" t="str">
            <v/>
          </cell>
          <cell r="Y15" t="str">
            <v/>
          </cell>
        </row>
        <row r="16">
          <cell r="B16" t="str">
            <v>Dragon Star</v>
          </cell>
          <cell r="C16" t="str">
            <v>dragon.star_34@yahoo.com</v>
          </cell>
          <cell r="D16" t="str">
            <v>Asep</v>
          </cell>
          <cell r="E16" t="str">
            <v>081293457503</v>
          </cell>
          <cell r="G16" t="str">
            <v>□</v>
          </cell>
          <cell r="H16" t="str">
            <v>□</v>
          </cell>
          <cell r="I16" t="str">
            <v>□</v>
          </cell>
          <cell r="J16" t="str">
            <v>□</v>
          </cell>
          <cell r="K16" t="str">
            <v>□</v>
          </cell>
          <cell r="L16" t="str">
            <v>□</v>
          </cell>
          <cell r="M16" t="str">
            <v>□</v>
          </cell>
          <cell r="N16" t="str">
            <v>□</v>
          </cell>
          <cell r="O16" t="str">
            <v>□</v>
          </cell>
          <cell r="P16" t="str">
            <v>□</v>
          </cell>
          <cell r="Q16" t="str">
            <v>□</v>
          </cell>
          <cell r="R16" t="str">
            <v>□</v>
          </cell>
          <cell r="S16" t="str">
            <v>□</v>
          </cell>
          <cell r="T16" t="str">
            <v>□</v>
          </cell>
          <cell r="U16" t="str">
            <v>NA</v>
          </cell>
          <cell r="V16" t="str">
            <v>No Register</v>
          </cell>
          <cell r="W16" t="str">
            <v/>
          </cell>
          <cell r="Y16" t="str">
            <v/>
          </cell>
        </row>
        <row r="17">
          <cell r="B17" t="str">
            <v>Bina Mandiri Stationery</v>
          </cell>
          <cell r="C17" t="str">
            <v/>
          </cell>
          <cell r="D17" t="str">
            <v/>
          </cell>
          <cell r="E17" t="str">
            <v/>
          </cell>
          <cell r="F17" t="str">
            <v>Jl. Pangeran Jayakarta Kondominium Mangga Dua Blok G No. 6 Jakarta</v>
          </cell>
          <cell r="G17" t="str">
            <v>□</v>
          </cell>
          <cell r="H17" t="str">
            <v>□</v>
          </cell>
          <cell r="I17" t="str">
            <v>□</v>
          </cell>
          <cell r="J17" t="str">
            <v>□</v>
          </cell>
          <cell r="K17" t="str">
            <v>□</v>
          </cell>
          <cell r="L17" t="str">
            <v>□</v>
          </cell>
          <cell r="M17" t="str">
            <v>□</v>
          </cell>
          <cell r="N17" t="str">
            <v>□</v>
          </cell>
          <cell r="O17" t="str">
            <v>□</v>
          </cell>
          <cell r="P17" t="str">
            <v>□</v>
          </cell>
          <cell r="Q17" t="str">
            <v>□</v>
          </cell>
          <cell r="R17" t="str">
            <v>□</v>
          </cell>
          <cell r="S17" t="str">
            <v>□</v>
          </cell>
          <cell r="T17" t="str">
            <v>□</v>
          </cell>
          <cell r="U17" t="str">
            <v>NA</v>
          </cell>
          <cell r="V17" t="str">
            <v>No Register</v>
          </cell>
          <cell r="W17" t="str">
            <v/>
          </cell>
          <cell r="Y17" t="str">
            <v/>
          </cell>
        </row>
        <row r="18">
          <cell r="B18" t="str">
            <v>Hadiputranto</v>
          </cell>
          <cell r="C18" t="str">
            <v/>
          </cell>
          <cell r="D18" t="str">
            <v/>
          </cell>
          <cell r="E18" t="str">
            <v/>
          </cell>
          <cell r="G18" t="str">
            <v>□</v>
          </cell>
          <cell r="H18" t="str">
            <v>□</v>
          </cell>
          <cell r="I18" t="str">
            <v>□</v>
          </cell>
          <cell r="J18" t="str">
            <v>□</v>
          </cell>
          <cell r="K18" t="str">
            <v>□</v>
          </cell>
          <cell r="L18" t="str">
            <v>□</v>
          </cell>
          <cell r="M18" t="str">
            <v>□</v>
          </cell>
          <cell r="N18" t="str">
            <v>□</v>
          </cell>
          <cell r="O18" t="str">
            <v>□</v>
          </cell>
          <cell r="P18" t="str">
            <v>□</v>
          </cell>
          <cell r="Q18" t="str">
            <v>□</v>
          </cell>
          <cell r="R18" t="str">
            <v>□</v>
          </cell>
          <cell r="S18" t="str">
            <v>□</v>
          </cell>
          <cell r="T18" t="str">
            <v>□</v>
          </cell>
          <cell r="U18" t="str">
            <v>NA</v>
          </cell>
          <cell r="V18" t="str">
            <v>No Register</v>
          </cell>
          <cell r="W18" t="str">
            <v/>
          </cell>
          <cell r="Y18" t="str">
            <v/>
          </cell>
        </row>
        <row r="19">
          <cell r="B19" t="str">
            <v>Soemadipraja &amp; Taher</v>
          </cell>
          <cell r="C19" t="str">
            <v/>
          </cell>
          <cell r="D19" t="str">
            <v/>
          </cell>
          <cell r="E19" t="str">
            <v/>
          </cell>
          <cell r="G19" t="str">
            <v>□</v>
          </cell>
          <cell r="H19" t="str">
            <v>□</v>
          </cell>
          <cell r="I19" t="str">
            <v>□</v>
          </cell>
          <cell r="J19" t="str">
            <v>□</v>
          </cell>
          <cell r="K19" t="str">
            <v>□</v>
          </cell>
          <cell r="L19" t="str">
            <v>□</v>
          </cell>
          <cell r="M19" t="str">
            <v>□</v>
          </cell>
          <cell r="N19" t="str">
            <v>□</v>
          </cell>
          <cell r="O19" t="str">
            <v>□</v>
          </cell>
          <cell r="P19" t="str">
            <v>□</v>
          </cell>
          <cell r="Q19" t="str">
            <v>□</v>
          </cell>
          <cell r="R19" t="str">
            <v>□</v>
          </cell>
          <cell r="S19" t="str">
            <v>□</v>
          </cell>
          <cell r="T19" t="str">
            <v>□</v>
          </cell>
          <cell r="U19" t="str">
            <v>NA</v>
          </cell>
          <cell r="V19" t="str">
            <v>No Register</v>
          </cell>
          <cell r="W19" t="str">
            <v/>
          </cell>
          <cell r="Y19" t="str">
            <v/>
          </cell>
        </row>
        <row r="20">
          <cell r="B20" t="str">
            <v>Tri Dharma Proteksi</v>
          </cell>
          <cell r="C20" t="str">
            <v/>
          </cell>
          <cell r="D20" t="str">
            <v/>
          </cell>
          <cell r="E20" t="str">
            <v/>
          </cell>
          <cell r="G20" t="str">
            <v>□</v>
          </cell>
          <cell r="H20" t="str">
            <v>□</v>
          </cell>
          <cell r="I20" t="str">
            <v>□</v>
          </cell>
          <cell r="J20" t="str">
            <v>□</v>
          </cell>
          <cell r="K20" t="str">
            <v>□</v>
          </cell>
          <cell r="L20" t="str">
            <v>□</v>
          </cell>
          <cell r="M20" t="str">
            <v>□</v>
          </cell>
          <cell r="N20" t="str">
            <v>□</v>
          </cell>
          <cell r="O20" t="str">
            <v>□</v>
          </cell>
          <cell r="P20" t="str">
            <v>□</v>
          </cell>
          <cell r="Q20" t="str">
            <v>□</v>
          </cell>
          <cell r="R20" t="str">
            <v>□</v>
          </cell>
          <cell r="S20" t="str">
            <v>□</v>
          </cell>
          <cell r="T20" t="str">
            <v>□</v>
          </cell>
          <cell r="U20" t="str">
            <v>NA</v>
          </cell>
          <cell r="V20" t="str">
            <v>No Register</v>
          </cell>
          <cell r="W20" t="str">
            <v/>
          </cell>
          <cell r="Y20" t="str">
            <v/>
          </cell>
        </row>
        <row r="21">
          <cell r="B21" t="str">
            <v>Jagat Oriental Tours &amp; Travel</v>
          </cell>
          <cell r="C21" t="str">
            <v/>
          </cell>
          <cell r="D21" t="str">
            <v/>
          </cell>
          <cell r="E21" t="str">
            <v/>
          </cell>
          <cell r="G21" t="str">
            <v>□</v>
          </cell>
          <cell r="H21" t="str">
            <v>□</v>
          </cell>
          <cell r="I21" t="str">
            <v>□</v>
          </cell>
          <cell r="J21" t="str">
            <v>□</v>
          </cell>
          <cell r="K21" t="str">
            <v>□</v>
          </cell>
          <cell r="L21" t="str">
            <v>□</v>
          </cell>
          <cell r="M21" t="str">
            <v>□</v>
          </cell>
          <cell r="N21" t="str">
            <v>□</v>
          </cell>
          <cell r="O21" t="str">
            <v>□</v>
          </cell>
          <cell r="P21" t="str">
            <v>□</v>
          </cell>
          <cell r="Q21" t="str">
            <v>□</v>
          </cell>
          <cell r="R21" t="str">
            <v>□</v>
          </cell>
          <cell r="S21" t="str">
            <v>□</v>
          </cell>
          <cell r="T21" t="str">
            <v>□</v>
          </cell>
          <cell r="U21" t="str">
            <v>NA</v>
          </cell>
          <cell r="V21" t="str">
            <v>No Register</v>
          </cell>
          <cell r="W21" t="str">
            <v/>
          </cell>
          <cell r="Y21" t="str">
            <v/>
          </cell>
        </row>
        <row r="22">
          <cell r="B22" t="str">
            <v>Garis Idea Mas</v>
          </cell>
          <cell r="C22" t="str">
            <v/>
          </cell>
          <cell r="D22" t="str">
            <v/>
          </cell>
          <cell r="E22" t="str">
            <v/>
          </cell>
          <cell r="G22" t="str">
            <v>□</v>
          </cell>
          <cell r="H22" t="str">
            <v>□</v>
          </cell>
          <cell r="I22" t="str">
            <v>□</v>
          </cell>
          <cell r="J22" t="str">
            <v>□</v>
          </cell>
          <cell r="K22" t="str">
            <v>□</v>
          </cell>
          <cell r="L22" t="str">
            <v>□</v>
          </cell>
          <cell r="M22" t="str">
            <v>□</v>
          </cell>
          <cell r="N22" t="str">
            <v>□</v>
          </cell>
          <cell r="O22" t="str">
            <v>□</v>
          </cell>
          <cell r="P22" t="str">
            <v>□</v>
          </cell>
          <cell r="Q22" t="str">
            <v>□</v>
          </cell>
          <cell r="R22" t="str">
            <v>□</v>
          </cell>
          <cell r="S22" t="str">
            <v>□</v>
          </cell>
          <cell r="T22" t="str">
            <v>□</v>
          </cell>
          <cell r="U22" t="str">
            <v>NA</v>
          </cell>
          <cell r="V22" t="str">
            <v>No Register</v>
          </cell>
          <cell r="W22" t="str">
            <v/>
          </cell>
          <cell r="Y22" t="str">
            <v/>
          </cell>
        </row>
        <row r="23">
          <cell r="B23" t="str">
            <v>Akhmad Akhmadji</v>
          </cell>
          <cell r="C23" t="str">
            <v/>
          </cell>
          <cell r="D23" t="str">
            <v/>
          </cell>
          <cell r="E23" t="str">
            <v/>
          </cell>
          <cell r="G23" t="str">
            <v>□</v>
          </cell>
          <cell r="H23" t="str">
            <v>□</v>
          </cell>
          <cell r="I23" t="str">
            <v>□</v>
          </cell>
          <cell r="J23" t="str">
            <v>□</v>
          </cell>
          <cell r="K23" t="str">
            <v>□</v>
          </cell>
          <cell r="L23" t="str">
            <v>□</v>
          </cell>
          <cell r="M23" t="str">
            <v>□</v>
          </cell>
          <cell r="N23" t="str">
            <v>□</v>
          </cell>
          <cell r="O23" t="str">
            <v>□</v>
          </cell>
          <cell r="P23" t="str">
            <v>□</v>
          </cell>
          <cell r="Q23" t="str">
            <v>□</v>
          </cell>
          <cell r="R23" t="str">
            <v>□</v>
          </cell>
          <cell r="S23" t="str">
            <v>□</v>
          </cell>
          <cell r="T23" t="str">
            <v>□</v>
          </cell>
          <cell r="U23" t="str">
            <v>NA</v>
          </cell>
          <cell r="V23" t="str">
            <v>No Register</v>
          </cell>
          <cell r="W23" t="str">
            <v/>
          </cell>
          <cell r="Y23" t="str">
            <v/>
          </cell>
        </row>
        <row r="24">
          <cell r="B24" t="str">
            <v>Tanjung Viesta</v>
          </cell>
          <cell r="C24" t="str">
            <v/>
          </cell>
          <cell r="D24" t="str">
            <v/>
          </cell>
          <cell r="E24" t="str">
            <v/>
          </cell>
          <cell r="G24" t="str">
            <v>□</v>
          </cell>
          <cell r="H24" t="str">
            <v>□</v>
          </cell>
          <cell r="I24" t="str">
            <v>□</v>
          </cell>
          <cell r="J24" t="str">
            <v>□</v>
          </cell>
          <cell r="K24" t="str">
            <v>□</v>
          </cell>
          <cell r="L24" t="str">
            <v>□</v>
          </cell>
          <cell r="M24" t="str">
            <v>□</v>
          </cell>
          <cell r="N24" t="str">
            <v>□</v>
          </cell>
          <cell r="O24" t="str">
            <v>□</v>
          </cell>
          <cell r="P24" t="str">
            <v>□</v>
          </cell>
          <cell r="Q24" t="str">
            <v>□</v>
          </cell>
          <cell r="R24" t="str">
            <v>□</v>
          </cell>
          <cell r="S24" t="str">
            <v>□</v>
          </cell>
          <cell r="T24" t="str">
            <v>□</v>
          </cell>
          <cell r="U24" t="str">
            <v>NA</v>
          </cell>
          <cell r="V24" t="str">
            <v>No Register</v>
          </cell>
          <cell r="W24" t="str">
            <v/>
          </cell>
          <cell r="Y24" t="str">
            <v/>
          </cell>
        </row>
        <row r="25">
          <cell r="B25" t="str">
            <v>Harrisma Informatika Jaya</v>
          </cell>
          <cell r="C25" t="str">
            <v/>
          </cell>
          <cell r="D25" t="str">
            <v/>
          </cell>
          <cell r="E25" t="str">
            <v/>
          </cell>
          <cell r="G25" t="str">
            <v>□</v>
          </cell>
          <cell r="H25" t="str">
            <v>□</v>
          </cell>
          <cell r="I25" t="str">
            <v>□</v>
          </cell>
          <cell r="J25" t="str">
            <v>□</v>
          </cell>
          <cell r="K25" t="str">
            <v>□</v>
          </cell>
          <cell r="L25" t="str">
            <v>□</v>
          </cell>
          <cell r="M25" t="str">
            <v>□</v>
          </cell>
          <cell r="N25" t="str">
            <v>□</v>
          </cell>
          <cell r="O25" t="str">
            <v>□</v>
          </cell>
          <cell r="P25" t="str">
            <v>□</v>
          </cell>
          <cell r="Q25" t="str">
            <v>□</v>
          </cell>
          <cell r="R25" t="str">
            <v>□</v>
          </cell>
          <cell r="S25" t="str">
            <v>□</v>
          </cell>
          <cell r="T25" t="str">
            <v>□</v>
          </cell>
          <cell r="U25" t="str">
            <v>NA</v>
          </cell>
          <cell r="V25" t="str">
            <v>No Register</v>
          </cell>
          <cell r="W25" t="str">
            <v/>
          </cell>
          <cell r="Y25" t="str">
            <v/>
          </cell>
        </row>
        <row r="26">
          <cell r="B26" t="str">
            <v>Poyry Energy</v>
          </cell>
          <cell r="C26" t="str">
            <v/>
          </cell>
          <cell r="D26" t="str">
            <v/>
          </cell>
          <cell r="E26" t="str">
            <v/>
          </cell>
          <cell r="G26" t="str">
            <v>□</v>
          </cell>
          <cell r="H26" t="str">
            <v>□</v>
          </cell>
          <cell r="I26" t="str">
            <v>□</v>
          </cell>
          <cell r="J26" t="str">
            <v>□</v>
          </cell>
          <cell r="K26" t="str">
            <v>□</v>
          </cell>
          <cell r="L26" t="str">
            <v>□</v>
          </cell>
          <cell r="M26" t="str">
            <v>□</v>
          </cell>
          <cell r="N26" t="str">
            <v>□</v>
          </cell>
          <cell r="O26" t="str">
            <v>□</v>
          </cell>
          <cell r="P26" t="str">
            <v>□</v>
          </cell>
          <cell r="Q26" t="str">
            <v>□</v>
          </cell>
          <cell r="R26" t="str">
            <v>□</v>
          </cell>
          <cell r="S26" t="str">
            <v>□</v>
          </cell>
          <cell r="T26" t="str">
            <v>□</v>
          </cell>
          <cell r="U26" t="str">
            <v>NA</v>
          </cell>
          <cell r="V26" t="str">
            <v>No Register</v>
          </cell>
          <cell r="W26" t="str">
            <v/>
          </cell>
          <cell r="Y26" t="str">
            <v/>
          </cell>
        </row>
        <row r="27">
          <cell r="B27" t="str">
            <v>Akraya International, PT</v>
          </cell>
          <cell r="C27" t="str">
            <v/>
          </cell>
          <cell r="D27" t="str">
            <v/>
          </cell>
          <cell r="E27" t="str">
            <v/>
          </cell>
          <cell r="F27" t="str">
            <v>Menara Kadin Indonesia. Jl HR. asuna Said . Blok X-5, Kav.2-3
Jakarta Selatan   12950
Indonesia</v>
          </cell>
          <cell r="G27" t="str">
            <v>□</v>
          </cell>
          <cell r="H27" t="str">
            <v>□</v>
          </cell>
          <cell r="I27" t="str">
            <v>□</v>
          </cell>
          <cell r="J27" t="str">
            <v>□</v>
          </cell>
          <cell r="K27" t="str">
            <v>□</v>
          </cell>
          <cell r="L27" t="str">
            <v>□</v>
          </cell>
          <cell r="M27" t="str">
            <v>□</v>
          </cell>
          <cell r="N27" t="str">
            <v>□</v>
          </cell>
          <cell r="O27" t="str">
            <v>□</v>
          </cell>
          <cell r="P27" t="str">
            <v>□</v>
          </cell>
          <cell r="Q27" t="str">
            <v>□</v>
          </cell>
          <cell r="R27" t="str">
            <v>□</v>
          </cell>
          <cell r="S27" t="str">
            <v>□</v>
          </cell>
          <cell r="T27" t="str">
            <v>□</v>
          </cell>
          <cell r="U27" t="str">
            <v>NA</v>
          </cell>
          <cell r="V27" t="str">
            <v>No Register</v>
          </cell>
          <cell r="W27" t="str">
            <v/>
          </cell>
          <cell r="Y27" t="str">
            <v/>
          </cell>
        </row>
        <row r="28">
          <cell r="B28" t="str">
            <v>Puri Denpasar Hotel</v>
          </cell>
          <cell r="C28" t="str">
            <v/>
          </cell>
          <cell r="D28" t="str">
            <v/>
          </cell>
          <cell r="E28" t="str">
            <v/>
          </cell>
          <cell r="F28" t="str">
            <v>Jl. Denpasar Selatan No.1 KuninganJakarta Selatan 12950 Indonesia</v>
          </cell>
          <cell r="G28" t="str">
            <v>□</v>
          </cell>
          <cell r="H28" t="str">
            <v>□</v>
          </cell>
          <cell r="I28" t="str">
            <v>□</v>
          </cell>
          <cell r="J28" t="str">
            <v>□</v>
          </cell>
          <cell r="K28" t="str">
            <v>□</v>
          </cell>
          <cell r="L28" t="str">
            <v>□</v>
          </cell>
          <cell r="M28" t="str">
            <v>□</v>
          </cell>
          <cell r="N28" t="str">
            <v>□</v>
          </cell>
          <cell r="O28" t="str">
            <v>□</v>
          </cell>
          <cell r="P28" t="str">
            <v>□</v>
          </cell>
          <cell r="Q28" t="str">
            <v>□</v>
          </cell>
          <cell r="R28" t="str">
            <v>□</v>
          </cell>
          <cell r="S28" t="str">
            <v>□</v>
          </cell>
          <cell r="T28" t="str">
            <v>□</v>
          </cell>
          <cell r="U28" t="str">
            <v>NA</v>
          </cell>
          <cell r="V28" t="str">
            <v>No Register</v>
          </cell>
          <cell r="W28" t="str">
            <v/>
          </cell>
          <cell r="Y28" t="str">
            <v/>
          </cell>
        </row>
        <row r="29">
          <cell r="B29" t="str">
            <v>Other Vendor</v>
          </cell>
          <cell r="C29" t="str">
            <v/>
          </cell>
          <cell r="D29" t="str">
            <v/>
          </cell>
          <cell r="E29" t="str">
            <v/>
          </cell>
          <cell r="F29" t="str">
            <v>Jl. SMA 48 No.46, Pinang Ranti, Jkt 13560, Indonesia</v>
          </cell>
          <cell r="G29" t="str">
            <v>□</v>
          </cell>
          <cell r="H29" t="str">
            <v>□</v>
          </cell>
          <cell r="I29" t="str">
            <v>□</v>
          </cell>
          <cell r="J29" t="str">
            <v>□</v>
          </cell>
          <cell r="K29" t="str">
            <v>□</v>
          </cell>
          <cell r="L29" t="str">
            <v>□</v>
          </cell>
          <cell r="M29" t="str">
            <v>□</v>
          </cell>
          <cell r="N29" t="str">
            <v>□</v>
          </cell>
          <cell r="O29" t="str">
            <v>□</v>
          </cell>
          <cell r="P29" t="str">
            <v>□</v>
          </cell>
          <cell r="Q29" t="str">
            <v>□</v>
          </cell>
          <cell r="R29" t="str">
            <v>□</v>
          </cell>
          <cell r="S29" t="str">
            <v>□</v>
          </cell>
          <cell r="T29" t="str">
            <v>□</v>
          </cell>
          <cell r="U29" t="str">
            <v>NA</v>
          </cell>
          <cell r="V29" t="str">
            <v>No Register</v>
          </cell>
          <cell r="W29" t="str">
            <v/>
          </cell>
          <cell r="Y29" t="str">
            <v/>
          </cell>
        </row>
        <row r="30">
          <cell r="B30" t="str">
            <v>Humberg Lie, SH</v>
          </cell>
          <cell r="C30" t="str">
            <v/>
          </cell>
          <cell r="D30" t="str">
            <v/>
          </cell>
          <cell r="E30" t="str">
            <v/>
          </cell>
          <cell r="G30" t="str">
            <v>□</v>
          </cell>
          <cell r="H30" t="str">
            <v>□</v>
          </cell>
          <cell r="I30" t="str">
            <v>□</v>
          </cell>
          <cell r="J30" t="str">
            <v>□</v>
          </cell>
          <cell r="K30" t="str">
            <v>□</v>
          </cell>
          <cell r="L30" t="str">
            <v>□</v>
          </cell>
          <cell r="M30" t="str">
            <v>□</v>
          </cell>
          <cell r="N30" t="str">
            <v>□</v>
          </cell>
          <cell r="O30" t="str">
            <v>□</v>
          </cell>
          <cell r="P30" t="str">
            <v>□</v>
          </cell>
          <cell r="Q30" t="str">
            <v>□</v>
          </cell>
          <cell r="R30" t="str">
            <v>□</v>
          </cell>
          <cell r="S30" t="str">
            <v>□</v>
          </cell>
          <cell r="T30" t="str">
            <v>□</v>
          </cell>
          <cell r="U30" t="str">
            <v>NA</v>
          </cell>
          <cell r="V30" t="str">
            <v>No Register</v>
          </cell>
          <cell r="W30" t="str">
            <v/>
          </cell>
          <cell r="Y30" t="str">
            <v/>
          </cell>
        </row>
        <row r="31">
          <cell r="B31" t="str">
            <v>Karyadeka Pancamurni</v>
          </cell>
          <cell r="C31" t="str">
            <v/>
          </cell>
          <cell r="D31" t="str">
            <v/>
          </cell>
          <cell r="E31" t="str">
            <v/>
          </cell>
          <cell r="G31" t="str">
            <v>□</v>
          </cell>
          <cell r="H31" t="str">
            <v>□</v>
          </cell>
          <cell r="I31" t="str">
            <v>□</v>
          </cell>
          <cell r="J31" t="str">
            <v>□</v>
          </cell>
          <cell r="K31" t="str">
            <v>□</v>
          </cell>
          <cell r="L31" t="str">
            <v>□</v>
          </cell>
          <cell r="M31" t="str">
            <v>□</v>
          </cell>
          <cell r="N31" t="str">
            <v>□</v>
          </cell>
          <cell r="O31" t="str">
            <v>□</v>
          </cell>
          <cell r="P31" t="str">
            <v>□</v>
          </cell>
          <cell r="Q31" t="str">
            <v>□</v>
          </cell>
          <cell r="R31" t="str">
            <v>□</v>
          </cell>
          <cell r="S31" t="str">
            <v>□</v>
          </cell>
          <cell r="T31" t="str">
            <v>□</v>
          </cell>
          <cell r="U31" t="str">
            <v>NA</v>
          </cell>
          <cell r="V31" t="str">
            <v>No Register</v>
          </cell>
          <cell r="W31" t="str">
            <v/>
          </cell>
          <cell r="Y31" t="str">
            <v/>
          </cell>
        </row>
        <row r="32">
          <cell r="B32" t="str">
            <v>Jasapower Indonesia, PT</v>
          </cell>
          <cell r="C32" t="str">
            <v/>
          </cell>
          <cell r="D32" t="str">
            <v>Reynold D. Lesmana</v>
          </cell>
          <cell r="E32" t="str">
            <v/>
          </cell>
          <cell r="F32" t="str">
            <v>MENARA KARYA LT. 23, JL. HR. RASUNA SAID BLOK X-5 KAV 1-2, Kel. Kuningan Timur, Kec. Setiabudi, Kota Adm. Jakarta Selatan</v>
          </cell>
          <cell r="G32" t="str">
            <v>□</v>
          </cell>
          <cell r="H32" t="str">
            <v>□</v>
          </cell>
          <cell r="I32" t="str">
            <v>□</v>
          </cell>
          <cell r="J32" t="str">
            <v>□</v>
          </cell>
          <cell r="K32" t="str">
            <v>□</v>
          </cell>
          <cell r="L32" t="str">
            <v>□</v>
          </cell>
          <cell r="M32" t="str">
            <v>□</v>
          </cell>
          <cell r="N32" t="str">
            <v>□</v>
          </cell>
          <cell r="O32" t="str">
            <v>□</v>
          </cell>
          <cell r="P32" t="str">
            <v>□</v>
          </cell>
          <cell r="Q32" t="str">
            <v>□</v>
          </cell>
          <cell r="R32" t="str">
            <v>□</v>
          </cell>
          <cell r="S32" t="str">
            <v>□</v>
          </cell>
          <cell r="T32" t="str">
            <v>□</v>
          </cell>
          <cell r="U32" t="str">
            <v>NA</v>
          </cell>
          <cell r="V32" t="str">
            <v>No Register</v>
          </cell>
          <cell r="W32" t="str">
            <v/>
          </cell>
          <cell r="Y32" t="str">
            <v/>
          </cell>
        </row>
        <row r="33">
          <cell r="B33" t="str">
            <v>Alam Tri Abadi, PT</v>
          </cell>
          <cell r="C33" t="str">
            <v/>
          </cell>
          <cell r="D33" t="str">
            <v/>
          </cell>
          <cell r="E33" t="str">
            <v/>
          </cell>
          <cell r="F33" t="str">
            <v>Menara Karya. Lt 23 HI HR. Rasuna Said Blok X-5 .Kav. 1-2 Jakarta Selatan 12950 Indonesia</v>
          </cell>
          <cell r="G33" t="str">
            <v>□</v>
          </cell>
          <cell r="H33" t="str">
            <v>□</v>
          </cell>
          <cell r="I33" t="str">
            <v>□</v>
          </cell>
          <cell r="J33" t="str">
            <v>□</v>
          </cell>
          <cell r="K33" t="str">
            <v>□</v>
          </cell>
          <cell r="L33" t="str">
            <v>□</v>
          </cell>
          <cell r="M33" t="str">
            <v>□</v>
          </cell>
          <cell r="N33" t="str">
            <v>□</v>
          </cell>
          <cell r="O33" t="str">
            <v>□</v>
          </cell>
          <cell r="P33" t="str">
            <v>□</v>
          </cell>
          <cell r="Q33" t="str">
            <v>□</v>
          </cell>
          <cell r="R33" t="str">
            <v>□</v>
          </cell>
          <cell r="S33" t="str">
            <v>□</v>
          </cell>
          <cell r="T33" t="str">
            <v>□</v>
          </cell>
          <cell r="U33" t="str">
            <v>NA</v>
          </cell>
          <cell r="V33" t="str">
            <v>No Register</v>
          </cell>
          <cell r="W33" t="str">
            <v/>
          </cell>
          <cell r="Y33" t="str">
            <v/>
          </cell>
        </row>
        <row r="34">
          <cell r="B34" t="str">
            <v>Widjoyo Computer</v>
          </cell>
          <cell r="C34" t="str">
            <v/>
          </cell>
          <cell r="D34" t="str">
            <v/>
          </cell>
          <cell r="E34" t="str">
            <v/>
          </cell>
          <cell r="F34" t="str">
            <v>Mangga Dua Mall Lt. 2 No. 9B Jakarta</v>
          </cell>
          <cell r="G34" t="str">
            <v>□</v>
          </cell>
          <cell r="H34" t="str">
            <v>□</v>
          </cell>
          <cell r="I34" t="str">
            <v>□</v>
          </cell>
          <cell r="J34" t="str">
            <v>□</v>
          </cell>
          <cell r="K34" t="str">
            <v>□</v>
          </cell>
          <cell r="L34" t="str">
            <v>□</v>
          </cell>
          <cell r="M34" t="str">
            <v>□</v>
          </cell>
          <cell r="N34" t="str">
            <v>□</v>
          </cell>
          <cell r="O34" t="str">
            <v>□</v>
          </cell>
          <cell r="P34" t="str">
            <v>□</v>
          </cell>
          <cell r="Q34" t="str">
            <v>□</v>
          </cell>
          <cell r="R34" t="str">
            <v>□</v>
          </cell>
          <cell r="S34" t="str">
            <v>□</v>
          </cell>
          <cell r="T34" t="str">
            <v>□</v>
          </cell>
          <cell r="U34" t="str">
            <v>NA</v>
          </cell>
          <cell r="V34" t="str">
            <v>No Register</v>
          </cell>
          <cell r="W34" t="str">
            <v/>
          </cell>
          <cell r="Y34" t="str">
            <v/>
          </cell>
        </row>
        <row r="35">
          <cell r="B35" t="str">
            <v>Kantor Akuntan Publik Rintis,Jumadi,Rianto &amp; Rekan</v>
          </cell>
          <cell r="C35" t="str">
            <v/>
          </cell>
          <cell r="D35" t="str">
            <v/>
          </cell>
          <cell r="E35" t="str">
            <v/>
          </cell>
          <cell r="F35" t="str">
            <v>Jl. HR. Rasuna Said Kav. X-7 No. 6 Jakarta 12940</v>
          </cell>
          <cell r="G35" t="str">
            <v>□</v>
          </cell>
          <cell r="H35" t="str">
            <v>□</v>
          </cell>
          <cell r="I35" t="str">
            <v>□</v>
          </cell>
          <cell r="J35" t="str">
            <v>□</v>
          </cell>
          <cell r="K35" t="str">
            <v>□</v>
          </cell>
          <cell r="L35" t="str">
            <v>□</v>
          </cell>
          <cell r="M35" t="str">
            <v>□</v>
          </cell>
          <cell r="N35" t="str">
            <v>□</v>
          </cell>
          <cell r="O35" t="str">
            <v>□</v>
          </cell>
          <cell r="P35" t="str">
            <v>□</v>
          </cell>
          <cell r="Q35" t="str">
            <v>□</v>
          </cell>
          <cell r="R35" t="str">
            <v>□</v>
          </cell>
          <cell r="S35" t="str">
            <v>□</v>
          </cell>
          <cell r="T35" t="str">
            <v>□</v>
          </cell>
          <cell r="U35" t="str">
            <v>NA</v>
          </cell>
          <cell r="V35" t="str">
            <v>No Register</v>
          </cell>
          <cell r="W35" t="str">
            <v/>
          </cell>
          <cell r="Y35" t="str">
            <v/>
          </cell>
        </row>
        <row r="36">
          <cell r="B36" t="str">
            <v>Punj Lloyd Indonesia - Site</v>
          </cell>
          <cell r="C36" t="str">
            <v/>
          </cell>
          <cell r="D36" t="str">
            <v/>
          </cell>
          <cell r="E36" t="str">
            <v/>
          </cell>
          <cell r="G36" t="str">
            <v>□</v>
          </cell>
          <cell r="H36" t="str">
            <v>□</v>
          </cell>
          <cell r="I36" t="str">
            <v>□</v>
          </cell>
          <cell r="J36" t="str">
            <v>□</v>
          </cell>
          <cell r="K36" t="str">
            <v>□</v>
          </cell>
          <cell r="L36" t="str">
            <v>□</v>
          </cell>
          <cell r="M36" t="str">
            <v>□</v>
          </cell>
          <cell r="N36" t="str">
            <v>□</v>
          </cell>
          <cell r="O36" t="str">
            <v>□</v>
          </cell>
          <cell r="P36" t="str">
            <v>□</v>
          </cell>
          <cell r="Q36" t="str">
            <v>□</v>
          </cell>
          <cell r="R36" t="str">
            <v>□</v>
          </cell>
          <cell r="S36" t="str">
            <v>□</v>
          </cell>
          <cell r="T36" t="str">
            <v>□</v>
          </cell>
          <cell r="U36" t="str">
            <v>NA</v>
          </cell>
          <cell r="V36" t="str">
            <v>No Register</v>
          </cell>
          <cell r="W36" t="str">
            <v/>
          </cell>
          <cell r="Y36" t="str">
            <v/>
          </cell>
        </row>
        <row r="37">
          <cell r="B37" t="str">
            <v>Bumi Alai Sentosa, PT</v>
          </cell>
          <cell r="C37" t="str">
            <v/>
          </cell>
          <cell r="D37" t="str">
            <v/>
          </cell>
          <cell r="E37" t="str">
            <v/>
          </cell>
          <cell r="G37" t="str">
            <v>□</v>
          </cell>
          <cell r="H37" t="str">
            <v>□</v>
          </cell>
          <cell r="I37" t="str">
            <v>□</v>
          </cell>
          <cell r="J37" t="str">
            <v>□</v>
          </cell>
          <cell r="K37" t="str">
            <v>□</v>
          </cell>
          <cell r="L37" t="str">
            <v>□</v>
          </cell>
          <cell r="M37" t="str">
            <v>□</v>
          </cell>
          <cell r="N37" t="str">
            <v>□</v>
          </cell>
          <cell r="O37" t="str">
            <v>□</v>
          </cell>
          <cell r="P37" t="str">
            <v>□</v>
          </cell>
          <cell r="Q37" t="str">
            <v>□</v>
          </cell>
          <cell r="R37" t="str">
            <v>□</v>
          </cell>
          <cell r="S37" t="str">
            <v>□</v>
          </cell>
          <cell r="T37" t="str">
            <v>□</v>
          </cell>
          <cell r="U37" t="str">
            <v>NA</v>
          </cell>
          <cell r="V37" t="str">
            <v>No Register</v>
          </cell>
          <cell r="W37" t="str">
            <v/>
          </cell>
          <cell r="Y37" t="str">
            <v/>
          </cell>
        </row>
        <row r="38">
          <cell r="B38" t="str">
            <v>Marsh Indonesia, PT</v>
          </cell>
          <cell r="C38" t="str">
            <v/>
          </cell>
          <cell r="D38" t="str">
            <v/>
          </cell>
          <cell r="E38" t="str">
            <v/>
          </cell>
          <cell r="G38" t="b">
            <v>0</v>
          </cell>
          <cell r="H38" t="b">
            <v>0</v>
          </cell>
          <cell r="I38" t="b">
            <v>0</v>
          </cell>
          <cell r="J38" t="b">
            <v>0</v>
          </cell>
          <cell r="K38" t="b">
            <v>0</v>
          </cell>
          <cell r="L38" t="b">
            <v>0</v>
          </cell>
          <cell r="M38" t="b">
            <v>0</v>
          </cell>
          <cell r="N38" t="b">
            <v>0</v>
          </cell>
          <cell r="O38" t="b">
            <v>0</v>
          </cell>
          <cell r="P38" t="b">
            <v>0</v>
          </cell>
          <cell r="Q38" t="b">
            <v>0</v>
          </cell>
          <cell r="R38" t="b">
            <v>0</v>
          </cell>
          <cell r="S38" t="b">
            <v>0</v>
          </cell>
          <cell r="T38" t="b">
            <v>0</v>
          </cell>
          <cell r="U38" t="str">
            <v>NA</v>
          </cell>
          <cell r="V38" t="str">
            <v>Register</v>
          </cell>
          <cell r="W38" t="str">
            <v/>
          </cell>
          <cell r="Y38" t="str">
            <v/>
          </cell>
        </row>
        <row r="39">
          <cell r="B39" t="str">
            <v>AJ Manulife Indonesia,. PT</v>
          </cell>
          <cell r="C39" t="str">
            <v/>
          </cell>
          <cell r="D39" t="str">
            <v/>
          </cell>
          <cell r="E39" t="str">
            <v/>
          </cell>
          <cell r="G39" t="str">
            <v>□</v>
          </cell>
          <cell r="H39" t="str">
            <v>□</v>
          </cell>
          <cell r="I39" t="str">
            <v>□</v>
          </cell>
          <cell r="J39" t="str">
            <v>□</v>
          </cell>
          <cell r="K39" t="str">
            <v>□</v>
          </cell>
          <cell r="L39" t="str">
            <v>□</v>
          </cell>
          <cell r="M39" t="str">
            <v>□</v>
          </cell>
          <cell r="N39" t="str">
            <v>□</v>
          </cell>
          <cell r="O39" t="str">
            <v>□</v>
          </cell>
          <cell r="P39" t="str">
            <v>□</v>
          </cell>
          <cell r="Q39" t="str">
            <v>□</v>
          </cell>
          <cell r="R39" t="str">
            <v>□</v>
          </cell>
          <cell r="S39" t="str">
            <v>□</v>
          </cell>
          <cell r="T39" t="str">
            <v>□</v>
          </cell>
          <cell r="U39" t="str">
            <v>NA</v>
          </cell>
          <cell r="V39" t="str">
            <v>No Register</v>
          </cell>
          <cell r="W39" t="str">
            <v/>
          </cell>
          <cell r="Y39" t="str">
            <v/>
          </cell>
        </row>
        <row r="40">
          <cell r="B40" t="str">
            <v>Tax Payable art. 21</v>
          </cell>
          <cell r="C40" t="str">
            <v/>
          </cell>
          <cell r="D40" t="str">
            <v/>
          </cell>
          <cell r="E40" t="str">
            <v/>
          </cell>
          <cell r="G40" t="str">
            <v>□</v>
          </cell>
          <cell r="H40" t="str">
            <v>□</v>
          </cell>
          <cell r="I40" t="str">
            <v>□</v>
          </cell>
          <cell r="J40" t="str">
            <v>□</v>
          </cell>
          <cell r="K40" t="str">
            <v>□</v>
          </cell>
          <cell r="L40" t="str">
            <v>□</v>
          </cell>
          <cell r="M40" t="str">
            <v>□</v>
          </cell>
          <cell r="N40" t="str">
            <v>□</v>
          </cell>
          <cell r="O40" t="str">
            <v>□</v>
          </cell>
          <cell r="P40" t="str">
            <v>□</v>
          </cell>
          <cell r="Q40" t="str">
            <v>□</v>
          </cell>
          <cell r="R40" t="str">
            <v>□</v>
          </cell>
          <cell r="S40" t="str">
            <v>□</v>
          </cell>
          <cell r="T40" t="str">
            <v>□</v>
          </cell>
          <cell r="U40" t="str">
            <v>NA</v>
          </cell>
          <cell r="V40" t="str">
            <v>No Register</v>
          </cell>
          <cell r="W40" t="str">
            <v/>
          </cell>
          <cell r="Y40" t="str">
            <v/>
          </cell>
        </row>
        <row r="41">
          <cell r="B41" t="str">
            <v>Tax Payable art. 23</v>
          </cell>
          <cell r="C41" t="str">
            <v/>
          </cell>
          <cell r="D41" t="str">
            <v/>
          </cell>
          <cell r="E41" t="str">
            <v/>
          </cell>
          <cell r="G41" t="str">
            <v>□</v>
          </cell>
          <cell r="H41" t="str">
            <v>□</v>
          </cell>
          <cell r="I41" t="str">
            <v>□</v>
          </cell>
          <cell r="J41" t="str">
            <v>□</v>
          </cell>
          <cell r="K41" t="str">
            <v>□</v>
          </cell>
          <cell r="L41" t="str">
            <v>□</v>
          </cell>
          <cell r="M41" t="str">
            <v>□</v>
          </cell>
          <cell r="N41" t="str">
            <v>□</v>
          </cell>
          <cell r="O41" t="str">
            <v>□</v>
          </cell>
          <cell r="P41" t="str">
            <v>□</v>
          </cell>
          <cell r="Q41" t="str">
            <v>□</v>
          </cell>
          <cell r="R41" t="str">
            <v>□</v>
          </cell>
          <cell r="S41" t="str">
            <v>□</v>
          </cell>
          <cell r="T41" t="str">
            <v>□</v>
          </cell>
          <cell r="U41" t="str">
            <v>NA</v>
          </cell>
          <cell r="V41" t="str">
            <v>No Register</v>
          </cell>
          <cell r="W41" t="str">
            <v/>
          </cell>
          <cell r="Y41" t="str">
            <v/>
          </cell>
        </row>
        <row r="42">
          <cell r="B42" t="str">
            <v>Tax Payable art. 25</v>
          </cell>
          <cell r="C42" t="str">
            <v/>
          </cell>
          <cell r="D42" t="str">
            <v/>
          </cell>
          <cell r="E42" t="str">
            <v/>
          </cell>
          <cell r="G42" t="str">
            <v>□</v>
          </cell>
          <cell r="H42" t="str">
            <v>□</v>
          </cell>
          <cell r="I42" t="str">
            <v>□</v>
          </cell>
          <cell r="J42" t="str">
            <v>□</v>
          </cell>
          <cell r="K42" t="str">
            <v>□</v>
          </cell>
          <cell r="L42" t="str">
            <v>□</v>
          </cell>
          <cell r="M42" t="str">
            <v>□</v>
          </cell>
          <cell r="N42" t="str">
            <v>□</v>
          </cell>
          <cell r="O42" t="str">
            <v>□</v>
          </cell>
          <cell r="P42" t="str">
            <v>□</v>
          </cell>
          <cell r="Q42" t="str">
            <v>□</v>
          </cell>
          <cell r="R42" t="str">
            <v>□</v>
          </cell>
          <cell r="S42" t="str">
            <v>□</v>
          </cell>
          <cell r="T42" t="str">
            <v>□</v>
          </cell>
          <cell r="U42" t="str">
            <v>NA</v>
          </cell>
          <cell r="V42" t="str">
            <v>No Register</v>
          </cell>
          <cell r="W42" t="str">
            <v/>
          </cell>
          <cell r="Y42" t="str">
            <v/>
          </cell>
        </row>
        <row r="43">
          <cell r="B43" t="str">
            <v>Tax Payable art. 26</v>
          </cell>
          <cell r="C43" t="str">
            <v/>
          </cell>
          <cell r="D43" t="str">
            <v/>
          </cell>
          <cell r="E43" t="str">
            <v/>
          </cell>
          <cell r="G43" t="str">
            <v>□</v>
          </cell>
          <cell r="H43" t="str">
            <v>□</v>
          </cell>
          <cell r="I43" t="str">
            <v>□</v>
          </cell>
          <cell r="J43" t="str">
            <v>□</v>
          </cell>
          <cell r="K43" t="str">
            <v>□</v>
          </cell>
          <cell r="L43" t="str">
            <v>□</v>
          </cell>
          <cell r="M43" t="str">
            <v>□</v>
          </cell>
          <cell r="N43" t="str">
            <v>□</v>
          </cell>
          <cell r="O43" t="str">
            <v>□</v>
          </cell>
          <cell r="P43" t="str">
            <v>□</v>
          </cell>
          <cell r="Q43" t="str">
            <v>□</v>
          </cell>
          <cell r="R43" t="str">
            <v>□</v>
          </cell>
          <cell r="S43" t="str">
            <v>□</v>
          </cell>
          <cell r="T43" t="str">
            <v>□</v>
          </cell>
          <cell r="U43" t="str">
            <v>NA</v>
          </cell>
          <cell r="V43" t="str">
            <v>No Register</v>
          </cell>
          <cell r="W43" t="str">
            <v/>
          </cell>
          <cell r="Y43" t="str">
            <v/>
          </cell>
        </row>
        <row r="44">
          <cell r="B44" t="str">
            <v>Tax Payable art. 29</v>
          </cell>
          <cell r="C44" t="str">
            <v/>
          </cell>
          <cell r="D44" t="str">
            <v/>
          </cell>
          <cell r="E44" t="str">
            <v/>
          </cell>
          <cell r="G44" t="str">
            <v>□</v>
          </cell>
          <cell r="H44" t="str">
            <v>□</v>
          </cell>
          <cell r="I44" t="str">
            <v>□</v>
          </cell>
          <cell r="J44" t="str">
            <v>□</v>
          </cell>
          <cell r="K44" t="str">
            <v>□</v>
          </cell>
          <cell r="L44" t="str">
            <v>□</v>
          </cell>
          <cell r="M44" t="str">
            <v>□</v>
          </cell>
          <cell r="N44" t="str">
            <v>□</v>
          </cell>
          <cell r="O44" t="str">
            <v>□</v>
          </cell>
          <cell r="P44" t="str">
            <v>□</v>
          </cell>
          <cell r="Q44" t="str">
            <v>□</v>
          </cell>
          <cell r="R44" t="str">
            <v>□</v>
          </cell>
          <cell r="S44" t="str">
            <v>□</v>
          </cell>
          <cell r="T44" t="str">
            <v>□</v>
          </cell>
          <cell r="U44" t="str">
            <v>NA</v>
          </cell>
          <cell r="V44" t="str">
            <v>No Register</v>
          </cell>
          <cell r="W44" t="str">
            <v/>
          </cell>
          <cell r="Y44" t="str">
            <v/>
          </cell>
        </row>
        <row r="45">
          <cell r="B45" t="str">
            <v>Tax Payable art 4 (2)</v>
          </cell>
          <cell r="C45" t="str">
            <v/>
          </cell>
          <cell r="D45" t="str">
            <v/>
          </cell>
          <cell r="E45" t="str">
            <v/>
          </cell>
          <cell r="G45" t="str">
            <v>□</v>
          </cell>
          <cell r="H45" t="str">
            <v>□</v>
          </cell>
          <cell r="I45" t="str">
            <v>□</v>
          </cell>
          <cell r="J45" t="str">
            <v>□</v>
          </cell>
          <cell r="K45" t="str">
            <v>□</v>
          </cell>
          <cell r="L45" t="str">
            <v>□</v>
          </cell>
          <cell r="M45" t="str">
            <v>□</v>
          </cell>
          <cell r="N45" t="str">
            <v>□</v>
          </cell>
          <cell r="O45" t="str">
            <v>□</v>
          </cell>
          <cell r="P45" t="str">
            <v>□</v>
          </cell>
          <cell r="Q45" t="str">
            <v>□</v>
          </cell>
          <cell r="R45" t="str">
            <v>□</v>
          </cell>
          <cell r="S45" t="str">
            <v>□</v>
          </cell>
          <cell r="T45" t="str">
            <v>□</v>
          </cell>
          <cell r="U45" t="str">
            <v>NA</v>
          </cell>
          <cell r="V45" t="str">
            <v>No Register</v>
          </cell>
          <cell r="W45" t="str">
            <v/>
          </cell>
          <cell r="Y45" t="str">
            <v/>
          </cell>
        </row>
        <row r="46">
          <cell r="B46" t="str">
            <v>VAT in Payable</v>
          </cell>
          <cell r="C46" t="str">
            <v/>
          </cell>
          <cell r="D46" t="str">
            <v/>
          </cell>
          <cell r="E46" t="str">
            <v/>
          </cell>
          <cell r="G46" t="str">
            <v>□</v>
          </cell>
          <cell r="H46" t="str">
            <v>□</v>
          </cell>
          <cell r="I46" t="str">
            <v>□</v>
          </cell>
          <cell r="J46" t="str">
            <v>□</v>
          </cell>
          <cell r="K46" t="str">
            <v>□</v>
          </cell>
          <cell r="L46" t="str">
            <v>□</v>
          </cell>
          <cell r="M46" t="str">
            <v>□</v>
          </cell>
          <cell r="N46" t="str">
            <v>□</v>
          </cell>
          <cell r="O46" t="str">
            <v>□</v>
          </cell>
          <cell r="P46" t="str">
            <v>□</v>
          </cell>
          <cell r="Q46" t="str">
            <v>□</v>
          </cell>
          <cell r="R46" t="str">
            <v>□</v>
          </cell>
          <cell r="S46" t="str">
            <v>□</v>
          </cell>
          <cell r="T46" t="str">
            <v>□</v>
          </cell>
          <cell r="U46" t="str">
            <v>NA</v>
          </cell>
          <cell r="V46" t="str">
            <v>No Register</v>
          </cell>
          <cell r="W46" t="str">
            <v/>
          </cell>
          <cell r="Y46" t="str">
            <v/>
          </cell>
        </row>
        <row r="47">
          <cell r="B47" t="str">
            <v>Tax Payable art. 15</v>
          </cell>
          <cell r="C47" t="str">
            <v/>
          </cell>
          <cell r="D47" t="str">
            <v/>
          </cell>
          <cell r="E47" t="str">
            <v/>
          </cell>
          <cell r="G47" t="str">
            <v>□</v>
          </cell>
          <cell r="H47" t="str">
            <v>□</v>
          </cell>
          <cell r="I47" t="str">
            <v>□</v>
          </cell>
          <cell r="J47" t="str">
            <v>□</v>
          </cell>
          <cell r="K47" t="str">
            <v>□</v>
          </cell>
          <cell r="L47" t="str">
            <v>□</v>
          </cell>
          <cell r="M47" t="str">
            <v>□</v>
          </cell>
          <cell r="N47" t="str">
            <v>□</v>
          </cell>
          <cell r="O47" t="str">
            <v>□</v>
          </cell>
          <cell r="P47" t="str">
            <v>□</v>
          </cell>
          <cell r="Q47" t="str">
            <v>□</v>
          </cell>
          <cell r="R47" t="str">
            <v>□</v>
          </cell>
          <cell r="S47" t="str">
            <v>□</v>
          </cell>
          <cell r="T47" t="str">
            <v>□</v>
          </cell>
          <cell r="U47" t="str">
            <v>NA</v>
          </cell>
          <cell r="V47" t="str">
            <v>No Register</v>
          </cell>
          <cell r="W47" t="str">
            <v/>
          </cell>
          <cell r="Y47" t="str">
            <v/>
          </cell>
        </row>
        <row r="48">
          <cell r="B48" t="str">
            <v>PPRSH Setiabudi Residences</v>
          </cell>
          <cell r="C48" t="str">
            <v/>
          </cell>
          <cell r="D48" t="str">
            <v/>
          </cell>
          <cell r="E48" t="str">
            <v/>
          </cell>
          <cell r="G48" t="str">
            <v>□</v>
          </cell>
          <cell r="H48" t="str">
            <v>□</v>
          </cell>
          <cell r="I48" t="str">
            <v>□</v>
          </cell>
          <cell r="J48" t="str">
            <v>□</v>
          </cell>
          <cell r="K48" t="str">
            <v>□</v>
          </cell>
          <cell r="L48" t="str">
            <v>□</v>
          </cell>
          <cell r="M48" t="str">
            <v>□</v>
          </cell>
          <cell r="N48" t="str">
            <v>□</v>
          </cell>
          <cell r="O48" t="str">
            <v>□</v>
          </cell>
          <cell r="P48" t="str">
            <v>□</v>
          </cell>
          <cell r="Q48" t="str">
            <v>□</v>
          </cell>
          <cell r="R48" t="str">
            <v>□</v>
          </cell>
          <cell r="S48" t="str">
            <v>□</v>
          </cell>
          <cell r="T48" t="str">
            <v>□</v>
          </cell>
          <cell r="U48" t="str">
            <v>NA</v>
          </cell>
          <cell r="V48" t="str">
            <v>No Register</v>
          </cell>
          <cell r="W48" t="str">
            <v/>
          </cell>
          <cell r="Y48" t="str">
            <v/>
          </cell>
        </row>
        <row r="49">
          <cell r="B49" t="str">
            <v>Adaro Indonesia, PT</v>
          </cell>
          <cell r="C49" t="str">
            <v>mulyadi@adaro.com; rachman.hakim@adaro.com; Shipping@adaro.com</v>
          </cell>
          <cell r="D49" t="str">
            <v>Mulyadi</v>
          </cell>
          <cell r="F49" t="str">
            <v>Menara Karya Lt. 22 dan 23. Jl. HR Rasuna Said Blok X-5 Kav 1-2, Setiabudi Jakarta Selatan 12950</v>
          </cell>
          <cell r="G49" t="b">
            <v>0</v>
          </cell>
          <cell r="H49" t="b">
            <v>0</v>
          </cell>
          <cell r="I49" t="b">
            <v>0</v>
          </cell>
          <cell r="J49" t="b">
            <v>0</v>
          </cell>
          <cell r="K49" t="b">
            <v>0</v>
          </cell>
          <cell r="L49" t="b">
            <v>0</v>
          </cell>
          <cell r="M49" t="b">
            <v>0</v>
          </cell>
          <cell r="N49" t="b">
            <v>0</v>
          </cell>
          <cell r="O49" t="b">
            <v>0</v>
          </cell>
          <cell r="P49" t="b">
            <v>0</v>
          </cell>
          <cell r="Q49" t="b">
            <v>0</v>
          </cell>
          <cell r="R49" t="b">
            <v>0</v>
          </cell>
          <cell r="S49" t="b">
            <v>1</v>
          </cell>
          <cell r="T49" t="b">
            <v>0</v>
          </cell>
          <cell r="U49" t="str">
            <v>NA</v>
          </cell>
          <cell r="V49" t="str">
            <v>Register</v>
          </cell>
          <cell r="W49" t="str">
            <v>SC</v>
          </cell>
          <cell r="X49" t="str">
            <v>Sister Company - Sewa gedung, Service, Consultant</v>
          </cell>
          <cell r="Y49" t="str">
            <v>Batubara</v>
          </cell>
        </row>
        <row r="50">
          <cell r="B50" t="str">
            <v>Sinar Alam Duta Perdana, PT</v>
          </cell>
          <cell r="C50" t="str">
            <v>sherlly@sadp.co.id; misrawardi@sadp.co.id; sales1@sadp.co.id; marini@sadp.co.id; ridho@sadp.co.id; nisa_fitria@sadp.co.id; ismawati@sadp.co.id</v>
          </cell>
          <cell r="D50" t="str">
            <v>Sherlly</v>
          </cell>
          <cell r="E50" t="str">
            <v>082125255387</v>
          </cell>
          <cell r="F50" t="str">
            <v>Jl. K.P. Tendean No. 174 Banjarmasin, Kalimantan Selatan</v>
          </cell>
          <cell r="G50" t="b">
            <v>0</v>
          </cell>
          <cell r="H50" t="b">
            <v>0</v>
          </cell>
          <cell r="I50" t="b">
            <v>0</v>
          </cell>
          <cell r="J50" t="b">
            <v>0</v>
          </cell>
          <cell r="K50" t="b">
            <v>0</v>
          </cell>
          <cell r="L50" t="b">
            <v>0</v>
          </cell>
          <cell r="M50" t="b">
            <v>0</v>
          </cell>
          <cell r="N50" t="b">
            <v>0</v>
          </cell>
          <cell r="O50" t="b">
            <v>0</v>
          </cell>
          <cell r="P50" t="b">
            <v>0</v>
          </cell>
          <cell r="Q50" t="b">
            <v>0</v>
          </cell>
          <cell r="R50" t="b">
            <v>0</v>
          </cell>
          <cell r="S50" t="b">
            <v>1</v>
          </cell>
          <cell r="T50" t="b">
            <v>0</v>
          </cell>
          <cell r="U50" t="str">
            <v>NA</v>
          </cell>
          <cell r="V50" t="str">
            <v>Register</v>
          </cell>
          <cell r="W50" t="str">
            <v>LG - TR
UT - FS</v>
          </cell>
          <cell r="X50" t="str">
            <v>Logistics - Trucking
Utilities - Fuel Supply (Coal / Gas / Diesel / Biomass)</v>
          </cell>
          <cell r="Y50" t="str">
            <v>Truk Fuel</v>
          </cell>
        </row>
        <row r="51">
          <cell r="B51" t="str">
            <v>Mubarakah , Toko</v>
          </cell>
          <cell r="C51" t="str">
            <v/>
          </cell>
          <cell r="D51" t="str">
            <v/>
          </cell>
          <cell r="E51" t="str">
            <v/>
          </cell>
          <cell r="F51" t="str">
            <v>Jl. Ir. P.H.M Noor - Tanjung, Tabalong, Kalimantan Selatan</v>
          </cell>
          <cell r="G51" t="b">
            <v>0</v>
          </cell>
          <cell r="H51" t="b">
            <v>0</v>
          </cell>
          <cell r="I51" t="b">
            <v>0</v>
          </cell>
          <cell r="J51" t="b">
            <v>0</v>
          </cell>
          <cell r="K51" t="b">
            <v>0</v>
          </cell>
          <cell r="L51" t="b">
            <v>0</v>
          </cell>
          <cell r="M51" t="b">
            <v>1</v>
          </cell>
          <cell r="N51" t="b">
            <v>0</v>
          </cell>
          <cell r="O51" t="b">
            <v>0</v>
          </cell>
          <cell r="P51" t="b">
            <v>0</v>
          </cell>
          <cell r="Q51" t="b">
            <v>1</v>
          </cell>
          <cell r="R51" t="b">
            <v>0</v>
          </cell>
          <cell r="S51" t="b">
            <v>1</v>
          </cell>
          <cell r="T51" t="b">
            <v>0</v>
          </cell>
          <cell r="U51" t="str">
            <v>NA</v>
          </cell>
          <cell r="V51" t="str">
            <v>No Register</v>
          </cell>
          <cell r="W51" t="str">
            <v/>
          </cell>
          <cell r="Y51" t="str">
            <v/>
          </cell>
        </row>
        <row r="52">
          <cell r="B52" t="str">
            <v>Anugrah Mandiri Putra Tabalong, PT</v>
          </cell>
          <cell r="C52" t="str">
            <v>anugrah_mandiritjg@yahoo.com</v>
          </cell>
          <cell r="D52" t="str">
            <v>Zainal</v>
          </cell>
          <cell r="E52" t="str">
            <v>081250017233</v>
          </cell>
          <cell r="F52" t="str">
            <v>Jl. Palem RT.04 No.21 Murung Pudak, Tanjung Tabalong, KalSel</v>
          </cell>
          <cell r="G52" t="b">
            <v>0</v>
          </cell>
          <cell r="H52" t="b">
            <v>0</v>
          </cell>
          <cell r="I52" t="b">
            <v>0</v>
          </cell>
          <cell r="J52" t="b">
            <v>0</v>
          </cell>
          <cell r="K52" t="b">
            <v>0</v>
          </cell>
          <cell r="L52" t="b">
            <v>0</v>
          </cell>
          <cell r="M52" t="b">
            <v>0</v>
          </cell>
          <cell r="N52" t="b">
            <v>0</v>
          </cell>
          <cell r="O52" t="b">
            <v>0</v>
          </cell>
          <cell r="P52" t="b">
            <v>0</v>
          </cell>
          <cell r="Q52" t="b">
            <v>0</v>
          </cell>
          <cell r="R52" t="b">
            <v>0</v>
          </cell>
          <cell r="S52" t="b">
            <v>1</v>
          </cell>
          <cell r="T52" t="b">
            <v>0</v>
          </cell>
          <cell r="U52" t="str">
            <v>A</v>
          </cell>
          <cell r="V52" t="str">
            <v>Register</v>
          </cell>
          <cell r="W52" t="str">
            <v>GT</v>
          </cell>
          <cell r="X52" t="str">
            <v>General Trading</v>
          </cell>
          <cell r="Y52" t="str">
            <v>General Trading</v>
          </cell>
        </row>
        <row r="53">
          <cell r="B53" t="str">
            <v>Wisata Dewa, PT</v>
          </cell>
          <cell r="C53" t="str">
            <v/>
          </cell>
          <cell r="D53" t="str">
            <v/>
          </cell>
          <cell r="E53" t="str">
            <v/>
          </cell>
          <cell r="G53" t="b">
            <v>0</v>
          </cell>
          <cell r="H53" t="b">
            <v>0</v>
          </cell>
          <cell r="I53" t="b">
            <v>0</v>
          </cell>
          <cell r="J53" t="b">
            <v>0</v>
          </cell>
          <cell r="K53" t="b">
            <v>0</v>
          </cell>
          <cell r="L53" t="b">
            <v>0</v>
          </cell>
          <cell r="M53" t="b">
            <v>0</v>
          </cell>
          <cell r="N53" t="b">
            <v>0</v>
          </cell>
          <cell r="O53" t="b">
            <v>0</v>
          </cell>
          <cell r="P53" t="b">
            <v>0</v>
          </cell>
          <cell r="Q53" t="b">
            <v>0</v>
          </cell>
          <cell r="R53" t="b">
            <v>0</v>
          </cell>
          <cell r="S53" t="b">
            <v>1</v>
          </cell>
          <cell r="T53" t="b">
            <v>0</v>
          </cell>
          <cell r="U53" t="str">
            <v>NA</v>
          </cell>
          <cell r="V53" t="str">
            <v>Register</v>
          </cell>
          <cell r="W53" t="str">
            <v>TR - TS</v>
          </cell>
          <cell r="X53" t="str">
            <v>Transportation - Travel Service / Travel Agent</v>
          </cell>
          <cell r="Y53" t="str">
            <v/>
          </cell>
        </row>
        <row r="54">
          <cell r="B54" t="str">
            <v>Taka Precision Manufacturing Indonesia, PT</v>
          </cell>
          <cell r="C54" t="str">
            <v>sis@taka.co.id; gustin@taka.co.id; gustin@taka-tpmi.co.id; monica@taka-tpmi.co.id; dadang@taka.co.id</v>
          </cell>
          <cell r="D54" t="str">
            <v>Dadang</v>
          </cell>
          <cell r="E54" t="str">
            <v>081313771962</v>
          </cell>
          <cell r="F54" t="str">
            <v>Jl. Raya Cinunuk No.274</v>
          </cell>
          <cell r="G54" t="b">
            <v>0</v>
          </cell>
          <cell r="H54" t="b">
            <v>1</v>
          </cell>
          <cell r="I54" t="b">
            <v>0</v>
          </cell>
          <cell r="J54" t="b">
            <v>0</v>
          </cell>
          <cell r="K54" t="b">
            <v>0</v>
          </cell>
          <cell r="L54" t="b">
            <v>0</v>
          </cell>
          <cell r="M54" t="b">
            <v>0</v>
          </cell>
          <cell r="N54" t="b">
            <v>1</v>
          </cell>
          <cell r="O54" t="b">
            <v>0</v>
          </cell>
          <cell r="P54" t="b">
            <v>0</v>
          </cell>
          <cell r="Q54" t="b">
            <v>0</v>
          </cell>
          <cell r="R54" t="b">
            <v>0</v>
          </cell>
          <cell r="S54" t="b">
            <v>1</v>
          </cell>
          <cell r="T54" t="b">
            <v>0</v>
          </cell>
          <cell r="U54" t="str">
            <v>NA</v>
          </cell>
          <cell r="V54" t="str">
            <v>No Register</v>
          </cell>
          <cell r="W54" t="str">
            <v/>
          </cell>
          <cell r="X54" t="str">
            <v>Service Jasa - Maintenance</v>
          </cell>
          <cell r="Y54" t="str">
            <v/>
          </cell>
        </row>
        <row r="55">
          <cell r="B55" t="str">
            <v>Nusantara Compnet Integrator, PT</v>
          </cell>
          <cell r="C55" t="str">
            <v/>
          </cell>
          <cell r="D55" t="str">
            <v/>
          </cell>
          <cell r="E55" t="str">
            <v/>
          </cell>
          <cell r="F55" t="str">
            <v>Jl. Kemanggisan Utama Raya No.26, Jakarta 11480</v>
          </cell>
          <cell r="G55" t="str">
            <v>□</v>
          </cell>
          <cell r="H55" t="str">
            <v>□</v>
          </cell>
          <cell r="I55" t="str">
            <v>□</v>
          </cell>
          <cell r="J55" t="str">
            <v>□</v>
          </cell>
          <cell r="K55" t="str">
            <v>□</v>
          </cell>
          <cell r="L55" t="str">
            <v>□</v>
          </cell>
          <cell r="M55" t="str">
            <v>□</v>
          </cell>
          <cell r="N55" t="str">
            <v>□</v>
          </cell>
          <cell r="O55" t="str">
            <v>□</v>
          </cell>
          <cell r="P55" t="str">
            <v>□</v>
          </cell>
          <cell r="Q55" t="str">
            <v>□</v>
          </cell>
          <cell r="R55" t="str">
            <v>□</v>
          </cell>
          <cell r="S55" t="str">
            <v>□</v>
          </cell>
          <cell r="T55" t="str">
            <v>□</v>
          </cell>
          <cell r="U55" t="str">
            <v>NA</v>
          </cell>
          <cell r="V55" t="str">
            <v>No Register</v>
          </cell>
          <cell r="W55" t="str">
            <v/>
          </cell>
          <cell r="Y55" t="str">
            <v/>
          </cell>
        </row>
        <row r="56">
          <cell r="B56" t="str">
            <v>Cipta Com</v>
          </cell>
          <cell r="C56" t="str">
            <v/>
          </cell>
          <cell r="D56" t="str">
            <v/>
          </cell>
          <cell r="E56" t="str">
            <v/>
          </cell>
          <cell r="G56" t="b">
            <v>0</v>
          </cell>
          <cell r="H56" t="b">
            <v>0</v>
          </cell>
          <cell r="I56" t="b">
            <v>0</v>
          </cell>
          <cell r="J56" t="b">
            <v>0</v>
          </cell>
          <cell r="K56" t="b">
            <v>0</v>
          </cell>
          <cell r="L56" t="b">
            <v>1</v>
          </cell>
          <cell r="M56" t="b">
            <v>0</v>
          </cell>
          <cell r="N56" t="b">
            <v>0</v>
          </cell>
          <cell r="O56" t="b">
            <v>0</v>
          </cell>
          <cell r="P56" t="b">
            <v>0</v>
          </cell>
          <cell r="Q56" t="b">
            <v>0</v>
          </cell>
          <cell r="R56" t="b">
            <v>0</v>
          </cell>
          <cell r="S56" t="b">
            <v>0</v>
          </cell>
          <cell r="T56" t="b">
            <v>0</v>
          </cell>
          <cell r="U56" t="str">
            <v>NA</v>
          </cell>
          <cell r="V56" t="str">
            <v>Register</v>
          </cell>
          <cell r="W56" t="str">
            <v>IT - SV</v>
          </cell>
          <cell r="X56" t="str">
            <v>IT &amp; System - IT Services</v>
          </cell>
          <cell r="Y56" t="str">
            <v>Service</v>
          </cell>
        </row>
        <row r="57">
          <cell r="B57" t="str">
            <v>Trikarsa Sempurna Sistemindo, PT</v>
          </cell>
          <cell r="C57" t="str">
            <v/>
          </cell>
          <cell r="D57" t="str">
            <v/>
          </cell>
          <cell r="E57" t="str">
            <v/>
          </cell>
          <cell r="G57" t="str">
            <v>□</v>
          </cell>
          <cell r="H57" t="str">
            <v>□</v>
          </cell>
          <cell r="I57" t="str">
            <v>□</v>
          </cell>
          <cell r="J57" t="str">
            <v>□</v>
          </cell>
          <cell r="K57" t="str">
            <v>□</v>
          </cell>
          <cell r="L57" t="str">
            <v>□</v>
          </cell>
          <cell r="M57" t="str">
            <v>□</v>
          </cell>
          <cell r="N57" t="str">
            <v>□</v>
          </cell>
          <cell r="O57" t="str">
            <v>□</v>
          </cell>
          <cell r="P57" t="str">
            <v>□</v>
          </cell>
          <cell r="Q57" t="str">
            <v>□</v>
          </cell>
          <cell r="R57" t="str">
            <v>□</v>
          </cell>
          <cell r="S57" t="str">
            <v>□</v>
          </cell>
          <cell r="T57" t="str">
            <v>□</v>
          </cell>
          <cell r="U57" t="str">
            <v>NA</v>
          </cell>
          <cell r="V57" t="str">
            <v>No Register</v>
          </cell>
          <cell r="W57" t="str">
            <v/>
          </cell>
          <cell r="Y57" t="str">
            <v/>
          </cell>
        </row>
        <row r="58">
          <cell r="B58" t="str">
            <v>Multi Selaras Abadi, PT</v>
          </cell>
          <cell r="C58" t="str">
            <v/>
          </cell>
          <cell r="D58" t="str">
            <v>Dwi</v>
          </cell>
          <cell r="E58" t="str">
            <v/>
          </cell>
          <cell r="G58" t="b">
            <v>0</v>
          </cell>
          <cell r="H58" t="b">
            <v>0</v>
          </cell>
          <cell r="I58" t="b">
            <v>0</v>
          </cell>
          <cell r="J58" t="b">
            <v>0</v>
          </cell>
          <cell r="K58" t="b">
            <v>0</v>
          </cell>
          <cell r="L58" t="b">
            <v>1</v>
          </cell>
          <cell r="M58" t="b">
            <v>0</v>
          </cell>
          <cell r="N58" t="b">
            <v>0</v>
          </cell>
          <cell r="O58" t="b">
            <v>0</v>
          </cell>
          <cell r="P58" t="b">
            <v>0</v>
          </cell>
          <cell r="Q58" t="b">
            <v>0</v>
          </cell>
          <cell r="R58" t="b">
            <v>0</v>
          </cell>
          <cell r="S58" t="b">
            <v>0</v>
          </cell>
          <cell r="T58" t="b">
            <v>0</v>
          </cell>
          <cell r="U58" t="str">
            <v>NA</v>
          </cell>
          <cell r="V58" t="str">
            <v>No Register</v>
          </cell>
          <cell r="W58" t="str">
            <v>IT - NT</v>
          </cell>
          <cell r="X58" t="str">
            <v>IT &amp; System - Network &amp; Infrastructure</v>
          </cell>
          <cell r="Y58" t="str">
            <v/>
          </cell>
        </row>
        <row r="59">
          <cell r="B59" t="str">
            <v>Abenza Indonesia, PT</v>
          </cell>
          <cell r="C59" t="str">
            <v/>
          </cell>
          <cell r="D59" t="str">
            <v/>
          </cell>
          <cell r="E59" t="str">
            <v/>
          </cell>
          <cell r="G59" t="str">
            <v>□</v>
          </cell>
          <cell r="H59" t="str">
            <v>□</v>
          </cell>
          <cell r="I59" t="str">
            <v>□</v>
          </cell>
          <cell r="J59" t="str">
            <v>□</v>
          </cell>
          <cell r="K59" t="str">
            <v>□</v>
          </cell>
          <cell r="L59" t="str">
            <v>□</v>
          </cell>
          <cell r="M59" t="str">
            <v>□</v>
          </cell>
          <cell r="N59" t="str">
            <v>□</v>
          </cell>
          <cell r="O59" t="str">
            <v>□</v>
          </cell>
          <cell r="P59" t="str">
            <v>□</v>
          </cell>
          <cell r="Q59" t="str">
            <v>□</v>
          </cell>
          <cell r="R59" t="str">
            <v>□</v>
          </cell>
          <cell r="S59" t="str">
            <v>□</v>
          </cell>
          <cell r="T59" t="str">
            <v>□</v>
          </cell>
          <cell r="U59" t="str">
            <v>NA</v>
          </cell>
          <cell r="V59" t="str">
            <v>No Register</v>
          </cell>
          <cell r="W59" t="str">
            <v/>
          </cell>
          <cell r="Y59" t="str">
            <v/>
          </cell>
        </row>
        <row r="60">
          <cell r="B60" t="str">
            <v>Pruftechnik Condition, PT</v>
          </cell>
          <cell r="C60" t="str">
            <v>cesilia.batsyua@fluke.com</v>
          </cell>
          <cell r="D60" t="str">
            <v>Cesilia</v>
          </cell>
          <cell r="E60" t="str">
            <v>085866948027</v>
          </cell>
          <cell r="F60" t="str">
            <v>South Quarter, Tower A, lantai 15, unit E Jl. R.A. Kartini,Kav.8,Cilandak Barat</v>
          </cell>
          <cell r="G60" t="b">
            <v>0</v>
          </cell>
          <cell r="H60" t="b">
            <v>1</v>
          </cell>
          <cell r="I60" t="b">
            <v>1</v>
          </cell>
          <cell r="J60" t="b">
            <v>0</v>
          </cell>
          <cell r="K60" t="b">
            <v>0</v>
          </cell>
          <cell r="L60" t="b">
            <v>0</v>
          </cell>
          <cell r="M60" t="b">
            <v>0</v>
          </cell>
          <cell r="N60" t="b">
            <v>0</v>
          </cell>
          <cell r="O60" t="b">
            <v>0</v>
          </cell>
          <cell r="P60" t="b">
            <v>0</v>
          </cell>
          <cell r="Q60" t="b">
            <v>0</v>
          </cell>
          <cell r="R60" t="b">
            <v>0</v>
          </cell>
          <cell r="S60" t="b">
            <v>0</v>
          </cell>
          <cell r="T60" t="b">
            <v>0</v>
          </cell>
          <cell r="U60" t="str">
            <v>NA</v>
          </cell>
          <cell r="V60" t="str">
            <v>Register</v>
          </cell>
          <cell r="W60" t="str">
            <v/>
          </cell>
          <cell r="X60" t="str">
            <v>Authorized Distributor - Pruftechnik</v>
          </cell>
          <cell r="Y60" t="str">
            <v>Fluke 
Condition monitoring, vibration analysis, laser shaft alignment, balancing, reliability/maintenance rotating equipment.</v>
          </cell>
        </row>
        <row r="61">
          <cell r="B61" t="str">
            <v>Astra Graphia, Tbk, PT</v>
          </cell>
          <cell r="C61" t="str">
            <v>daffa.siswanto@astragraphia.co.id; rifqi.hashifah@astragraphia.co.id; samlani@astragraphia.co.id</v>
          </cell>
          <cell r="D61" t="str">
            <v>Farhan; Daffa</v>
          </cell>
          <cell r="E61" t="str">
            <v>087810961958; 085292300669</v>
          </cell>
          <cell r="F61" t="str">
            <v>KEM TOWER LT. 11 Jl. Landasan Pacu Barat Blok B10 Kav. No.2</v>
          </cell>
          <cell r="G61" t="b">
            <v>0</v>
          </cell>
          <cell r="H61" t="b">
            <v>0</v>
          </cell>
          <cell r="I61" t="b">
            <v>0</v>
          </cell>
          <cell r="J61" t="b">
            <v>0</v>
          </cell>
          <cell r="K61" t="b">
            <v>0</v>
          </cell>
          <cell r="L61" t="b">
            <v>1</v>
          </cell>
          <cell r="M61" t="b">
            <v>0</v>
          </cell>
          <cell r="N61" t="b">
            <v>1</v>
          </cell>
          <cell r="O61" t="b">
            <v>0</v>
          </cell>
          <cell r="P61" t="b">
            <v>0</v>
          </cell>
          <cell r="Q61" t="b">
            <v>0</v>
          </cell>
          <cell r="R61" t="b">
            <v>0</v>
          </cell>
          <cell r="S61" t="b">
            <v>0</v>
          </cell>
          <cell r="T61" t="b">
            <v>0</v>
          </cell>
          <cell r="U61" t="str">
            <v>NA</v>
          </cell>
          <cell r="V61" t="str">
            <v>Register</v>
          </cell>
          <cell r="W61" t="str">
            <v>IT - MS</v>
          </cell>
          <cell r="X61" t="str">
            <v>IT &amp; System - Managed Services</v>
          </cell>
          <cell r="Y61" t="str">
            <v>Rental Fotocopy</v>
          </cell>
        </row>
        <row r="62">
          <cell r="B62" t="str">
            <v>Haji Usnan Electric, CV</v>
          </cell>
          <cell r="C62" t="str">
            <v>hji.usnan@gmail.com</v>
          </cell>
          <cell r="D62" t="str">
            <v>Haji Rahman; Rizky</v>
          </cell>
          <cell r="E62" t="str">
            <v>081214361222; 085349830534</v>
          </cell>
          <cell r="F62" t="str">
            <v>Jl. A. Yani Km.03, Maburai, Tanjung Tabalong, KalSel</v>
          </cell>
          <cell r="G62" t="b">
            <v>0</v>
          </cell>
          <cell r="H62" t="b">
            <v>0</v>
          </cell>
          <cell r="I62" t="b">
            <v>0</v>
          </cell>
          <cell r="J62" t="b">
            <v>0</v>
          </cell>
          <cell r="K62" t="b">
            <v>0</v>
          </cell>
          <cell r="L62" t="b">
            <v>0</v>
          </cell>
          <cell r="M62" t="b">
            <v>0</v>
          </cell>
          <cell r="N62" t="b">
            <v>0</v>
          </cell>
          <cell r="O62" t="b">
            <v>0</v>
          </cell>
          <cell r="P62" t="b">
            <v>0</v>
          </cell>
          <cell r="Q62" t="b">
            <v>0</v>
          </cell>
          <cell r="R62" t="b">
            <v>0</v>
          </cell>
          <cell r="S62" t="b">
            <v>1</v>
          </cell>
          <cell r="T62" t="b">
            <v>0</v>
          </cell>
          <cell r="U62" t="str">
            <v>A</v>
          </cell>
          <cell r="V62" t="str">
            <v>Register</v>
          </cell>
          <cell r="W62" t="str">
            <v>GT</v>
          </cell>
          <cell r="X62" t="str">
            <v>General Trading</v>
          </cell>
          <cell r="Y62" t="str">
            <v>General Trading Site</v>
          </cell>
        </row>
        <row r="63">
          <cell r="B63" t="str">
            <v>Baratjaya Sentosa Perkasa, PT</v>
          </cell>
          <cell r="C63" t="str">
            <v/>
          </cell>
          <cell r="D63" t="str">
            <v/>
          </cell>
          <cell r="E63" t="str">
            <v/>
          </cell>
          <cell r="F63" t="str">
            <v>Jl. Letjend Suprapto No.13 RT. 042</v>
          </cell>
          <cell r="G63" t="b">
            <v>0</v>
          </cell>
          <cell r="H63" t="b">
            <v>0</v>
          </cell>
          <cell r="I63" t="b">
            <v>0</v>
          </cell>
          <cell r="J63" t="b">
            <v>0</v>
          </cell>
          <cell r="K63" t="b">
            <v>0</v>
          </cell>
          <cell r="L63" t="b">
            <v>0</v>
          </cell>
          <cell r="M63" t="b">
            <v>0</v>
          </cell>
          <cell r="N63" t="b">
            <v>0</v>
          </cell>
          <cell r="O63" t="b">
            <v>0</v>
          </cell>
          <cell r="P63" t="b">
            <v>0</v>
          </cell>
          <cell r="Q63" t="b">
            <v>0</v>
          </cell>
          <cell r="R63" t="b">
            <v>0</v>
          </cell>
          <cell r="S63" t="b">
            <v>1</v>
          </cell>
          <cell r="T63" t="b">
            <v>0</v>
          </cell>
          <cell r="U63" t="str">
            <v>NA</v>
          </cell>
          <cell r="V63" t="str">
            <v>No Register</v>
          </cell>
          <cell r="W63" t="str">
            <v/>
          </cell>
          <cell r="Y63" t="str">
            <v/>
          </cell>
        </row>
        <row r="64">
          <cell r="B64" t="str">
            <v>Hotel Aston Tanjung</v>
          </cell>
          <cell r="C64" t="str">
            <v/>
          </cell>
          <cell r="D64" t="str">
            <v/>
          </cell>
          <cell r="E64" t="str">
            <v/>
          </cell>
          <cell r="F64" t="str">
            <v>Jl. Mabuun Raya, Murung Pudak, Tanjung Tabalong 71571, Kalimantan Selatan</v>
          </cell>
          <cell r="G64" t="b">
            <v>0</v>
          </cell>
          <cell r="H64" t="b">
            <v>0</v>
          </cell>
          <cell r="I64" t="b">
            <v>0</v>
          </cell>
          <cell r="J64" t="b">
            <v>0</v>
          </cell>
          <cell r="K64" t="b">
            <v>0</v>
          </cell>
          <cell r="L64" t="b">
            <v>0</v>
          </cell>
          <cell r="M64" t="b">
            <v>0</v>
          </cell>
          <cell r="N64" t="b">
            <v>0</v>
          </cell>
          <cell r="O64" t="b">
            <v>0</v>
          </cell>
          <cell r="P64" t="b">
            <v>0</v>
          </cell>
          <cell r="Q64" t="b">
            <v>0</v>
          </cell>
          <cell r="R64" t="b">
            <v>0</v>
          </cell>
          <cell r="S64" t="b">
            <v>1</v>
          </cell>
          <cell r="T64" t="b">
            <v>0</v>
          </cell>
          <cell r="U64" t="str">
            <v>NA</v>
          </cell>
          <cell r="V64" t="str">
            <v>Register</v>
          </cell>
          <cell r="W64" t="str">
            <v>TR - HT</v>
          </cell>
          <cell r="X64" t="str">
            <v>Transportation - Hotel</v>
          </cell>
          <cell r="Y64" t="str">
            <v>Service</v>
          </cell>
        </row>
        <row r="65">
          <cell r="B65" t="str">
            <v>KOPEGTEL Banjarmasin</v>
          </cell>
          <cell r="C65" t="str">
            <v/>
          </cell>
          <cell r="D65" t="str">
            <v/>
          </cell>
          <cell r="E65" t="str">
            <v/>
          </cell>
          <cell r="G65" t="str">
            <v>□</v>
          </cell>
          <cell r="H65" t="str">
            <v>□</v>
          </cell>
          <cell r="I65" t="str">
            <v>□</v>
          </cell>
          <cell r="J65" t="str">
            <v>□</v>
          </cell>
          <cell r="K65" t="str">
            <v>□</v>
          </cell>
          <cell r="L65" t="str">
            <v>□</v>
          </cell>
          <cell r="M65" t="str">
            <v>□</v>
          </cell>
          <cell r="N65" t="str">
            <v>□</v>
          </cell>
          <cell r="O65" t="str">
            <v>□</v>
          </cell>
          <cell r="P65" t="str">
            <v>□</v>
          </cell>
          <cell r="Q65" t="str">
            <v>□</v>
          </cell>
          <cell r="R65" t="str">
            <v>□</v>
          </cell>
          <cell r="S65" t="str">
            <v>□</v>
          </cell>
          <cell r="T65" t="str">
            <v>□</v>
          </cell>
          <cell r="U65" t="str">
            <v>NA</v>
          </cell>
          <cell r="V65" t="str">
            <v>No Register</v>
          </cell>
          <cell r="W65" t="str">
            <v/>
          </cell>
          <cell r="Y65" t="str">
            <v/>
          </cell>
        </row>
        <row r="66">
          <cell r="B66" t="str">
            <v>Tanjung Prima Persada, PT</v>
          </cell>
          <cell r="C66" t="str">
            <v>ferryelpeni@yahoo.com</v>
          </cell>
          <cell r="D66" t="str">
            <v>Ferry Elpeni</v>
          </cell>
          <cell r="E66" t="str">
            <v>08115005400</v>
          </cell>
          <cell r="F66" t="str">
            <v>Jl. Permata Asri Blok J RT VIII No. 12 Desa Pembataan Kec. Murung Pudak Kab. Tabalong</v>
          </cell>
          <cell r="G66" t="b">
            <v>0</v>
          </cell>
          <cell r="H66" t="b">
            <v>0</v>
          </cell>
          <cell r="I66" t="b">
            <v>0</v>
          </cell>
          <cell r="J66" t="b">
            <v>0</v>
          </cell>
          <cell r="K66" t="b">
            <v>0</v>
          </cell>
          <cell r="L66" t="b">
            <v>0</v>
          </cell>
          <cell r="M66" t="b">
            <v>0</v>
          </cell>
          <cell r="N66" t="b">
            <v>0</v>
          </cell>
          <cell r="O66" t="b">
            <v>0</v>
          </cell>
          <cell r="P66" t="b">
            <v>0</v>
          </cell>
          <cell r="Q66" t="b">
            <v>0</v>
          </cell>
          <cell r="R66" t="b">
            <v>0</v>
          </cell>
          <cell r="S66" t="b">
            <v>1</v>
          </cell>
          <cell r="T66" t="b">
            <v>0</v>
          </cell>
          <cell r="U66" t="str">
            <v>NA</v>
          </cell>
          <cell r="V66" t="str">
            <v>Register</v>
          </cell>
          <cell r="W66" t="str">
            <v>TR - CR</v>
          </cell>
          <cell r="X66" t="str">
            <v>Transportation - Car Rental</v>
          </cell>
          <cell r="Y66" t="str">
            <v>Rental Car</v>
          </cell>
        </row>
        <row r="67">
          <cell r="B67" t="str">
            <v>Telkomsel, PT</v>
          </cell>
          <cell r="C67" t="str">
            <v/>
          </cell>
          <cell r="D67" t="str">
            <v/>
          </cell>
          <cell r="E67" t="str">
            <v/>
          </cell>
          <cell r="G67" t="str">
            <v>□</v>
          </cell>
          <cell r="H67" t="str">
            <v>□</v>
          </cell>
          <cell r="I67" t="str">
            <v>□</v>
          </cell>
          <cell r="J67" t="str">
            <v>□</v>
          </cell>
          <cell r="K67" t="str">
            <v>□</v>
          </cell>
          <cell r="L67" t="str">
            <v>□</v>
          </cell>
          <cell r="M67" t="str">
            <v>□</v>
          </cell>
          <cell r="N67" t="str">
            <v>□</v>
          </cell>
          <cell r="O67" t="str">
            <v>□</v>
          </cell>
          <cell r="P67" t="str">
            <v>□</v>
          </cell>
          <cell r="Q67" t="str">
            <v>□</v>
          </cell>
          <cell r="R67" t="str">
            <v>□</v>
          </cell>
          <cell r="S67" t="str">
            <v>□</v>
          </cell>
          <cell r="T67" t="str">
            <v>□</v>
          </cell>
          <cell r="U67" t="str">
            <v>NA</v>
          </cell>
          <cell r="V67" t="str">
            <v>No Register</v>
          </cell>
          <cell r="W67" t="str">
            <v/>
          </cell>
          <cell r="Y67" t="str">
            <v/>
          </cell>
        </row>
        <row r="68">
          <cell r="B68" t="str">
            <v>Mitra Integrasi Informatika, PT</v>
          </cell>
          <cell r="C68" t="str">
            <v>Syifa.Maulia@mii.co.id</v>
          </cell>
          <cell r="D68" t="str">
            <v>Syifa maulia</v>
          </cell>
          <cell r="E68" t="str">
            <v>08111545580</v>
          </cell>
          <cell r="F68" t="str">
            <v>APL Tower 37th Floor Suite 1-8. Jl. Letjen S. PArman Kav. 28. Jakarta - 11470</v>
          </cell>
          <cell r="G68" t="b">
            <v>0</v>
          </cell>
          <cell r="H68" t="b">
            <v>0</v>
          </cell>
          <cell r="I68" t="b">
            <v>0</v>
          </cell>
          <cell r="J68" t="b">
            <v>0</v>
          </cell>
          <cell r="K68" t="b">
            <v>0</v>
          </cell>
          <cell r="L68" t="b">
            <v>1</v>
          </cell>
          <cell r="M68" t="b">
            <v>0</v>
          </cell>
          <cell r="N68" t="b">
            <v>0</v>
          </cell>
          <cell r="O68" t="b">
            <v>0</v>
          </cell>
          <cell r="P68" t="b">
            <v>0</v>
          </cell>
          <cell r="Q68" t="b">
            <v>0</v>
          </cell>
          <cell r="R68" t="b">
            <v>0</v>
          </cell>
          <cell r="S68" t="b">
            <v>0</v>
          </cell>
          <cell r="T68" t="b">
            <v>0</v>
          </cell>
          <cell r="U68" t="str">
            <v>NA</v>
          </cell>
          <cell r="V68" t="str">
            <v>Register</v>
          </cell>
          <cell r="W68" t="str">
            <v>IT - SV</v>
          </cell>
          <cell r="X68" t="str">
            <v>IT &amp; System - IT Services</v>
          </cell>
          <cell r="Y68" t="str">
            <v/>
          </cell>
        </row>
        <row r="69">
          <cell r="B69" t="str">
            <v>Nurindo Abdikarya, PT</v>
          </cell>
          <cell r="C69" t="str">
            <v/>
          </cell>
          <cell r="D69" t="str">
            <v/>
          </cell>
          <cell r="E69" t="str">
            <v/>
          </cell>
          <cell r="G69" t="str">
            <v>□</v>
          </cell>
          <cell r="H69" t="str">
            <v>□</v>
          </cell>
          <cell r="I69" t="str">
            <v>□</v>
          </cell>
          <cell r="J69" t="str">
            <v>□</v>
          </cell>
          <cell r="K69" t="str">
            <v>□</v>
          </cell>
          <cell r="L69" t="str">
            <v>□</v>
          </cell>
          <cell r="M69" t="str">
            <v>□</v>
          </cell>
          <cell r="N69" t="str">
            <v>□</v>
          </cell>
          <cell r="O69" t="str">
            <v>□</v>
          </cell>
          <cell r="P69" t="str">
            <v>□</v>
          </cell>
          <cell r="Q69" t="str">
            <v>□</v>
          </cell>
          <cell r="R69" t="str">
            <v>□</v>
          </cell>
          <cell r="S69" t="str">
            <v>□</v>
          </cell>
          <cell r="T69" t="str">
            <v>□</v>
          </cell>
          <cell r="U69" t="str">
            <v>NA</v>
          </cell>
          <cell r="V69" t="str">
            <v>No Register</v>
          </cell>
          <cell r="W69" t="str">
            <v/>
          </cell>
          <cell r="Y69" t="str">
            <v/>
          </cell>
        </row>
        <row r="70">
          <cell r="B70" t="str">
            <v>Nuansa Nirmana Artistika, PT</v>
          </cell>
          <cell r="C70" t="str">
            <v>dimasguntur86@gmail.com; tumbelakavico@gmail.com</v>
          </cell>
          <cell r="D70" t="str">
            <v>Vico</v>
          </cell>
          <cell r="E70" t="str">
            <v>081212005665</v>
          </cell>
          <cell r="G70" t="b">
            <v>0</v>
          </cell>
          <cell r="H70" t="b">
            <v>0</v>
          </cell>
          <cell r="I70" t="b">
            <v>0</v>
          </cell>
          <cell r="J70" t="b">
            <v>0</v>
          </cell>
          <cell r="K70" t="b">
            <v>0</v>
          </cell>
          <cell r="L70" t="b">
            <v>0</v>
          </cell>
          <cell r="M70" t="b">
            <v>0</v>
          </cell>
          <cell r="N70" t="b">
            <v>0</v>
          </cell>
          <cell r="O70" t="b">
            <v>0</v>
          </cell>
          <cell r="P70" t="b">
            <v>0</v>
          </cell>
          <cell r="Q70" t="b">
            <v>0</v>
          </cell>
          <cell r="R70" t="b">
            <v>0</v>
          </cell>
          <cell r="S70" t="b">
            <v>1</v>
          </cell>
          <cell r="T70" t="b">
            <v>0</v>
          </cell>
          <cell r="U70" t="str">
            <v>NA</v>
          </cell>
          <cell r="V70" t="str">
            <v>Register</v>
          </cell>
          <cell r="W70" t="str">
            <v>RL - OF</v>
          </cell>
          <cell r="X70" t="str">
            <v>Relocation - Office Relocation</v>
          </cell>
          <cell r="Y70" t="str">
            <v/>
          </cell>
        </row>
        <row r="71">
          <cell r="B71" t="str">
            <v>Prima Safety, CV</v>
          </cell>
          <cell r="C71" t="str">
            <v>primasafety@yahoo.com</v>
          </cell>
          <cell r="D71" t="str">
            <v>Rico Aryanto</v>
          </cell>
          <cell r="E71" t="str">
            <v>08125033082</v>
          </cell>
          <cell r="F71" t="str">
            <v>Jl. Ir. PHM Noor I Simpang 4 Sulingan</v>
          </cell>
          <cell r="G71" t="b">
            <v>0</v>
          </cell>
          <cell r="H71" t="b">
            <v>0</v>
          </cell>
          <cell r="I71" t="b">
            <v>0</v>
          </cell>
          <cell r="J71" t="b">
            <v>0</v>
          </cell>
          <cell r="K71" t="b">
            <v>0</v>
          </cell>
          <cell r="L71" t="b">
            <v>0</v>
          </cell>
          <cell r="M71" t="b">
            <v>1</v>
          </cell>
          <cell r="N71" t="b">
            <v>0</v>
          </cell>
          <cell r="O71" t="b">
            <v>0</v>
          </cell>
          <cell r="P71" t="b">
            <v>0</v>
          </cell>
          <cell r="Q71" t="b">
            <v>0</v>
          </cell>
          <cell r="R71" t="b">
            <v>0</v>
          </cell>
          <cell r="S71" t="b">
            <v>1</v>
          </cell>
          <cell r="T71" t="b">
            <v>0</v>
          </cell>
          <cell r="U71" t="str">
            <v>NA</v>
          </cell>
          <cell r="V71" t="str">
            <v>Register</v>
          </cell>
          <cell r="W71" t="str">
            <v/>
          </cell>
          <cell r="X71" t="str">
            <v>General Trading - HSE</v>
          </cell>
          <cell r="Y71" t="str">
            <v/>
          </cell>
        </row>
        <row r="72">
          <cell r="B72" t="str">
            <v>Caraka Yasa, PT</v>
          </cell>
          <cell r="C72" t="str">
            <v/>
          </cell>
          <cell r="D72" t="str">
            <v/>
          </cell>
          <cell r="E72" t="str">
            <v/>
          </cell>
          <cell r="G72" t="str">
            <v>□</v>
          </cell>
          <cell r="H72" t="str">
            <v>□</v>
          </cell>
          <cell r="I72" t="str">
            <v>□</v>
          </cell>
          <cell r="J72" t="str">
            <v>□</v>
          </cell>
          <cell r="K72" t="str">
            <v>□</v>
          </cell>
          <cell r="L72" t="str">
            <v>□</v>
          </cell>
          <cell r="M72" t="str">
            <v>□</v>
          </cell>
          <cell r="N72" t="str">
            <v>□</v>
          </cell>
          <cell r="O72" t="str">
            <v>□</v>
          </cell>
          <cell r="P72" t="str">
            <v>□</v>
          </cell>
          <cell r="Q72" t="str">
            <v>□</v>
          </cell>
          <cell r="R72" t="str">
            <v>□</v>
          </cell>
          <cell r="S72" t="str">
            <v>□</v>
          </cell>
          <cell r="T72" t="str">
            <v>□</v>
          </cell>
          <cell r="U72" t="str">
            <v>NA</v>
          </cell>
          <cell r="V72" t="str">
            <v>No Register</v>
          </cell>
          <cell r="W72" t="str">
            <v/>
          </cell>
          <cell r="Y72" t="str">
            <v/>
          </cell>
        </row>
        <row r="73">
          <cell r="B73" t="str">
            <v>Samator Gas Industri, PT</v>
          </cell>
          <cell r="C73" t="str">
            <v>se_tanjung@sgi-gas.com; danu.wicaksono@samator.com; se_tanjung@sgi-gas.com</v>
          </cell>
          <cell r="D73" t="str">
            <v>Imam</v>
          </cell>
          <cell r="E73" t="str">
            <v>085251254312</v>
          </cell>
          <cell r="F73" t="str">
            <v>Jl. Jend A. Yani, Mabuun, Murung Pudak</v>
          </cell>
          <cell r="G73" t="b">
            <v>0</v>
          </cell>
          <cell r="H73" t="b">
            <v>0</v>
          </cell>
          <cell r="I73" t="b">
            <v>0</v>
          </cell>
          <cell r="J73" t="b">
            <v>0</v>
          </cell>
          <cell r="K73" t="b">
            <v>0</v>
          </cell>
          <cell r="L73" t="b">
            <v>0</v>
          </cell>
          <cell r="M73" t="b">
            <v>1</v>
          </cell>
          <cell r="N73" t="b">
            <v>0</v>
          </cell>
          <cell r="O73" t="b">
            <v>0</v>
          </cell>
          <cell r="P73" t="b">
            <v>0</v>
          </cell>
          <cell r="Q73" t="b">
            <v>0</v>
          </cell>
          <cell r="R73" t="b">
            <v>0</v>
          </cell>
          <cell r="S73" t="b">
            <v>1</v>
          </cell>
          <cell r="T73" t="b">
            <v>0</v>
          </cell>
          <cell r="U73" t="str">
            <v>NA</v>
          </cell>
          <cell r="V73" t="str">
            <v>Register</v>
          </cell>
          <cell r="W73" t="str">
            <v>GT - ID</v>
          </cell>
          <cell r="X73" t="str">
            <v>General Trading - Industrial Goods</v>
          </cell>
          <cell r="Y73" t="str">
            <v>Industrial Gas</v>
          </cell>
        </row>
        <row r="74">
          <cell r="B74" t="str">
            <v>Nusantara Stroke &amp; Med Center</v>
          </cell>
          <cell r="C74" t="str">
            <v/>
          </cell>
          <cell r="D74" t="str">
            <v/>
          </cell>
          <cell r="E74" t="str">
            <v/>
          </cell>
          <cell r="G74" t="str">
            <v>□</v>
          </cell>
          <cell r="H74" t="str">
            <v>□</v>
          </cell>
          <cell r="I74" t="str">
            <v>□</v>
          </cell>
          <cell r="J74" t="str">
            <v>□</v>
          </cell>
          <cell r="K74" t="str">
            <v>□</v>
          </cell>
          <cell r="L74" t="str">
            <v>□</v>
          </cell>
          <cell r="M74" t="str">
            <v>□</v>
          </cell>
          <cell r="N74" t="str">
            <v>□</v>
          </cell>
          <cell r="O74" t="str">
            <v>□</v>
          </cell>
          <cell r="P74" t="str">
            <v>□</v>
          </cell>
          <cell r="Q74" t="str">
            <v>□</v>
          </cell>
          <cell r="R74" t="str">
            <v>□</v>
          </cell>
          <cell r="S74" t="str">
            <v>□</v>
          </cell>
          <cell r="T74" t="str">
            <v>□</v>
          </cell>
          <cell r="U74" t="str">
            <v>NA</v>
          </cell>
          <cell r="V74" t="str">
            <v>No Register</v>
          </cell>
          <cell r="W74" t="str">
            <v/>
          </cell>
          <cell r="Y74" t="str">
            <v/>
          </cell>
        </row>
        <row r="75">
          <cell r="B75" t="str">
            <v>Agreeya Solutions Indonesia, PT</v>
          </cell>
          <cell r="C75" t="str">
            <v/>
          </cell>
          <cell r="D75" t="str">
            <v/>
          </cell>
          <cell r="E75" t="str">
            <v/>
          </cell>
          <cell r="G75" t="str">
            <v>□</v>
          </cell>
          <cell r="H75" t="str">
            <v>□</v>
          </cell>
          <cell r="I75" t="str">
            <v>□</v>
          </cell>
          <cell r="J75" t="str">
            <v>□</v>
          </cell>
          <cell r="K75" t="str">
            <v>□</v>
          </cell>
          <cell r="L75" t="str">
            <v>□</v>
          </cell>
          <cell r="M75" t="str">
            <v>□</v>
          </cell>
          <cell r="N75" t="str">
            <v>□</v>
          </cell>
          <cell r="O75" t="str">
            <v>□</v>
          </cell>
          <cell r="P75" t="str">
            <v>□</v>
          </cell>
          <cell r="Q75" t="str">
            <v>□</v>
          </cell>
          <cell r="R75" t="str">
            <v>□</v>
          </cell>
          <cell r="S75" t="str">
            <v>□</v>
          </cell>
          <cell r="T75" t="str">
            <v>□</v>
          </cell>
          <cell r="U75" t="str">
            <v>NA</v>
          </cell>
          <cell r="V75" t="str">
            <v>No Register</v>
          </cell>
          <cell r="W75" t="str">
            <v/>
          </cell>
          <cell r="Y75" t="str">
            <v/>
          </cell>
        </row>
        <row r="76">
          <cell r="B76" t="str">
            <v>Indonesia Magma Chain, PT</v>
          </cell>
          <cell r="C76" t="str">
            <v xml:space="preserve">ariskrn@imchain.co.id; sales@imchain.co.id </v>
          </cell>
          <cell r="D76" t="str">
            <v>Aris Kurniawan</v>
          </cell>
          <cell r="E76" t="str">
            <v>08112681957</v>
          </cell>
          <cell r="F76" t="str">
            <v>Jl. Semarang Gubug KM. 17 Kuripan Karangawen Demak Jawa Tengah Indonesia 59566</v>
          </cell>
          <cell r="G76" t="b">
            <v>1</v>
          </cell>
          <cell r="H76" t="b">
            <v>0</v>
          </cell>
          <cell r="I76" t="b">
            <v>0</v>
          </cell>
          <cell r="J76" t="b">
            <v>0</v>
          </cell>
          <cell r="K76" t="b">
            <v>0</v>
          </cell>
          <cell r="L76" t="b">
            <v>0</v>
          </cell>
          <cell r="M76" t="b">
            <v>0</v>
          </cell>
          <cell r="N76" t="b">
            <v>0</v>
          </cell>
          <cell r="O76" t="b">
            <v>0</v>
          </cell>
          <cell r="P76" t="b">
            <v>0</v>
          </cell>
          <cell r="Q76" t="b">
            <v>0</v>
          </cell>
          <cell r="R76" t="b">
            <v>0</v>
          </cell>
          <cell r="S76" t="b">
            <v>0</v>
          </cell>
          <cell r="T76" t="b">
            <v>0</v>
          </cell>
          <cell r="U76" t="str">
            <v>A</v>
          </cell>
          <cell r="V76" t="str">
            <v>Register</v>
          </cell>
          <cell r="W76" t="str">
            <v>GT - ME</v>
          </cell>
          <cell r="X76" t="str">
            <v>General Trading - Mechanical</v>
          </cell>
          <cell r="Y76" t="str">
            <v>Conveyor System</v>
          </cell>
        </row>
        <row r="77">
          <cell r="B77" t="str">
            <v>Kawan Lama Solusi, PT</v>
          </cell>
          <cell r="C77" t="str">
            <v>dwi.nyiastuti@kawanlama.com</v>
          </cell>
          <cell r="D77" t="str">
            <v>Dwi</v>
          </cell>
          <cell r="E77" t="str">
            <v>082148809991</v>
          </cell>
          <cell r="F77" t="str">
            <v>Jl. Puri Kencana No. 1Kembangan Selatan, Jakarta Barat 11530 Indonesia</v>
          </cell>
          <cell r="G77" t="b">
            <v>0</v>
          </cell>
          <cell r="H77" t="b">
            <v>0</v>
          </cell>
          <cell r="I77" t="b">
            <v>0</v>
          </cell>
          <cell r="J77" t="b">
            <v>0</v>
          </cell>
          <cell r="K77" t="b">
            <v>0</v>
          </cell>
          <cell r="L77" t="b">
            <v>0</v>
          </cell>
          <cell r="M77" t="b">
            <v>0</v>
          </cell>
          <cell r="N77" t="b">
            <v>0</v>
          </cell>
          <cell r="O77" t="b">
            <v>0</v>
          </cell>
          <cell r="P77" t="b">
            <v>0</v>
          </cell>
          <cell r="Q77" t="b">
            <v>0</v>
          </cell>
          <cell r="R77" t="b">
            <v>0</v>
          </cell>
          <cell r="S77" t="b">
            <v>1</v>
          </cell>
          <cell r="T77" t="b">
            <v>0</v>
          </cell>
          <cell r="U77" t="str">
            <v>NA</v>
          </cell>
          <cell r="V77" t="str">
            <v>Register</v>
          </cell>
          <cell r="W77" t="str">
            <v>GT - ME</v>
          </cell>
          <cell r="X77" t="str">
            <v>General Trading - Mechanical</v>
          </cell>
          <cell r="Y77" t="str">
            <v>Trading Tools &amp; Equipment</v>
          </cell>
        </row>
        <row r="78">
          <cell r="B78" t="str">
            <v>Traktor Nusantara, PT</v>
          </cell>
          <cell r="C78" t="str">
            <v>mochammad.alfanegita@traknus.co.id</v>
          </cell>
          <cell r="D78" t="str">
            <v>Alfa</v>
          </cell>
          <cell r="E78" t="str">
            <v>081348016733</v>
          </cell>
          <cell r="F78" t="str">
            <v>Jl. Ahmad Yani Km. 11,4 Gambut</v>
          </cell>
          <cell r="G78" t="b">
            <v>1</v>
          </cell>
          <cell r="H78" t="b">
            <v>0</v>
          </cell>
          <cell r="I78" t="b">
            <v>0</v>
          </cell>
          <cell r="J78" t="b">
            <v>0</v>
          </cell>
          <cell r="K78" t="b">
            <v>0</v>
          </cell>
          <cell r="L78" t="b">
            <v>0</v>
          </cell>
          <cell r="M78" t="b">
            <v>0</v>
          </cell>
          <cell r="N78" t="b">
            <v>0</v>
          </cell>
          <cell r="O78" t="b">
            <v>0</v>
          </cell>
          <cell r="P78" t="b">
            <v>0</v>
          </cell>
          <cell r="Q78" t="b">
            <v>0</v>
          </cell>
          <cell r="R78" t="b">
            <v>0</v>
          </cell>
          <cell r="S78" t="b">
            <v>1</v>
          </cell>
          <cell r="T78" t="b">
            <v>0</v>
          </cell>
          <cell r="U78" t="str">
            <v>A</v>
          </cell>
          <cell r="V78" t="str">
            <v>Register</v>
          </cell>
          <cell r="W78" t="str">
            <v/>
          </cell>
          <cell r="X78" t="str">
            <v>General Trading - Elektrical</v>
          </cell>
          <cell r="Y78" t="str">
            <v>Heavy Equipment</v>
          </cell>
        </row>
        <row r="79">
          <cell r="B79" t="str">
            <v>Cindra Kasih, PT</v>
          </cell>
          <cell r="C79" t="str">
            <v/>
          </cell>
          <cell r="D79" t="str">
            <v/>
          </cell>
          <cell r="E79" t="str">
            <v/>
          </cell>
          <cell r="F79" t="str">
            <v>Jl. Surya Gandamana No. 20 Kotabaru</v>
          </cell>
          <cell r="G79" t="str">
            <v>□</v>
          </cell>
          <cell r="H79" t="str">
            <v>□</v>
          </cell>
          <cell r="I79" t="str">
            <v>□</v>
          </cell>
          <cell r="J79" t="str">
            <v>□</v>
          </cell>
          <cell r="K79" t="str">
            <v>□</v>
          </cell>
          <cell r="L79" t="str">
            <v>□</v>
          </cell>
          <cell r="M79" t="str">
            <v>□</v>
          </cell>
          <cell r="N79" t="str">
            <v>□</v>
          </cell>
          <cell r="O79" t="str">
            <v>□</v>
          </cell>
          <cell r="P79" t="str">
            <v>□</v>
          </cell>
          <cell r="Q79" t="str">
            <v>□</v>
          </cell>
          <cell r="R79" t="str">
            <v>□</v>
          </cell>
          <cell r="S79" t="str">
            <v>□</v>
          </cell>
          <cell r="T79" t="str">
            <v>□</v>
          </cell>
          <cell r="U79" t="str">
            <v>NA</v>
          </cell>
          <cell r="V79" t="str">
            <v>Register</v>
          </cell>
          <cell r="W79" t="str">
            <v/>
          </cell>
          <cell r="X79" t="str">
            <v>Transportation - Logistics Transport</v>
          </cell>
          <cell r="Y79" t="str">
            <v>Transport</v>
          </cell>
        </row>
        <row r="80">
          <cell r="B80" t="str">
            <v>Haerde Dwipayana, PT</v>
          </cell>
          <cell r="C80" t="str">
            <v/>
          </cell>
          <cell r="D80" t="str">
            <v/>
          </cell>
          <cell r="E80" t="str">
            <v/>
          </cell>
          <cell r="G80" t="b">
            <v>0</v>
          </cell>
          <cell r="H80" t="b">
            <v>0</v>
          </cell>
          <cell r="I80" t="b">
            <v>0</v>
          </cell>
          <cell r="J80" t="b">
            <v>0</v>
          </cell>
          <cell r="K80" t="b">
            <v>0</v>
          </cell>
          <cell r="L80" t="b">
            <v>0</v>
          </cell>
          <cell r="M80" t="b">
            <v>0</v>
          </cell>
          <cell r="N80" t="b">
            <v>0</v>
          </cell>
          <cell r="O80" t="b">
            <v>1</v>
          </cell>
          <cell r="P80" t="b">
            <v>0</v>
          </cell>
          <cell r="Q80" t="b">
            <v>0</v>
          </cell>
          <cell r="R80" t="b">
            <v>0</v>
          </cell>
          <cell r="S80" t="b">
            <v>1</v>
          </cell>
          <cell r="T80" t="b">
            <v>0</v>
          </cell>
          <cell r="U80" t="str">
            <v>NA</v>
          </cell>
          <cell r="V80" t="str">
            <v>Register</v>
          </cell>
          <cell r="W80" t="str">
            <v>PR - HR</v>
          </cell>
          <cell r="X80" t="str">
            <v>Professional Services - HR Consulting</v>
          </cell>
          <cell r="Y80" t="str">
            <v>Psikotes</v>
          </cell>
        </row>
        <row r="81">
          <cell r="B81" t="str">
            <v>MDS Services, CV</v>
          </cell>
          <cell r="C81" t="str">
            <v>sandy.asfar@mds-services.co.id</v>
          </cell>
          <cell r="D81" t="str">
            <v>Sandy Asfar</v>
          </cell>
          <cell r="E81" t="str">
            <v>081234721928</v>
          </cell>
          <cell r="F81" t="str">
            <v>Pondok Mutiara BN-07. RT 028. RW 013. Banjarbendo. Sidoarjo</v>
          </cell>
          <cell r="G81" t="str">
            <v>□</v>
          </cell>
          <cell r="H81" t="str">
            <v>□</v>
          </cell>
          <cell r="I81" t="str">
            <v>□</v>
          </cell>
          <cell r="J81" t="str">
            <v>□</v>
          </cell>
          <cell r="K81" t="str">
            <v>□</v>
          </cell>
          <cell r="L81" t="str">
            <v>□</v>
          </cell>
          <cell r="M81" t="str">
            <v>□</v>
          </cell>
          <cell r="N81" t="str">
            <v>□</v>
          </cell>
          <cell r="O81" t="str">
            <v>□</v>
          </cell>
          <cell r="P81" t="str">
            <v>□</v>
          </cell>
          <cell r="Q81" t="str">
            <v>□</v>
          </cell>
          <cell r="R81" t="str">
            <v>□</v>
          </cell>
          <cell r="S81" t="str">
            <v>□</v>
          </cell>
          <cell r="T81" t="str">
            <v>□</v>
          </cell>
          <cell r="U81" t="str">
            <v>NA</v>
          </cell>
          <cell r="V81" t="str">
            <v>No Register</v>
          </cell>
          <cell r="W81" t="str">
            <v/>
          </cell>
          <cell r="Y81" t="str">
            <v/>
          </cell>
        </row>
        <row r="82">
          <cell r="B82" t="str">
            <v>AlamTri Resources Indonesia, Tbk</v>
          </cell>
          <cell r="C82" t="str">
            <v>totok.hardjanto@alamtri.com</v>
          </cell>
          <cell r="D82" t="str">
            <v>Totok</v>
          </cell>
          <cell r="E82" t="str">
            <v/>
          </cell>
          <cell r="F82" t="str">
            <v>Gedung Menara Karya LT.23 JL H.R. Rasuna Said Blok X5 Kav 1-2 Kuningan Timur, Setiabudi</v>
          </cell>
          <cell r="G82" t="b">
            <v>0</v>
          </cell>
          <cell r="H82" t="b">
            <v>0</v>
          </cell>
          <cell r="I82" t="b">
            <v>0</v>
          </cell>
          <cell r="J82" t="b">
            <v>0</v>
          </cell>
          <cell r="K82" t="b">
            <v>0</v>
          </cell>
          <cell r="L82" t="b">
            <v>0</v>
          </cell>
          <cell r="M82" t="b">
            <v>0</v>
          </cell>
          <cell r="N82" t="b">
            <v>0</v>
          </cell>
          <cell r="O82" t="b">
            <v>0</v>
          </cell>
          <cell r="P82" t="b">
            <v>0</v>
          </cell>
          <cell r="Q82" t="b">
            <v>0</v>
          </cell>
          <cell r="R82" t="b">
            <v>0</v>
          </cell>
          <cell r="S82" t="b">
            <v>1</v>
          </cell>
          <cell r="T82" t="b">
            <v>0</v>
          </cell>
          <cell r="U82" t="str">
            <v>NA</v>
          </cell>
          <cell r="V82" t="str">
            <v>Register</v>
          </cell>
          <cell r="W82" t="str">
            <v>SC</v>
          </cell>
          <cell r="X82" t="str">
            <v>Sister Company - Sewa gedung, Service, Consultant</v>
          </cell>
          <cell r="Y82" t="str">
            <v/>
          </cell>
        </row>
        <row r="83">
          <cell r="B83" t="str">
            <v>Hotel Rattan Inn</v>
          </cell>
          <cell r="C83" t="str">
            <v/>
          </cell>
          <cell r="D83" t="str">
            <v/>
          </cell>
          <cell r="E83" t="str">
            <v/>
          </cell>
          <cell r="G83" t="str">
            <v>□</v>
          </cell>
          <cell r="H83" t="str">
            <v>□</v>
          </cell>
          <cell r="I83" t="str">
            <v>□</v>
          </cell>
          <cell r="J83" t="str">
            <v>□</v>
          </cell>
          <cell r="K83" t="str">
            <v>□</v>
          </cell>
          <cell r="L83" t="str">
            <v>□</v>
          </cell>
          <cell r="M83" t="str">
            <v>□</v>
          </cell>
          <cell r="N83" t="str">
            <v>□</v>
          </cell>
          <cell r="O83" t="str">
            <v>□</v>
          </cell>
          <cell r="P83" t="str">
            <v>□</v>
          </cell>
          <cell r="Q83" t="str">
            <v>□</v>
          </cell>
          <cell r="R83" t="str">
            <v>□</v>
          </cell>
          <cell r="S83" t="str">
            <v>□</v>
          </cell>
          <cell r="T83" t="str">
            <v>□</v>
          </cell>
          <cell r="U83" t="str">
            <v>NA</v>
          </cell>
          <cell r="V83" t="str">
            <v>No Register</v>
          </cell>
          <cell r="W83" t="str">
            <v/>
          </cell>
          <cell r="Y83" t="str">
            <v/>
          </cell>
        </row>
        <row r="84">
          <cell r="B84" t="str">
            <v>PPLH Unlam</v>
          </cell>
          <cell r="C84" t="str">
            <v/>
          </cell>
          <cell r="D84" t="str">
            <v/>
          </cell>
          <cell r="E84" t="str">
            <v/>
          </cell>
          <cell r="G84" t="str">
            <v>□</v>
          </cell>
          <cell r="H84" t="str">
            <v>□</v>
          </cell>
          <cell r="I84" t="str">
            <v>□</v>
          </cell>
          <cell r="J84" t="str">
            <v>□</v>
          </cell>
          <cell r="K84" t="str">
            <v>□</v>
          </cell>
          <cell r="L84" t="str">
            <v>□</v>
          </cell>
          <cell r="M84" t="str">
            <v>□</v>
          </cell>
          <cell r="N84" t="str">
            <v>□</v>
          </cell>
          <cell r="O84" t="str">
            <v>□</v>
          </cell>
          <cell r="P84" t="str">
            <v>□</v>
          </cell>
          <cell r="Q84" t="str">
            <v>□</v>
          </cell>
          <cell r="R84" t="str">
            <v>□</v>
          </cell>
          <cell r="S84" t="str">
            <v>□</v>
          </cell>
          <cell r="T84" t="str">
            <v>□</v>
          </cell>
          <cell r="U84" t="str">
            <v>NA</v>
          </cell>
          <cell r="V84" t="str">
            <v>No Register</v>
          </cell>
          <cell r="W84" t="str">
            <v/>
          </cell>
          <cell r="Y84" t="str">
            <v/>
          </cell>
        </row>
        <row r="85">
          <cell r="B85" t="str">
            <v>EPTCO Dian Persada, PT</v>
          </cell>
          <cell r="C85" t="str">
            <v/>
          </cell>
          <cell r="D85" t="str">
            <v/>
          </cell>
          <cell r="E85" t="str">
            <v/>
          </cell>
          <cell r="F85" t="str">
            <v>Gedung Multika Lantai 4Jl. Mampang Prapatan Raya Kav. 71-73, Tegal Parang Jakarta Selatan</v>
          </cell>
          <cell r="G85" t="str">
            <v>□</v>
          </cell>
          <cell r="H85" t="str">
            <v>□</v>
          </cell>
          <cell r="I85" t="str">
            <v>□</v>
          </cell>
          <cell r="J85" t="str">
            <v>□</v>
          </cell>
          <cell r="K85" t="str">
            <v>□</v>
          </cell>
          <cell r="L85" t="str">
            <v>□</v>
          </cell>
          <cell r="M85" t="str">
            <v>□</v>
          </cell>
          <cell r="N85" t="str">
            <v>□</v>
          </cell>
          <cell r="O85" t="str">
            <v>□</v>
          </cell>
          <cell r="P85" t="str">
            <v>□</v>
          </cell>
          <cell r="Q85" t="str">
            <v>□</v>
          </cell>
          <cell r="R85" t="str">
            <v>□</v>
          </cell>
          <cell r="S85" t="str">
            <v>□</v>
          </cell>
          <cell r="T85" t="str">
            <v>□</v>
          </cell>
          <cell r="U85" t="str">
            <v>NA</v>
          </cell>
          <cell r="V85" t="str">
            <v>No Register</v>
          </cell>
          <cell r="W85" t="str">
            <v/>
          </cell>
          <cell r="Y85" t="str">
            <v/>
          </cell>
        </row>
        <row r="86">
          <cell r="C86" t="str">
            <v/>
          </cell>
          <cell r="D86" t="str">
            <v/>
          </cell>
          <cell r="E86" t="str">
            <v/>
          </cell>
          <cell r="G86" t="str">
            <v>□</v>
          </cell>
          <cell r="H86" t="str">
            <v>□</v>
          </cell>
          <cell r="I86" t="str">
            <v>□</v>
          </cell>
          <cell r="J86" t="str">
            <v>□</v>
          </cell>
          <cell r="K86" t="str">
            <v>□</v>
          </cell>
          <cell r="L86" t="str">
            <v>□</v>
          </cell>
          <cell r="M86" t="str">
            <v>□</v>
          </cell>
          <cell r="N86" t="str">
            <v>□</v>
          </cell>
          <cell r="O86" t="str">
            <v>□</v>
          </cell>
          <cell r="P86" t="str">
            <v>□</v>
          </cell>
          <cell r="Q86" t="str">
            <v>□</v>
          </cell>
          <cell r="R86" t="str">
            <v>□</v>
          </cell>
          <cell r="S86" t="str">
            <v>□</v>
          </cell>
          <cell r="T86" t="str">
            <v>□</v>
          </cell>
          <cell r="U86" t="str">
            <v>NA</v>
          </cell>
          <cell r="V86" t="str">
            <v>No Register</v>
          </cell>
          <cell r="W86" t="str">
            <v/>
          </cell>
          <cell r="Y86" t="str">
            <v/>
          </cell>
        </row>
        <row r="87">
          <cell r="B87" t="str">
            <v>Pusaka Tandi, PT</v>
          </cell>
          <cell r="C87" t="str">
            <v>andri.pm@pusakatandi.com</v>
          </cell>
          <cell r="D87" t="str">
            <v>Andri</v>
          </cell>
          <cell r="F87" t="str">
            <v>Ko. Daan Mogot Prima Blok A.1 No. 2 .Cengkareng . JakBar. DKI Jakarta - 11740</v>
          </cell>
          <cell r="G87" t="str">
            <v>□</v>
          </cell>
          <cell r="H87" t="str">
            <v>□</v>
          </cell>
          <cell r="I87" t="str">
            <v>□</v>
          </cell>
          <cell r="J87" t="str">
            <v>□</v>
          </cell>
          <cell r="K87" t="str">
            <v>□</v>
          </cell>
          <cell r="L87" t="str">
            <v>□</v>
          </cell>
          <cell r="M87" t="str">
            <v>□</v>
          </cell>
          <cell r="N87" t="str">
            <v>□</v>
          </cell>
          <cell r="O87" t="str">
            <v>□</v>
          </cell>
          <cell r="P87" t="str">
            <v>□</v>
          </cell>
          <cell r="Q87" t="str">
            <v>□</v>
          </cell>
          <cell r="R87" t="str">
            <v>□</v>
          </cell>
          <cell r="S87" t="str">
            <v>□</v>
          </cell>
          <cell r="T87" t="str">
            <v>□</v>
          </cell>
          <cell r="U87" t="str">
            <v>NA</v>
          </cell>
          <cell r="V87" t="str">
            <v>No Register</v>
          </cell>
          <cell r="W87" t="str">
            <v/>
          </cell>
          <cell r="Y87" t="str">
            <v/>
          </cell>
        </row>
        <row r="88">
          <cell r="B88" t="str">
            <v>PP Graha Irama</v>
          </cell>
          <cell r="C88" t="str">
            <v/>
          </cell>
          <cell r="D88" t="str">
            <v/>
          </cell>
          <cell r="E88" t="str">
            <v/>
          </cell>
          <cell r="G88" t="str">
            <v>□</v>
          </cell>
          <cell r="H88" t="str">
            <v>□</v>
          </cell>
          <cell r="I88" t="str">
            <v>□</v>
          </cell>
          <cell r="J88" t="str">
            <v>□</v>
          </cell>
          <cell r="K88" t="str">
            <v>□</v>
          </cell>
          <cell r="L88" t="str">
            <v>□</v>
          </cell>
          <cell r="M88" t="str">
            <v>□</v>
          </cell>
          <cell r="N88" t="str">
            <v>□</v>
          </cell>
          <cell r="O88" t="str">
            <v>□</v>
          </cell>
          <cell r="P88" t="str">
            <v>□</v>
          </cell>
          <cell r="Q88" t="str">
            <v>□</v>
          </cell>
          <cell r="R88" t="str">
            <v>□</v>
          </cell>
          <cell r="S88" t="str">
            <v>□</v>
          </cell>
          <cell r="T88" t="str">
            <v>□</v>
          </cell>
          <cell r="U88" t="str">
            <v>NA</v>
          </cell>
          <cell r="V88" t="str">
            <v>No Register</v>
          </cell>
          <cell r="W88" t="str">
            <v/>
          </cell>
          <cell r="Y88" t="str">
            <v/>
          </cell>
        </row>
        <row r="89">
          <cell r="B89" t="str">
            <v>Tricon Dos Sejahtera, PT</v>
          </cell>
          <cell r="C89" t="str">
            <v>dostricon@gmail.com</v>
          </cell>
          <cell r="D89" t="str">
            <v>Dion S</v>
          </cell>
          <cell r="F89" t="str">
            <v>Gd. Mega Glodok Kemayoran Lt. UG Blok D-11. No 2 . RT RW. Kel. Gunung Sahari Selatan. Kec Kemayoran. JakPus</v>
          </cell>
          <cell r="G89" t="str">
            <v>□</v>
          </cell>
          <cell r="H89" t="str">
            <v>□</v>
          </cell>
          <cell r="I89" t="str">
            <v>□</v>
          </cell>
          <cell r="J89" t="str">
            <v>□</v>
          </cell>
          <cell r="K89" t="str">
            <v>□</v>
          </cell>
          <cell r="L89" t="str">
            <v>□</v>
          </cell>
          <cell r="M89" t="str">
            <v>□</v>
          </cell>
          <cell r="N89" t="str">
            <v>□</v>
          </cell>
          <cell r="O89" t="str">
            <v>□</v>
          </cell>
          <cell r="P89" t="str">
            <v>□</v>
          </cell>
          <cell r="Q89" t="str">
            <v>□</v>
          </cell>
          <cell r="R89" t="str">
            <v>□</v>
          </cell>
          <cell r="S89" t="str">
            <v>□</v>
          </cell>
          <cell r="T89" t="str">
            <v>□</v>
          </cell>
          <cell r="U89" t="str">
            <v>NA</v>
          </cell>
          <cell r="V89" t="str">
            <v>No Register</v>
          </cell>
          <cell r="W89" t="str">
            <v/>
          </cell>
          <cell r="Y89" t="str">
            <v/>
          </cell>
        </row>
        <row r="90">
          <cell r="B90" t="str">
            <v>Fiqry Jasa Utama, PT</v>
          </cell>
          <cell r="C90" t="str">
            <v/>
          </cell>
          <cell r="D90" t="str">
            <v/>
          </cell>
          <cell r="E90" t="str">
            <v/>
          </cell>
          <cell r="G90" t="str">
            <v>□</v>
          </cell>
          <cell r="H90" t="str">
            <v>□</v>
          </cell>
          <cell r="I90" t="str">
            <v>□</v>
          </cell>
          <cell r="J90" t="str">
            <v>□</v>
          </cell>
          <cell r="K90" t="str">
            <v>□</v>
          </cell>
          <cell r="L90" t="str">
            <v>□</v>
          </cell>
          <cell r="M90" t="str">
            <v>□</v>
          </cell>
          <cell r="N90" t="str">
            <v>□</v>
          </cell>
          <cell r="O90" t="str">
            <v>□</v>
          </cell>
          <cell r="P90" t="str">
            <v>□</v>
          </cell>
          <cell r="Q90" t="str">
            <v>□</v>
          </cell>
          <cell r="R90" t="str">
            <v>□</v>
          </cell>
          <cell r="S90" t="str">
            <v>□</v>
          </cell>
          <cell r="T90" t="str">
            <v>□</v>
          </cell>
          <cell r="U90" t="str">
            <v>NA</v>
          </cell>
          <cell r="V90" t="str">
            <v>Register</v>
          </cell>
          <cell r="W90" t="str">
            <v>TR - TS</v>
          </cell>
          <cell r="X90" t="str">
            <v>Transportation - Travel Service / Travel Agent</v>
          </cell>
          <cell r="Y90" t="str">
            <v>Service</v>
          </cell>
        </row>
        <row r="91">
          <cell r="B91" t="str">
            <v>Berca Hardayaperkasa, PT</v>
          </cell>
          <cell r="C91" t="str">
            <v/>
          </cell>
          <cell r="D91" t="str">
            <v/>
          </cell>
          <cell r="E91" t="str">
            <v/>
          </cell>
          <cell r="F91" t="str">
            <v>Jl.Abdul Muis No.62 Jakarta 10160</v>
          </cell>
          <cell r="G91" t="str">
            <v>□</v>
          </cell>
          <cell r="H91" t="str">
            <v>□</v>
          </cell>
          <cell r="I91" t="str">
            <v>□</v>
          </cell>
          <cell r="J91" t="str">
            <v>□</v>
          </cell>
          <cell r="K91" t="str">
            <v>□</v>
          </cell>
          <cell r="L91" t="str">
            <v>□</v>
          </cell>
          <cell r="M91" t="str">
            <v>□</v>
          </cell>
          <cell r="N91" t="str">
            <v>□</v>
          </cell>
          <cell r="O91" t="str">
            <v>□</v>
          </cell>
          <cell r="P91" t="str">
            <v>□</v>
          </cell>
          <cell r="Q91" t="str">
            <v>□</v>
          </cell>
          <cell r="R91" t="str">
            <v>□</v>
          </cell>
          <cell r="S91" t="str">
            <v>□</v>
          </cell>
          <cell r="T91" t="str">
            <v>□</v>
          </cell>
          <cell r="U91" t="str">
            <v>NA</v>
          </cell>
          <cell r="V91" t="str">
            <v>No Register</v>
          </cell>
          <cell r="W91" t="str">
            <v/>
          </cell>
          <cell r="Y91" t="str">
            <v/>
          </cell>
        </row>
        <row r="92">
          <cell r="B92" t="str">
            <v>Menara, CV</v>
          </cell>
          <cell r="C92" t="str">
            <v>indah_menara@yahoo.co.id; indah.menara08@gmail.com</v>
          </cell>
          <cell r="D92" t="str">
            <v>Indah Rakhmawati</v>
          </cell>
          <cell r="E92" t="str">
            <v>081389338447</v>
          </cell>
          <cell r="F92" t="str">
            <v>Jl. Anggrek Raya Pembataan - Tanjung, Kalimantan Selatan</v>
          </cell>
          <cell r="G92" t="b">
            <v>0</v>
          </cell>
          <cell r="H92" t="b">
            <v>0</v>
          </cell>
          <cell r="I92" t="b">
            <v>0</v>
          </cell>
          <cell r="J92" t="b">
            <v>0</v>
          </cell>
          <cell r="K92" t="b">
            <v>0</v>
          </cell>
          <cell r="L92" t="b">
            <v>0</v>
          </cell>
          <cell r="M92" t="b">
            <v>1</v>
          </cell>
          <cell r="N92" t="b">
            <v>0</v>
          </cell>
          <cell r="O92" t="b">
            <v>0</v>
          </cell>
          <cell r="P92" t="b">
            <v>1</v>
          </cell>
          <cell r="Q92" t="b">
            <v>1</v>
          </cell>
          <cell r="R92" t="b">
            <v>0</v>
          </cell>
          <cell r="S92" t="b">
            <v>1</v>
          </cell>
          <cell r="T92" t="b">
            <v>0</v>
          </cell>
          <cell r="U92" t="str">
            <v>NA</v>
          </cell>
          <cell r="V92" t="str">
            <v>Register</v>
          </cell>
          <cell r="W92" t="str">
            <v>GT - ID</v>
          </cell>
          <cell r="X92" t="str">
            <v>General Trading - Industrial Goods</v>
          </cell>
          <cell r="Y92" t="str">
            <v>Consumables</v>
          </cell>
        </row>
        <row r="93">
          <cell r="B93" t="str">
            <v>Bening Persada ,CV</v>
          </cell>
          <cell r="C93" t="str">
            <v/>
          </cell>
          <cell r="D93" t="str">
            <v/>
          </cell>
          <cell r="E93" t="str">
            <v/>
          </cell>
          <cell r="G93" t="str">
            <v>□</v>
          </cell>
          <cell r="H93" t="str">
            <v>□</v>
          </cell>
          <cell r="I93" t="str">
            <v>□</v>
          </cell>
          <cell r="J93" t="str">
            <v>□</v>
          </cell>
          <cell r="K93" t="str">
            <v>□</v>
          </cell>
          <cell r="L93" t="str">
            <v>□</v>
          </cell>
          <cell r="M93" t="str">
            <v>□</v>
          </cell>
          <cell r="N93" t="str">
            <v>□</v>
          </cell>
          <cell r="O93" t="str">
            <v>□</v>
          </cell>
          <cell r="P93" t="str">
            <v>□</v>
          </cell>
          <cell r="Q93" t="str">
            <v>□</v>
          </cell>
          <cell r="R93" t="str">
            <v>□</v>
          </cell>
          <cell r="S93" t="str">
            <v>□</v>
          </cell>
          <cell r="T93" t="str">
            <v>□</v>
          </cell>
          <cell r="U93" t="str">
            <v>NA</v>
          </cell>
          <cell r="V93" t="str">
            <v>No Register</v>
          </cell>
          <cell r="W93" t="str">
            <v/>
          </cell>
          <cell r="Y93" t="str">
            <v/>
          </cell>
        </row>
        <row r="94">
          <cell r="B94" t="str">
            <v>Persek. Citra Asri Pratama</v>
          </cell>
          <cell r="C94" t="str">
            <v/>
          </cell>
          <cell r="D94" t="str">
            <v/>
          </cell>
          <cell r="E94" t="str">
            <v/>
          </cell>
          <cell r="G94" t="str">
            <v>□</v>
          </cell>
          <cell r="H94" t="str">
            <v>□</v>
          </cell>
          <cell r="I94" t="str">
            <v>□</v>
          </cell>
          <cell r="J94" t="str">
            <v>□</v>
          </cell>
          <cell r="K94" t="str">
            <v>□</v>
          </cell>
          <cell r="L94" t="str">
            <v>□</v>
          </cell>
          <cell r="M94" t="str">
            <v>□</v>
          </cell>
          <cell r="N94" t="str">
            <v>□</v>
          </cell>
          <cell r="O94" t="str">
            <v>□</v>
          </cell>
          <cell r="P94" t="str">
            <v>□</v>
          </cell>
          <cell r="Q94" t="str">
            <v>□</v>
          </cell>
          <cell r="R94" t="str">
            <v>□</v>
          </cell>
          <cell r="S94" t="str">
            <v>□</v>
          </cell>
          <cell r="T94" t="str">
            <v>□</v>
          </cell>
          <cell r="U94" t="str">
            <v>NA</v>
          </cell>
          <cell r="V94" t="str">
            <v>No Register</v>
          </cell>
          <cell r="W94" t="str">
            <v/>
          </cell>
          <cell r="Y94" t="str">
            <v/>
          </cell>
        </row>
        <row r="95">
          <cell r="B95" t="str">
            <v>Envitech Perkasa, PT</v>
          </cell>
          <cell r="C95" t="str">
            <v/>
          </cell>
          <cell r="D95" t="str">
            <v/>
          </cell>
          <cell r="E95" t="str">
            <v/>
          </cell>
          <cell r="F95" t="str">
            <v>Wisma Pondok Indah I, Lt. 3 Unit 306–307, Jl. Sultan Iskandar Muda Kav. V-TA, Jakarta 12310</v>
          </cell>
          <cell r="G95" t="str">
            <v>□</v>
          </cell>
          <cell r="H95" t="str">
            <v>□</v>
          </cell>
          <cell r="I95" t="str">
            <v>□</v>
          </cell>
          <cell r="J95" t="str">
            <v>□</v>
          </cell>
          <cell r="K95" t="str">
            <v>□</v>
          </cell>
          <cell r="L95" t="str">
            <v>□</v>
          </cell>
          <cell r="M95" t="str">
            <v>□</v>
          </cell>
          <cell r="N95" t="str">
            <v>□</v>
          </cell>
          <cell r="O95" t="str">
            <v>□</v>
          </cell>
          <cell r="P95" t="str">
            <v>□</v>
          </cell>
          <cell r="Q95" t="str">
            <v>□</v>
          </cell>
          <cell r="R95" t="str">
            <v>□</v>
          </cell>
          <cell r="S95" t="str">
            <v>□</v>
          </cell>
          <cell r="T95" t="str">
            <v>□</v>
          </cell>
          <cell r="U95" t="str">
            <v>NA</v>
          </cell>
          <cell r="V95" t="str">
            <v>No Register</v>
          </cell>
          <cell r="W95" t="str">
            <v/>
          </cell>
          <cell r="Y95" t="str">
            <v/>
          </cell>
        </row>
        <row r="96">
          <cell r="B96" t="str">
            <v>Wahana Yasa Trans Energi, PT</v>
          </cell>
          <cell r="C96" t="str">
            <v>info@ptwte.com; ptwte@yahoo.co.id</v>
          </cell>
          <cell r="D96" t="str">
            <v>Tjatju Syamsudin</v>
          </cell>
          <cell r="E96" t="str">
            <v>081210312842</v>
          </cell>
          <cell r="F96" t="str">
            <v>Jl. Lenteng Agung Raya No. 20B, Kel. Srengseng Sawah, Kec. Jagakarsa, Jakarta Selatan 12640, Indonesia</v>
          </cell>
          <cell r="G96" t="str">
            <v>□</v>
          </cell>
          <cell r="H96" t="str">
            <v>□</v>
          </cell>
          <cell r="I96" t="str">
            <v>□</v>
          </cell>
          <cell r="J96" t="str">
            <v>□</v>
          </cell>
          <cell r="K96" t="str">
            <v>□</v>
          </cell>
          <cell r="L96" t="str">
            <v>□</v>
          </cell>
          <cell r="M96" t="str">
            <v>□</v>
          </cell>
          <cell r="N96" t="str">
            <v>□</v>
          </cell>
          <cell r="O96" t="str">
            <v>□</v>
          </cell>
          <cell r="P96" t="str">
            <v>□</v>
          </cell>
          <cell r="Q96" t="str">
            <v>□</v>
          </cell>
          <cell r="R96" t="str">
            <v>□</v>
          </cell>
          <cell r="S96" t="str">
            <v>□</v>
          </cell>
          <cell r="T96" t="str">
            <v>□</v>
          </cell>
          <cell r="U96" t="str">
            <v>NA</v>
          </cell>
          <cell r="V96" t="str">
            <v>No Register</v>
          </cell>
          <cell r="W96" t="str">
            <v/>
          </cell>
          <cell r="Y96" t="str">
            <v/>
          </cell>
        </row>
        <row r="97">
          <cell r="B97" t="str">
            <v>Telkom Indonesia (Persero), Tbk</v>
          </cell>
          <cell r="C97" t="str">
            <v/>
          </cell>
          <cell r="D97" t="str">
            <v/>
          </cell>
          <cell r="E97" t="str">
            <v/>
          </cell>
          <cell r="F97" t="str">
            <v>Graha Witel Kal-Sel, Jl. P. Samudera No.11/42</v>
          </cell>
          <cell r="G97" t="str">
            <v>□</v>
          </cell>
          <cell r="H97" t="str">
            <v>□</v>
          </cell>
          <cell r="I97" t="str">
            <v>□</v>
          </cell>
          <cell r="J97" t="str">
            <v>□</v>
          </cell>
          <cell r="K97" t="str">
            <v>□</v>
          </cell>
          <cell r="L97" t="str">
            <v>□</v>
          </cell>
          <cell r="M97" t="str">
            <v>□</v>
          </cell>
          <cell r="N97" t="str">
            <v>□</v>
          </cell>
          <cell r="O97" t="str">
            <v>□</v>
          </cell>
          <cell r="P97" t="str">
            <v>□</v>
          </cell>
          <cell r="Q97" t="str">
            <v>□</v>
          </cell>
          <cell r="R97" t="str">
            <v>□</v>
          </cell>
          <cell r="S97" t="str">
            <v>□</v>
          </cell>
          <cell r="T97" t="str">
            <v>□</v>
          </cell>
          <cell r="U97" t="str">
            <v>NA</v>
          </cell>
          <cell r="V97" t="str">
            <v>No Register</v>
          </cell>
          <cell r="W97" t="str">
            <v/>
          </cell>
          <cell r="Y97" t="str">
            <v/>
          </cell>
        </row>
        <row r="98">
          <cell r="B98" t="str">
            <v>Sumber Waja Fortuna, PT</v>
          </cell>
          <cell r="C98" t="str">
            <v>agung.santoso@sumberjaya.com</v>
          </cell>
          <cell r="D98" t="str">
            <v>Agung</v>
          </cell>
          <cell r="E98" t="str">
            <v>081380052058</v>
          </cell>
          <cell r="F98" t="str">
            <v>Jl. P Jayakarta No. 129. Blok C/50. Mangga Dua Selatan Sawah Besar . JakPus. DKI Jakarta</v>
          </cell>
          <cell r="G98" t="str">
            <v>□</v>
          </cell>
          <cell r="H98" t="str">
            <v>□</v>
          </cell>
          <cell r="I98" t="str">
            <v>□</v>
          </cell>
          <cell r="J98" t="str">
            <v>□</v>
          </cell>
          <cell r="K98" t="str">
            <v>□</v>
          </cell>
          <cell r="L98" t="str">
            <v>□</v>
          </cell>
          <cell r="M98" t="str">
            <v>□</v>
          </cell>
          <cell r="N98" t="str">
            <v>□</v>
          </cell>
          <cell r="O98" t="str">
            <v>□</v>
          </cell>
          <cell r="P98" t="str">
            <v>□</v>
          </cell>
          <cell r="Q98" t="str">
            <v>□</v>
          </cell>
          <cell r="R98" t="str">
            <v>□</v>
          </cell>
          <cell r="S98" t="str">
            <v>□</v>
          </cell>
          <cell r="T98" t="str">
            <v>□</v>
          </cell>
          <cell r="U98" t="str">
            <v>NA</v>
          </cell>
          <cell r="V98" t="str">
            <v>No Register</v>
          </cell>
          <cell r="W98" t="str">
            <v/>
          </cell>
          <cell r="Y98" t="str">
            <v/>
          </cell>
        </row>
        <row r="99">
          <cell r="B99" t="str">
            <v>Benefit Sumber Daya Manusia, PT</v>
          </cell>
          <cell r="C99" t="str">
            <v/>
          </cell>
          <cell r="D99" t="str">
            <v/>
          </cell>
          <cell r="E99" t="str">
            <v/>
          </cell>
          <cell r="F99" t="str">
            <v>Jl. A. Yani Km 5,7 No. 422, Banjarmasin, Kalimantan Selatan, Indonesia</v>
          </cell>
          <cell r="G99" t="str">
            <v>□</v>
          </cell>
          <cell r="H99" t="str">
            <v>□</v>
          </cell>
          <cell r="I99" t="str">
            <v>□</v>
          </cell>
          <cell r="J99" t="str">
            <v>□</v>
          </cell>
          <cell r="K99" t="str">
            <v>□</v>
          </cell>
          <cell r="L99" t="str">
            <v>□</v>
          </cell>
          <cell r="M99" t="str">
            <v>□</v>
          </cell>
          <cell r="N99" t="str">
            <v>□</v>
          </cell>
          <cell r="O99" t="str">
            <v>□</v>
          </cell>
          <cell r="P99" t="str">
            <v>□</v>
          </cell>
          <cell r="Q99" t="str">
            <v>□</v>
          </cell>
          <cell r="R99" t="str">
            <v>□</v>
          </cell>
          <cell r="S99" t="str">
            <v>□</v>
          </cell>
          <cell r="T99" t="str">
            <v>□</v>
          </cell>
          <cell r="U99" t="str">
            <v>NA</v>
          </cell>
          <cell r="V99" t="str">
            <v>No Register</v>
          </cell>
          <cell r="W99" t="str">
            <v/>
          </cell>
          <cell r="Y99" t="str">
            <v/>
          </cell>
        </row>
        <row r="100">
          <cell r="B100" t="str">
            <v>Panasea, Lab Kinik</v>
          </cell>
          <cell r="C100" t="str">
            <v/>
          </cell>
          <cell r="D100" t="str">
            <v/>
          </cell>
          <cell r="E100" t="str">
            <v/>
          </cell>
          <cell r="G100" t="str">
            <v>□</v>
          </cell>
          <cell r="H100" t="str">
            <v>□</v>
          </cell>
          <cell r="I100" t="str">
            <v>□</v>
          </cell>
          <cell r="J100" t="str">
            <v>□</v>
          </cell>
          <cell r="K100" t="str">
            <v>□</v>
          </cell>
          <cell r="L100" t="str">
            <v>□</v>
          </cell>
          <cell r="M100" t="str">
            <v>□</v>
          </cell>
          <cell r="N100" t="str">
            <v>□</v>
          </cell>
          <cell r="O100" t="str">
            <v>□</v>
          </cell>
          <cell r="P100" t="str">
            <v>□</v>
          </cell>
          <cell r="Q100" t="str">
            <v>□</v>
          </cell>
          <cell r="R100" t="str">
            <v>□</v>
          </cell>
          <cell r="S100" t="str">
            <v>□</v>
          </cell>
          <cell r="T100" t="str">
            <v>□</v>
          </cell>
          <cell r="U100" t="str">
            <v>NA</v>
          </cell>
          <cell r="V100" t="str">
            <v>No Register</v>
          </cell>
          <cell r="W100" t="str">
            <v/>
          </cell>
          <cell r="Y100" t="str">
            <v/>
          </cell>
        </row>
        <row r="101">
          <cell r="B101" t="str">
            <v>Prodia Widyahusada, PT</v>
          </cell>
          <cell r="C101" t="str">
            <v/>
          </cell>
          <cell r="D101" t="str">
            <v/>
          </cell>
          <cell r="E101" t="str">
            <v/>
          </cell>
          <cell r="G101" t="str">
            <v>□</v>
          </cell>
          <cell r="H101" t="str">
            <v>□</v>
          </cell>
          <cell r="I101" t="str">
            <v>□</v>
          </cell>
          <cell r="J101" t="str">
            <v>□</v>
          </cell>
          <cell r="K101" t="str">
            <v>□</v>
          </cell>
          <cell r="L101" t="str">
            <v>□</v>
          </cell>
          <cell r="M101" t="str">
            <v>□</v>
          </cell>
          <cell r="N101" t="str">
            <v>□</v>
          </cell>
          <cell r="O101" t="str">
            <v>□</v>
          </cell>
          <cell r="P101" t="str">
            <v>□</v>
          </cell>
          <cell r="Q101" t="str">
            <v>□</v>
          </cell>
          <cell r="R101" t="str">
            <v>□</v>
          </cell>
          <cell r="S101" t="str">
            <v>□</v>
          </cell>
          <cell r="T101" t="str">
            <v>□</v>
          </cell>
          <cell r="U101" t="str">
            <v>NA</v>
          </cell>
          <cell r="V101" t="str">
            <v>No Register</v>
          </cell>
          <cell r="W101" t="str">
            <v/>
          </cell>
          <cell r="Y101" t="str">
            <v/>
          </cell>
        </row>
        <row r="102">
          <cell r="B102" t="str">
            <v>ISS Catering Services Balikpapan, PT</v>
          </cell>
          <cell r="C102" t="str">
            <v/>
          </cell>
          <cell r="D102" t="str">
            <v/>
          </cell>
          <cell r="E102" t="str">
            <v/>
          </cell>
          <cell r="F102" t="str">
            <v>Jl. MT Haryono No. 74, Balikpapan, Kalimantan Timur, Indonesia</v>
          </cell>
          <cell r="G102" t="str">
            <v>□</v>
          </cell>
          <cell r="H102" t="str">
            <v>□</v>
          </cell>
          <cell r="I102" t="str">
            <v>□</v>
          </cell>
          <cell r="J102" t="str">
            <v>□</v>
          </cell>
          <cell r="K102" t="str">
            <v>□</v>
          </cell>
          <cell r="L102" t="str">
            <v>□</v>
          </cell>
          <cell r="M102" t="str">
            <v>□</v>
          </cell>
          <cell r="N102" t="str">
            <v>□</v>
          </cell>
          <cell r="O102" t="str">
            <v>□</v>
          </cell>
          <cell r="P102" t="str">
            <v>□</v>
          </cell>
          <cell r="Q102" t="str">
            <v>□</v>
          </cell>
          <cell r="R102" t="str">
            <v>□</v>
          </cell>
          <cell r="S102" t="str">
            <v>□</v>
          </cell>
          <cell r="T102" t="str">
            <v>□</v>
          </cell>
          <cell r="U102" t="str">
            <v>NA</v>
          </cell>
          <cell r="V102" t="str">
            <v>No Register</v>
          </cell>
          <cell r="W102" t="str">
            <v/>
          </cell>
          <cell r="Y102" t="str">
            <v/>
          </cell>
        </row>
        <row r="103">
          <cell r="B103" t="str">
            <v>Tirta Investama, PT</v>
          </cell>
          <cell r="C103" t="str">
            <v/>
          </cell>
          <cell r="D103" t="str">
            <v/>
          </cell>
          <cell r="E103" t="str">
            <v/>
          </cell>
          <cell r="F103" t="str">
            <v>RDTX Place, Lantai 5–9, Jl. Prof. Dr. Satrio Kav. 3, Kel. Karet Kuningan, Kec. Setiabudi, Jakarta Selatan 12940, Indonesia</v>
          </cell>
          <cell r="G103" t="str">
            <v>□</v>
          </cell>
          <cell r="H103" t="str">
            <v>□</v>
          </cell>
          <cell r="I103" t="str">
            <v>□</v>
          </cell>
          <cell r="J103" t="str">
            <v>□</v>
          </cell>
          <cell r="K103" t="str">
            <v>□</v>
          </cell>
          <cell r="L103" t="str">
            <v>□</v>
          </cell>
          <cell r="M103" t="str">
            <v>□</v>
          </cell>
          <cell r="N103" t="str">
            <v>□</v>
          </cell>
          <cell r="O103" t="str">
            <v>□</v>
          </cell>
          <cell r="P103" t="str">
            <v>□</v>
          </cell>
          <cell r="Q103" t="str">
            <v>□</v>
          </cell>
          <cell r="R103" t="str">
            <v>□</v>
          </cell>
          <cell r="S103" t="str">
            <v>□</v>
          </cell>
          <cell r="T103" t="str">
            <v>□</v>
          </cell>
          <cell r="U103" t="str">
            <v>NA</v>
          </cell>
          <cell r="V103" t="str">
            <v>No Register</v>
          </cell>
          <cell r="W103" t="str">
            <v/>
          </cell>
          <cell r="Y103" t="str">
            <v/>
          </cell>
        </row>
        <row r="104">
          <cell r="B104" t="str">
            <v>CG Power Systems Indonesia, PT</v>
          </cell>
          <cell r="C104" t="str">
            <v/>
          </cell>
          <cell r="D104" t="str">
            <v/>
          </cell>
          <cell r="E104" t="str">
            <v/>
          </cell>
          <cell r="G104" t="str">
            <v>□</v>
          </cell>
          <cell r="H104" t="str">
            <v>□</v>
          </cell>
          <cell r="I104" t="str">
            <v>□</v>
          </cell>
          <cell r="J104" t="str">
            <v>□</v>
          </cell>
          <cell r="K104" t="str">
            <v>□</v>
          </cell>
          <cell r="L104" t="str">
            <v>□</v>
          </cell>
          <cell r="M104" t="str">
            <v>□</v>
          </cell>
          <cell r="N104" t="str">
            <v>□</v>
          </cell>
          <cell r="O104" t="str">
            <v>□</v>
          </cell>
          <cell r="P104" t="str">
            <v>□</v>
          </cell>
          <cell r="Q104" t="str">
            <v>□</v>
          </cell>
          <cell r="R104" t="str">
            <v>□</v>
          </cell>
          <cell r="S104" t="str">
            <v>□</v>
          </cell>
          <cell r="T104" t="str">
            <v>□</v>
          </cell>
          <cell r="U104" t="str">
            <v>NA</v>
          </cell>
          <cell r="V104" t="str">
            <v>No Register</v>
          </cell>
          <cell r="W104" t="str">
            <v/>
          </cell>
          <cell r="Y104" t="str">
            <v/>
          </cell>
        </row>
        <row r="105">
          <cell r="B105" t="str">
            <v>Balai Besar Keramik</v>
          </cell>
          <cell r="C105" t="str">
            <v/>
          </cell>
          <cell r="D105" t="str">
            <v/>
          </cell>
          <cell r="E105" t="str">
            <v/>
          </cell>
          <cell r="F105" t="str">
            <v>Jl. Jend A.Yani No. 392Bandung   Indonesia</v>
          </cell>
          <cell r="G105" t="str">
            <v>□</v>
          </cell>
          <cell r="H105" t="str">
            <v>□</v>
          </cell>
          <cell r="I105" t="str">
            <v>□</v>
          </cell>
          <cell r="J105" t="str">
            <v>□</v>
          </cell>
          <cell r="K105" t="str">
            <v>□</v>
          </cell>
          <cell r="L105" t="str">
            <v>□</v>
          </cell>
          <cell r="M105" t="str">
            <v>□</v>
          </cell>
          <cell r="N105" t="str">
            <v>□</v>
          </cell>
          <cell r="O105" t="str">
            <v>□</v>
          </cell>
          <cell r="P105" t="str">
            <v>□</v>
          </cell>
          <cell r="Q105" t="str">
            <v>□</v>
          </cell>
          <cell r="R105" t="str">
            <v>□</v>
          </cell>
          <cell r="S105" t="str">
            <v>□</v>
          </cell>
          <cell r="T105" t="str">
            <v>□</v>
          </cell>
          <cell r="U105" t="str">
            <v>NA</v>
          </cell>
          <cell r="V105" t="str">
            <v>No Register</v>
          </cell>
          <cell r="W105" t="str">
            <v/>
          </cell>
          <cell r="Y105" t="str">
            <v/>
          </cell>
        </row>
        <row r="106">
          <cell r="B106" t="str">
            <v>Graha Usaha Teknik, PT</v>
          </cell>
          <cell r="C106" t="str">
            <v>zakie@ptgut.co.id</v>
          </cell>
          <cell r="D106" t="str">
            <v>Zakie</v>
          </cell>
          <cell r="E106" t="str">
            <v>08113609936</v>
          </cell>
          <cell r="F106" t="str">
            <v>Jl. Asem Baris Raya No. 100A - Kebon Baru</v>
          </cell>
          <cell r="G106" t="b">
            <v>0</v>
          </cell>
          <cell r="H106" t="b">
            <v>1</v>
          </cell>
          <cell r="I106" t="b">
            <v>1</v>
          </cell>
          <cell r="J106" t="b">
            <v>0</v>
          </cell>
          <cell r="K106" t="b">
            <v>0</v>
          </cell>
          <cell r="L106" t="b">
            <v>0</v>
          </cell>
          <cell r="M106" t="b">
            <v>0</v>
          </cell>
          <cell r="N106" t="b">
            <v>1</v>
          </cell>
          <cell r="O106" t="b">
            <v>0</v>
          </cell>
          <cell r="P106" t="b">
            <v>0</v>
          </cell>
          <cell r="Q106" t="b">
            <v>0</v>
          </cell>
          <cell r="R106" t="b">
            <v>0</v>
          </cell>
          <cell r="S106" t="b">
            <v>0</v>
          </cell>
          <cell r="T106" t="b">
            <v>0</v>
          </cell>
          <cell r="U106" t="str">
            <v>NA</v>
          </cell>
          <cell r="V106" t="str">
            <v>Register</v>
          </cell>
          <cell r="W106" t="str">
            <v/>
          </cell>
          <cell r="X106" t="str">
            <v>Service Jasa - Maintenance
Service Jasa - Electrical</v>
          </cell>
          <cell r="Y106" t="str">
            <v/>
          </cell>
        </row>
        <row r="107">
          <cell r="B107" t="str">
            <v>Borneo Power Services, PT</v>
          </cell>
          <cell r="C107" t="str">
            <v>imah@borneopowerservices.com; imah_bjsp@yahoo.co.id; jacklin@borneopowerservices.com</v>
          </cell>
          <cell r="D107" t="str">
            <v>Imah</v>
          </cell>
          <cell r="E107" t="str">
            <v>081347380530</v>
          </cell>
          <cell r="F107" t="str">
            <v>Jl. Indrakila Baru No.17, RT.32, Gn. Samarinda, Kec. Balikpapan Utara, Kota Balikpapan, Kalimantan Timur 76128</v>
          </cell>
          <cell r="G107" t="str">
            <v>□</v>
          </cell>
          <cell r="H107" t="str">
            <v>□</v>
          </cell>
          <cell r="I107" t="str">
            <v>□</v>
          </cell>
          <cell r="J107" t="str">
            <v>□</v>
          </cell>
          <cell r="K107" t="str">
            <v>□</v>
          </cell>
          <cell r="L107" t="str">
            <v>□</v>
          </cell>
          <cell r="M107" t="str">
            <v>□</v>
          </cell>
          <cell r="N107" t="str">
            <v>□</v>
          </cell>
          <cell r="O107" t="str">
            <v>□</v>
          </cell>
          <cell r="P107" t="str">
            <v>□</v>
          </cell>
          <cell r="Q107" t="str">
            <v>□</v>
          </cell>
          <cell r="R107" t="str">
            <v>□</v>
          </cell>
          <cell r="S107" t="str">
            <v>□</v>
          </cell>
          <cell r="T107" t="str">
            <v>□</v>
          </cell>
          <cell r="U107" t="str">
            <v>A</v>
          </cell>
          <cell r="V107" t="str">
            <v>Register</v>
          </cell>
          <cell r="W107" t="str">
            <v>GT - ME</v>
          </cell>
          <cell r="X107" t="str">
            <v>General Trading - Mechanical</v>
          </cell>
          <cell r="Y107" t="str">
            <v>Genset</v>
          </cell>
        </row>
        <row r="108">
          <cell r="B108" t="str">
            <v>Nurfitrizal</v>
          </cell>
          <cell r="C108" t="str">
            <v/>
          </cell>
          <cell r="D108" t="str">
            <v/>
          </cell>
          <cell r="E108" t="str">
            <v/>
          </cell>
          <cell r="G108" t="str">
            <v>□</v>
          </cell>
          <cell r="H108" t="str">
            <v>□</v>
          </cell>
          <cell r="I108" t="str">
            <v>□</v>
          </cell>
          <cell r="J108" t="str">
            <v>□</v>
          </cell>
          <cell r="K108" t="str">
            <v>□</v>
          </cell>
          <cell r="L108" t="str">
            <v>□</v>
          </cell>
          <cell r="M108" t="str">
            <v>□</v>
          </cell>
          <cell r="N108" t="str">
            <v>□</v>
          </cell>
          <cell r="O108" t="str">
            <v>□</v>
          </cell>
          <cell r="P108" t="str">
            <v>□</v>
          </cell>
          <cell r="Q108" t="str">
            <v>□</v>
          </cell>
          <cell r="R108" t="str">
            <v>□</v>
          </cell>
          <cell r="S108" t="str">
            <v>□</v>
          </cell>
          <cell r="T108" t="str">
            <v>□</v>
          </cell>
          <cell r="U108" t="str">
            <v>NA</v>
          </cell>
          <cell r="V108" t="str">
            <v>No Register</v>
          </cell>
          <cell r="W108" t="str">
            <v/>
          </cell>
          <cell r="Y108" t="str">
            <v/>
          </cell>
        </row>
        <row r="109">
          <cell r="B109" t="str">
            <v>Handiono Kurnia Apartm STC</v>
          </cell>
          <cell r="C109" t="str">
            <v/>
          </cell>
          <cell r="D109" t="str">
            <v/>
          </cell>
          <cell r="E109" t="str">
            <v/>
          </cell>
          <cell r="G109" t="str">
            <v>□</v>
          </cell>
          <cell r="H109" t="str">
            <v>□</v>
          </cell>
          <cell r="I109" t="str">
            <v>□</v>
          </cell>
          <cell r="J109" t="str">
            <v>□</v>
          </cell>
          <cell r="K109" t="str">
            <v>□</v>
          </cell>
          <cell r="L109" t="str">
            <v>□</v>
          </cell>
          <cell r="M109" t="str">
            <v>□</v>
          </cell>
          <cell r="N109" t="str">
            <v>□</v>
          </cell>
          <cell r="O109" t="str">
            <v>□</v>
          </cell>
          <cell r="P109" t="str">
            <v>□</v>
          </cell>
          <cell r="Q109" t="str">
            <v>□</v>
          </cell>
          <cell r="R109" t="str">
            <v>□</v>
          </cell>
          <cell r="S109" t="str">
            <v>□</v>
          </cell>
          <cell r="T109" t="str">
            <v>□</v>
          </cell>
          <cell r="U109" t="str">
            <v>NA</v>
          </cell>
          <cell r="V109" t="str">
            <v>No Register</v>
          </cell>
          <cell r="W109" t="str">
            <v/>
          </cell>
          <cell r="Y109" t="str">
            <v/>
          </cell>
        </row>
        <row r="110">
          <cell r="B110" t="str">
            <v>Arsinda Muda Selaras Sejahtera, PT</v>
          </cell>
          <cell r="C110" t="str">
            <v/>
          </cell>
          <cell r="D110" t="str">
            <v/>
          </cell>
          <cell r="E110" t="str">
            <v/>
          </cell>
          <cell r="G110" t="str">
            <v>□</v>
          </cell>
          <cell r="H110" t="str">
            <v>□</v>
          </cell>
          <cell r="I110" t="str">
            <v>□</v>
          </cell>
          <cell r="J110" t="str">
            <v>□</v>
          </cell>
          <cell r="K110" t="str">
            <v>□</v>
          </cell>
          <cell r="L110" t="str">
            <v>□</v>
          </cell>
          <cell r="M110" t="str">
            <v>□</v>
          </cell>
          <cell r="N110" t="str">
            <v>□</v>
          </cell>
          <cell r="O110" t="str">
            <v>□</v>
          </cell>
          <cell r="P110" t="str">
            <v>□</v>
          </cell>
          <cell r="Q110" t="str">
            <v>□</v>
          </cell>
          <cell r="R110" t="str">
            <v>□</v>
          </cell>
          <cell r="S110" t="str">
            <v>□</v>
          </cell>
          <cell r="T110" t="str">
            <v>□</v>
          </cell>
          <cell r="U110" t="str">
            <v>NA</v>
          </cell>
          <cell r="V110" t="str">
            <v>No Register</v>
          </cell>
          <cell r="W110" t="str">
            <v/>
          </cell>
          <cell r="Y110" t="str">
            <v/>
          </cell>
        </row>
        <row r="111">
          <cell r="B111" t="str">
            <v>Propernas Griya Utama, PT</v>
          </cell>
          <cell r="C111" t="str">
            <v/>
          </cell>
          <cell r="D111" t="str">
            <v/>
          </cell>
          <cell r="E111" t="str">
            <v/>
          </cell>
          <cell r="G111" t="str">
            <v>□</v>
          </cell>
          <cell r="H111" t="str">
            <v>□</v>
          </cell>
          <cell r="I111" t="str">
            <v>□</v>
          </cell>
          <cell r="J111" t="str">
            <v>□</v>
          </cell>
          <cell r="K111" t="str">
            <v>□</v>
          </cell>
          <cell r="L111" t="str">
            <v>□</v>
          </cell>
          <cell r="M111" t="str">
            <v>□</v>
          </cell>
          <cell r="N111" t="str">
            <v>□</v>
          </cell>
          <cell r="O111" t="str">
            <v>□</v>
          </cell>
          <cell r="P111" t="str">
            <v>□</v>
          </cell>
          <cell r="Q111" t="str">
            <v>□</v>
          </cell>
          <cell r="R111" t="str">
            <v>□</v>
          </cell>
          <cell r="S111" t="str">
            <v>□</v>
          </cell>
          <cell r="T111" t="str">
            <v>□</v>
          </cell>
          <cell r="U111" t="str">
            <v>NA</v>
          </cell>
          <cell r="V111" t="str">
            <v>Register</v>
          </cell>
          <cell r="W111" t="str">
            <v>FM - MT</v>
          </cell>
          <cell r="X111" t="str">
            <v>Facility Management - Building Maintenance</v>
          </cell>
          <cell r="Y111" t="str">
            <v/>
          </cell>
        </row>
        <row r="112">
          <cell r="B112" t="str">
            <v>Heppylia</v>
          </cell>
          <cell r="C112" t="str">
            <v/>
          </cell>
          <cell r="D112" t="str">
            <v/>
          </cell>
          <cell r="E112" t="str">
            <v/>
          </cell>
          <cell r="G112" t="str">
            <v>□</v>
          </cell>
          <cell r="H112" t="str">
            <v>□</v>
          </cell>
          <cell r="I112" t="str">
            <v>□</v>
          </cell>
          <cell r="J112" t="str">
            <v>□</v>
          </cell>
          <cell r="K112" t="str">
            <v>□</v>
          </cell>
          <cell r="L112" t="str">
            <v>□</v>
          </cell>
          <cell r="M112" t="str">
            <v>□</v>
          </cell>
          <cell r="N112" t="str">
            <v>□</v>
          </cell>
          <cell r="O112" t="str">
            <v>□</v>
          </cell>
          <cell r="P112" t="str">
            <v>□</v>
          </cell>
          <cell r="Q112" t="str">
            <v>□</v>
          </cell>
          <cell r="R112" t="str">
            <v>□</v>
          </cell>
          <cell r="S112" t="str">
            <v>□</v>
          </cell>
          <cell r="T112" t="str">
            <v>□</v>
          </cell>
          <cell r="U112" t="str">
            <v>NA</v>
          </cell>
          <cell r="V112" t="str">
            <v>No Register</v>
          </cell>
          <cell r="W112" t="str">
            <v/>
          </cell>
          <cell r="Y112" t="str">
            <v/>
          </cell>
        </row>
        <row r="113">
          <cell r="B113" t="str">
            <v>Niaga Prima Paramitra, PT</v>
          </cell>
          <cell r="C113" t="str">
            <v>lucia.palupi@npp-asia.com</v>
          </cell>
          <cell r="F113" t="str">
            <v>Satrio Tower Building, 16th floor Jl. Prof DR.Satrio Jakarta Selatan</v>
          </cell>
          <cell r="G113" t="b">
            <v>0</v>
          </cell>
          <cell r="H113" t="b">
            <v>0</v>
          </cell>
          <cell r="I113" t="b">
            <v>0</v>
          </cell>
          <cell r="J113" t="b">
            <v>0</v>
          </cell>
          <cell r="K113" t="b">
            <v>0</v>
          </cell>
          <cell r="L113" t="b">
            <v>1</v>
          </cell>
          <cell r="M113" t="b">
            <v>0</v>
          </cell>
          <cell r="N113" t="b">
            <v>0</v>
          </cell>
          <cell r="O113" t="b">
            <v>0</v>
          </cell>
          <cell r="P113" t="b">
            <v>0</v>
          </cell>
          <cell r="Q113" t="b">
            <v>0</v>
          </cell>
          <cell r="R113" t="b">
            <v>0</v>
          </cell>
          <cell r="S113" t="b">
            <v>0</v>
          </cell>
          <cell r="T113" t="b">
            <v>0</v>
          </cell>
          <cell r="U113" t="str">
            <v>NA</v>
          </cell>
          <cell r="V113" t="str">
            <v>Register</v>
          </cell>
          <cell r="W113" t="str">
            <v>IT - SV</v>
          </cell>
          <cell r="X113" t="str">
            <v>IT &amp; System - IT Services</v>
          </cell>
          <cell r="Y113" t="str">
            <v>Maximo</v>
          </cell>
        </row>
        <row r="114">
          <cell r="B114" t="str">
            <v>Global Lestari, CV</v>
          </cell>
          <cell r="C114" t="str">
            <v/>
          </cell>
          <cell r="D114" t="str">
            <v/>
          </cell>
          <cell r="E114" t="str">
            <v/>
          </cell>
          <cell r="G114" t="str">
            <v>□</v>
          </cell>
          <cell r="H114" t="str">
            <v>□</v>
          </cell>
          <cell r="I114" t="str">
            <v>□</v>
          </cell>
          <cell r="J114" t="str">
            <v>□</v>
          </cell>
          <cell r="K114" t="str">
            <v>□</v>
          </cell>
          <cell r="L114" t="str">
            <v>□</v>
          </cell>
          <cell r="M114" t="str">
            <v>□</v>
          </cell>
          <cell r="N114" t="str">
            <v>□</v>
          </cell>
          <cell r="O114" t="str">
            <v>□</v>
          </cell>
          <cell r="P114" t="str">
            <v>□</v>
          </cell>
          <cell r="Q114" t="str">
            <v>□</v>
          </cell>
          <cell r="R114" t="str">
            <v>□</v>
          </cell>
          <cell r="S114" t="str">
            <v>□</v>
          </cell>
          <cell r="T114" t="str">
            <v>□</v>
          </cell>
          <cell r="U114" t="str">
            <v>NA</v>
          </cell>
          <cell r="V114" t="str">
            <v>No Register</v>
          </cell>
          <cell r="W114" t="str">
            <v/>
          </cell>
          <cell r="Y114" t="str">
            <v/>
          </cell>
        </row>
        <row r="115">
          <cell r="B115" t="str">
            <v>Pandu Siwi Sentosa, PT</v>
          </cell>
          <cell r="C115" t="str">
            <v/>
          </cell>
          <cell r="D115" t="str">
            <v/>
          </cell>
          <cell r="E115" t="str">
            <v/>
          </cell>
          <cell r="G115" t="str">
            <v>□</v>
          </cell>
          <cell r="H115" t="str">
            <v>□</v>
          </cell>
          <cell r="I115" t="str">
            <v>□</v>
          </cell>
          <cell r="J115" t="str">
            <v>□</v>
          </cell>
          <cell r="K115" t="str">
            <v>□</v>
          </cell>
          <cell r="L115" t="str">
            <v>□</v>
          </cell>
          <cell r="M115" t="str">
            <v>□</v>
          </cell>
          <cell r="N115" t="str">
            <v>□</v>
          </cell>
          <cell r="O115" t="str">
            <v>□</v>
          </cell>
          <cell r="P115" t="str">
            <v>□</v>
          </cell>
          <cell r="Q115" t="str">
            <v>□</v>
          </cell>
          <cell r="R115" t="str">
            <v>□</v>
          </cell>
          <cell r="S115" t="str">
            <v>□</v>
          </cell>
          <cell r="T115" t="str">
            <v>□</v>
          </cell>
          <cell r="U115" t="str">
            <v>NA</v>
          </cell>
          <cell r="V115" t="str">
            <v>No Register</v>
          </cell>
          <cell r="W115" t="str">
            <v/>
          </cell>
          <cell r="Y115" t="str">
            <v/>
          </cell>
        </row>
        <row r="116">
          <cell r="B116" t="str">
            <v>Ecolab International Indonesia, PT</v>
          </cell>
          <cell r="C116" t="str">
            <v>adi.setyo@ecolab.com; robby.darmawan@ecolab.com</v>
          </cell>
          <cell r="D116" t="str">
            <v>Robby</v>
          </cell>
          <cell r="E116">
            <v>81296393414</v>
          </cell>
          <cell r="F116" t="str">
            <v>Jl. Pahlawan Desa Karangasem Timur, Citeureup, Bogor 16810</v>
          </cell>
          <cell r="G116" t="b">
            <v>0</v>
          </cell>
          <cell r="H116" t="b">
            <v>0</v>
          </cell>
          <cell r="I116" t="b">
            <v>0</v>
          </cell>
          <cell r="J116" t="b">
            <v>1</v>
          </cell>
          <cell r="K116" t="b">
            <v>0</v>
          </cell>
          <cell r="L116" t="b">
            <v>0</v>
          </cell>
          <cell r="M116" t="b">
            <v>0</v>
          </cell>
          <cell r="N116" t="b">
            <v>0</v>
          </cell>
          <cell r="O116" t="b">
            <v>1</v>
          </cell>
          <cell r="P116" t="b">
            <v>0</v>
          </cell>
          <cell r="Q116" t="b">
            <v>0</v>
          </cell>
          <cell r="R116" t="b">
            <v>0</v>
          </cell>
          <cell r="S116" t="b">
            <v>0</v>
          </cell>
          <cell r="T116" t="b">
            <v>0</v>
          </cell>
          <cell r="U116" t="str">
            <v>NA</v>
          </cell>
          <cell r="V116" t="str">
            <v>Register</v>
          </cell>
          <cell r="W116" t="str">
            <v/>
          </cell>
          <cell r="X116" t="str">
            <v>Service Jasa - Chemical</v>
          </cell>
          <cell r="Y116" t="str">
            <v>Chemical</v>
          </cell>
        </row>
        <row r="117">
          <cell r="B117" t="str">
            <v>ANP Engineering, PT</v>
          </cell>
          <cell r="C117" t="str">
            <v>Raja@anp.co.id</v>
          </cell>
          <cell r="D117" t="str">
            <v>Raja</v>
          </cell>
          <cell r="E117" t="str">
            <v>081294698949</v>
          </cell>
          <cell r="F117" t="str">
            <v>Lindeteves Trade Center Lt. GF 2 Blok. A25. No.2 . Mangga Besar - Taman Sari . JakBar - 11180</v>
          </cell>
          <cell r="G117" t="b">
            <v>1</v>
          </cell>
          <cell r="H117" t="b">
            <v>0</v>
          </cell>
          <cell r="I117" t="b">
            <v>0</v>
          </cell>
          <cell r="J117" t="b">
            <v>0</v>
          </cell>
          <cell r="K117" t="b">
            <v>0</v>
          </cell>
          <cell r="L117" t="b">
            <v>0</v>
          </cell>
          <cell r="M117" t="b">
            <v>0</v>
          </cell>
          <cell r="N117" t="b">
            <v>0</v>
          </cell>
          <cell r="O117" t="b">
            <v>0</v>
          </cell>
          <cell r="P117" t="b">
            <v>0</v>
          </cell>
          <cell r="Q117" t="b">
            <v>0</v>
          </cell>
          <cell r="R117" t="b">
            <v>0</v>
          </cell>
          <cell r="S117" t="b">
            <v>0</v>
          </cell>
          <cell r="T117" t="b">
            <v>0</v>
          </cell>
          <cell r="U117" t="str">
            <v>A</v>
          </cell>
          <cell r="V117" t="str">
            <v>No Register</v>
          </cell>
          <cell r="W117" t="str">
            <v/>
          </cell>
          <cell r="Y117" t="str">
            <v>Valve and connection</v>
          </cell>
        </row>
        <row r="118">
          <cell r="B118" t="str">
            <v>ABM Global Solutions, PT</v>
          </cell>
          <cell r="C118" t="str">
            <v>csharefa@abmglobal-solution.com</v>
          </cell>
          <cell r="D118" t="str">
            <v xml:space="preserve">Calvin Harefa </v>
          </cell>
          <cell r="F118" t="str">
            <v>Prince Centre Lt. 6, Jl. Jend. Sudirman Kav. 3-4, Jakarta Pusat
Jakarta</v>
          </cell>
          <cell r="G118" t="str">
            <v>□</v>
          </cell>
          <cell r="H118" t="str">
            <v>□</v>
          </cell>
          <cell r="I118" t="str">
            <v>□</v>
          </cell>
          <cell r="J118" t="str">
            <v>□</v>
          </cell>
          <cell r="K118" t="str">
            <v>□</v>
          </cell>
          <cell r="L118" t="str">
            <v>□</v>
          </cell>
          <cell r="M118" t="str">
            <v>□</v>
          </cell>
          <cell r="N118" t="str">
            <v>□</v>
          </cell>
          <cell r="O118" t="str">
            <v>□</v>
          </cell>
          <cell r="P118" t="str">
            <v>□</v>
          </cell>
          <cell r="Q118" t="str">
            <v>□</v>
          </cell>
          <cell r="R118" t="str">
            <v>□</v>
          </cell>
          <cell r="S118" t="str">
            <v>□</v>
          </cell>
          <cell r="T118" t="str">
            <v>□</v>
          </cell>
          <cell r="U118" t="str">
            <v>NA</v>
          </cell>
          <cell r="V118" t="str">
            <v>No Register</v>
          </cell>
          <cell r="W118" t="str">
            <v/>
          </cell>
          <cell r="Y118" t="str">
            <v/>
          </cell>
        </row>
        <row r="119">
          <cell r="B119" t="str">
            <v>Bellagio Mansion</v>
          </cell>
          <cell r="C119" t="str">
            <v/>
          </cell>
          <cell r="D119" t="str">
            <v/>
          </cell>
          <cell r="E119" t="str">
            <v/>
          </cell>
          <cell r="G119" t="str">
            <v>□</v>
          </cell>
          <cell r="H119" t="str">
            <v>□</v>
          </cell>
          <cell r="I119" t="str">
            <v>□</v>
          </cell>
          <cell r="J119" t="str">
            <v>□</v>
          </cell>
          <cell r="K119" t="str">
            <v>□</v>
          </cell>
          <cell r="L119" t="str">
            <v>□</v>
          </cell>
          <cell r="M119" t="str">
            <v>□</v>
          </cell>
          <cell r="N119" t="str">
            <v>□</v>
          </cell>
          <cell r="O119" t="str">
            <v>□</v>
          </cell>
          <cell r="P119" t="str">
            <v>□</v>
          </cell>
          <cell r="Q119" t="str">
            <v>□</v>
          </cell>
          <cell r="R119" t="str">
            <v>□</v>
          </cell>
          <cell r="S119" t="str">
            <v>□</v>
          </cell>
          <cell r="T119" t="str">
            <v>□</v>
          </cell>
          <cell r="U119" t="str">
            <v>NA</v>
          </cell>
          <cell r="V119" t="str">
            <v>No Register</v>
          </cell>
          <cell r="W119" t="str">
            <v/>
          </cell>
          <cell r="Y119" t="str">
            <v/>
          </cell>
        </row>
        <row r="120">
          <cell r="B120" t="str">
            <v>Century Computer</v>
          </cell>
          <cell r="C120" t="str">
            <v/>
          </cell>
          <cell r="D120" t="str">
            <v/>
          </cell>
          <cell r="E120" t="str">
            <v/>
          </cell>
          <cell r="F120" t="str">
            <v>Harco Mangga Dua Blok A1 No. 20. Jakarta Utara</v>
          </cell>
          <cell r="G120" t="str">
            <v>□</v>
          </cell>
          <cell r="H120" t="str">
            <v>□</v>
          </cell>
          <cell r="I120" t="str">
            <v>□</v>
          </cell>
          <cell r="J120" t="str">
            <v>□</v>
          </cell>
          <cell r="K120" t="str">
            <v>□</v>
          </cell>
          <cell r="L120" t="str">
            <v>□</v>
          </cell>
          <cell r="M120" t="str">
            <v>□</v>
          </cell>
          <cell r="N120" t="str">
            <v>□</v>
          </cell>
          <cell r="O120" t="str">
            <v>□</v>
          </cell>
          <cell r="P120" t="str">
            <v>□</v>
          </cell>
          <cell r="Q120" t="str">
            <v>□</v>
          </cell>
          <cell r="R120" t="str">
            <v>□</v>
          </cell>
          <cell r="S120" t="str">
            <v>□</v>
          </cell>
          <cell r="T120" t="str">
            <v>□</v>
          </cell>
          <cell r="U120" t="str">
            <v>NA</v>
          </cell>
          <cell r="V120" t="str">
            <v>No Register</v>
          </cell>
          <cell r="W120" t="str">
            <v/>
          </cell>
          <cell r="Y120" t="str">
            <v/>
          </cell>
        </row>
        <row r="121">
          <cell r="B121" t="str">
            <v>Maranatha, CV</v>
          </cell>
          <cell r="C121" t="str">
            <v>cv.maranatha_tanjung@yahoo.co.id</v>
          </cell>
          <cell r="D121" t="str">
            <v>Yudhi</v>
          </cell>
          <cell r="F121" t="str">
            <v>Jl. Tanjung Putri No. 27 Pembataan, Tanjung Tabalong - 71571</v>
          </cell>
          <cell r="G121" t="str">
            <v>□</v>
          </cell>
          <cell r="H121" t="str">
            <v>□</v>
          </cell>
          <cell r="I121" t="str">
            <v>□</v>
          </cell>
          <cell r="J121" t="str">
            <v>□</v>
          </cell>
          <cell r="K121" t="str">
            <v>□</v>
          </cell>
          <cell r="L121" t="str">
            <v>□</v>
          </cell>
          <cell r="M121" t="str">
            <v>□</v>
          </cell>
          <cell r="N121" t="str">
            <v>□</v>
          </cell>
          <cell r="O121" t="str">
            <v>□</v>
          </cell>
          <cell r="P121" t="str">
            <v>□</v>
          </cell>
          <cell r="Q121" t="str">
            <v>□</v>
          </cell>
          <cell r="R121" t="str">
            <v>□</v>
          </cell>
          <cell r="S121" t="str">
            <v>□</v>
          </cell>
          <cell r="T121" t="str">
            <v>□</v>
          </cell>
          <cell r="U121" t="str">
            <v>NA</v>
          </cell>
          <cell r="V121" t="str">
            <v>No Register</v>
          </cell>
          <cell r="W121" t="str">
            <v/>
          </cell>
          <cell r="Y121" t="str">
            <v/>
          </cell>
        </row>
        <row r="122">
          <cell r="B122" t="str">
            <v>Roy Taylor, CV</v>
          </cell>
          <cell r="C122" t="str">
            <v>roy_taylor9@ymail.com</v>
          </cell>
          <cell r="D122" t="str">
            <v>Iwan</v>
          </cell>
          <cell r="E122" t="str">
            <v>081351225122</v>
          </cell>
          <cell r="F122" t="str">
            <v>Jl. Ir. PHM Noor Sulingan RT. IX. Tanjung - Tabalong.</v>
          </cell>
          <cell r="G122" t="str">
            <v>□</v>
          </cell>
          <cell r="H122" t="str">
            <v>□</v>
          </cell>
          <cell r="I122" t="str">
            <v>□</v>
          </cell>
          <cell r="J122" t="str">
            <v>□</v>
          </cell>
          <cell r="K122" t="str">
            <v>□</v>
          </cell>
          <cell r="L122" t="str">
            <v>□</v>
          </cell>
          <cell r="M122" t="str">
            <v>□</v>
          </cell>
          <cell r="N122" t="str">
            <v>□</v>
          </cell>
          <cell r="O122" t="str">
            <v>□</v>
          </cell>
          <cell r="P122" t="str">
            <v>□</v>
          </cell>
          <cell r="Q122" t="str">
            <v>□</v>
          </cell>
          <cell r="R122" t="str">
            <v>□</v>
          </cell>
          <cell r="S122" t="str">
            <v>□</v>
          </cell>
          <cell r="T122" t="str">
            <v>□</v>
          </cell>
          <cell r="U122" t="str">
            <v>NA</v>
          </cell>
          <cell r="V122" t="str">
            <v>Register</v>
          </cell>
          <cell r="W122" t="str">
            <v>GT - OF</v>
          </cell>
          <cell r="X122" t="str">
            <v>General Trading - Office Supplies</v>
          </cell>
          <cell r="Y122" t="str">
            <v/>
          </cell>
        </row>
        <row r="123">
          <cell r="B123" t="str">
            <v>Toko 99 Elektronik</v>
          </cell>
          <cell r="C123" t="str">
            <v/>
          </cell>
          <cell r="D123" t="str">
            <v/>
          </cell>
          <cell r="E123" t="str">
            <v/>
          </cell>
          <cell r="F123" t="str">
            <v>Jl. Puteri Zaleha. Pasar Tanjung.</v>
          </cell>
          <cell r="G123" t="str">
            <v>□</v>
          </cell>
          <cell r="H123" t="str">
            <v>□</v>
          </cell>
          <cell r="I123" t="str">
            <v>□</v>
          </cell>
          <cell r="J123" t="str">
            <v>□</v>
          </cell>
          <cell r="K123" t="str">
            <v>□</v>
          </cell>
          <cell r="L123" t="str">
            <v>□</v>
          </cell>
          <cell r="M123" t="str">
            <v>□</v>
          </cell>
          <cell r="N123" t="str">
            <v>□</v>
          </cell>
          <cell r="O123" t="str">
            <v>□</v>
          </cell>
          <cell r="P123" t="str">
            <v>□</v>
          </cell>
          <cell r="Q123" t="str">
            <v>□</v>
          </cell>
          <cell r="R123" t="str">
            <v>□</v>
          </cell>
          <cell r="S123" t="str">
            <v>□</v>
          </cell>
          <cell r="T123" t="str">
            <v>□</v>
          </cell>
          <cell r="U123" t="str">
            <v>NA</v>
          </cell>
          <cell r="V123" t="str">
            <v>No Register</v>
          </cell>
          <cell r="W123" t="str">
            <v/>
          </cell>
          <cell r="Y123" t="str">
            <v/>
          </cell>
        </row>
        <row r="124">
          <cell r="B124" t="str">
            <v>Ztech Indonesia, PT</v>
          </cell>
          <cell r="C124" t="str">
            <v/>
          </cell>
          <cell r="D124" t="str">
            <v/>
          </cell>
          <cell r="E124" t="str">
            <v/>
          </cell>
          <cell r="F124" t="str">
            <v>Sentra Niaga 3 Timur Blok A3 No. 43. Bulevar Hijau. Kota Harapan Indah Bekasi Barat. 17131</v>
          </cell>
          <cell r="G124" t="str">
            <v>□</v>
          </cell>
          <cell r="H124" t="str">
            <v>□</v>
          </cell>
          <cell r="I124" t="str">
            <v>□</v>
          </cell>
          <cell r="J124" t="str">
            <v>□</v>
          </cell>
          <cell r="K124" t="str">
            <v>□</v>
          </cell>
          <cell r="L124" t="str">
            <v>□</v>
          </cell>
          <cell r="M124" t="str">
            <v>□</v>
          </cell>
          <cell r="N124" t="str">
            <v>□</v>
          </cell>
          <cell r="O124" t="str">
            <v>□</v>
          </cell>
          <cell r="P124" t="str">
            <v>□</v>
          </cell>
          <cell r="Q124" t="str">
            <v>□</v>
          </cell>
          <cell r="R124" t="str">
            <v>□</v>
          </cell>
          <cell r="S124" t="str">
            <v>□</v>
          </cell>
          <cell r="T124" t="str">
            <v>□</v>
          </cell>
          <cell r="U124" t="str">
            <v>NA</v>
          </cell>
          <cell r="V124" t="str">
            <v>No Register</v>
          </cell>
          <cell r="W124" t="str">
            <v/>
          </cell>
          <cell r="Y124" t="str">
            <v/>
          </cell>
        </row>
        <row r="125">
          <cell r="B125" t="str">
            <v>Eroink Jaya Sakti, CV</v>
          </cell>
          <cell r="C125" t="str">
            <v/>
          </cell>
          <cell r="D125" t="str">
            <v/>
          </cell>
          <cell r="E125" t="str">
            <v/>
          </cell>
          <cell r="F125" t="str">
            <v>Harco Mangga Dua Lt. 2 . Blok B No. 36 . Jakarta</v>
          </cell>
          <cell r="G125" t="str">
            <v>□</v>
          </cell>
          <cell r="H125" t="str">
            <v>□</v>
          </cell>
          <cell r="I125" t="str">
            <v>□</v>
          </cell>
          <cell r="J125" t="str">
            <v>□</v>
          </cell>
          <cell r="K125" t="str">
            <v>□</v>
          </cell>
          <cell r="L125" t="str">
            <v>□</v>
          </cell>
          <cell r="M125" t="str">
            <v>□</v>
          </cell>
          <cell r="N125" t="str">
            <v>□</v>
          </cell>
          <cell r="O125" t="str">
            <v>□</v>
          </cell>
          <cell r="P125" t="str">
            <v>□</v>
          </cell>
          <cell r="Q125" t="str">
            <v>□</v>
          </cell>
          <cell r="R125" t="str">
            <v>□</v>
          </cell>
          <cell r="S125" t="str">
            <v>□</v>
          </cell>
          <cell r="T125" t="str">
            <v>□</v>
          </cell>
          <cell r="U125" t="str">
            <v>NA</v>
          </cell>
          <cell r="V125" t="str">
            <v>No Register</v>
          </cell>
          <cell r="W125" t="str">
            <v/>
          </cell>
          <cell r="Y125" t="str">
            <v/>
          </cell>
        </row>
        <row r="126">
          <cell r="B126" t="str">
            <v>Mardi Mulyo, PT</v>
          </cell>
          <cell r="C126" t="str">
            <v>adi.santoso12@yahoo.com; skr@mardimulyo.co.id; mardimulyo.percetakan@yahoo.com</v>
          </cell>
          <cell r="D126" t="str">
            <v>Adi S</v>
          </cell>
          <cell r="F126" t="str">
            <v>Jl. Warung Jati Barat No. 41, Jakarta Selatan - 12760</v>
          </cell>
          <cell r="G126" t="str">
            <v>□</v>
          </cell>
          <cell r="H126" t="str">
            <v>□</v>
          </cell>
          <cell r="I126" t="str">
            <v>□</v>
          </cell>
          <cell r="J126" t="str">
            <v>□</v>
          </cell>
          <cell r="K126" t="str">
            <v>□</v>
          </cell>
          <cell r="L126" t="str">
            <v>□</v>
          </cell>
          <cell r="M126" t="str">
            <v>□</v>
          </cell>
          <cell r="N126" t="str">
            <v>□</v>
          </cell>
          <cell r="O126" t="str">
            <v>□</v>
          </cell>
          <cell r="P126" t="str">
            <v>□</v>
          </cell>
          <cell r="Q126" t="str">
            <v>□</v>
          </cell>
          <cell r="R126" t="str">
            <v>□</v>
          </cell>
          <cell r="S126" t="str">
            <v>□</v>
          </cell>
          <cell r="T126" t="str">
            <v>□</v>
          </cell>
          <cell r="U126" t="str">
            <v>NA</v>
          </cell>
          <cell r="V126" t="str">
            <v>No Register</v>
          </cell>
          <cell r="W126" t="str">
            <v/>
          </cell>
          <cell r="Y126" t="str">
            <v/>
          </cell>
        </row>
        <row r="127">
          <cell r="B127" t="str">
            <v>Adinda, CV</v>
          </cell>
          <cell r="C127" t="str">
            <v/>
          </cell>
          <cell r="D127" t="str">
            <v/>
          </cell>
          <cell r="E127" t="str">
            <v/>
          </cell>
          <cell r="F127" t="str">
            <v>Jl. Ir. P.H.M Noor RT.1 No 69 - Tanjung, Kalimantan Selatan - 71571</v>
          </cell>
          <cell r="G127" t="str">
            <v>□</v>
          </cell>
          <cell r="H127" t="str">
            <v>□</v>
          </cell>
          <cell r="I127" t="str">
            <v>□</v>
          </cell>
          <cell r="J127" t="str">
            <v>□</v>
          </cell>
          <cell r="K127" t="str">
            <v>□</v>
          </cell>
          <cell r="L127" t="str">
            <v>□</v>
          </cell>
          <cell r="M127" t="str">
            <v>□</v>
          </cell>
          <cell r="N127" t="str">
            <v>□</v>
          </cell>
          <cell r="O127" t="str">
            <v>□</v>
          </cell>
          <cell r="P127" t="str">
            <v>□</v>
          </cell>
          <cell r="Q127" t="str">
            <v>□</v>
          </cell>
          <cell r="R127" t="str">
            <v>□</v>
          </cell>
          <cell r="S127" t="str">
            <v>□</v>
          </cell>
          <cell r="T127" t="str">
            <v>□</v>
          </cell>
          <cell r="U127" t="str">
            <v>NA</v>
          </cell>
          <cell r="V127" t="str">
            <v>No Register</v>
          </cell>
          <cell r="W127" t="str">
            <v/>
          </cell>
          <cell r="Y127" t="str">
            <v/>
          </cell>
        </row>
        <row r="128">
          <cell r="B128" t="str">
            <v>Intani Jaya Semesta, PT</v>
          </cell>
          <cell r="C128" t="str">
            <v>carakaguna@gmail.com</v>
          </cell>
          <cell r="D128" t="str">
            <v/>
          </cell>
          <cell r="E128" t="str">
            <v>0811377885</v>
          </cell>
          <cell r="F128" t="str">
            <v>Jl. Jend. A. Yani Km 1,5 No. 130. Banjarmasin</v>
          </cell>
          <cell r="G128" t="str">
            <v>□</v>
          </cell>
          <cell r="H128" t="str">
            <v>□</v>
          </cell>
          <cell r="I128" t="str">
            <v>□</v>
          </cell>
          <cell r="J128" t="str">
            <v>□</v>
          </cell>
          <cell r="K128" t="str">
            <v>□</v>
          </cell>
          <cell r="L128" t="str">
            <v>□</v>
          </cell>
          <cell r="M128" t="str">
            <v>□</v>
          </cell>
          <cell r="N128" t="str">
            <v>□</v>
          </cell>
          <cell r="O128" t="str">
            <v>□</v>
          </cell>
          <cell r="P128" t="str">
            <v>□</v>
          </cell>
          <cell r="Q128" t="str">
            <v>□</v>
          </cell>
          <cell r="R128" t="str">
            <v>□</v>
          </cell>
          <cell r="S128" t="str">
            <v>□</v>
          </cell>
          <cell r="T128" t="str">
            <v>□</v>
          </cell>
          <cell r="U128" t="str">
            <v>NA</v>
          </cell>
          <cell r="V128" t="str">
            <v>No Register</v>
          </cell>
          <cell r="W128" t="str">
            <v/>
          </cell>
          <cell r="Y128" t="str">
            <v/>
          </cell>
        </row>
        <row r="129">
          <cell r="B129" t="str">
            <v>ALKS, CV</v>
          </cell>
          <cell r="C129" t="str">
            <v>kasins@gmail.com</v>
          </cell>
          <cell r="D129" t="str">
            <v>Kasin</v>
          </cell>
          <cell r="E129" t="str">
            <v>0811512745</v>
          </cell>
          <cell r="F129" t="str">
            <v>Pasar Baru No. 60. Banjarmasin - 70111. Kalimantan Selatan</v>
          </cell>
          <cell r="G129" t="b">
            <v>0</v>
          </cell>
          <cell r="H129" t="b">
            <v>0</v>
          </cell>
          <cell r="I129" t="b">
            <v>0</v>
          </cell>
          <cell r="J129" t="b">
            <v>0</v>
          </cell>
          <cell r="K129" t="b">
            <v>0</v>
          </cell>
          <cell r="L129" t="b">
            <v>1</v>
          </cell>
          <cell r="M129" t="b">
            <v>0</v>
          </cell>
          <cell r="N129" t="b">
            <v>0</v>
          </cell>
          <cell r="O129" t="b">
            <v>0</v>
          </cell>
          <cell r="P129" t="b">
            <v>0</v>
          </cell>
          <cell r="Q129" t="b">
            <v>0</v>
          </cell>
          <cell r="R129" t="b">
            <v>0</v>
          </cell>
          <cell r="S129" t="b">
            <v>1</v>
          </cell>
          <cell r="T129" t="b">
            <v>0</v>
          </cell>
          <cell r="U129" t="str">
            <v>A</v>
          </cell>
          <cell r="V129" t="str">
            <v>Register</v>
          </cell>
          <cell r="W129" t="str">
            <v>IT - HW</v>
          </cell>
          <cell r="X129" t="str">
            <v>IT &amp; System - Hardware</v>
          </cell>
          <cell r="Y129" t="str">
            <v>Peripheral komputer</v>
          </cell>
        </row>
        <row r="130">
          <cell r="B130" t="str">
            <v>Restu Tanjung Permai, PT</v>
          </cell>
          <cell r="C130" t="str">
            <v>kisro_rtp@yahoo.co.id</v>
          </cell>
          <cell r="D130" t="str">
            <v>Kisro</v>
          </cell>
          <cell r="E130">
            <v>85248788464</v>
          </cell>
          <cell r="F130" t="str">
            <v>Jl. A Yani RT.004 / RW.002, Kel. Maburai Kec. Murung Pudak</v>
          </cell>
          <cell r="G130" t="b">
            <v>0</v>
          </cell>
          <cell r="H130" t="b">
            <v>0</v>
          </cell>
          <cell r="I130" t="b">
            <v>0</v>
          </cell>
          <cell r="J130" t="b">
            <v>0</v>
          </cell>
          <cell r="K130" t="b">
            <v>0</v>
          </cell>
          <cell r="L130" t="b">
            <v>0</v>
          </cell>
          <cell r="M130" t="b">
            <v>0</v>
          </cell>
          <cell r="N130" t="b">
            <v>0</v>
          </cell>
          <cell r="O130" t="b">
            <v>0</v>
          </cell>
          <cell r="P130" t="b">
            <v>0</v>
          </cell>
          <cell r="Q130" t="b">
            <v>0</v>
          </cell>
          <cell r="R130" t="b">
            <v>0</v>
          </cell>
          <cell r="S130" t="b">
            <v>0</v>
          </cell>
          <cell r="T130" t="b">
            <v>0</v>
          </cell>
          <cell r="U130" t="str">
            <v>NA</v>
          </cell>
          <cell r="V130" t="str">
            <v>Register</v>
          </cell>
          <cell r="W130" t="str">
            <v>TR - CR
TR - DR</v>
          </cell>
          <cell r="X130" t="str">
            <v>Transportation - Car Rental
Transportation - Driver Services</v>
          </cell>
          <cell r="Y130" t="str">
            <v>Heavy Equipment Rental</v>
          </cell>
        </row>
        <row r="131">
          <cell r="B131" t="str">
            <v>Restu Tanjung Permai, CV (Catering)</v>
          </cell>
          <cell r="C131" t="str">
            <v>Henry.r2702@yahoo.com; cv.rtp.catt@gmail.com</v>
          </cell>
          <cell r="D131" t="str">
            <v/>
          </cell>
          <cell r="G131" t="str">
            <v>□</v>
          </cell>
          <cell r="H131" t="str">
            <v>□</v>
          </cell>
          <cell r="I131" t="str">
            <v>□</v>
          </cell>
          <cell r="J131" t="str">
            <v>□</v>
          </cell>
          <cell r="K131" t="str">
            <v>□</v>
          </cell>
          <cell r="L131" t="str">
            <v>□</v>
          </cell>
          <cell r="M131" t="str">
            <v>□</v>
          </cell>
          <cell r="N131" t="str">
            <v>□</v>
          </cell>
          <cell r="O131" t="str">
            <v>□</v>
          </cell>
          <cell r="P131" t="str">
            <v>□</v>
          </cell>
          <cell r="Q131" t="str">
            <v>□</v>
          </cell>
          <cell r="R131" t="str">
            <v>□</v>
          </cell>
          <cell r="S131" t="str">
            <v>□</v>
          </cell>
          <cell r="T131" t="str">
            <v>□</v>
          </cell>
          <cell r="U131" t="str">
            <v>NA</v>
          </cell>
          <cell r="V131" t="str">
            <v>No Register</v>
          </cell>
          <cell r="W131" t="str">
            <v/>
          </cell>
          <cell r="Y131" t="str">
            <v/>
          </cell>
        </row>
        <row r="132">
          <cell r="B132" t="str">
            <v>Oscar Gemilang Jaya, PT</v>
          </cell>
          <cell r="C132" t="str">
            <v/>
          </cell>
          <cell r="D132" t="str">
            <v/>
          </cell>
          <cell r="E132" t="str">
            <v/>
          </cell>
          <cell r="F132" t="str">
            <v>Jl. Jend. A Yani. RT 03. Maburai. Tanjung Tabalong . Kal-Sel</v>
          </cell>
          <cell r="G132" t="str">
            <v>□</v>
          </cell>
          <cell r="H132" t="str">
            <v>□</v>
          </cell>
          <cell r="I132" t="str">
            <v>□</v>
          </cell>
          <cell r="J132" t="str">
            <v>□</v>
          </cell>
          <cell r="K132" t="str">
            <v>□</v>
          </cell>
          <cell r="L132" t="str">
            <v>□</v>
          </cell>
          <cell r="M132" t="str">
            <v>□</v>
          </cell>
          <cell r="N132" t="str">
            <v>□</v>
          </cell>
          <cell r="O132" t="str">
            <v>□</v>
          </cell>
          <cell r="P132" t="str">
            <v>□</v>
          </cell>
          <cell r="Q132" t="str">
            <v>□</v>
          </cell>
          <cell r="R132" t="str">
            <v>□</v>
          </cell>
          <cell r="S132" t="str">
            <v>□</v>
          </cell>
          <cell r="T132" t="str">
            <v>□</v>
          </cell>
          <cell r="U132" t="str">
            <v>NA</v>
          </cell>
          <cell r="V132" t="str">
            <v>No Register</v>
          </cell>
          <cell r="W132" t="str">
            <v/>
          </cell>
          <cell r="Y132" t="str">
            <v/>
          </cell>
        </row>
        <row r="133">
          <cell r="B133" t="str">
            <v>Meubel Utomo</v>
          </cell>
          <cell r="C133" t="str">
            <v/>
          </cell>
          <cell r="D133" t="str">
            <v/>
          </cell>
          <cell r="E133" t="str">
            <v/>
          </cell>
          <cell r="F133" t="str">
            <v>Jl. PHM Noor No. 89. Tanjung - Tabalong. Kalimantan Selatan.</v>
          </cell>
          <cell r="G133" t="str">
            <v>□</v>
          </cell>
          <cell r="H133" t="str">
            <v>□</v>
          </cell>
          <cell r="I133" t="str">
            <v>□</v>
          </cell>
          <cell r="J133" t="str">
            <v>□</v>
          </cell>
          <cell r="K133" t="str">
            <v>□</v>
          </cell>
          <cell r="L133" t="str">
            <v>□</v>
          </cell>
          <cell r="M133" t="str">
            <v>□</v>
          </cell>
          <cell r="N133" t="str">
            <v>□</v>
          </cell>
          <cell r="O133" t="str">
            <v>□</v>
          </cell>
          <cell r="P133" t="str">
            <v>□</v>
          </cell>
          <cell r="Q133" t="str">
            <v>□</v>
          </cell>
          <cell r="R133" t="str">
            <v>□</v>
          </cell>
          <cell r="S133" t="str">
            <v>□</v>
          </cell>
          <cell r="T133" t="str">
            <v>□</v>
          </cell>
          <cell r="U133" t="str">
            <v>NA</v>
          </cell>
          <cell r="V133" t="str">
            <v>No Register</v>
          </cell>
          <cell r="W133" t="str">
            <v/>
          </cell>
          <cell r="Y133" t="str">
            <v/>
          </cell>
        </row>
        <row r="134">
          <cell r="B134" t="str">
            <v>Global Arta Borneo, PT</v>
          </cell>
          <cell r="C134" t="str">
            <v/>
          </cell>
          <cell r="D134" t="str">
            <v/>
          </cell>
          <cell r="E134" t="str">
            <v/>
          </cell>
          <cell r="F134" t="str">
            <v>Jl. H. Hasan Basri Komp. Ruko Kayu Tangi Blok C No 5C</v>
          </cell>
          <cell r="G134" t="str">
            <v>□</v>
          </cell>
          <cell r="H134" t="str">
            <v>□</v>
          </cell>
          <cell r="I134" t="str">
            <v>□</v>
          </cell>
          <cell r="J134" t="str">
            <v>□</v>
          </cell>
          <cell r="K134" t="str">
            <v>□</v>
          </cell>
          <cell r="L134" t="str">
            <v>□</v>
          </cell>
          <cell r="M134" t="str">
            <v>□</v>
          </cell>
          <cell r="N134" t="str">
            <v>□</v>
          </cell>
          <cell r="O134" t="str">
            <v>□</v>
          </cell>
          <cell r="P134" t="str">
            <v>□</v>
          </cell>
          <cell r="Q134" t="str">
            <v>□</v>
          </cell>
          <cell r="R134" t="str">
            <v>□</v>
          </cell>
          <cell r="S134" t="str">
            <v>□</v>
          </cell>
          <cell r="T134" t="str">
            <v>□</v>
          </cell>
          <cell r="U134" t="str">
            <v>NA</v>
          </cell>
          <cell r="V134" t="str">
            <v>Register</v>
          </cell>
          <cell r="W134" t="str">
            <v>UT - FS</v>
          </cell>
          <cell r="X134" t="str">
            <v>Utilities - Fuel Supply (Coal / Gas / Diesel / Biomass)</v>
          </cell>
          <cell r="Y134" t="str">
            <v/>
          </cell>
        </row>
        <row r="135">
          <cell r="B135" t="str">
            <v>Global Armada Borneo, PT</v>
          </cell>
          <cell r="C135" t="str">
            <v/>
          </cell>
          <cell r="D135" t="str">
            <v/>
          </cell>
          <cell r="E135" t="str">
            <v/>
          </cell>
          <cell r="F135" t="str">
            <v>Jl. H. Hasan Basri  Komp. Ruko Kayutangi Blok C No.5C  Banjarmasin</v>
          </cell>
          <cell r="G135" t="str">
            <v>□</v>
          </cell>
          <cell r="H135" t="str">
            <v>□</v>
          </cell>
          <cell r="I135" t="str">
            <v>□</v>
          </cell>
          <cell r="J135" t="str">
            <v>□</v>
          </cell>
          <cell r="K135" t="str">
            <v>□</v>
          </cell>
          <cell r="L135" t="str">
            <v>□</v>
          </cell>
          <cell r="M135" t="str">
            <v>□</v>
          </cell>
          <cell r="N135" t="str">
            <v>□</v>
          </cell>
          <cell r="O135" t="str">
            <v>□</v>
          </cell>
          <cell r="P135" t="str">
            <v>□</v>
          </cell>
          <cell r="Q135" t="str">
            <v>□</v>
          </cell>
          <cell r="R135" t="str">
            <v>□</v>
          </cell>
          <cell r="S135" t="str">
            <v>□</v>
          </cell>
          <cell r="T135" t="str">
            <v>□</v>
          </cell>
          <cell r="U135" t="str">
            <v>NA</v>
          </cell>
          <cell r="V135" t="str">
            <v>Register</v>
          </cell>
          <cell r="W135" t="str">
            <v>LG - TR</v>
          </cell>
          <cell r="X135" t="str">
            <v>Logistics - Trucking</v>
          </cell>
          <cell r="Y135" t="str">
            <v/>
          </cell>
        </row>
        <row r="136">
          <cell r="B136" t="str">
            <v>Demitra Karsa Perdana, PT</v>
          </cell>
          <cell r="C136" t="str">
            <v>ardhiep@a5-indonesia.com</v>
          </cell>
          <cell r="D136" t="str">
            <v>Ardhie</v>
          </cell>
          <cell r="E136" t="str">
            <v>085647352700</v>
          </cell>
          <cell r="F136" t="str">
            <v>World Trade Center 14th floor. Jl. Jend. Sudirman Kav. 29 - 31 . Jakarta 12920 - Indonesia</v>
          </cell>
          <cell r="G136" t="str">
            <v>□</v>
          </cell>
          <cell r="H136" t="str">
            <v>□</v>
          </cell>
          <cell r="I136" t="str">
            <v>□</v>
          </cell>
          <cell r="J136" t="str">
            <v>□</v>
          </cell>
          <cell r="K136" t="str">
            <v>□</v>
          </cell>
          <cell r="L136" t="str">
            <v>□</v>
          </cell>
          <cell r="M136" t="str">
            <v>□</v>
          </cell>
          <cell r="N136" t="str">
            <v>□</v>
          </cell>
          <cell r="O136" t="str">
            <v>□</v>
          </cell>
          <cell r="P136" t="str">
            <v>□</v>
          </cell>
          <cell r="Q136" t="str">
            <v>□</v>
          </cell>
          <cell r="R136" t="str">
            <v>□</v>
          </cell>
          <cell r="S136" t="str">
            <v>□</v>
          </cell>
          <cell r="T136" t="str">
            <v>□</v>
          </cell>
          <cell r="U136" t="str">
            <v>NA</v>
          </cell>
          <cell r="V136" t="str">
            <v>Register</v>
          </cell>
          <cell r="W136" t="str">
            <v/>
          </cell>
          <cell r="X136" t="str">
            <v>Cleaning, security, pest - Security</v>
          </cell>
          <cell r="Y136" t="str">
            <v/>
          </cell>
        </row>
        <row r="137">
          <cell r="B137" t="str">
            <v>Sembilan Jaya Abadi, CV</v>
          </cell>
          <cell r="C137" t="str">
            <v/>
          </cell>
          <cell r="D137" t="str">
            <v/>
          </cell>
          <cell r="E137" t="str">
            <v/>
          </cell>
          <cell r="F137" t="str">
            <v>Jl. Pontianak I No. 41. Gresik, Jawa Timur.</v>
          </cell>
          <cell r="G137" t="str">
            <v>□</v>
          </cell>
          <cell r="H137" t="str">
            <v>□</v>
          </cell>
          <cell r="I137" t="str">
            <v>□</v>
          </cell>
          <cell r="J137" t="str">
            <v>□</v>
          </cell>
          <cell r="K137" t="str">
            <v>□</v>
          </cell>
          <cell r="L137" t="str">
            <v>□</v>
          </cell>
          <cell r="M137" t="str">
            <v>□</v>
          </cell>
          <cell r="N137" t="str">
            <v>□</v>
          </cell>
          <cell r="O137" t="str">
            <v>□</v>
          </cell>
          <cell r="P137" t="str">
            <v>□</v>
          </cell>
          <cell r="Q137" t="str">
            <v>□</v>
          </cell>
          <cell r="R137" t="str">
            <v>□</v>
          </cell>
          <cell r="S137" t="str">
            <v>□</v>
          </cell>
          <cell r="T137" t="str">
            <v>□</v>
          </cell>
          <cell r="U137" t="str">
            <v>NA</v>
          </cell>
          <cell r="V137" t="str">
            <v>No Register</v>
          </cell>
          <cell r="W137" t="str">
            <v>GT - ID</v>
          </cell>
          <cell r="X137" t="str">
            <v>General Trading - Industrial Goods</v>
          </cell>
          <cell r="Y137" t="str">
            <v>Limestone
Bed Material</v>
          </cell>
        </row>
        <row r="138">
          <cell r="B138" t="str">
            <v>Kurita Indonesia, PT</v>
          </cell>
          <cell r="C138" t="str">
            <v>r.padlani12@kurita-water.com</v>
          </cell>
          <cell r="D138" t="str">
            <v>Rizal Padlani</v>
          </cell>
          <cell r="E138" t="str">
            <v>081254968835</v>
          </cell>
          <cell r="F138" t="str">
            <v>Jl. Jababeka XII A . Kav V-6. Kawasan Industri Jababeka Cikarang. Bekasi . Jawa Barat</v>
          </cell>
          <cell r="G138" t="b">
            <v>0</v>
          </cell>
          <cell r="H138" t="b">
            <v>0</v>
          </cell>
          <cell r="I138" t="b">
            <v>0</v>
          </cell>
          <cell r="J138" t="b">
            <v>1</v>
          </cell>
          <cell r="K138" t="b">
            <v>0</v>
          </cell>
          <cell r="L138" t="b">
            <v>0</v>
          </cell>
          <cell r="M138" t="b">
            <v>0</v>
          </cell>
          <cell r="N138" t="b">
            <v>0</v>
          </cell>
          <cell r="O138" t="b">
            <v>0</v>
          </cell>
          <cell r="P138" t="b">
            <v>0</v>
          </cell>
          <cell r="Q138" t="b">
            <v>0</v>
          </cell>
          <cell r="R138" t="b">
            <v>0</v>
          </cell>
          <cell r="S138" t="b">
            <v>0</v>
          </cell>
          <cell r="T138" t="b">
            <v>0</v>
          </cell>
          <cell r="U138" t="str">
            <v>NA</v>
          </cell>
          <cell r="V138" t="str">
            <v>Register</v>
          </cell>
          <cell r="W138" t="str">
            <v/>
          </cell>
          <cell r="X138" t="str">
            <v>Service Jasa - Chemical</v>
          </cell>
          <cell r="Y138" t="str">
            <v>Chemical</v>
          </cell>
        </row>
        <row r="139">
          <cell r="B139" t="str">
            <v>Surya Biru Murni Acetylene, PT</v>
          </cell>
          <cell r="C139" t="str">
            <v>agus_tanjung@suryabiru.co.id</v>
          </cell>
          <cell r="D139" t="str">
            <v>Agus, SE</v>
          </cell>
          <cell r="E139" t="str">
            <v>085213847015; 085393290749</v>
          </cell>
          <cell r="F139" t="str">
            <v>Laburan RT 012. Padang Panjang . Tantah. Tanjung . Tabalong. KalSel</v>
          </cell>
          <cell r="G139" t="b">
            <v>0</v>
          </cell>
          <cell r="H139" t="b">
            <v>0</v>
          </cell>
          <cell r="I139" t="b">
            <v>0</v>
          </cell>
          <cell r="J139" t="b">
            <v>0</v>
          </cell>
          <cell r="K139" t="b">
            <v>0</v>
          </cell>
          <cell r="L139" t="b">
            <v>0</v>
          </cell>
          <cell r="M139" t="b">
            <v>1</v>
          </cell>
          <cell r="N139" t="b">
            <v>0</v>
          </cell>
          <cell r="O139" t="b">
            <v>0</v>
          </cell>
          <cell r="P139" t="b">
            <v>0</v>
          </cell>
          <cell r="Q139" t="b">
            <v>0</v>
          </cell>
          <cell r="R139" t="b">
            <v>0</v>
          </cell>
          <cell r="S139" t="b">
            <v>0</v>
          </cell>
          <cell r="T139" t="b">
            <v>0</v>
          </cell>
          <cell r="U139" t="str">
            <v>A</v>
          </cell>
          <cell r="V139" t="str">
            <v>Register</v>
          </cell>
          <cell r="W139" t="str">
            <v>GT - CHE</v>
          </cell>
          <cell r="X139" t="str">
            <v>General Trading - Chemical</v>
          </cell>
          <cell r="Y139" t="str">
            <v>Industrial Gas</v>
          </cell>
        </row>
        <row r="140">
          <cell r="B140" t="str">
            <v>Rante Mutiara Insani, PT</v>
          </cell>
          <cell r="C140" t="str">
            <v>guno_gumilang@yahoo.com</v>
          </cell>
          <cell r="D140" t="str">
            <v>Guno Gumilang</v>
          </cell>
          <cell r="E140" t="str">
            <v>081227164579</v>
          </cell>
          <cell r="F140" t="str">
            <v>Jl. Belimbing DIII  No. 13, Komplek Pertamina, Murung PudakTanjung - Tabalong   Indonesia</v>
          </cell>
          <cell r="G140" t="str">
            <v>□</v>
          </cell>
          <cell r="H140" t="str">
            <v>□</v>
          </cell>
          <cell r="I140" t="str">
            <v>□</v>
          </cell>
          <cell r="J140" t="str">
            <v>□</v>
          </cell>
          <cell r="K140" t="str">
            <v>□</v>
          </cell>
          <cell r="L140" t="str">
            <v>□</v>
          </cell>
          <cell r="M140" t="str">
            <v>□</v>
          </cell>
          <cell r="N140" t="str">
            <v>□</v>
          </cell>
          <cell r="O140" t="str">
            <v>□</v>
          </cell>
          <cell r="P140" t="str">
            <v>□</v>
          </cell>
          <cell r="Q140" t="str">
            <v>□</v>
          </cell>
          <cell r="R140" t="str">
            <v>□</v>
          </cell>
          <cell r="S140" t="str">
            <v>□</v>
          </cell>
          <cell r="T140" t="str">
            <v>□</v>
          </cell>
          <cell r="U140" t="str">
            <v>NA</v>
          </cell>
          <cell r="V140" t="str">
            <v>No Register</v>
          </cell>
          <cell r="W140" t="str">
            <v/>
          </cell>
          <cell r="Y140" t="str">
            <v/>
          </cell>
        </row>
        <row r="141">
          <cell r="B141" t="str">
            <v>Siam Karya Husna, PT</v>
          </cell>
          <cell r="C141" t="str">
            <v/>
          </cell>
          <cell r="D141" t="str">
            <v/>
          </cell>
          <cell r="E141" t="str">
            <v/>
          </cell>
          <cell r="F141" t="str">
            <v>Jl. Garuda RT 12 No. 46. Bangunsari . Tanjung Tabalong. 71571</v>
          </cell>
          <cell r="G141" t="str">
            <v>□</v>
          </cell>
          <cell r="H141" t="str">
            <v>□</v>
          </cell>
          <cell r="I141" t="str">
            <v>□</v>
          </cell>
          <cell r="J141" t="str">
            <v>□</v>
          </cell>
          <cell r="K141" t="str">
            <v>□</v>
          </cell>
          <cell r="L141" t="str">
            <v>□</v>
          </cell>
          <cell r="M141" t="str">
            <v>□</v>
          </cell>
          <cell r="N141" t="str">
            <v>□</v>
          </cell>
          <cell r="O141" t="str">
            <v>□</v>
          </cell>
          <cell r="P141" t="str">
            <v>□</v>
          </cell>
          <cell r="Q141" t="str">
            <v>□</v>
          </cell>
          <cell r="R141" t="str">
            <v>□</v>
          </cell>
          <cell r="S141" t="str">
            <v>□</v>
          </cell>
          <cell r="T141" t="str">
            <v>□</v>
          </cell>
          <cell r="U141" t="str">
            <v>NA</v>
          </cell>
          <cell r="V141" t="str">
            <v>No Register</v>
          </cell>
          <cell r="W141" t="str">
            <v/>
          </cell>
          <cell r="Y141" t="str">
            <v/>
          </cell>
        </row>
        <row r="142">
          <cell r="B142" t="str">
            <v>Bina Pertiwi, PT</v>
          </cell>
          <cell r="C142" t="str">
            <v>dimas.aditya@binapertiwi.co.id</v>
          </cell>
          <cell r="D142" t="str">
            <v/>
          </cell>
          <cell r="E142" t="str">
            <v/>
          </cell>
          <cell r="F142" t="str">
            <v>Jl. Raya Bekasi Km.22 . Cakung. Jakarta Timur.</v>
          </cell>
          <cell r="G142" t="str">
            <v>□</v>
          </cell>
          <cell r="H142" t="str">
            <v>□</v>
          </cell>
          <cell r="I142" t="str">
            <v>□</v>
          </cell>
          <cell r="J142" t="str">
            <v>□</v>
          </cell>
          <cell r="K142" t="str">
            <v>□</v>
          </cell>
          <cell r="L142" t="str">
            <v>□</v>
          </cell>
          <cell r="M142" t="str">
            <v>□</v>
          </cell>
          <cell r="N142" t="str">
            <v>□</v>
          </cell>
          <cell r="O142" t="str">
            <v>□</v>
          </cell>
          <cell r="P142" t="str">
            <v>□</v>
          </cell>
          <cell r="Q142" t="str">
            <v>□</v>
          </cell>
          <cell r="R142" t="str">
            <v>□</v>
          </cell>
          <cell r="S142" t="str">
            <v>□</v>
          </cell>
          <cell r="T142" t="str">
            <v>□</v>
          </cell>
          <cell r="U142" t="str">
            <v>NA</v>
          </cell>
          <cell r="V142" t="str">
            <v>Register</v>
          </cell>
          <cell r="W142" t="str">
            <v/>
          </cell>
          <cell r="X142" t="str">
            <v>Service Jasa - Mechanical</v>
          </cell>
          <cell r="Y142" t="str">
            <v>Genset Komatsu</v>
          </cell>
        </row>
        <row r="143">
          <cell r="B143" t="str">
            <v>Bangun Tata Banua, PT</v>
          </cell>
          <cell r="C143" t="str">
            <v/>
          </cell>
          <cell r="D143" t="str">
            <v/>
          </cell>
          <cell r="E143" t="str">
            <v/>
          </cell>
          <cell r="F143" t="str">
            <v>Jl. Pandan Arum RTXV Belimbing Raya . Murung Pudak. Tanjung Tabalong</v>
          </cell>
          <cell r="G143" t="str">
            <v>□</v>
          </cell>
          <cell r="H143" t="str">
            <v>□</v>
          </cell>
          <cell r="I143" t="str">
            <v>□</v>
          </cell>
          <cell r="J143" t="str">
            <v>□</v>
          </cell>
          <cell r="K143" t="str">
            <v>□</v>
          </cell>
          <cell r="L143" t="str">
            <v>□</v>
          </cell>
          <cell r="M143" t="str">
            <v>□</v>
          </cell>
          <cell r="N143" t="str">
            <v>□</v>
          </cell>
          <cell r="O143" t="str">
            <v>□</v>
          </cell>
          <cell r="P143" t="str">
            <v>□</v>
          </cell>
          <cell r="Q143" t="str">
            <v>□</v>
          </cell>
          <cell r="R143" t="str">
            <v>□</v>
          </cell>
          <cell r="S143" t="str">
            <v>□</v>
          </cell>
          <cell r="T143" t="str">
            <v>□</v>
          </cell>
          <cell r="U143" t="str">
            <v>NA</v>
          </cell>
          <cell r="V143" t="str">
            <v>No Register</v>
          </cell>
          <cell r="W143" t="str">
            <v/>
          </cell>
          <cell r="Y143" t="str">
            <v/>
          </cell>
        </row>
        <row r="144">
          <cell r="B144" t="str">
            <v>Bening Water Technologies, PT</v>
          </cell>
          <cell r="C144" t="str">
            <v/>
          </cell>
          <cell r="D144" t="str">
            <v/>
          </cell>
          <cell r="E144" t="str">
            <v/>
          </cell>
          <cell r="F144" t="str">
            <v>Komp. Ruko Jl. Manunggal No. 88A. RT 96. Gunung Bahagia. Balikpapan-76114</v>
          </cell>
          <cell r="G144" t="str">
            <v>□</v>
          </cell>
          <cell r="H144" t="str">
            <v>□</v>
          </cell>
          <cell r="I144" t="str">
            <v>□</v>
          </cell>
          <cell r="J144" t="str">
            <v>□</v>
          </cell>
          <cell r="K144" t="str">
            <v>□</v>
          </cell>
          <cell r="L144" t="str">
            <v>□</v>
          </cell>
          <cell r="M144" t="str">
            <v>□</v>
          </cell>
          <cell r="N144" t="str">
            <v>□</v>
          </cell>
          <cell r="O144" t="str">
            <v>□</v>
          </cell>
          <cell r="P144" t="str">
            <v>□</v>
          </cell>
          <cell r="Q144" t="str">
            <v>□</v>
          </cell>
          <cell r="R144" t="str">
            <v>□</v>
          </cell>
          <cell r="S144" t="str">
            <v>□</v>
          </cell>
          <cell r="T144" t="str">
            <v>□</v>
          </cell>
          <cell r="U144" t="str">
            <v>NA</v>
          </cell>
          <cell r="V144" t="str">
            <v>No Register</v>
          </cell>
          <cell r="W144" t="str">
            <v/>
          </cell>
          <cell r="Y144" t="str">
            <v/>
          </cell>
        </row>
        <row r="145">
          <cell r="B145" t="str">
            <v>AlamTri Power Indonesia, PT</v>
          </cell>
          <cell r="C145" t="str">
            <v>totok.hardjanto@adaro.com</v>
          </cell>
          <cell r="D145" t="str">
            <v>Totok</v>
          </cell>
          <cell r="F145" t="str">
            <v>Menara Karya Lt 27.  Jl. HR Rasuna Said X-5. Kav 1-2.</v>
          </cell>
          <cell r="G145" t="b">
            <v>0</v>
          </cell>
          <cell r="H145" t="b">
            <v>0</v>
          </cell>
          <cell r="I145" t="b">
            <v>0</v>
          </cell>
          <cell r="J145" t="b">
            <v>0</v>
          </cell>
          <cell r="K145" t="b">
            <v>0</v>
          </cell>
          <cell r="L145" t="b">
            <v>0</v>
          </cell>
          <cell r="M145" t="b">
            <v>0</v>
          </cell>
          <cell r="N145" t="b">
            <v>0</v>
          </cell>
          <cell r="O145" t="b">
            <v>0</v>
          </cell>
          <cell r="P145" t="b">
            <v>0</v>
          </cell>
          <cell r="Q145" t="b">
            <v>0</v>
          </cell>
          <cell r="R145" t="b">
            <v>0</v>
          </cell>
          <cell r="S145" t="b">
            <v>1</v>
          </cell>
          <cell r="T145" t="b">
            <v>0</v>
          </cell>
          <cell r="U145" t="str">
            <v>NA</v>
          </cell>
          <cell r="V145" t="str">
            <v>Register</v>
          </cell>
          <cell r="W145" t="str">
            <v>SC</v>
          </cell>
          <cell r="X145" t="str">
            <v>Sister Company - Sewa gedung, Service, Consultant</v>
          </cell>
          <cell r="Y145" t="str">
            <v/>
          </cell>
        </row>
        <row r="146">
          <cell r="B146" t="str">
            <v>Surveyor Indonesia, PT</v>
          </cell>
          <cell r="C146" t="str">
            <v>titimaharani1203@gmail.com;
marketing.sibanjarbaru@gmail.com; al.hakim18@gmail.com</v>
          </cell>
          <cell r="D146" t="str">
            <v>Lukman; Galang</v>
          </cell>
          <cell r="E146" t="str">
            <v>081355805332; 082214474290</v>
          </cell>
          <cell r="F146" t="str">
            <v>JL. P.M. Noor No.50A RT04RW01, Kel. Sei. Ulin, Banjarbaru</v>
          </cell>
          <cell r="G146" t="b">
            <v>0</v>
          </cell>
          <cell r="H146" t="b">
            <v>0</v>
          </cell>
          <cell r="I146" t="b">
            <v>0</v>
          </cell>
          <cell r="J146" t="b">
            <v>0</v>
          </cell>
          <cell r="K146" t="b">
            <v>1</v>
          </cell>
          <cell r="L146" t="b">
            <v>0</v>
          </cell>
          <cell r="M146" t="b">
            <v>0</v>
          </cell>
          <cell r="N146" t="b">
            <v>0</v>
          </cell>
          <cell r="O146" t="b">
            <v>1</v>
          </cell>
          <cell r="P146" t="b">
            <v>0</v>
          </cell>
          <cell r="Q146" t="b">
            <v>0</v>
          </cell>
          <cell r="R146" t="b">
            <v>0</v>
          </cell>
          <cell r="S146" t="b">
            <v>0</v>
          </cell>
          <cell r="T146" t="b">
            <v>0</v>
          </cell>
          <cell r="U146" t="str">
            <v>A</v>
          </cell>
          <cell r="V146" t="str">
            <v>Register</v>
          </cell>
          <cell r="W146" t="str">
            <v>PR - CS
PR - TR</v>
          </cell>
          <cell r="X146" t="str">
            <v>Professional Services - Consulting
Professional Services - Training</v>
          </cell>
          <cell r="Y146" t="str">
            <v>Testing, Inspection, Certification, consulting, survey, audit, lab, sertifikasi.</v>
          </cell>
        </row>
        <row r="147">
          <cell r="B147" t="str">
            <v>Eksakta Sinergi Indonesia, PT</v>
          </cell>
          <cell r="C147" t="str">
            <v/>
          </cell>
          <cell r="D147" t="str">
            <v/>
          </cell>
          <cell r="E147" t="str">
            <v/>
          </cell>
          <cell r="F147" t="str">
            <v>Jl. Raya Bekasi Km.19 No.30E Pulogadung, Jakarta TimurIndonesia</v>
          </cell>
          <cell r="G147" t="str">
            <v>□</v>
          </cell>
          <cell r="H147" t="str">
            <v>□</v>
          </cell>
          <cell r="I147" t="str">
            <v>□</v>
          </cell>
          <cell r="J147" t="str">
            <v>□</v>
          </cell>
          <cell r="K147" t="str">
            <v>□</v>
          </cell>
          <cell r="L147" t="str">
            <v>□</v>
          </cell>
          <cell r="M147" t="str">
            <v>□</v>
          </cell>
          <cell r="N147" t="str">
            <v>□</v>
          </cell>
          <cell r="O147" t="str">
            <v>□</v>
          </cell>
          <cell r="P147" t="str">
            <v>□</v>
          </cell>
          <cell r="Q147" t="str">
            <v>□</v>
          </cell>
          <cell r="R147" t="str">
            <v>□</v>
          </cell>
          <cell r="S147" t="str">
            <v>□</v>
          </cell>
          <cell r="T147" t="str">
            <v>□</v>
          </cell>
          <cell r="U147" t="str">
            <v>NA</v>
          </cell>
          <cell r="V147" t="str">
            <v>No Register</v>
          </cell>
          <cell r="W147" t="str">
            <v/>
          </cell>
          <cell r="Y147" t="str">
            <v/>
          </cell>
        </row>
        <row r="148">
          <cell r="B148" t="str">
            <v>ISS Indonesia, PT</v>
          </cell>
          <cell r="C148" t="str">
            <v>iksan.wiyadi@id.issworld.com</v>
          </cell>
          <cell r="D148" t="str">
            <v>Iksan; Rama</v>
          </cell>
          <cell r="E148" t="str">
            <v>08128121524; 081314514885</v>
          </cell>
          <cell r="F148" t="str">
            <v>Graha Simatupang, Menara II Lt. 4, Jl. Letjen TB Simatupang Kav. 38, Jakarta Selatan Jakarta 12730 Indonesia</v>
          </cell>
          <cell r="G148" t="b">
            <v>0</v>
          </cell>
          <cell r="H148" t="b">
            <v>0</v>
          </cell>
          <cell r="I148" t="b">
            <v>0</v>
          </cell>
          <cell r="J148" t="b">
            <v>0</v>
          </cell>
          <cell r="K148" t="b">
            <v>0</v>
          </cell>
          <cell r="L148" t="b">
            <v>0</v>
          </cell>
          <cell r="M148" t="b">
            <v>0</v>
          </cell>
          <cell r="N148" t="b">
            <v>1</v>
          </cell>
          <cell r="O148" t="b">
            <v>0</v>
          </cell>
          <cell r="P148" t="b">
            <v>0</v>
          </cell>
          <cell r="Q148" t="b">
            <v>0</v>
          </cell>
          <cell r="R148" t="b">
            <v>0</v>
          </cell>
          <cell r="S148" t="b">
            <v>0</v>
          </cell>
          <cell r="T148" t="b">
            <v>0</v>
          </cell>
          <cell r="U148" t="str">
            <v>NA</v>
          </cell>
          <cell r="V148" t="str">
            <v>Register</v>
          </cell>
          <cell r="W148" t="str">
            <v/>
          </cell>
          <cell r="X148" t="str">
            <v>Service Jasa - Outsourcing / Manpower</v>
          </cell>
          <cell r="Y148" t="str">
            <v>MP Supply</v>
          </cell>
        </row>
        <row r="149">
          <cell r="B149" t="str">
            <v>Trakindo Utama, PT</v>
          </cell>
          <cell r="C149" t="str">
            <v>hjuniater.sidauruk@trakindo.co.id</v>
          </cell>
          <cell r="D149" t="str">
            <v>Henry Juniater</v>
          </cell>
          <cell r="E149" t="str">
            <v>08125128079</v>
          </cell>
          <cell r="F149" t="str">
            <v>Gedung TMT 1 Lantai 11, Jl. Cilandak KKO Raya No. 1 Jakarta Selatan-Indonesia</v>
          </cell>
          <cell r="G149" t="b">
            <v>1</v>
          </cell>
          <cell r="H149" t="b">
            <v>0</v>
          </cell>
          <cell r="I149" t="b">
            <v>0</v>
          </cell>
          <cell r="J149" t="b">
            <v>0</v>
          </cell>
          <cell r="K149" t="b">
            <v>0</v>
          </cell>
          <cell r="L149" t="b">
            <v>0</v>
          </cell>
          <cell r="M149" t="b">
            <v>0</v>
          </cell>
          <cell r="N149" t="b">
            <v>0</v>
          </cell>
          <cell r="O149" t="b">
            <v>0</v>
          </cell>
          <cell r="P149" t="b">
            <v>0</v>
          </cell>
          <cell r="Q149" t="b">
            <v>0</v>
          </cell>
          <cell r="R149" t="b">
            <v>0</v>
          </cell>
          <cell r="S149" t="b">
            <v>0</v>
          </cell>
          <cell r="T149" t="b">
            <v>1</v>
          </cell>
          <cell r="U149" t="str">
            <v>A</v>
          </cell>
          <cell r="V149" t="str">
            <v>Register</v>
          </cell>
          <cell r="W149" t="str">
            <v>GT - ME</v>
          </cell>
          <cell r="X149" t="str">
            <v>General Trading - Mechanical</v>
          </cell>
          <cell r="Y149" t="str">
            <v>Genset, Heavy Equipment Caterpillar</v>
          </cell>
        </row>
        <row r="150">
          <cell r="B150" t="str">
            <v>Tiki Jalur Nugrana Ekakurir, PT</v>
          </cell>
          <cell r="C150" t="str">
            <v/>
          </cell>
          <cell r="D150" t="str">
            <v/>
          </cell>
          <cell r="E150" t="str">
            <v/>
          </cell>
          <cell r="F150" t="str">
            <v>Jl. Tomang Raya No. 11. Jakarta Barat - 11440</v>
          </cell>
          <cell r="G150" t="str">
            <v>□</v>
          </cell>
          <cell r="H150" t="str">
            <v>□</v>
          </cell>
          <cell r="I150" t="str">
            <v>□</v>
          </cell>
          <cell r="J150" t="str">
            <v>□</v>
          </cell>
          <cell r="K150" t="str">
            <v>□</v>
          </cell>
          <cell r="L150" t="str">
            <v>□</v>
          </cell>
          <cell r="M150" t="str">
            <v>□</v>
          </cell>
          <cell r="N150" t="str">
            <v>□</v>
          </cell>
          <cell r="O150" t="str">
            <v>□</v>
          </cell>
          <cell r="P150" t="str">
            <v>□</v>
          </cell>
          <cell r="Q150" t="str">
            <v>□</v>
          </cell>
          <cell r="R150" t="str">
            <v>□</v>
          </cell>
          <cell r="S150" t="str">
            <v>□</v>
          </cell>
          <cell r="T150" t="str">
            <v>□</v>
          </cell>
          <cell r="U150" t="str">
            <v>NA</v>
          </cell>
          <cell r="V150" t="str">
            <v>No Register</v>
          </cell>
          <cell r="W150" t="str">
            <v/>
          </cell>
          <cell r="Y150" t="str">
            <v/>
          </cell>
        </row>
        <row r="151">
          <cell r="B151" t="str">
            <v>Jagabuana Utama, PT</v>
          </cell>
          <cell r="C151" t="str">
            <v/>
          </cell>
          <cell r="D151" t="str">
            <v/>
          </cell>
          <cell r="E151" t="str">
            <v/>
          </cell>
          <cell r="F151" t="str">
            <v>Ruko Pondok Cabe Mutiara, Blok C-18, Gaplek, Tangsel. 16516</v>
          </cell>
          <cell r="G151" t="str">
            <v>□</v>
          </cell>
          <cell r="H151" t="str">
            <v>□</v>
          </cell>
          <cell r="I151" t="str">
            <v>□</v>
          </cell>
          <cell r="J151" t="str">
            <v>□</v>
          </cell>
          <cell r="K151" t="str">
            <v>□</v>
          </cell>
          <cell r="L151" t="str">
            <v>□</v>
          </cell>
          <cell r="M151" t="str">
            <v>□</v>
          </cell>
          <cell r="N151" t="str">
            <v>□</v>
          </cell>
          <cell r="O151" t="str">
            <v>□</v>
          </cell>
          <cell r="P151" t="str">
            <v>□</v>
          </cell>
          <cell r="Q151" t="str">
            <v>□</v>
          </cell>
          <cell r="R151" t="str">
            <v>□</v>
          </cell>
          <cell r="S151" t="str">
            <v>□</v>
          </cell>
          <cell r="T151" t="str">
            <v>□</v>
          </cell>
          <cell r="U151" t="str">
            <v>NA</v>
          </cell>
          <cell r="V151" t="str">
            <v>No Register</v>
          </cell>
          <cell r="W151" t="str">
            <v/>
          </cell>
          <cell r="Y151" t="str">
            <v/>
          </cell>
        </row>
        <row r="152">
          <cell r="B152" t="str">
            <v>Bharat Heavy Electrical Limited</v>
          </cell>
          <cell r="C152" t="str">
            <v/>
          </cell>
          <cell r="D152" t="str">
            <v/>
          </cell>
          <cell r="E152" t="str">
            <v/>
          </cell>
          <cell r="F152" t="str">
            <v>Int'l Operations Div., Integrated Office Complex, Lohdi RoadIndia</v>
          </cell>
          <cell r="G152" t="str">
            <v>□</v>
          </cell>
          <cell r="H152" t="str">
            <v>□</v>
          </cell>
          <cell r="I152" t="str">
            <v>□</v>
          </cell>
          <cell r="J152" t="str">
            <v>□</v>
          </cell>
          <cell r="K152" t="str">
            <v>□</v>
          </cell>
          <cell r="L152" t="str">
            <v>□</v>
          </cell>
          <cell r="M152" t="str">
            <v>□</v>
          </cell>
          <cell r="N152" t="str">
            <v>□</v>
          </cell>
          <cell r="O152" t="str">
            <v>□</v>
          </cell>
          <cell r="P152" t="str">
            <v>□</v>
          </cell>
          <cell r="Q152" t="str">
            <v>□</v>
          </cell>
          <cell r="R152" t="str">
            <v>□</v>
          </cell>
          <cell r="S152" t="str">
            <v>□</v>
          </cell>
          <cell r="T152" t="str">
            <v>□</v>
          </cell>
          <cell r="U152" t="str">
            <v>NA</v>
          </cell>
          <cell r="V152" t="str">
            <v>No Register</v>
          </cell>
          <cell r="W152" t="str">
            <v/>
          </cell>
          <cell r="Y152" t="str">
            <v/>
          </cell>
        </row>
        <row r="153">
          <cell r="B153" t="str">
            <v>United Tractors, PT Tbk</v>
          </cell>
          <cell r="C153" t="str">
            <v xml:space="preserve"> copprg@unitedtractors.com; MAkbar@unitedtractors.com; yustacharul.habibi@unitedtractors.com; tsantoso@unitedtractors.com; hermansu@unitedtractors.com; asrilgj@unitedtractors.com</v>
          </cell>
          <cell r="D153" t="str">
            <v>Akbar</v>
          </cell>
          <cell r="E153" t="str">
            <v>08115032023</v>
          </cell>
          <cell r="F153" t="str">
            <v>Jl. Raya Bekasi Km. 22, Jakarta 13910</v>
          </cell>
          <cell r="G153" t="b">
            <v>0</v>
          </cell>
          <cell r="H153" t="b">
            <v>0</v>
          </cell>
          <cell r="I153" t="b">
            <v>0</v>
          </cell>
          <cell r="J153" t="b">
            <v>0</v>
          </cell>
          <cell r="K153" t="b">
            <v>0</v>
          </cell>
          <cell r="L153" t="b">
            <v>0</v>
          </cell>
          <cell r="M153" t="b">
            <v>0</v>
          </cell>
          <cell r="N153" t="b">
            <v>0</v>
          </cell>
          <cell r="O153" t="b">
            <v>0</v>
          </cell>
          <cell r="P153" t="b">
            <v>0</v>
          </cell>
          <cell r="Q153" t="b">
            <v>0</v>
          </cell>
          <cell r="R153" t="b">
            <v>0</v>
          </cell>
          <cell r="S153" t="b">
            <v>0</v>
          </cell>
          <cell r="T153" t="b">
            <v>1</v>
          </cell>
          <cell r="U153" t="str">
            <v>NA</v>
          </cell>
          <cell r="V153" t="str">
            <v>Register</v>
          </cell>
          <cell r="W153" t="str">
            <v>GT - ME</v>
          </cell>
          <cell r="X153" t="str">
            <v>General Trading - Mechanical</v>
          </cell>
          <cell r="Y153" t="str">
            <v>Alat berat, Crane Komatsu</v>
          </cell>
        </row>
        <row r="154">
          <cell r="B154" t="str">
            <v>Tatitu Indonesia, PT</v>
          </cell>
          <cell r="C154" t="str">
            <v/>
          </cell>
          <cell r="D154" t="str">
            <v/>
          </cell>
          <cell r="E154" t="str">
            <v/>
          </cell>
          <cell r="F154" t="str">
            <v>Jl. Raya Kebayoran Lama No. 73, Sukabumi Utara, Kebon Jeruk, Jakarta Barat</v>
          </cell>
          <cell r="G154" t="str">
            <v>□</v>
          </cell>
          <cell r="H154" t="str">
            <v>□</v>
          </cell>
          <cell r="I154" t="str">
            <v>□</v>
          </cell>
          <cell r="J154" t="str">
            <v>□</v>
          </cell>
          <cell r="K154" t="str">
            <v>□</v>
          </cell>
          <cell r="L154" t="str">
            <v>□</v>
          </cell>
          <cell r="M154" t="str">
            <v>□</v>
          </cell>
          <cell r="N154" t="str">
            <v>□</v>
          </cell>
          <cell r="O154" t="str">
            <v>□</v>
          </cell>
          <cell r="P154" t="str">
            <v>□</v>
          </cell>
          <cell r="Q154" t="str">
            <v>□</v>
          </cell>
          <cell r="R154" t="str">
            <v>□</v>
          </cell>
          <cell r="S154" t="str">
            <v>□</v>
          </cell>
          <cell r="T154" t="str">
            <v>□</v>
          </cell>
          <cell r="U154" t="str">
            <v>NA</v>
          </cell>
          <cell r="V154" t="str">
            <v>No Register</v>
          </cell>
          <cell r="W154" t="str">
            <v/>
          </cell>
          <cell r="Y154" t="str">
            <v/>
          </cell>
        </row>
        <row r="155">
          <cell r="B155" t="str">
            <v>Atamora Tehnik Makmur, PT</v>
          </cell>
          <cell r="C155" t="str">
            <v/>
          </cell>
          <cell r="D155" t="str">
            <v/>
          </cell>
          <cell r="E155" t="str">
            <v/>
          </cell>
          <cell r="G155" t="str">
            <v>□</v>
          </cell>
          <cell r="H155" t="str">
            <v>□</v>
          </cell>
          <cell r="I155" t="str">
            <v>□</v>
          </cell>
          <cell r="J155" t="str">
            <v>□</v>
          </cell>
          <cell r="K155" t="str">
            <v>□</v>
          </cell>
          <cell r="L155" t="str">
            <v>□</v>
          </cell>
          <cell r="M155" t="str">
            <v>□</v>
          </cell>
          <cell r="N155" t="str">
            <v>□</v>
          </cell>
          <cell r="O155" t="str">
            <v>□</v>
          </cell>
          <cell r="P155" t="str">
            <v>□</v>
          </cell>
          <cell r="Q155" t="str">
            <v>□</v>
          </cell>
          <cell r="R155" t="str">
            <v>□</v>
          </cell>
          <cell r="S155" t="str">
            <v>□</v>
          </cell>
          <cell r="T155" t="str">
            <v>□</v>
          </cell>
          <cell r="U155" t="str">
            <v>NA</v>
          </cell>
          <cell r="V155" t="str">
            <v>No Register</v>
          </cell>
          <cell r="W155" t="str">
            <v/>
          </cell>
          <cell r="Y155" t="str">
            <v/>
          </cell>
        </row>
        <row r="156">
          <cell r="B156" t="str">
            <v>Bumi Bangun Perkasa, PT</v>
          </cell>
          <cell r="C156" t="str">
            <v>wahyu@bumibangun.com; guntur@bumibangun.com; guntur@bumibangun.com</v>
          </cell>
          <cell r="D156" t="str">
            <v>Wahyu D. Kurniawan</v>
          </cell>
          <cell r="E156" t="str">
            <v>08119900076</v>
          </cell>
          <cell r="F156" t="str">
            <v>Golden Road C 28 No.10 ITC BSD City Tangerang Selatan Indonesia 15310</v>
          </cell>
          <cell r="G156" t="b">
            <v>0</v>
          </cell>
          <cell r="H156" t="b">
            <v>0</v>
          </cell>
          <cell r="I156" t="b">
            <v>0</v>
          </cell>
          <cell r="J156" t="b">
            <v>0</v>
          </cell>
          <cell r="K156" t="b">
            <v>0</v>
          </cell>
          <cell r="L156" t="b">
            <v>0</v>
          </cell>
          <cell r="M156" t="b">
            <v>0</v>
          </cell>
          <cell r="N156" t="b">
            <v>0</v>
          </cell>
          <cell r="O156" t="b">
            <v>0</v>
          </cell>
          <cell r="P156" t="b">
            <v>0</v>
          </cell>
          <cell r="Q156" t="b">
            <v>0</v>
          </cell>
          <cell r="R156" t="b">
            <v>0</v>
          </cell>
          <cell r="S156" t="b">
            <v>1</v>
          </cell>
          <cell r="T156" t="b">
            <v>0</v>
          </cell>
          <cell r="U156" t="str">
            <v>NA</v>
          </cell>
          <cell r="V156" t="str">
            <v>Register</v>
          </cell>
          <cell r="W156" t="str">
            <v>GT - ID</v>
          </cell>
          <cell r="X156" t="str">
            <v>General Trading - Industrial Goods</v>
          </cell>
          <cell r="Y156" t="str">
            <v>Tools &amp; Equipment</v>
          </cell>
        </row>
        <row r="157">
          <cell r="B157" t="str">
            <v>Century, CV</v>
          </cell>
          <cell r="C157" t="str">
            <v xml:space="preserve"> century_sls1@yahoo.co.id; sallybpp@yahoo.com; centurybpp@yahoo.co.id; bennybpn@yahoo.com; sales1@centurybpp.com</v>
          </cell>
          <cell r="D157" t="str">
            <v>Anna</v>
          </cell>
          <cell r="E157" t="str">
            <v>081351804800</v>
          </cell>
          <cell r="F157" t="str">
            <v>Centra Eropa II Blok AB No 8 Balikpapan Baru</v>
          </cell>
          <cell r="G157" t="b">
            <v>0</v>
          </cell>
          <cell r="H157" t="b">
            <v>0</v>
          </cell>
          <cell r="I157" t="b">
            <v>0</v>
          </cell>
          <cell r="J157" t="b">
            <v>0</v>
          </cell>
          <cell r="K157" t="b">
            <v>0</v>
          </cell>
          <cell r="L157" t="b">
            <v>1</v>
          </cell>
          <cell r="M157" t="b">
            <v>0</v>
          </cell>
          <cell r="N157" t="b">
            <v>0</v>
          </cell>
          <cell r="O157" t="b">
            <v>0</v>
          </cell>
          <cell r="P157" t="b">
            <v>0</v>
          </cell>
          <cell r="Q157" t="b">
            <v>0</v>
          </cell>
          <cell r="R157" t="b">
            <v>0</v>
          </cell>
          <cell r="S157" t="b">
            <v>1</v>
          </cell>
          <cell r="T157" t="b">
            <v>0</v>
          </cell>
          <cell r="U157" t="str">
            <v>A</v>
          </cell>
          <cell r="V157" t="str">
            <v>Register</v>
          </cell>
          <cell r="W157" t="str">
            <v>IT - NT</v>
          </cell>
          <cell r="X157" t="str">
            <v>IT &amp; System - Network &amp; Infrastructure</v>
          </cell>
          <cell r="Y157" t="str">
            <v>Radio (Komunikasi)</v>
          </cell>
        </row>
        <row r="158">
          <cell r="B158" t="str">
            <v>ABB Sakti Industri, PT</v>
          </cell>
          <cell r="C158" t="str">
            <v>contact.center@id.abb.com; norman.djajadi@id.abb.com; ahmad-andria.shidqi@id.abb.com</v>
          </cell>
          <cell r="D158" t="str">
            <v>Norman</v>
          </cell>
          <cell r="E158" t="str">
            <v>081514334894</v>
          </cell>
          <cell r="F158" t="str">
            <v>Gedung World Trade Center, Lantai 15, Jl. Jend. Sudirman Kav. 29-31, Jakarta 12920</v>
          </cell>
          <cell r="G158" t="str">
            <v>□</v>
          </cell>
          <cell r="H158" t="str">
            <v>□</v>
          </cell>
          <cell r="I158" t="str">
            <v>□</v>
          </cell>
          <cell r="J158" t="str">
            <v>□</v>
          </cell>
          <cell r="K158" t="str">
            <v>□</v>
          </cell>
          <cell r="L158" t="str">
            <v>□</v>
          </cell>
          <cell r="M158" t="str">
            <v>□</v>
          </cell>
          <cell r="N158" t="str">
            <v>□</v>
          </cell>
          <cell r="O158" t="str">
            <v>□</v>
          </cell>
          <cell r="P158" t="str">
            <v>□</v>
          </cell>
          <cell r="Q158" t="str">
            <v>□</v>
          </cell>
          <cell r="R158" t="str">
            <v>□</v>
          </cell>
          <cell r="S158" t="str">
            <v>□</v>
          </cell>
          <cell r="T158" t="str">
            <v>□</v>
          </cell>
          <cell r="U158" t="str">
            <v>A</v>
          </cell>
          <cell r="V158" t="str">
            <v>Register</v>
          </cell>
          <cell r="W158" t="str">
            <v>GT - IC</v>
          </cell>
          <cell r="X158" t="str">
            <v>General Trading - Instrument</v>
          </cell>
          <cell r="Y158" t="str">
            <v>AD ABB</v>
          </cell>
        </row>
        <row r="159">
          <cell r="B159" t="str">
            <v>Atlas Copco Indonesia, PT</v>
          </cell>
          <cell r="C159" t="str">
            <v>jodi.juliandy@atlascopco.com</v>
          </cell>
          <cell r="D159" t="str">
            <v>Jodi</v>
          </cell>
          <cell r="E159" t="str">
            <v>081197116933</v>
          </cell>
          <cell r="F159" t="str">
            <v>Cilandak Comercial Estate 203, JL Cilandak KKO Jakarta  12075</v>
          </cell>
          <cell r="G159" t="b">
            <v>1</v>
          </cell>
          <cell r="H159" t="b">
            <v>0</v>
          </cell>
          <cell r="I159" t="b">
            <v>0</v>
          </cell>
          <cell r="J159" t="b">
            <v>0</v>
          </cell>
          <cell r="K159" t="b">
            <v>0</v>
          </cell>
          <cell r="L159" t="b">
            <v>0</v>
          </cell>
          <cell r="M159" t="b">
            <v>0</v>
          </cell>
          <cell r="N159" t="b">
            <v>0</v>
          </cell>
          <cell r="O159" t="b">
            <v>0</v>
          </cell>
          <cell r="P159" t="b">
            <v>0</v>
          </cell>
          <cell r="Q159" t="b">
            <v>0</v>
          </cell>
          <cell r="R159" t="b">
            <v>0</v>
          </cell>
          <cell r="S159" t="b">
            <v>0</v>
          </cell>
          <cell r="T159" t="b">
            <v>1</v>
          </cell>
          <cell r="U159" t="str">
            <v>A</v>
          </cell>
          <cell r="V159" t="str">
            <v>Register</v>
          </cell>
          <cell r="W159" t="str">
            <v>GT - ME</v>
          </cell>
          <cell r="X159" t="str">
            <v>General Trading - Mechanical</v>
          </cell>
          <cell r="Y159" t="str">
            <v>AD AtlasCopco</v>
          </cell>
        </row>
        <row r="160">
          <cell r="B160" t="str">
            <v>Banjar Bearing Sentosa, PT</v>
          </cell>
          <cell r="C160" t="str">
            <v>bbsbjm@banjarbearing.com; eddy@bbs.banjarbearing.com; surya@bbs.banjarbearing.com</v>
          </cell>
          <cell r="D160" t="str">
            <v>Swesty; Surya</v>
          </cell>
          <cell r="E160" t="str">
            <v>089677671614; 081216788844</v>
          </cell>
          <cell r="F160" t="str">
            <v>Jl. MT. Haryono No. 19 RT 10, Kertak Baru Ulu, Banjarmasin</v>
          </cell>
          <cell r="G160" t="b">
            <v>1</v>
          </cell>
          <cell r="H160" t="b">
            <v>0</v>
          </cell>
          <cell r="I160" t="b">
            <v>0</v>
          </cell>
          <cell r="J160" t="b">
            <v>0</v>
          </cell>
          <cell r="K160" t="b">
            <v>0</v>
          </cell>
          <cell r="L160" t="b">
            <v>0</v>
          </cell>
          <cell r="M160" t="b">
            <v>0</v>
          </cell>
          <cell r="N160" t="b">
            <v>0</v>
          </cell>
          <cell r="O160" t="b">
            <v>0</v>
          </cell>
          <cell r="P160" t="b">
            <v>0</v>
          </cell>
          <cell r="Q160" t="b">
            <v>0</v>
          </cell>
          <cell r="R160" t="b">
            <v>0</v>
          </cell>
          <cell r="S160" t="b">
            <v>1</v>
          </cell>
          <cell r="T160" t="b">
            <v>0</v>
          </cell>
          <cell r="U160" t="str">
            <v>A</v>
          </cell>
          <cell r="V160" t="str">
            <v>Register</v>
          </cell>
          <cell r="W160" t="str">
            <v>GT - ME</v>
          </cell>
          <cell r="X160" t="str">
            <v>General Trading - Mechanical</v>
          </cell>
          <cell r="Y160" t="str">
            <v>Bearing</v>
          </cell>
        </row>
        <row r="161">
          <cell r="B161" t="str">
            <v>Surya, CV</v>
          </cell>
          <cell r="C161" t="str">
            <v>yulida.rusna@yahoo.co.id</v>
          </cell>
          <cell r="D161" t="str">
            <v>Yuli</v>
          </cell>
          <cell r="F161" t="str">
            <v>Jl. Putri Jaleha RT 003 No. 47, Tanjung, Tabalong, Kalimantan Selatan</v>
          </cell>
          <cell r="G161" t="str">
            <v>□</v>
          </cell>
          <cell r="H161" t="str">
            <v>□</v>
          </cell>
          <cell r="I161" t="str">
            <v>□</v>
          </cell>
          <cell r="J161" t="str">
            <v>□</v>
          </cell>
          <cell r="K161" t="str">
            <v>□</v>
          </cell>
          <cell r="L161" t="str">
            <v>□</v>
          </cell>
          <cell r="M161" t="str">
            <v>□</v>
          </cell>
          <cell r="N161" t="str">
            <v>□</v>
          </cell>
          <cell r="O161" t="str">
            <v>□</v>
          </cell>
          <cell r="P161" t="str">
            <v>□</v>
          </cell>
          <cell r="Q161" t="str">
            <v>□</v>
          </cell>
          <cell r="R161" t="str">
            <v>□</v>
          </cell>
          <cell r="S161" t="str">
            <v>□</v>
          </cell>
          <cell r="T161" t="str">
            <v>□</v>
          </cell>
          <cell r="U161" t="str">
            <v>NA</v>
          </cell>
          <cell r="V161" t="str">
            <v>No Register</v>
          </cell>
          <cell r="W161" t="str">
            <v/>
          </cell>
          <cell r="X161" t="str">
            <v>General Trading - Elektrical</v>
          </cell>
          <cell r="Y161" t="str">
            <v/>
          </cell>
        </row>
        <row r="162">
          <cell r="B162" t="str">
            <v>Indo Tehnik Tanjung Tabalong, PT</v>
          </cell>
          <cell r="C162" t="str">
            <v>indotehnik_tjg@yahoo.co.id</v>
          </cell>
          <cell r="D162" t="str">
            <v>Handra</v>
          </cell>
          <cell r="E162" t="str">
            <v>085267965576</v>
          </cell>
          <cell r="F162" t="str">
            <v>Jl. Ir. P.H.M. Noor No. 8, Tanjung, Tabalong, Kalimantan Selatan</v>
          </cell>
          <cell r="G162" t="b">
            <v>1</v>
          </cell>
          <cell r="H162" t="b">
            <v>0</v>
          </cell>
          <cell r="I162" t="b">
            <v>0</v>
          </cell>
          <cell r="J162" t="b">
            <v>0</v>
          </cell>
          <cell r="K162" t="b">
            <v>0</v>
          </cell>
          <cell r="L162" t="b">
            <v>0</v>
          </cell>
          <cell r="M162" t="b">
            <v>0</v>
          </cell>
          <cell r="N162" t="b">
            <v>0</v>
          </cell>
          <cell r="O162" t="b">
            <v>0</v>
          </cell>
          <cell r="P162" t="b">
            <v>0</v>
          </cell>
          <cell r="Q162" t="b">
            <v>0</v>
          </cell>
          <cell r="R162" t="b">
            <v>0</v>
          </cell>
          <cell r="S162" t="b">
            <v>1</v>
          </cell>
          <cell r="T162" t="b">
            <v>0</v>
          </cell>
          <cell r="U162" t="str">
            <v>A</v>
          </cell>
          <cell r="V162" t="str">
            <v>Register</v>
          </cell>
          <cell r="W162" t="str">
            <v>GT - ME</v>
          </cell>
          <cell r="X162" t="str">
            <v>General Trading - Mechanical</v>
          </cell>
          <cell r="Y162" t="str">
            <v>General Trading</v>
          </cell>
        </row>
        <row r="163">
          <cell r="B163" t="str">
            <v>Shellindo Utama Indonesia, PT</v>
          </cell>
          <cell r="C163" t="str">
            <v>rahadyanto.pratomo@shellindoutama.co.id; rahadyanto.pratomo@gmail.com</v>
          </cell>
          <cell r="D163" t="str">
            <v>Rahadyanto</v>
          </cell>
          <cell r="F163" t="str">
            <v>Gedung Menara Imperium Lower Ground, Jl. H. R.Rasuna Said, Jakarta Selatan</v>
          </cell>
          <cell r="G163" t="str">
            <v>□</v>
          </cell>
          <cell r="H163" t="str">
            <v>□</v>
          </cell>
          <cell r="I163" t="str">
            <v>□</v>
          </cell>
          <cell r="J163" t="str">
            <v>□</v>
          </cell>
          <cell r="K163" t="str">
            <v>□</v>
          </cell>
          <cell r="L163" t="str">
            <v>□</v>
          </cell>
          <cell r="M163" t="str">
            <v>□</v>
          </cell>
          <cell r="N163" t="str">
            <v>□</v>
          </cell>
          <cell r="O163" t="str">
            <v>□</v>
          </cell>
          <cell r="P163" t="str">
            <v>□</v>
          </cell>
          <cell r="Q163" t="str">
            <v>□</v>
          </cell>
          <cell r="R163" t="str">
            <v>□</v>
          </cell>
          <cell r="S163" t="str">
            <v>□</v>
          </cell>
          <cell r="T163" t="str">
            <v>□</v>
          </cell>
          <cell r="U163" t="str">
            <v>NA</v>
          </cell>
          <cell r="V163" t="str">
            <v>No Register</v>
          </cell>
          <cell r="W163" t="str">
            <v/>
          </cell>
          <cell r="Y163" t="str">
            <v/>
          </cell>
        </row>
        <row r="164">
          <cell r="B164" t="str">
            <v>KSB Indonesia, PT</v>
          </cell>
          <cell r="C164" t="str">
            <v>firmansyah.firmansyah2@ksb.com</v>
          </cell>
          <cell r="D164" t="str">
            <v>Firmansyah</v>
          </cell>
          <cell r="E164" t="str">
            <v>08119500437</v>
          </cell>
          <cell r="F164" t="str">
            <v>Jl. timor Blok d-1 2nd Floor, MM2100 Industrial Town, Cibitung Bekasi</v>
          </cell>
          <cell r="G164" t="str">
            <v>□</v>
          </cell>
          <cell r="H164" t="str">
            <v>□</v>
          </cell>
          <cell r="I164" t="str">
            <v>□</v>
          </cell>
          <cell r="J164" t="str">
            <v>□</v>
          </cell>
          <cell r="K164" t="str">
            <v>□</v>
          </cell>
          <cell r="L164" t="str">
            <v>□</v>
          </cell>
          <cell r="M164" t="str">
            <v>□</v>
          </cell>
          <cell r="N164" t="str">
            <v>□</v>
          </cell>
          <cell r="O164" t="str">
            <v>□</v>
          </cell>
          <cell r="P164" t="str">
            <v>□</v>
          </cell>
          <cell r="Q164" t="str">
            <v>□</v>
          </cell>
          <cell r="R164" t="str">
            <v>□</v>
          </cell>
          <cell r="S164" t="str">
            <v>□</v>
          </cell>
          <cell r="T164" t="str">
            <v>□</v>
          </cell>
          <cell r="U164" t="str">
            <v>NA</v>
          </cell>
          <cell r="V164" t="str">
            <v>No Register</v>
          </cell>
          <cell r="W164" t="str">
            <v>GT - ME</v>
          </cell>
          <cell r="X164" t="str">
            <v>General Trading - Mechanical</v>
          </cell>
          <cell r="Y164" t="str">
            <v>AD KSB</v>
          </cell>
        </row>
        <row r="165">
          <cell r="B165" t="str">
            <v>Multi Tarex Mulia Int'l, PT</v>
          </cell>
          <cell r="C165" t="str">
            <v/>
          </cell>
          <cell r="D165" t="str">
            <v>Lyna Layina</v>
          </cell>
          <cell r="E165" t="str">
            <v/>
          </cell>
          <cell r="F165" t="str">
            <v>Plaza Permata Top Floor TF 04, Jl. M. H. Thamrin No. 57, Jakarta Pusat</v>
          </cell>
          <cell r="G165" t="str">
            <v>□</v>
          </cell>
          <cell r="H165" t="str">
            <v>□</v>
          </cell>
          <cell r="I165" t="str">
            <v>□</v>
          </cell>
          <cell r="J165" t="str">
            <v>□</v>
          </cell>
          <cell r="K165" t="str">
            <v>□</v>
          </cell>
          <cell r="L165" t="str">
            <v>□</v>
          </cell>
          <cell r="M165" t="str">
            <v>□</v>
          </cell>
          <cell r="N165" t="str">
            <v>□</v>
          </cell>
          <cell r="O165" t="str">
            <v>□</v>
          </cell>
          <cell r="P165" t="str">
            <v>□</v>
          </cell>
          <cell r="Q165" t="str">
            <v>□</v>
          </cell>
          <cell r="R165" t="str">
            <v>□</v>
          </cell>
          <cell r="S165" t="str">
            <v>□</v>
          </cell>
          <cell r="T165" t="str">
            <v>□</v>
          </cell>
          <cell r="U165" t="str">
            <v>NA</v>
          </cell>
          <cell r="V165" t="str">
            <v>No Register</v>
          </cell>
          <cell r="W165" t="str">
            <v/>
          </cell>
          <cell r="Y165" t="str">
            <v/>
          </cell>
        </row>
        <row r="166">
          <cell r="B166" t="str">
            <v>ZC Industries, PT</v>
          </cell>
          <cell r="C166" t="str">
            <v/>
          </cell>
          <cell r="D166" t="str">
            <v/>
          </cell>
          <cell r="E166" t="str">
            <v/>
          </cell>
          <cell r="G166" t="str">
            <v>□</v>
          </cell>
          <cell r="H166" t="str">
            <v>□</v>
          </cell>
          <cell r="I166" t="str">
            <v>□</v>
          </cell>
          <cell r="J166" t="str">
            <v>□</v>
          </cell>
          <cell r="K166" t="str">
            <v>□</v>
          </cell>
          <cell r="L166" t="str">
            <v>□</v>
          </cell>
          <cell r="M166" t="str">
            <v>□</v>
          </cell>
          <cell r="N166" t="str">
            <v>□</v>
          </cell>
          <cell r="O166" t="str">
            <v>□</v>
          </cell>
          <cell r="P166" t="str">
            <v>□</v>
          </cell>
          <cell r="Q166" t="str">
            <v>□</v>
          </cell>
          <cell r="R166" t="str">
            <v>□</v>
          </cell>
          <cell r="S166" t="str">
            <v>□</v>
          </cell>
          <cell r="T166" t="str">
            <v>□</v>
          </cell>
          <cell r="U166" t="str">
            <v>NA</v>
          </cell>
          <cell r="V166" t="str">
            <v>No Register</v>
          </cell>
          <cell r="W166" t="str">
            <v/>
          </cell>
          <cell r="Y166" t="str">
            <v/>
          </cell>
        </row>
        <row r="167">
          <cell r="B167" t="str">
            <v>Wahana Intimas Nusantara, CV</v>
          </cell>
          <cell r="C167" t="str">
            <v/>
          </cell>
          <cell r="D167" t="str">
            <v/>
          </cell>
          <cell r="E167" t="str">
            <v/>
          </cell>
          <cell r="G167" t="str">
            <v>□</v>
          </cell>
          <cell r="H167" t="str">
            <v>□</v>
          </cell>
          <cell r="I167" t="str">
            <v>□</v>
          </cell>
          <cell r="J167" t="str">
            <v>□</v>
          </cell>
          <cell r="K167" t="str">
            <v>□</v>
          </cell>
          <cell r="L167" t="str">
            <v>□</v>
          </cell>
          <cell r="M167" t="str">
            <v>□</v>
          </cell>
          <cell r="N167" t="str">
            <v>□</v>
          </cell>
          <cell r="O167" t="str">
            <v>□</v>
          </cell>
          <cell r="P167" t="str">
            <v>□</v>
          </cell>
          <cell r="Q167" t="str">
            <v>□</v>
          </cell>
          <cell r="R167" t="str">
            <v>□</v>
          </cell>
          <cell r="S167" t="str">
            <v>□</v>
          </cell>
          <cell r="T167" t="str">
            <v>□</v>
          </cell>
          <cell r="U167" t="str">
            <v>NA</v>
          </cell>
          <cell r="V167" t="str">
            <v>No Register</v>
          </cell>
          <cell r="W167" t="str">
            <v/>
          </cell>
          <cell r="Y167" t="str">
            <v/>
          </cell>
        </row>
        <row r="168">
          <cell r="B168" t="str">
            <v>Permata Dwitunggal Abadi, PT</v>
          </cell>
          <cell r="C168" t="str">
            <v>yuli@permataabadi.co.id; marketing@permataabadi.co.id; ahmadbaasir@permata.co.id</v>
          </cell>
          <cell r="D168" t="str">
            <v>Yuli</v>
          </cell>
          <cell r="F168" t="str">
            <v>Ruko Balikpapan Baru Sentra Eropa 3 Blok AC4 No. 15-16, Balikpapan</v>
          </cell>
          <cell r="G168" t="b">
            <v>0</v>
          </cell>
          <cell r="H168" t="b">
            <v>0</v>
          </cell>
          <cell r="I168" t="b">
            <v>0</v>
          </cell>
          <cell r="J168" t="b">
            <v>0</v>
          </cell>
          <cell r="K168" t="b">
            <v>0</v>
          </cell>
          <cell r="L168" t="b">
            <v>0</v>
          </cell>
          <cell r="M168" t="b">
            <v>0</v>
          </cell>
          <cell r="N168" t="b">
            <v>0</v>
          </cell>
          <cell r="O168" t="b">
            <v>0</v>
          </cell>
          <cell r="P168" t="b">
            <v>0</v>
          </cell>
          <cell r="Q168" t="b">
            <v>0</v>
          </cell>
          <cell r="R168" t="b">
            <v>0</v>
          </cell>
          <cell r="S168" t="b">
            <v>0</v>
          </cell>
          <cell r="T168" t="b">
            <v>0</v>
          </cell>
          <cell r="U168" t="str">
            <v>NA</v>
          </cell>
          <cell r="V168" t="str">
            <v>No Register</v>
          </cell>
          <cell r="W168" t="str">
            <v>GT - CHE</v>
          </cell>
          <cell r="X168" t="str">
            <v>General Trading - Chemical</v>
          </cell>
          <cell r="Y168" t="str">
            <v/>
          </cell>
        </row>
        <row r="169">
          <cell r="B169" t="str">
            <v>XL Axiata Tbk, PT</v>
          </cell>
          <cell r="C169" t="str">
            <v/>
          </cell>
          <cell r="D169" t="str">
            <v/>
          </cell>
          <cell r="E169" t="str">
            <v/>
          </cell>
          <cell r="F169" t="str">
            <v>The East Tower 8th Floor Jl. Dr I.A.A.A Gde Agung Kav E3</v>
          </cell>
          <cell r="G169" t="str">
            <v>□</v>
          </cell>
          <cell r="H169" t="str">
            <v>□</v>
          </cell>
          <cell r="I169" t="str">
            <v>□</v>
          </cell>
          <cell r="J169" t="str">
            <v>□</v>
          </cell>
          <cell r="K169" t="str">
            <v>□</v>
          </cell>
          <cell r="L169" t="str">
            <v>□</v>
          </cell>
          <cell r="M169" t="str">
            <v>□</v>
          </cell>
          <cell r="N169" t="str">
            <v>□</v>
          </cell>
          <cell r="O169" t="str">
            <v>□</v>
          </cell>
          <cell r="P169" t="str">
            <v>□</v>
          </cell>
          <cell r="Q169" t="str">
            <v>□</v>
          </cell>
          <cell r="R169" t="str">
            <v>□</v>
          </cell>
          <cell r="S169" t="str">
            <v>□</v>
          </cell>
          <cell r="T169" t="str">
            <v>□</v>
          </cell>
          <cell r="U169" t="str">
            <v>NA</v>
          </cell>
          <cell r="V169" t="str">
            <v>No Register</v>
          </cell>
          <cell r="W169" t="str">
            <v/>
          </cell>
          <cell r="Y169" t="str">
            <v/>
          </cell>
        </row>
        <row r="170">
          <cell r="B170" t="str">
            <v>MSA Indonesia, PT</v>
          </cell>
          <cell r="C170" t="str">
            <v/>
          </cell>
          <cell r="D170" t="str">
            <v/>
          </cell>
          <cell r="E170" t="str">
            <v/>
          </cell>
          <cell r="F170" t="str">
            <v>Komplek Multiguna Kemayoran 1K. Jl. Rajawali Selatan Raya CS . No.2 . Kemayoran</v>
          </cell>
          <cell r="G170" t="str">
            <v>□</v>
          </cell>
          <cell r="H170" t="str">
            <v>□</v>
          </cell>
          <cell r="I170" t="str">
            <v>□</v>
          </cell>
          <cell r="J170" t="str">
            <v>□</v>
          </cell>
          <cell r="K170" t="str">
            <v>□</v>
          </cell>
          <cell r="L170" t="str">
            <v>□</v>
          </cell>
          <cell r="M170" t="str">
            <v>□</v>
          </cell>
          <cell r="N170" t="str">
            <v>□</v>
          </cell>
          <cell r="O170" t="str">
            <v>□</v>
          </cell>
          <cell r="P170" t="str">
            <v>□</v>
          </cell>
          <cell r="Q170" t="str">
            <v>□</v>
          </cell>
          <cell r="R170" t="str">
            <v>□</v>
          </cell>
          <cell r="S170" t="str">
            <v>□</v>
          </cell>
          <cell r="T170" t="str">
            <v>□</v>
          </cell>
          <cell r="U170" t="str">
            <v>NA</v>
          </cell>
          <cell r="V170" t="str">
            <v>No Register</v>
          </cell>
          <cell r="W170" t="str">
            <v/>
          </cell>
          <cell r="Y170" t="str">
            <v/>
          </cell>
        </row>
        <row r="171">
          <cell r="B171" t="str">
            <v>Chandra Batuah Alam Lestari, PT</v>
          </cell>
          <cell r="C171" t="str">
            <v/>
          </cell>
          <cell r="D171" t="str">
            <v/>
          </cell>
          <cell r="E171" t="str">
            <v/>
          </cell>
          <cell r="F171" t="str">
            <v>Aston Tanjung City Hotel</v>
          </cell>
          <cell r="G171" t="str">
            <v>□</v>
          </cell>
          <cell r="H171" t="str">
            <v>□</v>
          </cell>
          <cell r="I171" t="str">
            <v>□</v>
          </cell>
          <cell r="J171" t="str">
            <v>□</v>
          </cell>
          <cell r="K171" t="str">
            <v>□</v>
          </cell>
          <cell r="L171" t="str">
            <v>□</v>
          </cell>
          <cell r="M171" t="str">
            <v>□</v>
          </cell>
          <cell r="N171" t="str">
            <v>□</v>
          </cell>
          <cell r="O171" t="str">
            <v>□</v>
          </cell>
          <cell r="P171" t="str">
            <v>□</v>
          </cell>
          <cell r="Q171" t="str">
            <v>□</v>
          </cell>
          <cell r="R171" t="str">
            <v>□</v>
          </cell>
          <cell r="S171" t="str">
            <v>□</v>
          </cell>
          <cell r="T171" t="str">
            <v>□</v>
          </cell>
          <cell r="U171" t="str">
            <v>NA</v>
          </cell>
          <cell r="V171" t="str">
            <v>No Register</v>
          </cell>
          <cell r="W171" t="str">
            <v/>
          </cell>
          <cell r="Y171" t="str">
            <v/>
          </cell>
        </row>
        <row r="172">
          <cell r="B172" t="str">
            <v>Intrias Mandiri Sejati, PT</v>
          </cell>
          <cell r="C172" t="str">
            <v/>
          </cell>
          <cell r="D172" t="str">
            <v/>
          </cell>
          <cell r="E172" t="str">
            <v/>
          </cell>
          <cell r="F172" t="str">
            <v>GAndaria 8 Lt. 6 Unit A . Gandaria City. Jl. Sultan Iskandar Muda . Arteri Pondok Indah - 12240</v>
          </cell>
          <cell r="G172" t="str">
            <v>□</v>
          </cell>
          <cell r="H172" t="str">
            <v>□</v>
          </cell>
          <cell r="I172" t="str">
            <v>□</v>
          </cell>
          <cell r="J172" t="str">
            <v>□</v>
          </cell>
          <cell r="K172" t="str">
            <v>□</v>
          </cell>
          <cell r="L172" t="str">
            <v>□</v>
          </cell>
          <cell r="M172" t="str">
            <v>□</v>
          </cell>
          <cell r="N172" t="str">
            <v>□</v>
          </cell>
          <cell r="O172" t="str">
            <v>□</v>
          </cell>
          <cell r="P172" t="str">
            <v>□</v>
          </cell>
          <cell r="Q172" t="str">
            <v>□</v>
          </cell>
          <cell r="R172" t="str">
            <v>□</v>
          </cell>
          <cell r="S172" t="str">
            <v>□</v>
          </cell>
          <cell r="T172" t="str">
            <v>□</v>
          </cell>
          <cell r="U172" t="str">
            <v>NA</v>
          </cell>
          <cell r="V172" t="str">
            <v>No Register</v>
          </cell>
          <cell r="W172" t="str">
            <v/>
          </cell>
          <cell r="Y172" t="str">
            <v/>
          </cell>
        </row>
        <row r="173">
          <cell r="B173" t="str">
            <v>Mitra Pinasthika Mustika Rent, PT</v>
          </cell>
          <cell r="C173" t="str">
            <v/>
          </cell>
          <cell r="D173" t="str">
            <v/>
          </cell>
          <cell r="E173" t="str">
            <v/>
          </cell>
          <cell r="F173" t="str">
            <v>Sunburst CBD Lot II No. 10 . Jl Kapten Soebijanto Djojohadikusumo. Tangerang.</v>
          </cell>
          <cell r="G173" t="str">
            <v>□</v>
          </cell>
          <cell r="H173" t="str">
            <v>□</v>
          </cell>
          <cell r="I173" t="str">
            <v>□</v>
          </cell>
          <cell r="J173" t="str">
            <v>□</v>
          </cell>
          <cell r="K173" t="str">
            <v>□</v>
          </cell>
          <cell r="L173" t="str">
            <v>□</v>
          </cell>
          <cell r="M173" t="str">
            <v>□</v>
          </cell>
          <cell r="N173" t="str">
            <v>□</v>
          </cell>
          <cell r="O173" t="str">
            <v>□</v>
          </cell>
          <cell r="P173" t="str">
            <v>□</v>
          </cell>
          <cell r="Q173" t="str">
            <v>□</v>
          </cell>
          <cell r="R173" t="str">
            <v>□</v>
          </cell>
          <cell r="S173" t="str">
            <v>□</v>
          </cell>
          <cell r="T173" t="str">
            <v>□</v>
          </cell>
          <cell r="U173" t="str">
            <v>NA</v>
          </cell>
          <cell r="V173" t="str">
            <v>No Register</v>
          </cell>
          <cell r="W173" t="str">
            <v/>
          </cell>
          <cell r="Y173" t="str">
            <v/>
          </cell>
        </row>
        <row r="174">
          <cell r="B174" t="str">
            <v>Kusuma Teknik Persada, PT</v>
          </cell>
          <cell r="C174" t="str">
            <v>sales@kusumateknik.co.id</v>
          </cell>
          <cell r="D174" t="str">
            <v>Dini</v>
          </cell>
          <cell r="F174" t="str">
            <v>Jl. Raya Margorejo 16. Surabaya - 60237</v>
          </cell>
          <cell r="G174" t="str">
            <v>□</v>
          </cell>
          <cell r="H174" t="str">
            <v>□</v>
          </cell>
          <cell r="I174" t="str">
            <v>□</v>
          </cell>
          <cell r="J174" t="str">
            <v>□</v>
          </cell>
          <cell r="K174" t="str">
            <v>□</v>
          </cell>
          <cell r="L174" t="str">
            <v>□</v>
          </cell>
          <cell r="M174" t="str">
            <v>□</v>
          </cell>
          <cell r="N174" t="str">
            <v>□</v>
          </cell>
          <cell r="O174" t="str">
            <v>□</v>
          </cell>
          <cell r="P174" t="str">
            <v>□</v>
          </cell>
          <cell r="Q174" t="str">
            <v>□</v>
          </cell>
          <cell r="R174" t="str">
            <v>□</v>
          </cell>
          <cell r="S174" t="str">
            <v>□</v>
          </cell>
          <cell r="T174" t="str">
            <v>□</v>
          </cell>
          <cell r="U174" t="str">
            <v>NA</v>
          </cell>
          <cell r="V174" t="str">
            <v>Register</v>
          </cell>
          <cell r="W174" t="str">
            <v>GT - ME</v>
          </cell>
          <cell r="X174" t="str">
            <v>General Trading - Mechanical</v>
          </cell>
          <cell r="Y174" t="str">
            <v/>
          </cell>
        </row>
        <row r="175">
          <cell r="B175" t="str">
            <v>Raja Listrik Indonesia, PT</v>
          </cell>
          <cell r="C175" t="str">
            <v xml:space="preserve">putri.trisnaning@rajalistrik.co.id; desvi@rajalistrik.co.id </v>
          </cell>
          <cell r="D175" t="str">
            <v>Desvi</v>
          </cell>
          <cell r="E175" t="str">
            <v>089662595327</v>
          </cell>
          <cell r="F175" t="str">
            <v>Kompleks Ruko Sutera Niaga 1  No 22. Jl Sutera Niaga 1 Alam Sutera. Tangerang.</v>
          </cell>
          <cell r="G175" t="b">
            <v>0</v>
          </cell>
          <cell r="H175" t="b">
            <v>1</v>
          </cell>
          <cell r="I175" t="b">
            <v>1</v>
          </cell>
          <cell r="J175" t="b">
            <v>0</v>
          </cell>
          <cell r="K175" t="b">
            <v>0</v>
          </cell>
          <cell r="L175" t="b">
            <v>0</v>
          </cell>
          <cell r="M175" t="b">
            <v>0</v>
          </cell>
          <cell r="N175" t="b">
            <v>0</v>
          </cell>
          <cell r="O175" t="b">
            <v>0</v>
          </cell>
          <cell r="P175" t="b">
            <v>0</v>
          </cell>
          <cell r="Q175" t="b">
            <v>0</v>
          </cell>
          <cell r="R175" t="b">
            <v>0</v>
          </cell>
          <cell r="S175" t="b">
            <v>1</v>
          </cell>
          <cell r="T175" t="b">
            <v>0</v>
          </cell>
          <cell r="U175" t="str">
            <v>A</v>
          </cell>
          <cell r="V175" t="str">
            <v>Register</v>
          </cell>
          <cell r="W175" t="str">
            <v>GT - IC</v>
          </cell>
          <cell r="X175" t="str">
            <v>General Trading - Elektrical
General Trading - Instrument</v>
          </cell>
          <cell r="Y175" t="str">
            <v>Electrical</v>
          </cell>
        </row>
        <row r="176">
          <cell r="B176" t="str">
            <v>Putra Andalan Perkasa, PT</v>
          </cell>
          <cell r="C176" t="str">
            <v>sales@putra-andalan.com</v>
          </cell>
          <cell r="D176" t="str">
            <v>Dinny; Angel</v>
          </cell>
          <cell r="E176" t="str">
            <v>08118131198; 08119053455</v>
          </cell>
          <cell r="F176" t="str">
            <v>Ruko Golden Boulevard Blok E/22. BSD City. Serpong. Tangerang Selatan - 15322</v>
          </cell>
          <cell r="G176" t="b">
            <v>1</v>
          </cell>
          <cell r="H176" t="b">
            <v>0</v>
          </cell>
          <cell r="I176" t="b">
            <v>0</v>
          </cell>
          <cell r="J176" t="b">
            <v>0</v>
          </cell>
          <cell r="K176" t="b">
            <v>0</v>
          </cell>
          <cell r="L176" t="b">
            <v>0</v>
          </cell>
          <cell r="M176" t="b">
            <v>0</v>
          </cell>
          <cell r="N176" t="b">
            <v>0</v>
          </cell>
          <cell r="O176" t="b">
            <v>0</v>
          </cell>
          <cell r="P176" t="b">
            <v>0</v>
          </cell>
          <cell r="Q176" t="b">
            <v>0</v>
          </cell>
          <cell r="R176" t="b">
            <v>0</v>
          </cell>
          <cell r="S176" t="b">
            <v>0</v>
          </cell>
          <cell r="T176" t="b">
            <v>0</v>
          </cell>
          <cell r="U176" t="str">
            <v>A</v>
          </cell>
          <cell r="V176" t="str">
            <v>No Register</v>
          </cell>
          <cell r="W176" t="str">
            <v/>
          </cell>
          <cell r="Y176" t="str">
            <v/>
          </cell>
        </row>
        <row r="177">
          <cell r="B177" t="str">
            <v>Summa Sanjaya Surya Satria, PT</v>
          </cell>
          <cell r="C177" t="str">
            <v>summasanjaya@yahoo.co.id;
indarkok@gmail.com</v>
          </cell>
          <cell r="D177" t="str">
            <v>Tomi Riyanto</v>
          </cell>
          <cell r="E177" t="str">
            <v>082148848444</v>
          </cell>
          <cell r="F177" t="str">
            <v>Jl. Gunung Sari RT 14, Murung Pudak, Tabalong, Kalimantan Selatan</v>
          </cell>
          <cell r="G177" t="str">
            <v>□</v>
          </cell>
          <cell r="H177" t="str">
            <v>□</v>
          </cell>
          <cell r="I177" t="str">
            <v>□</v>
          </cell>
          <cell r="J177" t="str">
            <v>□</v>
          </cell>
          <cell r="K177" t="str">
            <v>□</v>
          </cell>
          <cell r="L177" t="str">
            <v>□</v>
          </cell>
          <cell r="M177" t="str">
            <v>□</v>
          </cell>
          <cell r="N177" t="str">
            <v>□</v>
          </cell>
          <cell r="O177" t="str">
            <v>□</v>
          </cell>
          <cell r="P177" t="str">
            <v>□</v>
          </cell>
          <cell r="Q177" t="str">
            <v>□</v>
          </cell>
          <cell r="R177" t="str">
            <v>□</v>
          </cell>
          <cell r="S177" t="str">
            <v>□</v>
          </cell>
          <cell r="T177" t="str">
            <v>□</v>
          </cell>
          <cell r="U177" t="str">
            <v>NA</v>
          </cell>
          <cell r="V177" t="str">
            <v>No Register</v>
          </cell>
          <cell r="W177" t="str">
            <v>FM - WM</v>
          </cell>
          <cell r="X177" t="str">
            <v>Facility Management - Waste Management</v>
          </cell>
          <cell r="Y177" t="str">
            <v/>
          </cell>
        </row>
        <row r="178">
          <cell r="B178" t="str">
            <v>Indonesian Marine, PT</v>
          </cell>
          <cell r="C178" t="str">
            <v>bobby.yusdyanto@indomarine.co.id</v>
          </cell>
          <cell r="D178" t="str">
            <v>Bobby</v>
          </cell>
          <cell r="E178" t="str">
            <v>08113429742</v>
          </cell>
          <cell r="F178" t="str">
            <v>Jl. Raya Saronojiwo No. 9. Prapen. Surabaya - 60229</v>
          </cell>
          <cell r="G178" t="str">
            <v>□</v>
          </cell>
          <cell r="H178" t="str">
            <v>□</v>
          </cell>
          <cell r="I178" t="str">
            <v>□</v>
          </cell>
          <cell r="J178" t="str">
            <v>□</v>
          </cell>
          <cell r="K178" t="str">
            <v>□</v>
          </cell>
          <cell r="L178" t="str">
            <v>□</v>
          </cell>
          <cell r="M178" t="str">
            <v>□</v>
          </cell>
          <cell r="N178" t="str">
            <v>□</v>
          </cell>
          <cell r="O178" t="str">
            <v>□</v>
          </cell>
          <cell r="P178" t="str">
            <v>□</v>
          </cell>
          <cell r="Q178" t="str">
            <v>□</v>
          </cell>
          <cell r="R178" t="str">
            <v>□</v>
          </cell>
          <cell r="S178" t="str">
            <v>□</v>
          </cell>
          <cell r="T178" t="str">
            <v>□</v>
          </cell>
          <cell r="U178" t="str">
            <v>NA</v>
          </cell>
          <cell r="V178" t="str">
            <v>Register</v>
          </cell>
          <cell r="W178" t="str">
            <v>MF - ID</v>
          </cell>
          <cell r="X178" t="str">
            <v>Manufacturer - Industrial Manufacturer</v>
          </cell>
          <cell r="Y178" t="str">
            <v>Mechanical</v>
          </cell>
        </row>
        <row r="179">
          <cell r="B179" t="str">
            <v>SLS Bearindo, PT</v>
          </cell>
          <cell r="C179" t="str">
            <v>slsbpn@slsbearindo.com</v>
          </cell>
          <cell r="D179" t="str">
            <v>Daru</v>
          </cell>
          <cell r="E179" t="str">
            <v>08125413721</v>
          </cell>
          <cell r="F179" t="str">
            <v>Jl. Jend. Sudirman No. 341 .  Balikpapan  - 76114</v>
          </cell>
          <cell r="G179" t="b">
            <v>1</v>
          </cell>
          <cell r="H179" t="b">
            <v>0</v>
          </cell>
          <cell r="I179" t="b">
            <v>0</v>
          </cell>
          <cell r="J179" t="b">
            <v>0</v>
          </cell>
          <cell r="K179" t="b">
            <v>0</v>
          </cell>
          <cell r="L179" t="b">
            <v>0</v>
          </cell>
          <cell r="M179" t="b">
            <v>0</v>
          </cell>
          <cell r="N179" t="b">
            <v>0</v>
          </cell>
          <cell r="O179" t="b">
            <v>0</v>
          </cell>
          <cell r="P179" t="b">
            <v>0</v>
          </cell>
          <cell r="Q179" t="b">
            <v>0</v>
          </cell>
          <cell r="R179" t="b">
            <v>0</v>
          </cell>
          <cell r="S179" t="b">
            <v>1</v>
          </cell>
          <cell r="T179" t="b">
            <v>0</v>
          </cell>
          <cell r="U179" t="str">
            <v>A</v>
          </cell>
          <cell r="V179" t="str">
            <v>Register</v>
          </cell>
          <cell r="W179" t="str">
            <v>GT - ME</v>
          </cell>
          <cell r="X179" t="str">
            <v>General Trading - Mechanical</v>
          </cell>
          <cell r="Y179" t="str">
            <v>Bearing</v>
          </cell>
        </row>
        <row r="180">
          <cell r="B180" t="str">
            <v>Harapan Cipta Marga Mulia, PT</v>
          </cell>
          <cell r="C180" t="str">
            <v>pt.harapanciptamargamulia@yahoo.co.id</v>
          </cell>
          <cell r="D180" t="str">
            <v>Ridwan</v>
          </cell>
          <cell r="E180" t="str">
            <v>081315066844</v>
          </cell>
          <cell r="F180" t="str">
            <v>Jl. Musyawarah No. 2 . Kapar. Kec. Murung Pudak. Tabalong - 71571</v>
          </cell>
          <cell r="G180" t="str">
            <v>□</v>
          </cell>
          <cell r="H180" t="str">
            <v>□</v>
          </cell>
          <cell r="I180" t="str">
            <v>□</v>
          </cell>
          <cell r="J180" t="str">
            <v>□</v>
          </cell>
          <cell r="K180" t="str">
            <v>□</v>
          </cell>
          <cell r="L180" t="str">
            <v>□</v>
          </cell>
          <cell r="M180" t="str">
            <v>□</v>
          </cell>
          <cell r="N180" t="str">
            <v>□</v>
          </cell>
          <cell r="O180" t="str">
            <v>□</v>
          </cell>
          <cell r="P180" t="str">
            <v>□</v>
          </cell>
          <cell r="Q180" t="str">
            <v>□</v>
          </cell>
          <cell r="R180" t="str">
            <v>□</v>
          </cell>
          <cell r="S180" t="str">
            <v>□</v>
          </cell>
          <cell r="T180" t="str">
            <v>□</v>
          </cell>
          <cell r="U180" t="str">
            <v>NA</v>
          </cell>
          <cell r="V180" t="str">
            <v>Register</v>
          </cell>
          <cell r="W180" t="str">
            <v/>
          </cell>
          <cell r="X180" t="str">
            <v>Service Jasa - Maintenance</v>
          </cell>
          <cell r="Y180" t="str">
            <v>Road</v>
          </cell>
        </row>
        <row r="181">
          <cell r="B181" t="str">
            <v>Koperasi Makmur Sejahtera</v>
          </cell>
          <cell r="C181" t="str">
            <v/>
          </cell>
          <cell r="D181" t="str">
            <v/>
          </cell>
          <cell r="E181" t="str">
            <v/>
          </cell>
          <cell r="F181" t="str">
            <v>Jl. A Yani RT 001 RW 001. Mabu'un Murung Pudak. Tabalong - Kalimantan Selatan</v>
          </cell>
          <cell r="G181" t="b">
            <v>0</v>
          </cell>
          <cell r="H181" t="b">
            <v>0</v>
          </cell>
          <cell r="I181" t="b">
            <v>0</v>
          </cell>
          <cell r="J181" t="b">
            <v>0</v>
          </cell>
          <cell r="K181" t="b">
            <v>0</v>
          </cell>
          <cell r="L181" t="b">
            <v>0</v>
          </cell>
          <cell r="M181" t="b">
            <v>0</v>
          </cell>
          <cell r="N181" t="b">
            <v>0</v>
          </cell>
          <cell r="O181" t="b">
            <v>0</v>
          </cell>
          <cell r="P181" t="b">
            <v>0</v>
          </cell>
          <cell r="Q181" t="b">
            <v>0</v>
          </cell>
          <cell r="R181" t="b">
            <v>0</v>
          </cell>
          <cell r="S181" t="b">
            <v>0</v>
          </cell>
          <cell r="T181" t="b">
            <v>0</v>
          </cell>
          <cell r="U181" t="str">
            <v>NA</v>
          </cell>
          <cell r="V181" t="str">
            <v>Register</v>
          </cell>
          <cell r="W181" t="str">
            <v/>
          </cell>
          <cell r="Y181" t="str">
            <v/>
          </cell>
        </row>
        <row r="182">
          <cell r="B182" t="str">
            <v>Sinto Cahaya Tanamo, PT</v>
          </cell>
          <cell r="C182" t="str">
            <v>sct_sales@cbn.net.id; haprindo.synergi@yahoo.com</v>
          </cell>
          <cell r="D182" t="str">
            <v>Desi</v>
          </cell>
          <cell r="E182" t="str">
            <v>087881277981</v>
          </cell>
          <cell r="F182" t="str">
            <v>Komplek Ruko Golden Boulevard. Blok R-20 BSD City. Serpong - Tangerang - 15321</v>
          </cell>
          <cell r="G182" t="str">
            <v>□</v>
          </cell>
          <cell r="H182" t="str">
            <v>□</v>
          </cell>
          <cell r="I182" t="str">
            <v>□</v>
          </cell>
          <cell r="J182" t="str">
            <v>□</v>
          </cell>
          <cell r="K182" t="str">
            <v>□</v>
          </cell>
          <cell r="L182" t="str">
            <v>□</v>
          </cell>
          <cell r="M182" t="str">
            <v>□</v>
          </cell>
          <cell r="N182" t="str">
            <v>□</v>
          </cell>
          <cell r="O182" t="str">
            <v>□</v>
          </cell>
          <cell r="P182" t="str">
            <v>□</v>
          </cell>
          <cell r="Q182" t="str">
            <v>□</v>
          </cell>
          <cell r="R182" t="str">
            <v>□</v>
          </cell>
          <cell r="S182" t="str">
            <v>□</v>
          </cell>
          <cell r="T182" t="str">
            <v>□</v>
          </cell>
          <cell r="U182" t="str">
            <v>NA</v>
          </cell>
          <cell r="V182" t="str">
            <v>No Register</v>
          </cell>
          <cell r="W182" t="str">
            <v/>
          </cell>
          <cell r="Y182" t="str">
            <v/>
          </cell>
        </row>
        <row r="183">
          <cell r="B183" t="str">
            <v>KAP Sriyadi Elly Sugeng Dan Rekan</v>
          </cell>
          <cell r="C183" t="str">
            <v>info@kap-ses.com</v>
          </cell>
          <cell r="D183" t="str">
            <v>Elly</v>
          </cell>
          <cell r="F183" t="str">
            <v>Rukan Tanjung Mas Raya Blok B1 No 22 RT 002 RW 001. Tanjung Barat Jagakarsa - JakSel -12530</v>
          </cell>
          <cell r="G183" t="str">
            <v>□</v>
          </cell>
          <cell r="H183" t="str">
            <v>□</v>
          </cell>
          <cell r="I183" t="str">
            <v>□</v>
          </cell>
          <cell r="J183" t="str">
            <v>□</v>
          </cell>
          <cell r="K183" t="str">
            <v>□</v>
          </cell>
          <cell r="L183" t="str">
            <v>□</v>
          </cell>
          <cell r="M183" t="str">
            <v>□</v>
          </cell>
          <cell r="N183" t="str">
            <v>□</v>
          </cell>
          <cell r="O183" t="str">
            <v>□</v>
          </cell>
          <cell r="P183" t="str">
            <v>□</v>
          </cell>
          <cell r="Q183" t="str">
            <v>□</v>
          </cell>
          <cell r="R183" t="str">
            <v>□</v>
          </cell>
          <cell r="S183" t="str">
            <v>□</v>
          </cell>
          <cell r="T183" t="str">
            <v>□</v>
          </cell>
          <cell r="U183" t="str">
            <v>NA</v>
          </cell>
          <cell r="V183" t="str">
            <v>No Register</v>
          </cell>
          <cell r="W183" t="str">
            <v/>
          </cell>
          <cell r="Y183" t="str">
            <v/>
          </cell>
        </row>
        <row r="184">
          <cell r="B184" t="str">
            <v>Hendra Soenardi &amp; RE</v>
          </cell>
          <cell r="C184" t="str">
            <v/>
          </cell>
          <cell r="D184" t="str">
            <v/>
          </cell>
          <cell r="E184" t="str">
            <v/>
          </cell>
          <cell r="F184" t="str">
            <v>Gd. The Energy Lt. 19 SCBD Lot. 11A. Jl. Jend Sudirman Kav. 52-53. Senayan - Keb. Bar. Jak-Sel</v>
          </cell>
          <cell r="G184" t="str">
            <v>□</v>
          </cell>
          <cell r="H184" t="str">
            <v>□</v>
          </cell>
          <cell r="I184" t="str">
            <v>□</v>
          </cell>
          <cell r="J184" t="str">
            <v>□</v>
          </cell>
          <cell r="K184" t="str">
            <v>□</v>
          </cell>
          <cell r="L184" t="str">
            <v>□</v>
          </cell>
          <cell r="M184" t="str">
            <v>□</v>
          </cell>
          <cell r="N184" t="str">
            <v>□</v>
          </cell>
          <cell r="O184" t="str">
            <v>□</v>
          </cell>
          <cell r="P184" t="str">
            <v>□</v>
          </cell>
          <cell r="Q184" t="str">
            <v>□</v>
          </cell>
          <cell r="R184" t="str">
            <v>□</v>
          </cell>
          <cell r="S184" t="str">
            <v>□</v>
          </cell>
          <cell r="T184" t="str">
            <v>□</v>
          </cell>
          <cell r="U184" t="str">
            <v>NA</v>
          </cell>
          <cell r="V184" t="str">
            <v>Register</v>
          </cell>
          <cell r="W184" t="str">
            <v>PR - LG
PR - NOT</v>
          </cell>
          <cell r="X184" t="str">
            <v>Professional Services - Legal
Professional Services - Notary</v>
          </cell>
          <cell r="Y184" t="str">
            <v>Jasa hukum / law firm, corporate &amp; M&amp;A, banking &amp; finance, project, energy &amp; infrastructure, dispute resolution.</v>
          </cell>
        </row>
        <row r="185">
          <cell r="B185" t="str">
            <v>Borneo Maju Jaya, PT</v>
          </cell>
          <cell r="C185" t="str">
            <v>welas@borneomajujaya.com</v>
          </cell>
          <cell r="D185" t="str">
            <v>Welas</v>
          </cell>
          <cell r="E185" t="str">
            <v>08125198690; 081515000171</v>
          </cell>
          <cell r="F185" t="str">
            <v>Jl. Kuripan No. 2A RT 5, Banjarmasin 70236
Banjarmasin</v>
          </cell>
          <cell r="G185" t="b">
            <v>0</v>
          </cell>
          <cell r="H185" t="b">
            <v>1</v>
          </cell>
          <cell r="I185" t="b">
            <v>0</v>
          </cell>
          <cell r="J185" t="b">
            <v>0</v>
          </cell>
          <cell r="K185" t="b">
            <v>0</v>
          </cell>
          <cell r="L185" t="b">
            <v>0</v>
          </cell>
          <cell r="M185" t="b">
            <v>0</v>
          </cell>
          <cell r="N185" t="b">
            <v>0</v>
          </cell>
          <cell r="O185" t="b">
            <v>0</v>
          </cell>
          <cell r="P185" t="b">
            <v>0</v>
          </cell>
          <cell r="Q185" t="b">
            <v>0</v>
          </cell>
          <cell r="R185" t="b">
            <v>0</v>
          </cell>
          <cell r="S185" t="b">
            <v>1</v>
          </cell>
          <cell r="T185" t="b">
            <v>0</v>
          </cell>
          <cell r="U185" t="str">
            <v>A</v>
          </cell>
          <cell r="V185" t="str">
            <v>Register</v>
          </cell>
          <cell r="W185" t="str">
            <v/>
          </cell>
          <cell r="X185" t="str">
            <v>General Trading - Elektrical
Service Jasa - Electrical
Service Jasa - Instrument</v>
          </cell>
          <cell r="Y185" t="str">
            <v>Electrical</v>
          </cell>
        </row>
        <row r="186">
          <cell r="B186" t="str">
            <v>Perwira Sentra Officindo, PT</v>
          </cell>
          <cell r="C186" t="str">
            <v>d_santos63@yahoo.com</v>
          </cell>
          <cell r="D186" t="str">
            <v>Dady S</v>
          </cell>
          <cell r="E186" t="str">
            <v>08111557889</v>
          </cell>
          <cell r="F186" t="str">
            <v>Gd Tranka Lt. 4 Jl. Raya Pasar Minggu KM 17 No. 17 12520
Jakarta Selatan</v>
          </cell>
          <cell r="G186" t="b">
            <v>0</v>
          </cell>
          <cell r="H186" t="b">
            <v>0</v>
          </cell>
          <cell r="I186" t="b">
            <v>0</v>
          </cell>
          <cell r="J186" t="b">
            <v>0</v>
          </cell>
          <cell r="K186" t="b">
            <v>0</v>
          </cell>
          <cell r="L186" t="b">
            <v>0</v>
          </cell>
          <cell r="M186" t="b">
            <v>0</v>
          </cell>
          <cell r="N186" t="b">
            <v>0</v>
          </cell>
          <cell r="O186" t="b">
            <v>0</v>
          </cell>
          <cell r="P186" t="b">
            <v>0</v>
          </cell>
          <cell r="Q186" t="b">
            <v>0</v>
          </cell>
          <cell r="R186" t="b">
            <v>0</v>
          </cell>
          <cell r="S186" t="b">
            <v>1</v>
          </cell>
          <cell r="T186" t="b">
            <v>0</v>
          </cell>
          <cell r="U186" t="str">
            <v>A</v>
          </cell>
          <cell r="V186" t="str">
            <v>Register</v>
          </cell>
          <cell r="W186" t="str">
            <v>GT</v>
          </cell>
          <cell r="X186" t="str">
            <v>General Trading</v>
          </cell>
          <cell r="Y186" t="str">
            <v>General Trading</v>
          </cell>
        </row>
        <row r="187">
          <cell r="B187" t="str">
            <v>Indoparts, CV</v>
          </cell>
          <cell r="C187" t="str">
            <v>lisa@idpts.com</v>
          </cell>
          <cell r="D187" t="str">
            <v>Lisa</v>
          </cell>
          <cell r="E187" t="str">
            <v>0811838575</v>
          </cell>
          <cell r="F187" t="str">
            <v>Ruko Sepinggan Pratama Blok SQ-2 No 12 76115
Balikpapan</v>
          </cell>
          <cell r="G187" t="b">
            <v>0</v>
          </cell>
          <cell r="H187" t="b">
            <v>0</v>
          </cell>
          <cell r="I187" t="b">
            <v>0</v>
          </cell>
          <cell r="J187" t="b">
            <v>0</v>
          </cell>
          <cell r="K187" t="b">
            <v>0</v>
          </cell>
          <cell r="L187" t="b">
            <v>0</v>
          </cell>
          <cell r="M187" t="b">
            <v>0</v>
          </cell>
          <cell r="N187" t="b">
            <v>0</v>
          </cell>
          <cell r="O187" t="b">
            <v>0</v>
          </cell>
          <cell r="P187" t="b">
            <v>0</v>
          </cell>
          <cell r="Q187" t="b">
            <v>0</v>
          </cell>
          <cell r="R187" t="b">
            <v>0</v>
          </cell>
          <cell r="S187" t="b">
            <v>1</v>
          </cell>
          <cell r="T187" t="b">
            <v>0</v>
          </cell>
          <cell r="U187" t="str">
            <v>NA</v>
          </cell>
          <cell r="V187" t="str">
            <v>Register</v>
          </cell>
          <cell r="W187" t="str">
            <v>GT - ME</v>
          </cell>
          <cell r="X187" t="str">
            <v>General Trading - Mechanical
General Trading - Elektrical</v>
          </cell>
          <cell r="Y187" t="str">
            <v/>
          </cell>
        </row>
        <row r="188">
          <cell r="B188" t="str">
            <v>Sahara Persada, PT</v>
          </cell>
          <cell r="C188" t="str">
            <v>ptsaharapersada@gmail.com</v>
          </cell>
          <cell r="D188" t="str">
            <v>Rini</v>
          </cell>
          <cell r="E188" t="str">
            <v>082110515187</v>
          </cell>
          <cell r="F188" t="str">
            <v>Ruko Plaza Pacific Blok A3 No. 68 Kelapa Gading 14240
Jakarta Utara</v>
          </cell>
          <cell r="G188" t="str">
            <v>□</v>
          </cell>
          <cell r="H188" t="str">
            <v>□</v>
          </cell>
          <cell r="I188" t="str">
            <v>□</v>
          </cell>
          <cell r="J188" t="str">
            <v>□</v>
          </cell>
          <cell r="K188" t="str">
            <v>□</v>
          </cell>
          <cell r="L188" t="str">
            <v>□</v>
          </cell>
          <cell r="M188" t="str">
            <v>□</v>
          </cell>
          <cell r="N188" t="str">
            <v>□</v>
          </cell>
          <cell r="O188" t="str">
            <v>□</v>
          </cell>
          <cell r="P188" t="str">
            <v>□</v>
          </cell>
          <cell r="Q188" t="str">
            <v>□</v>
          </cell>
          <cell r="R188" t="str">
            <v>□</v>
          </cell>
          <cell r="S188" t="str">
            <v>□</v>
          </cell>
          <cell r="T188" t="str">
            <v>□</v>
          </cell>
          <cell r="U188" t="str">
            <v>NA</v>
          </cell>
          <cell r="V188" t="str">
            <v>No Register</v>
          </cell>
          <cell r="W188" t="str">
            <v/>
          </cell>
          <cell r="Y188" t="str">
            <v/>
          </cell>
        </row>
        <row r="189">
          <cell r="B189" t="str">
            <v>Crown Worldwide Indonesia, PT</v>
          </cell>
          <cell r="C189" t="str">
            <v/>
          </cell>
          <cell r="D189" t="str">
            <v/>
          </cell>
          <cell r="E189" t="str">
            <v/>
          </cell>
          <cell r="F189" t="str">
            <v>Taman Tekno Sektor XI Blok D/20. Bumi Serpong Damai. Setu. Tangerang.</v>
          </cell>
          <cell r="G189" t="str">
            <v>□</v>
          </cell>
          <cell r="H189" t="str">
            <v>□</v>
          </cell>
          <cell r="I189" t="str">
            <v>□</v>
          </cell>
          <cell r="J189" t="str">
            <v>□</v>
          </cell>
          <cell r="K189" t="str">
            <v>□</v>
          </cell>
          <cell r="L189" t="str">
            <v>□</v>
          </cell>
          <cell r="M189" t="str">
            <v>□</v>
          </cell>
          <cell r="N189" t="str">
            <v>□</v>
          </cell>
          <cell r="O189" t="str">
            <v>□</v>
          </cell>
          <cell r="P189" t="str">
            <v>□</v>
          </cell>
          <cell r="Q189" t="str">
            <v>□</v>
          </cell>
          <cell r="R189" t="str">
            <v>□</v>
          </cell>
          <cell r="S189" t="str">
            <v>□</v>
          </cell>
          <cell r="T189" t="str">
            <v>□</v>
          </cell>
          <cell r="U189" t="str">
            <v>NA</v>
          </cell>
          <cell r="V189" t="str">
            <v>Register</v>
          </cell>
          <cell r="W189" t="str">
            <v>KR - DO</v>
          </cell>
          <cell r="X189" t="str">
            <v>Courier - Document Courier</v>
          </cell>
          <cell r="Y189" t="str">
            <v>Jasa Relokasi &amp; Logistik</v>
          </cell>
        </row>
        <row r="190">
          <cell r="B190" t="str">
            <v>Bio Elektrikal, CV</v>
          </cell>
          <cell r="C190" t="str">
            <v>hisyam_alhakim@yahoo.com; hisyam.alhakim@ulm.ac.id</v>
          </cell>
          <cell r="D190" t="str">
            <v>Hisyam</v>
          </cell>
          <cell r="E190" t="str">
            <v>081227274035</v>
          </cell>
          <cell r="F190" t="str">
            <v>Jl. Pandu I No 18/16. RT 05 RW 06. Mentaos Banjarbaru Utara. 70711</v>
          </cell>
          <cell r="G190" t="b">
            <v>1</v>
          </cell>
          <cell r="H190" t="b">
            <v>0</v>
          </cell>
          <cell r="I190" t="b">
            <v>0</v>
          </cell>
          <cell r="J190" t="b">
            <v>0</v>
          </cell>
          <cell r="K190" t="b">
            <v>1</v>
          </cell>
          <cell r="L190" t="b">
            <v>0</v>
          </cell>
          <cell r="M190" t="b">
            <v>0</v>
          </cell>
          <cell r="N190" t="b">
            <v>0</v>
          </cell>
          <cell r="O190" t="b">
            <v>1</v>
          </cell>
          <cell r="P190" t="b">
            <v>0</v>
          </cell>
          <cell r="Q190" t="b">
            <v>0</v>
          </cell>
          <cell r="R190" t="b">
            <v>0</v>
          </cell>
          <cell r="S190" t="b">
            <v>0</v>
          </cell>
          <cell r="T190" t="b">
            <v>0</v>
          </cell>
          <cell r="U190" t="str">
            <v>A</v>
          </cell>
          <cell r="V190" t="str">
            <v>Register</v>
          </cell>
          <cell r="W190" t="str">
            <v>ENV - SL</v>
          </cell>
          <cell r="X190" t="str">
            <v>Environment &amp; Compliance - Sampling &amp; Lab</v>
          </cell>
          <cell r="Y190" t="str">
            <v>Assesment</v>
          </cell>
        </row>
        <row r="191">
          <cell r="B191" t="str">
            <v>Sari Mulia, RS</v>
          </cell>
          <cell r="C191" t="str">
            <v/>
          </cell>
          <cell r="D191" t="str">
            <v/>
          </cell>
          <cell r="E191" t="str">
            <v/>
          </cell>
          <cell r="F191" t="str">
            <v>Jl. P. Antasari 139B. Karang Mekar. Banjarmasin Timur - 70234</v>
          </cell>
          <cell r="G191" t="str">
            <v>□</v>
          </cell>
          <cell r="H191" t="str">
            <v>□</v>
          </cell>
          <cell r="I191" t="str">
            <v>□</v>
          </cell>
          <cell r="J191" t="str">
            <v>□</v>
          </cell>
          <cell r="K191" t="str">
            <v>□</v>
          </cell>
          <cell r="L191" t="str">
            <v>□</v>
          </cell>
          <cell r="M191" t="str">
            <v>□</v>
          </cell>
          <cell r="N191" t="str">
            <v>□</v>
          </cell>
          <cell r="O191" t="str">
            <v>□</v>
          </cell>
          <cell r="P191" t="str">
            <v>□</v>
          </cell>
          <cell r="Q191" t="str">
            <v>□</v>
          </cell>
          <cell r="R191" t="str">
            <v>□</v>
          </cell>
          <cell r="S191" t="str">
            <v>□</v>
          </cell>
          <cell r="T191" t="str">
            <v>□</v>
          </cell>
          <cell r="U191" t="str">
            <v>NA</v>
          </cell>
          <cell r="V191" t="str">
            <v>No Register</v>
          </cell>
          <cell r="W191" t="str">
            <v/>
          </cell>
          <cell r="Y191" t="str">
            <v/>
          </cell>
        </row>
        <row r="192">
          <cell r="B192" t="str">
            <v>Pertamina Bina Medika, PT</v>
          </cell>
          <cell r="C192" t="str">
            <v/>
          </cell>
          <cell r="D192" t="str">
            <v/>
          </cell>
          <cell r="E192" t="str">
            <v/>
          </cell>
          <cell r="F192" t="str">
            <v>Jl. Gas Koperta. Murung Pudak. Tanjung</v>
          </cell>
          <cell r="G192" t="str">
            <v>□</v>
          </cell>
          <cell r="H192" t="str">
            <v>□</v>
          </cell>
          <cell r="I192" t="str">
            <v>□</v>
          </cell>
          <cell r="J192" t="str">
            <v>□</v>
          </cell>
          <cell r="K192" t="str">
            <v>□</v>
          </cell>
          <cell r="L192" t="str">
            <v>□</v>
          </cell>
          <cell r="M192" t="str">
            <v>□</v>
          </cell>
          <cell r="N192" t="str">
            <v>□</v>
          </cell>
          <cell r="O192" t="str">
            <v>□</v>
          </cell>
          <cell r="P192" t="str">
            <v>□</v>
          </cell>
          <cell r="Q192" t="str">
            <v>□</v>
          </cell>
          <cell r="R192" t="str">
            <v>□</v>
          </cell>
          <cell r="S192" t="str">
            <v>□</v>
          </cell>
          <cell r="T192" t="str">
            <v>□</v>
          </cell>
          <cell r="U192" t="str">
            <v>NA</v>
          </cell>
          <cell r="V192" t="str">
            <v>Register</v>
          </cell>
          <cell r="W192" t="str">
            <v>SJ - MC</v>
          </cell>
          <cell r="X192" t="str">
            <v>Service Jasa - Medical Service</v>
          </cell>
          <cell r="Y192" t="str">
            <v>RS Pertamina Tanjung </v>
          </cell>
        </row>
        <row r="193">
          <cell r="B193" t="str">
            <v>Vhipa Mulia Pratama, PT</v>
          </cell>
          <cell r="C193" t="str">
            <v>sales@ptvmp.co.id; andreas@agkin.com</v>
          </cell>
          <cell r="D193" t="str">
            <v>Deniza; Andreas</v>
          </cell>
          <cell r="E193" t="str">
            <v>083871438153; 0811836575</v>
          </cell>
          <cell r="F193" t="str">
            <v>Jl.Cideng Timur No. 30C. Jakarta - 10130</v>
          </cell>
          <cell r="G193" t="b">
            <v>1</v>
          </cell>
          <cell r="H193" t="b">
            <v>0</v>
          </cell>
          <cell r="I193" t="b">
            <v>0</v>
          </cell>
          <cell r="J193" t="b">
            <v>0</v>
          </cell>
          <cell r="K193" t="b">
            <v>0</v>
          </cell>
          <cell r="L193" t="b">
            <v>0</v>
          </cell>
          <cell r="M193" t="b">
            <v>1</v>
          </cell>
          <cell r="N193" t="b">
            <v>0</v>
          </cell>
          <cell r="O193" t="b">
            <v>0</v>
          </cell>
          <cell r="P193" t="b">
            <v>0</v>
          </cell>
          <cell r="Q193" t="b">
            <v>0</v>
          </cell>
          <cell r="R193" t="b">
            <v>0</v>
          </cell>
          <cell r="S193" t="b">
            <v>1</v>
          </cell>
          <cell r="T193" t="b">
            <v>0</v>
          </cell>
          <cell r="U193" t="str">
            <v>A</v>
          </cell>
          <cell r="V193" t="str">
            <v>Register</v>
          </cell>
          <cell r="W193" t="str">
            <v>GT - ME
GT - SP</v>
          </cell>
          <cell r="X193" t="str">
            <v>General Trading - Mechanical
General Trading - Sparepart</v>
          </cell>
          <cell r="Y193" t="str">
            <v>General Trading</v>
          </cell>
        </row>
        <row r="194">
          <cell r="B194" t="str">
            <v>Jaya Listrik, CV</v>
          </cell>
          <cell r="C194" t="str">
            <v>jayalistrik@yahoo.com</v>
          </cell>
          <cell r="D194" t="str">
            <v>Tamarji</v>
          </cell>
          <cell r="E194" t="str">
            <v>081251199307; 087806913824</v>
          </cell>
          <cell r="F194" t="str">
            <v>JL. Belitung Darat GG Sukajaya RT022 RW022. Kel. Belitung Selatan. Banjarmasin Barat. 70116</v>
          </cell>
          <cell r="G194" t="b">
            <v>0</v>
          </cell>
          <cell r="H194" t="b">
            <v>1</v>
          </cell>
          <cell r="I194" t="b">
            <v>0</v>
          </cell>
          <cell r="J194" t="b">
            <v>0</v>
          </cell>
          <cell r="K194" t="b">
            <v>0</v>
          </cell>
          <cell r="L194" t="b">
            <v>0</v>
          </cell>
          <cell r="M194" t="b">
            <v>0</v>
          </cell>
          <cell r="N194" t="b">
            <v>0</v>
          </cell>
          <cell r="O194" t="b">
            <v>0</v>
          </cell>
          <cell r="P194" t="b">
            <v>0</v>
          </cell>
          <cell r="Q194" t="b">
            <v>0</v>
          </cell>
          <cell r="R194" t="b">
            <v>0</v>
          </cell>
          <cell r="S194" t="b">
            <v>0</v>
          </cell>
          <cell r="T194" t="b">
            <v>0</v>
          </cell>
          <cell r="U194" t="str">
            <v>A</v>
          </cell>
          <cell r="V194" t="str">
            <v>Register</v>
          </cell>
          <cell r="W194" t="str">
            <v/>
          </cell>
          <cell r="X194" t="str">
            <v>General Trading - Elektrical
Service Jasa - Electrical</v>
          </cell>
          <cell r="Y194" t="str">
            <v xml:space="preserve">Service </v>
          </cell>
        </row>
        <row r="195">
          <cell r="B195" t="str">
            <v>Rajendra T, CV</v>
          </cell>
          <cell r="C195" t="str">
            <v>cvrajendrat@yahoo.com</v>
          </cell>
          <cell r="F195" t="str">
            <v>Jl. Pahlawan No. 84 RT 002. Tanjung Tabalong. KalSel - 71513</v>
          </cell>
          <cell r="G195" t="str">
            <v>□</v>
          </cell>
          <cell r="H195" t="str">
            <v>□</v>
          </cell>
          <cell r="I195" t="str">
            <v>□</v>
          </cell>
          <cell r="J195" t="str">
            <v>□</v>
          </cell>
          <cell r="K195" t="str">
            <v>□</v>
          </cell>
          <cell r="L195" t="str">
            <v>□</v>
          </cell>
          <cell r="M195" t="str">
            <v>□</v>
          </cell>
          <cell r="N195" t="str">
            <v>□</v>
          </cell>
          <cell r="O195" t="str">
            <v>□</v>
          </cell>
          <cell r="P195" t="str">
            <v>□</v>
          </cell>
          <cell r="Q195" t="str">
            <v>□</v>
          </cell>
          <cell r="R195" t="str">
            <v>□</v>
          </cell>
          <cell r="S195" t="str">
            <v>□</v>
          </cell>
          <cell r="T195" t="str">
            <v>□</v>
          </cell>
          <cell r="U195" t="str">
            <v>NA</v>
          </cell>
          <cell r="V195" t="str">
            <v>No Register</v>
          </cell>
          <cell r="W195" t="str">
            <v/>
          </cell>
          <cell r="Y195" t="str">
            <v/>
          </cell>
        </row>
        <row r="196">
          <cell r="B196" t="str">
            <v>Loka Manggala, PT</v>
          </cell>
          <cell r="C196" t="str">
            <v>sales@lokamanggala.com</v>
          </cell>
          <cell r="D196" t="str">
            <v>Muljadi; Deden; Angie</v>
          </cell>
          <cell r="E196" t="str">
            <v>08118801344; 08128010166</v>
          </cell>
          <cell r="F196" t="str">
            <v>Taman Mutiara PAlem Blok A8 No 8. JakBar - 11730</v>
          </cell>
          <cell r="G196" t="b">
            <v>1</v>
          </cell>
          <cell r="H196" t="b">
            <v>0</v>
          </cell>
          <cell r="I196" t="b">
            <v>0</v>
          </cell>
          <cell r="J196" t="b">
            <v>0</v>
          </cell>
          <cell r="K196" t="b">
            <v>0</v>
          </cell>
          <cell r="L196" t="b">
            <v>0</v>
          </cell>
          <cell r="M196" t="b">
            <v>0</v>
          </cell>
          <cell r="N196" t="b">
            <v>0</v>
          </cell>
          <cell r="O196" t="b">
            <v>0</v>
          </cell>
          <cell r="P196" t="b">
            <v>0</v>
          </cell>
          <cell r="Q196" t="b">
            <v>0</v>
          </cell>
          <cell r="R196" t="b">
            <v>0</v>
          </cell>
          <cell r="S196" t="b">
            <v>0</v>
          </cell>
          <cell r="T196" t="b">
            <v>0</v>
          </cell>
          <cell r="U196" t="str">
            <v>NA</v>
          </cell>
          <cell r="V196" t="str">
            <v>No Register</v>
          </cell>
          <cell r="W196" t="str">
            <v/>
          </cell>
          <cell r="Y196" t="str">
            <v/>
          </cell>
        </row>
        <row r="197">
          <cell r="B197" t="str">
            <v>Panca Tehnik Tanjung, PT</v>
          </cell>
          <cell r="C197" t="str">
            <v>tanjung@pancagroup.com</v>
          </cell>
          <cell r="D197" t="str">
            <v>Dedi Susanto</v>
          </cell>
          <cell r="E197" t="str">
            <v>081250022059</v>
          </cell>
          <cell r="F197" t="str">
            <v>Jl. A. Yani KM. 215 Laburan. Kec Tanta . Kab Tabalong - 71561</v>
          </cell>
          <cell r="G197" t="b">
            <v>1</v>
          </cell>
          <cell r="H197" t="b">
            <v>0</v>
          </cell>
          <cell r="I197" t="b">
            <v>0</v>
          </cell>
          <cell r="J197" t="b">
            <v>0</v>
          </cell>
          <cell r="K197" t="b">
            <v>0</v>
          </cell>
          <cell r="L197" t="b">
            <v>0</v>
          </cell>
          <cell r="M197" t="b">
            <v>0</v>
          </cell>
          <cell r="N197" t="b">
            <v>0</v>
          </cell>
          <cell r="O197" t="b">
            <v>0</v>
          </cell>
          <cell r="P197" t="b">
            <v>0</v>
          </cell>
          <cell r="Q197" t="b">
            <v>0</v>
          </cell>
          <cell r="R197" t="b">
            <v>0</v>
          </cell>
          <cell r="S197" t="b">
            <v>0</v>
          </cell>
          <cell r="T197" t="b">
            <v>0</v>
          </cell>
          <cell r="U197" t="str">
            <v>NA</v>
          </cell>
          <cell r="V197" t="str">
            <v>Register</v>
          </cell>
          <cell r="W197" t="str">
            <v/>
          </cell>
          <cell r="X197" t="str">
            <v>Service Jasa - Mechanical</v>
          </cell>
          <cell r="Y197" t="str">
            <v>Fabrikasi shaft</v>
          </cell>
        </row>
        <row r="198">
          <cell r="B198" t="str">
            <v>Karunia Pratama Lintas Teknologi, PT</v>
          </cell>
          <cell r="C198" t="str">
            <v/>
          </cell>
          <cell r="D198" t="str">
            <v/>
          </cell>
          <cell r="E198" t="str">
            <v/>
          </cell>
          <cell r="F198" t="str">
            <v>Menara Karya 11th. florr. Jl. HR Rasuna Said. JakSel - 12950</v>
          </cell>
          <cell r="G198" t="str">
            <v>□</v>
          </cell>
          <cell r="H198" t="str">
            <v>□</v>
          </cell>
          <cell r="I198" t="str">
            <v>□</v>
          </cell>
          <cell r="J198" t="str">
            <v>□</v>
          </cell>
          <cell r="K198" t="str">
            <v>□</v>
          </cell>
          <cell r="L198" t="str">
            <v>□</v>
          </cell>
          <cell r="M198" t="str">
            <v>□</v>
          </cell>
          <cell r="N198" t="str">
            <v>□</v>
          </cell>
          <cell r="O198" t="str">
            <v>□</v>
          </cell>
          <cell r="P198" t="str">
            <v>□</v>
          </cell>
          <cell r="Q198" t="str">
            <v>□</v>
          </cell>
          <cell r="R198" t="str">
            <v>□</v>
          </cell>
          <cell r="S198" t="str">
            <v>□</v>
          </cell>
          <cell r="T198" t="str">
            <v>□</v>
          </cell>
          <cell r="U198" t="str">
            <v>NA</v>
          </cell>
          <cell r="V198" t="str">
            <v>No Register</v>
          </cell>
          <cell r="W198" t="str">
            <v/>
          </cell>
          <cell r="Y198" t="str">
            <v/>
          </cell>
        </row>
        <row r="199">
          <cell r="B199" t="str">
            <v>Petrolab Services, PT</v>
          </cell>
          <cell r="C199" t="str">
            <v xml:space="preserve">arzi@petrolab.co.id; adrian@petrolab.co.id </v>
          </cell>
          <cell r="D199" t="str">
            <v>Arzi; Adrian</v>
          </cell>
          <cell r="E199" t="str">
            <v>081314863576; 081290230819</v>
          </cell>
          <cell r="F199" t="str">
            <v>Jl. Pisangan Lama III No. 28 Rt.009 Rw. 003 Pisangan Timur Pulo Gadung</v>
          </cell>
          <cell r="G199" t="str">
            <v>□</v>
          </cell>
          <cell r="H199" t="str">
            <v>□</v>
          </cell>
          <cell r="I199" t="str">
            <v>□</v>
          </cell>
          <cell r="J199" t="str">
            <v>□</v>
          </cell>
          <cell r="K199" t="str">
            <v>□</v>
          </cell>
          <cell r="L199" t="str">
            <v>□</v>
          </cell>
          <cell r="M199" t="str">
            <v>□</v>
          </cell>
          <cell r="N199" t="str">
            <v>□</v>
          </cell>
          <cell r="O199" t="str">
            <v>□</v>
          </cell>
          <cell r="P199" t="str">
            <v>□</v>
          </cell>
          <cell r="Q199" t="str">
            <v>□</v>
          </cell>
          <cell r="R199" t="str">
            <v>□</v>
          </cell>
          <cell r="S199" t="str">
            <v>□</v>
          </cell>
          <cell r="T199" t="str">
            <v>□</v>
          </cell>
          <cell r="U199" t="str">
            <v>A</v>
          </cell>
          <cell r="V199" t="str">
            <v>Register</v>
          </cell>
          <cell r="W199" t="str">
            <v>PR</v>
          </cell>
          <cell r="X199" t="str">
            <v>Professional Services</v>
          </cell>
          <cell r="Y199" t="str">
            <v>Laboratorium pengujian petroleum, lubricant/oil analysis, fuel, transformer oil, environmental, industrial hygiene, kalibrasi.</v>
          </cell>
        </row>
        <row r="200">
          <cell r="B200" t="str">
            <v>Borneo Karya Jaya, CV</v>
          </cell>
          <cell r="C200" t="str">
            <v>borneokaryajaya@yahoo.com</v>
          </cell>
          <cell r="D200" t="str">
            <v>Nurhidayah; Didi</v>
          </cell>
          <cell r="E200" t="str">
            <v>081350506878</v>
          </cell>
          <cell r="F200" t="str">
            <v>Jl. Mawar No. 21 RT 09. Tanjung. Tabalong - 71513</v>
          </cell>
          <cell r="G200" t="b">
            <v>1</v>
          </cell>
          <cell r="H200" t="b">
            <v>0</v>
          </cell>
          <cell r="I200" t="b">
            <v>0</v>
          </cell>
          <cell r="J200" t="b">
            <v>0</v>
          </cell>
          <cell r="K200" t="b">
            <v>1</v>
          </cell>
          <cell r="L200" t="b">
            <v>0</v>
          </cell>
          <cell r="M200" t="b">
            <v>0</v>
          </cell>
          <cell r="N200" t="b">
            <v>0</v>
          </cell>
          <cell r="O200" t="b">
            <v>0</v>
          </cell>
          <cell r="P200" t="b">
            <v>0</v>
          </cell>
          <cell r="Q200" t="b">
            <v>0</v>
          </cell>
          <cell r="R200" t="b">
            <v>0</v>
          </cell>
          <cell r="S200" t="b">
            <v>1</v>
          </cell>
          <cell r="T200" t="b">
            <v>0</v>
          </cell>
          <cell r="U200" t="str">
            <v>NA</v>
          </cell>
          <cell r="V200" t="str">
            <v>Register</v>
          </cell>
          <cell r="W200" t="str">
            <v>GT - ME
GT - ID
GT - OF</v>
          </cell>
          <cell r="X200" t="str">
            <v>General Trading - HSE
General Trading - Mechanical
General Trading - Industrial Goods
General Trading - Office Supplies</v>
          </cell>
          <cell r="Y200" t="str">
            <v>GT</v>
          </cell>
        </row>
        <row r="201">
          <cell r="B201" t="str">
            <v>SOS International, Yayasan</v>
          </cell>
          <cell r="C201" t="str">
            <v/>
          </cell>
          <cell r="D201" t="str">
            <v/>
          </cell>
          <cell r="E201" t="str">
            <v/>
          </cell>
          <cell r="F201" t="str">
            <v>Jl. Puri Sakti No 10. Cipete. JakSel - 12410</v>
          </cell>
          <cell r="G201" t="str">
            <v>□</v>
          </cell>
          <cell r="H201" t="str">
            <v>□</v>
          </cell>
          <cell r="I201" t="str">
            <v>□</v>
          </cell>
          <cell r="J201" t="str">
            <v>□</v>
          </cell>
          <cell r="K201" t="str">
            <v>□</v>
          </cell>
          <cell r="L201" t="str">
            <v>□</v>
          </cell>
          <cell r="M201" t="str">
            <v>□</v>
          </cell>
          <cell r="N201" t="str">
            <v>□</v>
          </cell>
          <cell r="O201" t="str">
            <v>□</v>
          </cell>
          <cell r="P201" t="str">
            <v>□</v>
          </cell>
          <cell r="Q201" t="str">
            <v>□</v>
          </cell>
          <cell r="R201" t="str">
            <v>□</v>
          </cell>
          <cell r="S201" t="str">
            <v>□</v>
          </cell>
          <cell r="T201" t="str">
            <v>□</v>
          </cell>
          <cell r="U201" t="str">
            <v>NA</v>
          </cell>
          <cell r="V201" t="str">
            <v>No Register</v>
          </cell>
          <cell r="W201" t="str">
            <v/>
          </cell>
          <cell r="Y201" t="str">
            <v/>
          </cell>
        </row>
        <row r="202">
          <cell r="B202" t="str">
            <v>Eaglebrugmann Indonesia, PT</v>
          </cell>
          <cell r="C202" t="str">
            <v>mohamad.mufti@id.eagleburgmann.com; info@id.eagleburgmann.com; sales @id.eagleburgmann.com</v>
          </cell>
          <cell r="D202" t="str">
            <v>Ajis Suherlan</v>
          </cell>
          <cell r="E202" t="str">
            <v>0817191232; 081219128578; 021 8975728 (hunting)</v>
          </cell>
          <cell r="F202" t="str">
            <v>Kawasan East Jakarta Industrial Park Plot 7G-4 Sukaresmi, Cikarang Selatan, Bekasi - 17530</v>
          </cell>
          <cell r="G202" t="b">
            <v>0</v>
          </cell>
          <cell r="H202" t="b">
            <v>0</v>
          </cell>
          <cell r="I202" t="b">
            <v>0</v>
          </cell>
          <cell r="J202" t="b">
            <v>0</v>
          </cell>
          <cell r="K202" t="b">
            <v>0</v>
          </cell>
          <cell r="L202" t="b">
            <v>0</v>
          </cell>
          <cell r="M202" t="b">
            <v>0</v>
          </cell>
          <cell r="N202" t="b">
            <v>0</v>
          </cell>
          <cell r="O202" t="b">
            <v>0</v>
          </cell>
          <cell r="P202" t="b">
            <v>0</v>
          </cell>
          <cell r="Q202" t="b">
            <v>0</v>
          </cell>
          <cell r="R202" t="b">
            <v>0</v>
          </cell>
          <cell r="S202" t="b">
            <v>0</v>
          </cell>
          <cell r="T202" t="b">
            <v>0</v>
          </cell>
          <cell r="U202" t="str">
            <v>NA</v>
          </cell>
          <cell r="V202" t="str">
            <v>Register</v>
          </cell>
          <cell r="W202" t="str">
            <v/>
          </cell>
          <cell r="X202" t="str">
            <v>Service Jasa - Mechanical
Authorized Distributor</v>
          </cell>
          <cell r="Y202" t="str">
            <v>Eagle</v>
          </cell>
        </row>
        <row r="203">
          <cell r="B203" t="str">
            <v>Winn Metals, PT</v>
          </cell>
          <cell r="C203" t="str">
            <v/>
          </cell>
          <cell r="D203" t="str">
            <v/>
          </cell>
          <cell r="E203" t="str">
            <v/>
          </cell>
          <cell r="F203" t="str">
            <v>Gedung Menara Rajawali 23 Floor. Jl. Dr Ide Anak Agung Gde Agung. Jakarta - 12950</v>
          </cell>
          <cell r="G203" t="str">
            <v>□</v>
          </cell>
          <cell r="H203" t="str">
            <v>□</v>
          </cell>
          <cell r="I203" t="str">
            <v>□</v>
          </cell>
          <cell r="J203" t="str">
            <v>□</v>
          </cell>
          <cell r="K203" t="str">
            <v>□</v>
          </cell>
          <cell r="L203" t="str">
            <v>□</v>
          </cell>
          <cell r="M203" t="str">
            <v>□</v>
          </cell>
          <cell r="N203" t="str">
            <v>□</v>
          </cell>
          <cell r="O203" t="str">
            <v>□</v>
          </cell>
          <cell r="P203" t="str">
            <v>□</v>
          </cell>
          <cell r="Q203" t="str">
            <v>□</v>
          </cell>
          <cell r="R203" t="str">
            <v>□</v>
          </cell>
          <cell r="S203" t="str">
            <v>□</v>
          </cell>
          <cell r="T203" t="str">
            <v>□</v>
          </cell>
          <cell r="U203" t="str">
            <v>NA</v>
          </cell>
          <cell r="V203" t="str">
            <v>No Register</v>
          </cell>
          <cell r="W203" t="str">
            <v/>
          </cell>
          <cell r="Y203" t="str">
            <v/>
          </cell>
        </row>
        <row r="204">
          <cell r="B204" t="str">
            <v>Indolok Bakti Utama, PT</v>
          </cell>
          <cell r="C204" t="str">
            <v>Rasyid.Karami@Gunnebo.com;Sales.Banjarmasin@Gunnebo.com</v>
          </cell>
          <cell r="D204" t="str">
            <v>Rasyid K</v>
          </cell>
          <cell r="E204" t="str">
            <v>0811518383</v>
          </cell>
          <cell r="F204" t="str">
            <v>Jl. Salemba Raya No. 32 . Kenari. Senen Jakarta Pusat.</v>
          </cell>
          <cell r="G204" t="str">
            <v>□</v>
          </cell>
          <cell r="H204" t="str">
            <v>□</v>
          </cell>
          <cell r="I204" t="str">
            <v>□</v>
          </cell>
          <cell r="J204" t="str">
            <v>□</v>
          </cell>
          <cell r="K204" t="str">
            <v>□</v>
          </cell>
          <cell r="L204" t="str">
            <v>□</v>
          </cell>
          <cell r="M204" t="str">
            <v>□</v>
          </cell>
          <cell r="N204" t="str">
            <v>□</v>
          </cell>
          <cell r="O204" t="str">
            <v>□</v>
          </cell>
          <cell r="P204" t="str">
            <v>□</v>
          </cell>
          <cell r="Q204" t="str">
            <v>□</v>
          </cell>
          <cell r="R204" t="str">
            <v>□</v>
          </cell>
          <cell r="S204" t="str">
            <v>□</v>
          </cell>
          <cell r="T204" t="str">
            <v>□</v>
          </cell>
          <cell r="U204" t="str">
            <v>NA</v>
          </cell>
          <cell r="V204" t="str">
            <v>No Register</v>
          </cell>
          <cell r="W204" t="str">
            <v/>
          </cell>
          <cell r="Y204" t="str">
            <v/>
          </cell>
        </row>
        <row r="205">
          <cell r="B205" t="str">
            <v>Mandiri Dinamika Sejahtera, PT</v>
          </cell>
          <cell r="C205" t="str">
            <v>sudrajat.aryadi@mdtera.com</v>
          </cell>
          <cell r="D205" t="str">
            <v>Sudrajat</v>
          </cell>
          <cell r="F205" t="str">
            <v>Jl. Villa Jatirasa No. 30A. RT 02 RW.07. Kebantenan . Jatiasih . Bekasi - 17423</v>
          </cell>
          <cell r="G205" t="str">
            <v>□</v>
          </cell>
          <cell r="H205" t="str">
            <v>□</v>
          </cell>
          <cell r="I205" t="str">
            <v>□</v>
          </cell>
          <cell r="J205" t="str">
            <v>□</v>
          </cell>
          <cell r="K205" t="str">
            <v>□</v>
          </cell>
          <cell r="L205" t="str">
            <v>□</v>
          </cell>
          <cell r="M205" t="str">
            <v>□</v>
          </cell>
          <cell r="N205" t="str">
            <v>□</v>
          </cell>
          <cell r="O205" t="str">
            <v>□</v>
          </cell>
          <cell r="P205" t="str">
            <v>□</v>
          </cell>
          <cell r="Q205" t="str">
            <v>□</v>
          </cell>
          <cell r="R205" t="str">
            <v>□</v>
          </cell>
          <cell r="S205" t="str">
            <v>□</v>
          </cell>
          <cell r="T205" t="str">
            <v>□</v>
          </cell>
          <cell r="U205" t="str">
            <v>NA</v>
          </cell>
          <cell r="V205" t="str">
            <v>No Register</v>
          </cell>
          <cell r="W205" t="str">
            <v/>
          </cell>
          <cell r="Y205" t="str">
            <v/>
          </cell>
        </row>
        <row r="206">
          <cell r="B206" t="str">
            <v>Megatradindo Internasional, PT</v>
          </cell>
          <cell r="C206" t="str">
            <v>megatradindo@yahoo.co.id</v>
          </cell>
          <cell r="D206" t="str">
            <v>Fuad</v>
          </cell>
          <cell r="F206" t="str">
            <v>JL. Transyogie Km. 4. Grand Cibubur. Blok E No 11. Bekasi - 17434</v>
          </cell>
          <cell r="G206" t="b">
            <v>1</v>
          </cell>
          <cell r="H206" t="b">
            <v>0</v>
          </cell>
          <cell r="I206" t="b">
            <v>0</v>
          </cell>
          <cell r="J206" t="b">
            <v>0</v>
          </cell>
          <cell r="K206" t="b">
            <v>0</v>
          </cell>
          <cell r="L206" t="b">
            <v>0</v>
          </cell>
          <cell r="M206" t="b">
            <v>0</v>
          </cell>
          <cell r="N206" t="b">
            <v>0</v>
          </cell>
          <cell r="O206" t="b">
            <v>0</v>
          </cell>
          <cell r="P206" t="b">
            <v>0</v>
          </cell>
          <cell r="Q206" t="b">
            <v>0</v>
          </cell>
          <cell r="R206" t="b">
            <v>0</v>
          </cell>
          <cell r="S206" t="b">
            <v>1</v>
          </cell>
          <cell r="T206" t="b">
            <v>0</v>
          </cell>
          <cell r="U206" t="str">
            <v>NA</v>
          </cell>
          <cell r="V206" t="str">
            <v>No Register</v>
          </cell>
          <cell r="W206" t="str">
            <v>GT - ME</v>
          </cell>
          <cell r="X206" t="str">
            <v>General Trading - Mechanical</v>
          </cell>
          <cell r="Y206" t="str">
            <v/>
          </cell>
        </row>
        <row r="207">
          <cell r="B207" t="str">
            <v>Sinergi Bersama Mandiri, PT</v>
          </cell>
          <cell r="C207" t="str">
            <v>andri@sinergi.co.id</v>
          </cell>
          <cell r="D207" t="str">
            <v>Andi Saputra</v>
          </cell>
          <cell r="F207" t="str">
            <v>Jl. Terusan Pasir Koja No. 261. Kota Bandung. Jawa Barat</v>
          </cell>
          <cell r="G207" t="b">
            <v>0</v>
          </cell>
          <cell r="H207" t="b">
            <v>1</v>
          </cell>
          <cell r="I207" t="b">
            <v>0</v>
          </cell>
          <cell r="J207" t="b">
            <v>0</v>
          </cell>
          <cell r="K207" t="b">
            <v>0</v>
          </cell>
          <cell r="L207" t="b">
            <v>0</v>
          </cell>
          <cell r="M207" t="b">
            <v>0</v>
          </cell>
          <cell r="N207" t="b">
            <v>0</v>
          </cell>
          <cell r="O207" t="b">
            <v>0</v>
          </cell>
          <cell r="P207" t="b">
            <v>0</v>
          </cell>
          <cell r="Q207" t="b">
            <v>0</v>
          </cell>
          <cell r="R207" t="b">
            <v>0</v>
          </cell>
          <cell r="S207" t="b">
            <v>1</v>
          </cell>
          <cell r="T207" t="b">
            <v>0</v>
          </cell>
          <cell r="U207" t="str">
            <v>NA</v>
          </cell>
          <cell r="V207" t="str">
            <v>No Register</v>
          </cell>
          <cell r="W207" t="str">
            <v/>
          </cell>
          <cell r="X207" t="str">
            <v>General Trading - Elektrical</v>
          </cell>
          <cell r="Y207" t="str">
            <v/>
          </cell>
        </row>
        <row r="208">
          <cell r="B208" t="str">
            <v>Total Prime Engineering, PT</v>
          </cell>
          <cell r="C208" t="str">
            <v>support.jkt3@total-prime.com; support.jkt@total-prime.com; sales.balikpapan3@total-prime.com; yoli.oktory@total-prime.com; rusdianto@total-prime.com</v>
          </cell>
          <cell r="D208" t="str">
            <v>Adelaine Chyndi</v>
          </cell>
          <cell r="E208" t="str">
            <v>081533366264</v>
          </cell>
          <cell r="F208" t="str">
            <v>Jl. Kedoya Raya No. 1. Kedoya Selatan. Kebon Jeruk. Jakarta Barat -11520</v>
          </cell>
          <cell r="G208" t="b">
            <v>1</v>
          </cell>
          <cell r="H208" t="b">
            <v>0</v>
          </cell>
          <cell r="I208" t="b">
            <v>0</v>
          </cell>
          <cell r="J208" t="b">
            <v>0</v>
          </cell>
          <cell r="K208" t="b">
            <v>1</v>
          </cell>
          <cell r="L208" t="b">
            <v>0</v>
          </cell>
          <cell r="M208" t="b">
            <v>1</v>
          </cell>
          <cell r="N208" t="b">
            <v>0</v>
          </cell>
          <cell r="O208" t="b">
            <v>0</v>
          </cell>
          <cell r="P208" t="b">
            <v>0</v>
          </cell>
          <cell r="Q208" t="b">
            <v>0</v>
          </cell>
          <cell r="R208" t="b">
            <v>0</v>
          </cell>
          <cell r="S208" t="b">
            <v>1</v>
          </cell>
          <cell r="T208" t="b">
            <v>0</v>
          </cell>
          <cell r="U208" t="str">
            <v>A</v>
          </cell>
          <cell r="V208" t="str">
            <v>Register</v>
          </cell>
          <cell r="W208" t="str">
            <v>GT - ME</v>
          </cell>
          <cell r="X208" t="str">
            <v>General Trading - Mechanical
General Trading - HSE</v>
          </cell>
          <cell r="Y208" t="str">
            <v/>
          </cell>
        </row>
        <row r="209">
          <cell r="B209" t="str">
            <v>YO Engineering, CV</v>
          </cell>
          <cell r="C209" t="str">
            <v>yoengineering@gmail.com</v>
          </cell>
          <cell r="E209" t="str">
            <v>082337513153</v>
          </cell>
          <cell r="F209" t="str">
            <v>Tenggilis Timur VII No. 44. Surabaya.</v>
          </cell>
          <cell r="G209" t="b">
            <v>0</v>
          </cell>
          <cell r="H209" t="b">
            <v>0</v>
          </cell>
          <cell r="I209" t="b">
            <v>0</v>
          </cell>
          <cell r="J209" t="b">
            <v>0</v>
          </cell>
          <cell r="K209" t="b">
            <v>0</v>
          </cell>
          <cell r="L209" t="b">
            <v>0</v>
          </cell>
          <cell r="M209" t="b">
            <v>0</v>
          </cell>
          <cell r="N209" t="b">
            <v>0</v>
          </cell>
          <cell r="O209" t="b">
            <v>0</v>
          </cell>
          <cell r="P209" t="b">
            <v>0</v>
          </cell>
          <cell r="Q209" t="b">
            <v>0</v>
          </cell>
          <cell r="R209" t="b">
            <v>0</v>
          </cell>
          <cell r="S209" t="b">
            <v>0</v>
          </cell>
          <cell r="T209" t="b">
            <v>0</v>
          </cell>
          <cell r="U209" t="str">
            <v>NA</v>
          </cell>
          <cell r="V209" t="str">
            <v>No Register</v>
          </cell>
          <cell r="W209" t="str">
            <v/>
          </cell>
          <cell r="Y209" t="str">
            <v/>
          </cell>
        </row>
        <row r="210">
          <cell r="B210" t="str">
            <v>Cakra Perkasa Jayamulia, PT</v>
          </cell>
          <cell r="C210" t="str">
            <v>cakra.tanjung@gmail.com; Joko.cpjtjg@gmail.com; Cpj-tjg@cakraperkasa.com</v>
          </cell>
          <cell r="D210" t="str">
            <v>Joko</v>
          </cell>
          <cell r="E210" t="str">
            <v>082153566357</v>
          </cell>
          <cell r="F210" t="str">
            <v>Jl. A Yani KM. 13,5 RT 005. Sungai Kupang. Gambut. Banjar - 70652</v>
          </cell>
          <cell r="G210" t="b">
            <v>1</v>
          </cell>
          <cell r="H210" t="b">
            <v>0</v>
          </cell>
          <cell r="I210" t="b">
            <v>0</v>
          </cell>
          <cell r="J210" t="b">
            <v>0</v>
          </cell>
          <cell r="K210" t="b">
            <v>0</v>
          </cell>
          <cell r="L210" t="b">
            <v>0</v>
          </cell>
          <cell r="M210" t="b">
            <v>0</v>
          </cell>
          <cell r="N210" t="b">
            <v>0</v>
          </cell>
          <cell r="O210" t="b">
            <v>0</v>
          </cell>
          <cell r="P210" t="b">
            <v>0</v>
          </cell>
          <cell r="Q210" t="b">
            <v>0</v>
          </cell>
          <cell r="R210" t="b">
            <v>0</v>
          </cell>
          <cell r="S210" t="b">
            <v>0</v>
          </cell>
          <cell r="T210" t="b">
            <v>0</v>
          </cell>
          <cell r="U210" t="str">
            <v>NA</v>
          </cell>
          <cell r="V210" t="str">
            <v>Register</v>
          </cell>
          <cell r="W210" t="str">
            <v/>
          </cell>
          <cell r="X210" t="str">
            <v>Service Jasa - Mechanical</v>
          </cell>
          <cell r="Y210" t="str">
            <v>Fabrikasi shaft</v>
          </cell>
        </row>
        <row r="211">
          <cell r="B211" t="str">
            <v>Benteng Api Technic, PT</v>
          </cell>
          <cell r="C211" t="str">
            <v>dimas@bentengapi.com</v>
          </cell>
          <cell r="D211" t="str">
            <v>Dimas</v>
          </cell>
          <cell r="E211" t="str">
            <v>08113084847</v>
          </cell>
          <cell r="F211" t="str">
            <v>Jl. Kebraon 2 No. 103A. Surabaya - 6022</v>
          </cell>
          <cell r="G211" t="b">
            <v>1</v>
          </cell>
          <cell r="H211" t="b">
            <v>0</v>
          </cell>
          <cell r="I211" t="b">
            <v>0</v>
          </cell>
          <cell r="J211" t="b">
            <v>0</v>
          </cell>
          <cell r="K211" t="b">
            <v>0</v>
          </cell>
          <cell r="L211" t="b">
            <v>0</v>
          </cell>
          <cell r="M211" t="b">
            <v>0</v>
          </cell>
          <cell r="N211" t="b">
            <v>1</v>
          </cell>
          <cell r="O211" t="b">
            <v>0</v>
          </cell>
          <cell r="P211" t="b">
            <v>0</v>
          </cell>
          <cell r="Q211" t="b">
            <v>0</v>
          </cell>
          <cell r="R211" t="b">
            <v>0</v>
          </cell>
          <cell r="S211" t="b">
            <v>0</v>
          </cell>
          <cell r="T211" t="b">
            <v>0</v>
          </cell>
          <cell r="U211" t="str">
            <v>NA</v>
          </cell>
          <cell r="V211" t="str">
            <v>Register</v>
          </cell>
          <cell r="W211" t="str">
            <v/>
          </cell>
          <cell r="X211" t="str">
            <v>Service Jasa - Maintenance</v>
          </cell>
          <cell r="Y211" t="str">
            <v/>
          </cell>
        </row>
        <row r="212">
          <cell r="B212" t="str">
            <v>Antares Jaya Gemilang Prima, PT</v>
          </cell>
          <cell r="C212" t="str">
            <v>info@pt-antares.com; antares.jgp@gmail.com</v>
          </cell>
          <cell r="D212" t="str">
            <v>Sely</v>
          </cell>
          <cell r="E212" t="str">
            <v>081515659565</v>
          </cell>
          <cell r="F212" t="str">
            <v>Ruko Deltasari Indah AN-34. Kureksari Waru.</v>
          </cell>
          <cell r="G212" t="b">
            <v>0</v>
          </cell>
          <cell r="H212" t="b">
            <v>1</v>
          </cell>
          <cell r="I212" t="b">
            <v>1</v>
          </cell>
          <cell r="J212" t="b">
            <v>0</v>
          </cell>
          <cell r="K212" t="b">
            <v>0</v>
          </cell>
          <cell r="L212" t="b">
            <v>0</v>
          </cell>
          <cell r="M212" t="b">
            <v>1</v>
          </cell>
          <cell r="N212" t="b">
            <v>0</v>
          </cell>
          <cell r="O212" t="b">
            <v>0</v>
          </cell>
          <cell r="P212" t="b">
            <v>0</v>
          </cell>
          <cell r="Q212" t="b">
            <v>0</v>
          </cell>
          <cell r="R212" t="b">
            <v>0</v>
          </cell>
          <cell r="S212" t="b">
            <v>1</v>
          </cell>
          <cell r="T212" t="b">
            <v>0</v>
          </cell>
          <cell r="U212" t="str">
            <v>A</v>
          </cell>
          <cell r="V212" t="str">
            <v>Register</v>
          </cell>
          <cell r="W212" t="str">
            <v>GT - IC</v>
          </cell>
          <cell r="X212" t="str">
            <v>General Trading - Elektrical
General Trading - Instrument</v>
          </cell>
          <cell r="Y212" t="str">
            <v>Electrical</v>
          </cell>
        </row>
        <row r="213">
          <cell r="B213" t="str">
            <v>Victor Teknologi Indonesia, PT</v>
          </cell>
          <cell r="C213" t="str">
            <v/>
          </cell>
          <cell r="D213" t="str">
            <v/>
          </cell>
          <cell r="E213" t="str">
            <v/>
          </cell>
          <cell r="F213" t="str">
            <v>Jl. Akasia II Blok A-05. No. 10A. Delta Silicon. Cikarang - Bekasi - 17550</v>
          </cell>
          <cell r="G213" t="str">
            <v>□</v>
          </cell>
          <cell r="H213" t="str">
            <v>□</v>
          </cell>
          <cell r="I213" t="str">
            <v>□</v>
          </cell>
          <cell r="J213" t="str">
            <v>□</v>
          </cell>
          <cell r="K213" t="str">
            <v>□</v>
          </cell>
          <cell r="L213" t="str">
            <v>□</v>
          </cell>
          <cell r="M213" t="str">
            <v>□</v>
          </cell>
          <cell r="N213" t="str">
            <v>□</v>
          </cell>
          <cell r="O213" t="str">
            <v>□</v>
          </cell>
          <cell r="P213" t="str">
            <v>□</v>
          </cell>
          <cell r="Q213" t="str">
            <v>□</v>
          </cell>
          <cell r="R213" t="str">
            <v>□</v>
          </cell>
          <cell r="S213" t="str">
            <v>□</v>
          </cell>
          <cell r="T213" t="str">
            <v>□</v>
          </cell>
          <cell r="U213" t="str">
            <v>NA</v>
          </cell>
          <cell r="V213" t="str">
            <v>No Register</v>
          </cell>
          <cell r="W213" t="str">
            <v/>
          </cell>
          <cell r="Y213" t="str">
            <v/>
          </cell>
        </row>
        <row r="214">
          <cell r="B214" t="str">
            <v>Putranata Adi Mandiri, PT</v>
          </cell>
          <cell r="C214" t="str">
            <v>sales@putranata.com; pampruf@cbn.net.id</v>
          </cell>
          <cell r="D214" t="str">
            <v/>
          </cell>
          <cell r="E214" t="str">
            <v/>
          </cell>
          <cell r="F214" t="str">
            <v>Grand Slipi Tower Jl. S. Parman Kav. 22-24. Level 43. Slipi. Jakarta - 11480</v>
          </cell>
          <cell r="G214" t="b">
            <v>1</v>
          </cell>
          <cell r="H214" t="b">
            <v>0</v>
          </cell>
          <cell r="I214" t="b">
            <v>0</v>
          </cell>
          <cell r="J214" t="b">
            <v>0</v>
          </cell>
          <cell r="K214" t="b">
            <v>0</v>
          </cell>
          <cell r="L214" t="b">
            <v>0</v>
          </cell>
          <cell r="M214" t="b">
            <v>0</v>
          </cell>
          <cell r="N214" t="b">
            <v>1</v>
          </cell>
          <cell r="O214" t="b">
            <v>0</v>
          </cell>
          <cell r="P214" t="b">
            <v>0</v>
          </cell>
          <cell r="Q214" t="b">
            <v>0</v>
          </cell>
          <cell r="R214" t="b">
            <v>0</v>
          </cell>
          <cell r="S214" t="b">
            <v>0</v>
          </cell>
          <cell r="T214" t="b">
            <v>0</v>
          </cell>
          <cell r="U214" t="str">
            <v>NA</v>
          </cell>
          <cell r="V214" t="str">
            <v>No Register</v>
          </cell>
          <cell r="W214" t="str">
            <v/>
          </cell>
          <cell r="X214" t="str">
            <v>Service Jasa - Electrical</v>
          </cell>
          <cell r="Y214" t="str">
            <v xml:space="preserve">Service </v>
          </cell>
        </row>
        <row r="215">
          <cell r="B215" t="str">
            <v>Tabalong Inti Mitra, PT</v>
          </cell>
          <cell r="C215" t="str">
            <v>cv.tabalong@yahoo.co.id; fauziannor@gmail.com; Ulfamuzdalifah24@gmail.com; restiawan.wery@gmail.com</v>
          </cell>
          <cell r="D215" t="str">
            <v>Fauziannor</v>
          </cell>
          <cell r="E215" t="str">
            <v>081351021122</v>
          </cell>
          <cell r="F215" t="str">
            <v>Jl. IR PHM Noor RT 004 No. 1A. Pembataan. Tanjung - 71571</v>
          </cell>
          <cell r="G215" t="b">
            <v>0</v>
          </cell>
          <cell r="H215" t="b">
            <v>0</v>
          </cell>
          <cell r="I215" t="b">
            <v>0</v>
          </cell>
          <cell r="J215" t="b">
            <v>0</v>
          </cell>
          <cell r="K215" t="b">
            <v>0</v>
          </cell>
          <cell r="L215" t="b">
            <v>0</v>
          </cell>
          <cell r="M215" t="b">
            <v>0</v>
          </cell>
          <cell r="N215" t="b">
            <v>1</v>
          </cell>
          <cell r="O215" t="b">
            <v>0</v>
          </cell>
          <cell r="P215" t="b">
            <v>0</v>
          </cell>
          <cell r="Q215" t="b">
            <v>0</v>
          </cell>
          <cell r="R215" t="b">
            <v>0</v>
          </cell>
          <cell r="S215" t="b">
            <v>0</v>
          </cell>
          <cell r="T215" t="b">
            <v>0</v>
          </cell>
          <cell r="U215" t="str">
            <v>NA</v>
          </cell>
          <cell r="V215" t="str">
            <v>Register</v>
          </cell>
          <cell r="W215" t="str">
            <v>SJ</v>
          </cell>
          <cell r="X215" t="str">
            <v>Service Jasa</v>
          </cell>
          <cell r="Y215" t="str">
            <v/>
          </cell>
        </row>
        <row r="216">
          <cell r="B216" t="str">
            <v>Unggul Tekno Filter, PT</v>
          </cell>
          <cell r="C216" t="str">
            <v>info@utfindo.com; andrew.narmada@utfindo.com</v>
          </cell>
          <cell r="D216" t="str">
            <v>Andrew</v>
          </cell>
          <cell r="F216" t="str">
            <v>Komplek Pergudangan Arcadia Blok G 9 No. 8A. Batu Ceper. Tangerang - 15122</v>
          </cell>
          <cell r="G216" t="str">
            <v>□</v>
          </cell>
          <cell r="H216" t="str">
            <v>□</v>
          </cell>
          <cell r="I216" t="str">
            <v>□</v>
          </cell>
          <cell r="J216" t="str">
            <v>□</v>
          </cell>
          <cell r="K216" t="str">
            <v>□</v>
          </cell>
          <cell r="L216" t="str">
            <v>□</v>
          </cell>
          <cell r="M216" t="str">
            <v>□</v>
          </cell>
          <cell r="N216" t="str">
            <v>□</v>
          </cell>
          <cell r="O216" t="str">
            <v>□</v>
          </cell>
          <cell r="P216" t="str">
            <v>□</v>
          </cell>
          <cell r="Q216" t="str">
            <v>□</v>
          </cell>
          <cell r="R216" t="str">
            <v>□</v>
          </cell>
          <cell r="S216" t="str">
            <v>□</v>
          </cell>
          <cell r="T216" t="str">
            <v>□</v>
          </cell>
          <cell r="U216" t="str">
            <v>NA</v>
          </cell>
          <cell r="V216" t="str">
            <v>No Register</v>
          </cell>
          <cell r="W216" t="str">
            <v/>
          </cell>
          <cell r="Y216" t="str">
            <v/>
          </cell>
        </row>
        <row r="217">
          <cell r="B217" t="str">
            <v>Endress+Hauser Indonesia, PT</v>
          </cell>
          <cell r="C217" t="str">
            <v>ivena.faustina@endress.com; amin.tohari@endress.com</v>
          </cell>
          <cell r="D217" t="str">
            <v/>
          </cell>
          <cell r="E217" t="str">
            <v/>
          </cell>
          <cell r="F217" t="str">
            <v>Tempo Scan Tower 29th &amp; B2 Floor Jl. HR Rasuna Said Kav. 3-4 Jakarta</v>
          </cell>
          <cell r="G217" t="b">
            <v>0</v>
          </cell>
          <cell r="H217" t="b">
            <v>1</v>
          </cell>
          <cell r="I217" t="b">
            <v>0</v>
          </cell>
          <cell r="J217" t="b">
            <v>0</v>
          </cell>
          <cell r="K217" t="b">
            <v>0</v>
          </cell>
          <cell r="L217" t="b">
            <v>0</v>
          </cell>
          <cell r="M217" t="b">
            <v>0</v>
          </cell>
          <cell r="N217" t="b">
            <v>0</v>
          </cell>
          <cell r="O217" t="b">
            <v>0</v>
          </cell>
          <cell r="P217" t="b">
            <v>0</v>
          </cell>
          <cell r="Q217" t="b">
            <v>0</v>
          </cell>
          <cell r="R217" t="b">
            <v>0</v>
          </cell>
          <cell r="S217" t="b">
            <v>0</v>
          </cell>
          <cell r="T217" t="b">
            <v>0</v>
          </cell>
          <cell r="U217" t="str">
            <v>NA</v>
          </cell>
          <cell r="V217" t="str">
            <v>Register</v>
          </cell>
          <cell r="W217" t="str">
            <v>GT - IC</v>
          </cell>
          <cell r="X217" t="str">
            <v>General Trading - Instrument
General Trading - Elektrical</v>
          </cell>
          <cell r="Y217" t="str">
            <v/>
          </cell>
        </row>
        <row r="218">
          <cell r="B218" t="str">
            <v>Berkah Mandiri Utama, CV</v>
          </cell>
          <cell r="C218" t="str">
            <v>berkahmandiriutama.group@gmail.com</v>
          </cell>
          <cell r="D218" t="str">
            <v>Aliansyah</v>
          </cell>
          <cell r="E218" t="str">
            <v>081348441366</v>
          </cell>
          <cell r="F218" t="str">
            <v>Jl. A. Yani RT 004 D5. Maburai Kec. Murungpudak. Kab. Tabalong - KalSel -71571</v>
          </cell>
          <cell r="G218" t="b">
            <v>0</v>
          </cell>
          <cell r="H218" t="b">
            <v>0</v>
          </cell>
          <cell r="I218" t="b">
            <v>0</v>
          </cell>
          <cell r="J218" t="b">
            <v>0</v>
          </cell>
          <cell r="K218" t="b">
            <v>0</v>
          </cell>
          <cell r="L218" t="b">
            <v>0</v>
          </cell>
          <cell r="M218" t="b">
            <v>0</v>
          </cell>
          <cell r="N218" t="b">
            <v>1</v>
          </cell>
          <cell r="O218" t="b">
            <v>0</v>
          </cell>
          <cell r="P218" t="b">
            <v>0</v>
          </cell>
          <cell r="Q218" t="b">
            <v>0</v>
          </cell>
          <cell r="R218" t="b">
            <v>0</v>
          </cell>
          <cell r="S218" t="b">
            <v>0</v>
          </cell>
          <cell r="T218" t="b">
            <v>0</v>
          </cell>
          <cell r="U218" t="str">
            <v>NA</v>
          </cell>
          <cell r="V218" t="str">
            <v>Register</v>
          </cell>
          <cell r="W218" t="str">
            <v/>
          </cell>
          <cell r="X218" t="str">
            <v>Service Jasa - Maintenance</v>
          </cell>
          <cell r="Y218" t="str">
            <v/>
          </cell>
        </row>
        <row r="219">
          <cell r="B219" t="str">
            <v>Mitra Buana Komputindo, PT</v>
          </cell>
          <cell r="C219" t="str">
            <v/>
          </cell>
          <cell r="D219" t="str">
            <v/>
          </cell>
          <cell r="E219" t="str">
            <v/>
          </cell>
          <cell r="F219" t="str">
            <v>Jl. KH Zainul Arifin No. 20. JakBar - 11140</v>
          </cell>
          <cell r="G219" t="str">
            <v>□</v>
          </cell>
          <cell r="H219" t="str">
            <v>□</v>
          </cell>
          <cell r="I219" t="str">
            <v>□</v>
          </cell>
          <cell r="J219" t="str">
            <v>□</v>
          </cell>
          <cell r="K219" t="str">
            <v>□</v>
          </cell>
          <cell r="L219" t="str">
            <v>□</v>
          </cell>
          <cell r="M219" t="str">
            <v>□</v>
          </cell>
          <cell r="N219" t="str">
            <v>□</v>
          </cell>
          <cell r="O219" t="str">
            <v>□</v>
          </cell>
          <cell r="P219" t="str">
            <v>□</v>
          </cell>
          <cell r="Q219" t="str">
            <v>□</v>
          </cell>
          <cell r="R219" t="str">
            <v>□</v>
          </cell>
          <cell r="S219" t="str">
            <v>□</v>
          </cell>
          <cell r="T219" t="str">
            <v>□</v>
          </cell>
          <cell r="U219" t="str">
            <v>NA</v>
          </cell>
          <cell r="V219" t="str">
            <v>No Register</v>
          </cell>
          <cell r="W219" t="str">
            <v/>
          </cell>
          <cell r="Y219" t="str">
            <v/>
          </cell>
        </row>
        <row r="220">
          <cell r="B220" t="str">
            <v>Dayaniaga Ekaselaras, PT</v>
          </cell>
          <cell r="C220" t="str">
            <v>info@dayaniaga.com</v>
          </cell>
          <cell r="D220" t="str">
            <v>Gunawan</v>
          </cell>
          <cell r="E220" t="str">
            <v>082112930512</v>
          </cell>
          <cell r="F220" t="str">
            <v>Perkantoran Kebon Jeruk Baru Blok A/17. JakBar - 11530</v>
          </cell>
          <cell r="G220" t="b">
            <v>0</v>
          </cell>
          <cell r="H220" t="b">
            <v>0</v>
          </cell>
          <cell r="I220" t="b">
            <v>0</v>
          </cell>
          <cell r="J220" t="b">
            <v>0</v>
          </cell>
          <cell r="K220" t="b">
            <v>0</v>
          </cell>
          <cell r="L220" t="b">
            <v>0</v>
          </cell>
          <cell r="M220" t="b">
            <v>0</v>
          </cell>
          <cell r="N220" t="b">
            <v>0</v>
          </cell>
          <cell r="O220" t="b">
            <v>0</v>
          </cell>
          <cell r="P220" t="b">
            <v>0</v>
          </cell>
          <cell r="Q220" t="b">
            <v>0</v>
          </cell>
          <cell r="R220" t="b">
            <v>0</v>
          </cell>
          <cell r="S220" t="b">
            <v>0</v>
          </cell>
          <cell r="T220" t="b">
            <v>0</v>
          </cell>
          <cell r="U220" t="str">
            <v>A</v>
          </cell>
          <cell r="V220" t="str">
            <v>Register</v>
          </cell>
          <cell r="W220" t="str">
            <v>GT - IC</v>
          </cell>
          <cell r="X220" t="str">
            <v>General Trading - Instrument
General Trading - Elektrical</v>
          </cell>
          <cell r="Y220" t="str">
            <v/>
          </cell>
        </row>
        <row r="221">
          <cell r="B221" t="str">
            <v>Percetakan Tulip</v>
          </cell>
          <cell r="C221" t="str">
            <v/>
          </cell>
          <cell r="D221" t="str">
            <v/>
          </cell>
          <cell r="E221" t="str">
            <v/>
          </cell>
          <cell r="F221" t="str">
            <v>Jl. Kalibaru Barat No. 34. Jakarta Pusat - 10460</v>
          </cell>
          <cell r="G221" t="str">
            <v>□</v>
          </cell>
          <cell r="H221" t="str">
            <v>□</v>
          </cell>
          <cell r="I221" t="str">
            <v>□</v>
          </cell>
          <cell r="J221" t="str">
            <v>□</v>
          </cell>
          <cell r="K221" t="str">
            <v>□</v>
          </cell>
          <cell r="L221" t="str">
            <v>□</v>
          </cell>
          <cell r="M221" t="str">
            <v>□</v>
          </cell>
          <cell r="N221" t="str">
            <v>□</v>
          </cell>
          <cell r="O221" t="str">
            <v>□</v>
          </cell>
          <cell r="P221" t="str">
            <v>□</v>
          </cell>
          <cell r="Q221" t="str">
            <v>□</v>
          </cell>
          <cell r="R221" t="str">
            <v>□</v>
          </cell>
          <cell r="S221" t="str">
            <v>□</v>
          </cell>
          <cell r="T221" t="str">
            <v>□</v>
          </cell>
          <cell r="U221" t="str">
            <v>NA</v>
          </cell>
          <cell r="V221" t="str">
            <v>No Register</v>
          </cell>
          <cell r="W221" t="str">
            <v/>
          </cell>
          <cell r="Y221" t="str">
            <v/>
          </cell>
        </row>
        <row r="222">
          <cell r="B222" t="str">
            <v>Arthapusaka Mitra Sakti, PT</v>
          </cell>
          <cell r="C222" t="str">
            <v>putu@ptapms.com; acc.bjm@ptapms.com</v>
          </cell>
          <cell r="D222" t="str">
            <v>Putu</v>
          </cell>
          <cell r="E222" t="str">
            <v>087777543378</v>
          </cell>
          <cell r="F222" t="str">
            <v>Jl. Soekarna-Hatta Km. 13.5 No. 29 RT 47, Balikpapan - 76127</v>
          </cell>
          <cell r="G222" t="b">
            <v>0</v>
          </cell>
          <cell r="H222" t="b">
            <v>0</v>
          </cell>
          <cell r="I222" t="b">
            <v>0</v>
          </cell>
          <cell r="J222" t="b">
            <v>0</v>
          </cell>
          <cell r="K222" t="b">
            <v>0</v>
          </cell>
          <cell r="L222" t="b">
            <v>0</v>
          </cell>
          <cell r="M222" t="b">
            <v>1</v>
          </cell>
          <cell r="N222" t="b">
            <v>0</v>
          </cell>
          <cell r="O222" t="b">
            <v>0</v>
          </cell>
          <cell r="P222" t="b">
            <v>0</v>
          </cell>
          <cell r="Q222" t="b">
            <v>0</v>
          </cell>
          <cell r="R222" t="b">
            <v>0</v>
          </cell>
          <cell r="S222" t="b">
            <v>0</v>
          </cell>
          <cell r="T222" t="b">
            <v>0</v>
          </cell>
          <cell r="U222" t="str">
            <v>A</v>
          </cell>
          <cell r="V222" t="str">
            <v>Register</v>
          </cell>
          <cell r="W222" t="str">
            <v/>
          </cell>
          <cell r="X222" t="str">
            <v>Utilities - Lubricant &amp; Industrial Oil</v>
          </cell>
          <cell r="Y222" t="str">
            <v>Distributor Exxon Mobil</v>
          </cell>
        </row>
        <row r="223">
          <cell r="B223" t="str">
            <v>Andalan Tiga Berlian, PT</v>
          </cell>
          <cell r="C223" t="str">
            <v>basuki@ptatb.co.id; dinda.sabilah@ptatb.co.id; sales@ptatb.co.id; denny.suria@ptatb.co.id</v>
          </cell>
          <cell r="D223" t="str">
            <v>Basuki</v>
          </cell>
          <cell r="E223" t="str">
            <v>081219645336</v>
          </cell>
          <cell r="F223" t="str">
            <v>Ruko Grand Shopping Arcade Blok B8/DH. JakBar</v>
          </cell>
          <cell r="G223" t="b">
            <v>1</v>
          </cell>
          <cell r="H223" t="b">
            <v>0</v>
          </cell>
          <cell r="I223" t="b">
            <v>0</v>
          </cell>
          <cell r="J223" t="b">
            <v>0</v>
          </cell>
          <cell r="K223" t="b">
            <v>0</v>
          </cell>
          <cell r="L223" t="b">
            <v>0</v>
          </cell>
          <cell r="M223" t="b">
            <v>0</v>
          </cell>
          <cell r="N223" t="b">
            <v>0</v>
          </cell>
          <cell r="O223" t="b">
            <v>0</v>
          </cell>
          <cell r="P223" t="b">
            <v>0</v>
          </cell>
          <cell r="Q223" t="b">
            <v>0</v>
          </cell>
          <cell r="R223" t="b">
            <v>0</v>
          </cell>
          <cell r="S223" t="b">
            <v>0</v>
          </cell>
          <cell r="T223" t="b">
            <v>0</v>
          </cell>
          <cell r="U223" t="str">
            <v>A</v>
          </cell>
          <cell r="V223" t="str">
            <v>Register</v>
          </cell>
          <cell r="W223" t="str">
            <v>GT - ME
GT - IC</v>
          </cell>
          <cell r="X223" t="str">
            <v>General Trading - Mechanical
General Trading - Instrument</v>
          </cell>
          <cell r="Y223" t="str">
            <v>Mechanical</v>
          </cell>
        </row>
        <row r="224">
          <cell r="B224" t="str">
            <v>Global Haditech, PT</v>
          </cell>
          <cell r="C224" t="str">
            <v>sales@global-haditech.com; haditech@indo.net.id</v>
          </cell>
          <cell r="D224" t="str">
            <v>Mujie</v>
          </cell>
          <cell r="E224" t="str">
            <v>082126947921</v>
          </cell>
          <cell r="F224" t="str">
            <v>Jl. Raya Caman No 20A. Jatibening. Pondok Gede Kota Bekasi- 17412</v>
          </cell>
          <cell r="G224" t="str">
            <v>□</v>
          </cell>
          <cell r="H224" t="str">
            <v>□</v>
          </cell>
          <cell r="I224" t="str">
            <v>□</v>
          </cell>
          <cell r="J224" t="str">
            <v>□</v>
          </cell>
          <cell r="K224" t="str">
            <v>□</v>
          </cell>
          <cell r="L224" t="str">
            <v>□</v>
          </cell>
          <cell r="M224" t="str">
            <v>□</v>
          </cell>
          <cell r="N224" t="str">
            <v>□</v>
          </cell>
          <cell r="O224" t="str">
            <v>□</v>
          </cell>
          <cell r="P224" t="str">
            <v>□</v>
          </cell>
          <cell r="Q224" t="str">
            <v>□</v>
          </cell>
          <cell r="R224" t="str">
            <v>□</v>
          </cell>
          <cell r="S224" t="str">
            <v>□</v>
          </cell>
          <cell r="T224" t="str">
            <v>□</v>
          </cell>
          <cell r="U224" t="str">
            <v>NA</v>
          </cell>
          <cell r="V224" t="str">
            <v>No Register</v>
          </cell>
          <cell r="W224" t="str">
            <v>GT - ME</v>
          </cell>
          <cell r="X224" t="str">
            <v>General Trading - Mechanical</v>
          </cell>
          <cell r="Y224" t="str">
            <v>Elbow</v>
          </cell>
        </row>
        <row r="225">
          <cell r="B225" t="str">
            <v>Emira Energi, PT</v>
          </cell>
          <cell r="C225" t="str">
            <v/>
          </cell>
          <cell r="D225" t="str">
            <v/>
          </cell>
          <cell r="E225" t="str">
            <v/>
          </cell>
          <cell r="F225" t="str">
            <v>Ruko Metro Cilegon Blok A No. 15. Jl. Bojonegara. Cilegon - 42411</v>
          </cell>
          <cell r="G225" t="b">
            <v>0</v>
          </cell>
          <cell r="H225" t="b">
            <v>0</v>
          </cell>
          <cell r="I225" t="b">
            <v>1</v>
          </cell>
          <cell r="J225" t="b">
            <v>0</v>
          </cell>
          <cell r="K225" t="b">
            <v>0</v>
          </cell>
          <cell r="L225" t="b">
            <v>0</v>
          </cell>
          <cell r="M225" t="b">
            <v>0</v>
          </cell>
          <cell r="N225" t="b">
            <v>0</v>
          </cell>
          <cell r="O225" t="b">
            <v>0</v>
          </cell>
          <cell r="P225" t="b">
            <v>0</v>
          </cell>
          <cell r="Q225" t="b">
            <v>0</v>
          </cell>
          <cell r="R225" t="b">
            <v>0</v>
          </cell>
          <cell r="S225" t="b">
            <v>0</v>
          </cell>
          <cell r="T225" t="b">
            <v>0</v>
          </cell>
          <cell r="U225" t="str">
            <v>NA</v>
          </cell>
          <cell r="V225" t="str">
            <v>Register</v>
          </cell>
          <cell r="W225" t="str">
            <v/>
          </cell>
          <cell r="X225" t="str">
            <v>Service Jasa - Calibration / Testing
Power Plant - Non-Destructive Testing</v>
          </cell>
          <cell r="Y225" t="str">
            <v>boroscope</v>
          </cell>
        </row>
        <row r="226">
          <cell r="B226" t="str">
            <v>Ekatama Barizki, PT</v>
          </cell>
          <cell r="C226" t="str">
            <v/>
          </cell>
          <cell r="D226" t="str">
            <v/>
          </cell>
          <cell r="E226" t="str">
            <v/>
          </cell>
          <cell r="F226" t="str">
            <v>Jl. Anggrek Rosliana VII No 7C. Palmerah. Jakarta Barat - 11480</v>
          </cell>
          <cell r="G226" t="str">
            <v>□</v>
          </cell>
          <cell r="H226" t="str">
            <v>□</v>
          </cell>
          <cell r="I226" t="str">
            <v>□</v>
          </cell>
          <cell r="J226" t="str">
            <v>□</v>
          </cell>
          <cell r="K226" t="str">
            <v>□</v>
          </cell>
          <cell r="L226" t="str">
            <v>□</v>
          </cell>
          <cell r="M226" t="str">
            <v>□</v>
          </cell>
          <cell r="N226" t="str">
            <v>□</v>
          </cell>
          <cell r="O226" t="str">
            <v>□</v>
          </cell>
          <cell r="P226" t="str">
            <v>□</v>
          </cell>
          <cell r="Q226" t="str">
            <v>□</v>
          </cell>
          <cell r="R226" t="str">
            <v>□</v>
          </cell>
          <cell r="S226" t="str">
            <v>□</v>
          </cell>
          <cell r="T226" t="str">
            <v>□</v>
          </cell>
          <cell r="U226" t="str">
            <v>NA</v>
          </cell>
          <cell r="V226" t="str">
            <v>No Register</v>
          </cell>
          <cell r="W226" t="str">
            <v/>
          </cell>
          <cell r="Y226" t="str">
            <v/>
          </cell>
        </row>
        <row r="227">
          <cell r="B227" t="str">
            <v>Sefas Pelindotama, PT</v>
          </cell>
          <cell r="C227" t="str">
            <v>salesbjm@sefasgroup.com; reda.ilhami@sefasgroup.com</v>
          </cell>
          <cell r="D227" t="str">
            <v>Reda</v>
          </cell>
          <cell r="E227" t="str">
            <v>082148545757</v>
          </cell>
          <cell r="F227" t="str">
            <v>Jl. Cideng Barat No 87 Kel Cideng Kec Gambir Jakarta Pusat   10150 Indonesia</v>
          </cell>
          <cell r="G227" t="b">
            <v>0</v>
          </cell>
          <cell r="H227" t="b">
            <v>0</v>
          </cell>
          <cell r="I227" t="b">
            <v>0</v>
          </cell>
          <cell r="J227" t="b">
            <v>0</v>
          </cell>
          <cell r="K227" t="b">
            <v>0</v>
          </cell>
          <cell r="L227" t="b">
            <v>0</v>
          </cell>
          <cell r="M227" t="b">
            <v>1</v>
          </cell>
          <cell r="N227" t="b">
            <v>0</v>
          </cell>
          <cell r="O227" t="b">
            <v>0</v>
          </cell>
          <cell r="P227" t="b">
            <v>0</v>
          </cell>
          <cell r="Q227" t="b">
            <v>0</v>
          </cell>
          <cell r="R227" t="b">
            <v>0</v>
          </cell>
          <cell r="S227" t="b">
            <v>0</v>
          </cell>
          <cell r="T227" t="b">
            <v>0</v>
          </cell>
          <cell r="U227" t="str">
            <v>A</v>
          </cell>
          <cell r="V227" t="str">
            <v>Register</v>
          </cell>
          <cell r="W227" t="str">
            <v/>
          </cell>
          <cell r="X227" t="str">
            <v>Utilities - Lubricant &amp; Industrial Oil</v>
          </cell>
          <cell r="Y227" t="str">
            <v>Distributor Shell</v>
          </cell>
        </row>
        <row r="228">
          <cell r="B228" t="str">
            <v>Pratama Setya Nusantara, PT</v>
          </cell>
          <cell r="C228" t="str">
            <v>pratamasetyanusantara2015@gmail.com</v>
          </cell>
          <cell r="D228" t="str">
            <v>Riza</v>
          </cell>
          <cell r="F228" t="str">
            <v>Jl. Malabar 1 Komp Dept Keuangan No 12 Ciledug</v>
          </cell>
          <cell r="G228" t="str">
            <v>□</v>
          </cell>
          <cell r="H228" t="str">
            <v>□</v>
          </cell>
          <cell r="I228" t="str">
            <v>□</v>
          </cell>
          <cell r="J228" t="str">
            <v>□</v>
          </cell>
          <cell r="K228" t="str">
            <v>□</v>
          </cell>
          <cell r="L228" t="str">
            <v>□</v>
          </cell>
          <cell r="M228" t="str">
            <v>□</v>
          </cell>
          <cell r="N228" t="str">
            <v>□</v>
          </cell>
          <cell r="O228" t="str">
            <v>□</v>
          </cell>
          <cell r="P228" t="str">
            <v>□</v>
          </cell>
          <cell r="Q228" t="str">
            <v>□</v>
          </cell>
          <cell r="R228" t="str">
            <v>□</v>
          </cell>
          <cell r="S228" t="str">
            <v>□</v>
          </cell>
          <cell r="T228" t="str">
            <v>□</v>
          </cell>
          <cell r="U228" t="str">
            <v>NA</v>
          </cell>
          <cell r="V228" t="str">
            <v>No Register</v>
          </cell>
          <cell r="W228" t="str">
            <v/>
          </cell>
          <cell r="Y228" t="str">
            <v/>
          </cell>
        </row>
        <row r="229">
          <cell r="B229" t="str">
            <v>Kalindo Prima Tara, PT</v>
          </cell>
          <cell r="C229" t="str">
            <v>ptkalindo@yahoo.com; yantokpt@gmail.com; fachri.adiyana@gmail.com; muhammad.kpt1@gmail.com</v>
          </cell>
          <cell r="D229" t="str">
            <v>H. Supriyanto; Muhammad; Fachri</v>
          </cell>
          <cell r="E229" t="str">
            <v>081349608842; 085249339246; 081226257115</v>
          </cell>
          <cell r="F229" t="str">
            <v>Jl. PAndan Arum RT 16. RW 017  No 37. Kel. Belimbing Raya Kec. M Pudak. Tajung Tabalong. 71571</v>
          </cell>
          <cell r="G229" t="str">
            <v>□</v>
          </cell>
          <cell r="H229" t="str">
            <v>□</v>
          </cell>
          <cell r="I229" t="str">
            <v>□</v>
          </cell>
          <cell r="J229" t="str">
            <v>□</v>
          </cell>
          <cell r="K229" t="str">
            <v>□</v>
          </cell>
          <cell r="L229" t="str">
            <v>□</v>
          </cell>
          <cell r="M229" t="str">
            <v>□</v>
          </cell>
          <cell r="N229" t="str">
            <v>□</v>
          </cell>
          <cell r="O229" t="str">
            <v>□</v>
          </cell>
          <cell r="P229" t="str">
            <v>□</v>
          </cell>
          <cell r="Q229" t="str">
            <v>□</v>
          </cell>
          <cell r="R229" t="str">
            <v>□</v>
          </cell>
          <cell r="S229" t="str">
            <v>□</v>
          </cell>
          <cell r="T229" t="str">
            <v>□</v>
          </cell>
          <cell r="U229" t="str">
            <v>NA</v>
          </cell>
          <cell r="V229" t="str">
            <v>Register</v>
          </cell>
          <cell r="W229" t="str">
            <v/>
          </cell>
          <cell r="X229" t="str">
            <v>Service Jasa - Outsourcing / Manpower</v>
          </cell>
          <cell r="Y229" t="str">
            <v/>
          </cell>
        </row>
        <row r="230">
          <cell r="B230" t="str">
            <v>Trimitra Teknik Global, PT</v>
          </cell>
          <cell r="C230" t="str">
            <v>gunawan@twssolution.com</v>
          </cell>
          <cell r="D230" t="str">
            <v>Sutjiadi</v>
          </cell>
          <cell r="F230" t="str">
            <v>Jl. Jend. Sudirman Ruko Modernland . Blok CR 33 Kel. Babakan. Tangerang - 15117</v>
          </cell>
          <cell r="G230" t="b">
            <v>0</v>
          </cell>
          <cell r="H230" t="b">
            <v>0</v>
          </cell>
          <cell r="I230" t="b">
            <v>0</v>
          </cell>
          <cell r="J230" t="b">
            <v>0</v>
          </cell>
          <cell r="K230" t="b">
            <v>0</v>
          </cell>
          <cell r="L230" t="b">
            <v>0</v>
          </cell>
          <cell r="M230" t="b">
            <v>0</v>
          </cell>
          <cell r="N230" t="b">
            <v>0</v>
          </cell>
          <cell r="O230" t="b">
            <v>0</v>
          </cell>
          <cell r="P230" t="b">
            <v>0</v>
          </cell>
          <cell r="Q230" t="b">
            <v>0</v>
          </cell>
          <cell r="R230" t="b">
            <v>0</v>
          </cell>
          <cell r="S230" t="b">
            <v>1</v>
          </cell>
          <cell r="T230" t="b">
            <v>0</v>
          </cell>
          <cell r="U230" t="str">
            <v>NA</v>
          </cell>
          <cell r="V230" t="str">
            <v>Register</v>
          </cell>
          <cell r="W230" t="str">
            <v>GT - IC</v>
          </cell>
          <cell r="X230" t="str">
            <v>General Trading - Instrument</v>
          </cell>
          <cell r="Y230" t="str">
            <v/>
          </cell>
        </row>
        <row r="231">
          <cell r="B231" t="str">
            <v>Nolfin Internasional, PT</v>
          </cell>
          <cell r="C231" t="str">
            <v>nolfininternasional@gmail.com;  kenth.westin@telia.com</v>
          </cell>
          <cell r="D231" t="str">
            <v>Noldy Sumakto</v>
          </cell>
          <cell r="E231" t="str">
            <v>081807100111</v>
          </cell>
          <cell r="F231" t="str">
            <v>Jl. Cilosari No. 14. Cikini, Menteng. JakPus - 10330</v>
          </cell>
          <cell r="G231" t="str">
            <v>□</v>
          </cell>
          <cell r="H231" t="str">
            <v>□</v>
          </cell>
          <cell r="I231" t="str">
            <v>□</v>
          </cell>
          <cell r="J231" t="str">
            <v>□</v>
          </cell>
          <cell r="K231" t="str">
            <v>□</v>
          </cell>
          <cell r="L231" t="str">
            <v>□</v>
          </cell>
          <cell r="M231" t="str">
            <v>□</v>
          </cell>
          <cell r="N231" t="str">
            <v>□</v>
          </cell>
          <cell r="O231" t="str">
            <v>□</v>
          </cell>
          <cell r="P231" t="str">
            <v>□</v>
          </cell>
          <cell r="Q231" t="str">
            <v>□</v>
          </cell>
          <cell r="R231" t="str">
            <v>□</v>
          </cell>
          <cell r="S231" t="str">
            <v>□</v>
          </cell>
          <cell r="T231" t="str">
            <v>□</v>
          </cell>
          <cell r="U231" t="str">
            <v>NA</v>
          </cell>
          <cell r="V231" t="str">
            <v>No Register</v>
          </cell>
          <cell r="W231" t="str">
            <v/>
          </cell>
          <cell r="Y231" t="str">
            <v/>
          </cell>
        </row>
        <row r="232">
          <cell r="B232" t="str">
            <v>Intraco Penta Tbk, PT</v>
          </cell>
          <cell r="C232" t="str">
            <v>aprianto.aprianto@ipwahana.com; sendy.maulana@ipwahana.com</v>
          </cell>
          <cell r="D232" t="str">
            <v>Aprianto</v>
          </cell>
          <cell r="E232" t="str">
            <v>08127680484</v>
          </cell>
          <cell r="F232" t="str">
            <v>Jl. Raya Cakung Cilincing km 3,5. Jakarta Utara</v>
          </cell>
          <cell r="G232" t="b">
            <v>0</v>
          </cell>
          <cell r="H232" t="b">
            <v>0</v>
          </cell>
          <cell r="I232" t="b">
            <v>0</v>
          </cell>
          <cell r="J232" t="b">
            <v>0</v>
          </cell>
          <cell r="K232" t="b">
            <v>0</v>
          </cell>
          <cell r="L232" t="b">
            <v>0</v>
          </cell>
          <cell r="M232" t="b">
            <v>0</v>
          </cell>
          <cell r="N232" t="b">
            <v>0</v>
          </cell>
          <cell r="O232" t="b">
            <v>0</v>
          </cell>
          <cell r="P232" t="b">
            <v>0</v>
          </cell>
          <cell r="Q232" t="b">
            <v>0</v>
          </cell>
          <cell r="R232" t="b">
            <v>0</v>
          </cell>
          <cell r="S232" t="b">
            <v>0</v>
          </cell>
          <cell r="T232" t="b">
            <v>1</v>
          </cell>
          <cell r="U232" t="str">
            <v>NA</v>
          </cell>
          <cell r="V232" t="str">
            <v>Register</v>
          </cell>
          <cell r="W232" t="str">
            <v>GT - ME</v>
          </cell>
          <cell r="X232" t="str">
            <v>General Trading - Mechanical</v>
          </cell>
          <cell r="Y232" t="str">
            <v>Bobcat</v>
          </cell>
        </row>
        <row r="233">
          <cell r="B233" t="str">
            <v>Sabar Jaya, CV</v>
          </cell>
          <cell r="C233" t="str">
            <v>sabar_jaya@yahoo.com</v>
          </cell>
          <cell r="D233" t="str">
            <v>Andi</v>
          </cell>
          <cell r="F233" t="str">
            <v>Taman Palem Lestari Blok B18/18. Jakarta Barat - 11730</v>
          </cell>
          <cell r="G233" t="str">
            <v>□</v>
          </cell>
          <cell r="H233" t="str">
            <v>□</v>
          </cell>
          <cell r="I233" t="str">
            <v>□</v>
          </cell>
          <cell r="J233" t="str">
            <v>□</v>
          </cell>
          <cell r="K233" t="str">
            <v>□</v>
          </cell>
          <cell r="L233" t="str">
            <v>□</v>
          </cell>
          <cell r="M233" t="str">
            <v>□</v>
          </cell>
          <cell r="N233" t="str">
            <v>□</v>
          </cell>
          <cell r="O233" t="str">
            <v>□</v>
          </cell>
          <cell r="P233" t="str">
            <v>□</v>
          </cell>
          <cell r="Q233" t="str">
            <v>□</v>
          </cell>
          <cell r="R233" t="str">
            <v>□</v>
          </cell>
          <cell r="S233" t="str">
            <v>□</v>
          </cell>
          <cell r="T233" t="str">
            <v>□</v>
          </cell>
          <cell r="U233" t="str">
            <v>NA</v>
          </cell>
          <cell r="V233" t="str">
            <v>No Register</v>
          </cell>
          <cell r="W233" t="str">
            <v/>
          </cell>
          <cell r="Y233" t="str">
            <v/>
          </cell>
        </row>
        <row r="234">
          <cell r="B234" t="str">
            <v>Mitra Sandang Utama, CV</v>
          </cell>
          <cell r="C234" t="str">
            <v>marketing@g2workwear.com</v>
          </cell>
          <cell r="D234" t="str">
            <v/>
          </cell>
          <cell r="E234" t="str">
            <v/>
          </cell>
          <cell r="F234" t="str">
            <v>Mekar Regency No. 16. Jl Burujul Mekar Rahayu Marga Asih. Bandung</v>
          </cell>
          <cell r="G234" t="str">
            <v>□</v>
          </cell>
          <cell r="H234" t="str">
            <v>□</v>
          </cell>
          <cell r="I234" t="str">
            <v>□</v>
          </cell>
          <cell r="J234" t="str">
            <v>□</v>
          </cell>
          <cell r="K234" t="str">
            <v>□</v>
          </cell>
          <cell r="L234" t="str">
            <v>□</v>
          </cell>
          <cell r="M234" t="str">
            <v>□</v>
          </cell>
          <cell r="N234" t="str">
            <v>□</v>
          </cell>
          <cell r="O234" t="str">
            <v>□</v>
          </cell>
          <cell r="P234" t="str">
            <v>□</v>
          </cell>
          <cell r="Q234" t="str">
            <v>□</v>
          </cell>
          <cell r="R234" t="str">
            <v>□</v>
          </cell>
          <cell r="S234" t="str">
            <v>□</v>
          </cell>
          <cell r="T234" t="str">
            <v>□</v>
          </cell>
          <cell r="U234" t="str">
            <v>NA</v>
          </cell>
          <cell r="V234" t="str">
            <v>No Register</v>
          </cell>
          <cell r="W234" t="str">
            <v>GT - OF</v>
          </cell>
          <cell r="X234" t="str">
            <v>General Trading - Office Supplies</v>
          </cell>
          <cell r="Y234" t="str">
            <v/>
          </cell>
        </row>
        <row r="235">
          <cell r="B235" t="str">
            <v>Taman Baru, PT</v>
          </cell>
          <cell r="C235" t="str">
            <v>sales@tamanbaru.com</v>
          </cell>
          <cell r="D235" t="str">
            <v>Rachmat Junaidi</v>
          </cell>
          <cell r="E235" t="str">
            <v>0811965960</v>
          </cell>
          <cell r="F235" t="str">
            <v>Jl. Barito No. 8A. Kel. Rimbo Kaluang. Kec Padang Barat. Padang - 25115</v>
          </cell>
          <cell r="G235" t="b">
            <v>0</v>
          </cell>
          <cell r="H235" t="b">
            <v>0</v>
          </cell>
          <cell r="I235" t="b">
            <v>0</v>
          </cell>
          <cell r="J235" t="b">
            <v>0</v>
          </cell>
          <cell r="K235" t="b">
            <v>0</v>
          </cell>
          <cell r="L235" t="b">
            <v>0</v>
          </cell>
          <cell r="M235" t="b">
            <v>0</v>
          </cell>
          <cell r="N235" t="b">
            <v>0</v>
          </cell>
          <cell r="O235" t="b">
            <v>0</v>
          </cell>
          <cell r="P235" t="b">
            <v>0</v>
          </cell>
          <cell r="Q235" t="b">
            <v>0</v>
          </cell>
          <cell r="R235" t="b">
            <v>0</v>
          </cell>
          <cell r="S235" t="b">
            <v>0</v>
          </cell>
          <cell r="T235" t="b">
            <v>0</v>
          </cell>
          <cell r="U235" t="str">
            <v>NA</v>
          </cell>
          <cell r="V235" t="str">
            <v>Register</v>
          </cell>
          <cell r="W235" t="str">
            <v>GT - ME</v>
          </cell>
          <cell r="X235" t="str">
            <v>General Trading - Mechanical</v>
          </cell>
          <cell r="Y235" t="str">
            <v/>
          </cell>
        </row>
        <row r="236">
          <cell r="B236" t="str">
            <v>Alpha Gaya Bhakti Pertiwi, PT</v>
          </cell>
          <cell r="C236" t="str">
            <v>salesinfo@alphagayabhakti.com</v>
          </cell>
          <cell r="D236" t="str">
            <v>Yakin Wijaya</v>
          </cell>
          <cell r="F236" t="str">
            <v>Jl. Hasanuddin HM No. 20. Banjarmasin - 70111</v>
          </cell>
          <cell r="G236" t="str">
            <v>□</v>
          </cell>
          <cell r="H236" t="str">
            <v>□</v>
          </cell>
          <cell r="I236" t="str">
            <v>□</v>
          </cell>
          <cell r="J236" t="str">
            <v>□</v>
          </cell>
          <cell r="K236" t="str">
            <v>□</v>
          </cell>
          <cell r="L236" t="str">
            <v>□</v>
          </cell>
          <cell r="M236" t="str">
            <v>□</v>
          </cell>
          <cell r="N236" t="str">
            <v>□</v>
          </cell>
          <cell r="O236" t="str">
            <v>□</v>
          </cell>
          <cell r="P236" t="str">
            <v>□</v>
          </cell>
          <cell r="Q236" t="str">
            <v>□</v>
          </cell>
          <cell r="R236" t="str">
            <v>□</v>
          </cell>
          <cell r="S236" t="str">
            <v>□</v>
          </cell>
          <cell r="T236" t="str">
            <v>□</v>
          </cell>
          <cell r="U236" t="str">
            <v>NA</v>
          </cell>
          <cell r="V236" t="str">
            <v>No Register</v>
          </cell>
          <cell r="W236" t="str">
            <v/>
          </cell>
          <cell r="Y236" t="str">
            <v/>
          </cell>
        </row>
        <row r="237">
          <cell r="B237" t="str">
            <v>Rendez Indonesia, PT</v>
          </cell>
          <cell r="C237" t="str">
            <v>dewi@rendezscaffolding.com; sales@rendezscaffolding.com; tommy@rendezscaffolding.com</v>
          </cell>
          <cell r="D237" t="str">
            <v>Dewi</v>
          </cell>
          <cell r="E237" t="str">
            <v>08111778396</v>
          </cell>
          <cell r="F237" t="str">
            <v>Komp. Citra Business Park Blok D. No 6. Jl. Peta Barat Kalideres. Jakarta - 11840</v>
          </cell>
          <cell r="G237" t="b">
            <v>0</v>
          </cell>
          <cell r="H237" t="b">
            <v>0</v>
          </cell>
          <cell r="I237" t="b">
            <v>0</v>
          </cell>
          <cell r="J237" t="b">
            <v>0</v>
          </cell>
          <cell r="K237" t="b">
            <v>0</v>
          </cell>
          <cell r="L237" t="b">
            <v>0</v>
          </cell>
          <cell r="M237" t="b">
            <v>0</v>
          </cell>
          <cell r="N237" t="b">
            <v>1</v>
          </cell>
          <cell r="O237" t="b">
            <v>0</v>
          </cell>
          <cell r="P237" t="b">
            <v>0</v>
          </cell>
          <cell r="Q237" t="b">
            <v>0</v>
          </cell>
          <cell r="R237" t="b">
            <v>0</v>
          </cell>
          <cell r="S237" t="b">
            <v>0</v>
          </cell>
          <cell r="T237" t="b">
            <v>0</v>
          </cell>
          <cell r="U237" t="str">
            <v>NA</v>
          </cell>
          <cell r="V237" t="str">
            <v>Register</v>
          </cell>
          <cell r="W237" t="str">
            <v>CN - CV</v>
          </cell>
          <cell r="X237" t="str">
            <v>Construction - Civil Construction</v>
          </cell>
          <cell r="Y237" t="str">
            <v>Scaffolding</v>
          </cell>
        </row>
        <row r="238">
          <cell r="B238" t="str">
            <v>Gema Industrial, PT</v>
          </cell>
          <cell r="C238" t="str">
            <v>marketing@gema-industrial.com</v>
          </cell>
          <cell r="D238" t="str">
            <v>Putri; Angela</v>
          </cell>
          <cell r="E238" t="str">
            <v>081213379009; 0895352836451</v>
          </cell>
          <cell r="F238" t="str">
            <v>Ruko Cilegon Business Square Blok C33. Kel. Kedaleman . Kec. Cibeber. Cilegon - 42422</v>
          </cell>
          <cell r="G238" t="b">
            <v>0</v>
          </cell>
          <cell r="H238" t="b">
            <v>1</v>
          </cell>
          <cell r="I238" t="b">
            <v>1</v>
          </cell>
          <cell r="J238" t="b">
            <v>0</v>
          </cell>
          <cell r="K238" t="b">
            <v>0</v>
          </cell>
          <cell r="L238" t="b">
            <v>0</v>
          </cell>
          <cell r="M238" t="b">
            <v>0</v>
          </cell>
          <cell r="N238" t="b">
            <v>0</v>
          </cell>
          <cell r="O238" t="b">
            <v>0</v>
          </cell>
          <cell r="P238" t="b">
            <v>0</v>
          </cell>
          <cell r="Q238" t="b">
            <v>0</v>
          </cell>
          <cell r="R238" t="b">
            <v>0</v>
          </cell>
          <cell r="S238" t="b">
            <v>1</v>
          </cell>
          <cell r="T238" t="b">
            <v>0</v>
          </cell>
          <cell r="U238" t="str">
            <v>A</v>
          </cell>
          <cell r="V238" t="str">
            <v>Register</v>
          </cell>
          <cell r="W238" t="str">
            <v/>
          </cell>
          <cell r="X238" t="str">
            <v>General Trading - Elektrical</v>
          </cell>
          <cell r="Y238" t="str">
            <v>Electrical</v>
          </cell>
        </row>
        <row r="239">
          <cell r="B239" t="str">
            <v>Tunas Tasik, PT</v>
          </cell>
          <cell r="C239" t="str">
            <v>yanti.karlina@tunastasik.com; jeffreytunastasik@gmail.com</v>
          </cell>
          <cell r="D239" t="str">
            <v>Yanti</v>
          </cell>
          <cell r="F239" t="str">
            <v>Jl. Biduri I No. 21. Permata Hijau. Jakarta - 12210</v>
          </cell>
          <cell r="G239" t="b">
            <v>0</v>
          </cell>
          <cell r="H239" t="b">
            <v>0</v>
          </cell>
          <cell r="I239" t="b">
            <v>0</v>
          </cell>
          <cell r="J239" t="b">
            <v>0</v>
          </cell>
          <cell r="K239" t="b">
            <v>0</v>
          </cell>
          <cell r="L239" t="b">
            <v>0</v>
          </cell>
          <cell r="M239" t="b">
            <v>0</v>
          </cell>
          <cell r="N239" t="b">
            <v>0</v>
          </cell>
          <cell r="O239" t="b">
            <v>0</v>
          </cell>
          <cell r="P239" t="b">
            <v>0</v>
          </cell>
          <cell r="Q239" t="b">
            <v>0</v>
          </cell>
          <cell r="R239" t="b">
            <v>0</v>
          </cell>
          <cell r="S239" t="b">
            <v>1</v>
          </cell>
          <cell r="T239" t="b">
            <v>0</v>
          </cell>
          <cell r="U239" t="str">
            <v>NA</v>
          </cell>
          <cell r="V239" t="str">
            <v>Register</v>
          </cell>
          <cell r="W239" t="str">
            <v>GT - ME</v>
          </cell>
          <cell r="X239" t="str">
            <v>General Trading - Mechanical</v>
          </cell>
          <cell r="Y239" t="str">
            <v>Belzona</v>
          </cell>
        </row>
        <row r="240">
          <cell r="B240" t="str">
            <v>Art Borneo Raya, CV</v>
          </cell>
          <cell r="C240" t="str">
            <v/>
          </cell>
          <cell r="D240" t="str">
            <v/>
          </cell>
          <cell r="E240" t="str">
            <v/>
          </cell>
          <cell r="F240" t="str">
            <v>Jl. Garuda RT.12 Bangunsari. Kel. Belimbing Raya Kec. Murung Pudak. Tanjung Tabalong. KalSel - 71571</v>
          </cell>
          <cell r="G240" t="str">
            <v>□</v>
          </cell>
          <cell r="H240" t="str">
            <v>□</v>
          </cell>
          <cell r="I240" t="str">
            <v>□</v>
          </cell>
          <cell r="J240" t="str">
            <v>□</v>
          </cell>
          <cell r="K240" t="str">
            <v>□</v>
          </cell>
          <cell r="L240" t="str">
            <v>□</v>
          </cell>
          <cell r="M240" t="str">
            <v>□</v>
          </cell>
          <cell r="N240" t="str">
            <v>□</v>
          </cell>
          <cell r="O240" t="str">
            <v>□</v>
          </cell>
          <cell r="P240" t="str">
            <v>□</v>
          </cell>
          <cell r="Q240" t="str">
            <v>□</v>
          </cell>
          <cell r="R240" t="str">
            <v>□</v>
          </cell>
          <cell r="S240" t="str">
            <v>□</v>
          </cell>
          <cell r="T240" t="str">
            <v>□</v>
          </cell>
          <cell r="U240" t="str">
            <v>NA</v>
          </cell>
          <cell r="V240" t="str">
            <v>No Register</v>
          </cell>
          <cell r="W240" t="str">
            <v/>
          </cell>
          <cell r="Y240" t="str">
            <v/>
          </cell>
        </row>
        <row r="241">
          <cell r="B241" t="str">
            <v>Bintang Anugrah Sehati, PT</v>
          </cell>
          <cell r="C241" t="str">
            <v>sales11@bas-supply.co.id</v>
          </cell>
          <cell r="D241" t="str">
            <v>Senja Kharisma</v>
          </cell>
          <cell r="E241" t="str">
            <v>085754619455</v>
          </cell>
          <cell r="F241" t="str">
            <v>Jl. Jembatan Batu No. 82-83. RT RW 04-05. Kel. Pinangsia Kec Tamansari. Jakarta - 11110</v>
          </cell>
          <cell r="G241" t="b">
            <v>0</v>
          </cell>
          <cell r="H241" t="b">
            <v>0</v>
          </cell>
          <cell r="I241" t="b">
            <v>0</v>
          </cell>
          <cell r="J241" t="b">
            <v>0</v>
          </cell>
          <cell r="K241" t="b">
            <v>1</v>
          </cell>
          <cell r="L241" t="b">
            <v>0</v>
          </cell>
          <cell r="M241" t="b">
            <v>0</v>
          </cell>
          <cell r="N241" t="b">
            <v>0</v>
          </cell>
          <cell r="O241" t="b">
            <v>0</v>
          </cell>
          <cell r="P241" t="b">
            <v>0</v>
          </cell>
          <cell r="Q241" t="b">
            <v>0</v>
          </cell>
          <cell r="R241" t="b">
            <v>0</v>
          </cell>
          <cell r="S241" t="b">
            <v>0</v>
          </cell>
          <cell r="T241" t="b">
            <v>0</v>
          </cell>
          <cell r="U241" t="str">
            <v>A</v>
          </cell>
          <cell r="V241" t="str">
            <v>Register</v>
          </cell>
          <cell r="W241" t="str">
            <v/>
          </cell>
          <cell r="X241" t="str">
            <v>General Trading - HSE</v>
          </cell>
          <cell r="Y241" t="str">
            <v>Safety</v>
          </cell>
        </row>
        <row r="242">
          <cell r="B242" t="str">
            <v>Howden UK Limited</v>
          </cell>
          <cell r="C242" t="str">
            <v/>
          </cell>
          <cell r="D242" t="str">
            <v/>
          </cell>
          <cell r="E242" t="str">
            <v/>
          </cell>
          <cell r="F242" t="str">
            <v>Old Govan Road. Renfrew. PA48XJ</v>
          </cell>
          <cell r="G242" t="str">
            <v>□</v>
          </cell>
          <cell r="H242" t="str">
            <v>□</v>
          </cell>
          <cell r="I242" t="str">
            <v>□</v>
          </cell>
          <cell r="J242" t="str">
            <v>□</v>
          </cell>
          <cell r="K242" t="str">
            <v>□</v>
          </cell>
          <cell r="L242" t="str">
            <v>□</v>
          </cell>
          <cell r="M242" t="str">
            <v>□</v>
          </cell>
          <cell r="N242" t="str">
            <v>□</v>
          </cell>
          <cell r="O242" t="str">
            <v>□</v>
          </cell>
          <cell r="P242" t="str">
            <v>□</v>
          </cell>
          <cell r="Q242" t="str">
            <v>□</v>
          </cell>
          <cell r="R242" t="str">
            <v>□</v>
          </cell>
          <cell r="S242" t="str">
            <v>□</v>
          </cell>
          <cell r="T242" t="str">
            <v>□</v>
          </cell>
          <cell r="U242" t="str">
            <v>NA</v>
          </cell>
          <cell r="V242" t="str">
            <v>No Register</v>
          </cell>
          <cell r="W242" t="str">
            <v/>
          </cell>
          <cell r="Y242" t="str">
            <v/>
          </cell>
        </row>
        <row r="243">
          <cell r="B243" t="str">
            <v>Lexindo Kencana Mandiri, PT</v>
          </cell>
          <cell r="C243" t="str">
            <v>leo.lexindo@gmail.com; ptlexindo@gmail.com</v>
          </cell>
          <cell r="D243" t="str">
            <v xml:space="preserve"> Leo Hadinata</v>
          </cell>
          <cell r="E243" t="str">
            <v>082122061996</v>
          </cell>
          <cell r="F243" t="str">
            <v>Mall Taman Palem Lt. 2 Blok A No. 20. Jl. Kamal Raya Outer Ring Road. JakBar - 11730</v>
          </cell>
          <cell r="G243" t="str">
            <v>□</v>
          </cell>
          <cell r="H243" t="str">
            <v>□</v>
          </cell>
          <cell r="I243" t="str">
            <v>□</v>
          </cell>
          <cell r="J243" t="str">
            <v>□</v>
          </cell>
          <cell r="K243" t="str">
            <v>□</v>
          </cell>
          <cell r="L243" t="str">
            <v>□</v>
          </cell>
          <cell r="M243" t="str">
            <v>□</v>
          </cell>
          <cell r="N243" t="str">
            <v>□</v>
          </cell>
          <cell r="O243" t="str">
            <v>□</v>
          </cell>
          <cell r="P243" t="str">
            <v>□</v>
          </cell>
          <cell r="Q243" t="str">
            <v>□</v>
          </cell>
          <cell r="R243" t="str">
            <v>□</v>
          </cell>
          <cell r="S243" t="str">
            <v>□</v>
          </cell>
          <cell r="T243" t="str">
            <v>□</v>
          </cell>
          <cell r="U243" t="str">
            <v>NA</v>
          </cell>
          <cell r="V243" t="str">
            <v>No Register</v>
          </cell>
          <cell r="W243" t="str">
            <v/>
          </cell>
          <cell r="Y243" t="str">
            <v/>
          </cell>
        </row>
        <row r="244">
          <cell r="B244" t="str">
            <v>Panca Mas, CV</v>
          </cell>
          <cell r="C244" t="str">
            <v>pancamas.admin@gmail.com</v>
          </cell>
          <cell r="D244" t="str">
            <v>Trisna</v>
          </cell>
          <cell r="F244" t="str">
            <v>Jl. Sumatra Kp. Rawa Lele RT.3 RW.6. No 67. Jombang - Ciputat. Tangerang Selatan - 15414</v>
          </cell>
          <cell r="G244" t="str">
            <v>□</v>
          </cell>
          <cell r="H244" t="str">
            <v>□</v>
          </cell>
          <cell r="I244" t="str">
            <v>□</v>
          </cell>
          <cell r="J244" t="str">
            <v>□</v>
          </cell>
          <cell r="K244" t="str">
            <v>□</v>
          </cell>
          <cell r="L244" t="str">
            <v>□</v>
          </cell>
          <cell r="M244" t="str">
            <v>□</v>
          </cell>
          <cell r="N244" t="str">
            <v>□</v>
          </cell>
          <cell r="O244" t="str">
            <v>□</v>
          </cell>
          <cell r="P244" t="str">
            <v>□</v>
          </cell>
          <cell r="Q244" t="str">
            <v>□</v>
          </cell>
          <cell r="R244" t="str">
            <v>□</v>
          </cell>
          <cell r="S244" t="str">
            <v>□</v>
          </cell>
          <cell r="T244" t="str">
            <v>□</v>
          </cell>
          <cell r="U244" t="str">
            <v>NA</v>
          </cell>
          <cell r="V244" t="str">
            <v>No Register</v>
          </cell>
          <cell r="W244" t="str">
            <v/>
          </cell>
          <cell r="Y244" t="str">
            <v/>
          </cell>
        </row>
        <row r="245">
          <cell r="B245" t="str">
            <v>Cipta Semesta Lestari, PT</v>
          </cell>
          <cell r="C245" t="str">
            <v xml:space="preserve">ciptasemestalestari@yahoo.com; ciptasemestalestari@gmail.com </v>
          </cell>
          <cell r="D245" t="str">
            <v>Robert</v>
          </cell>
          <cell r="E245" t="str">
            <v>0816880720</v>
          </cell>
          <cell r="F245" t="str">
            <v>Podomoro City Ruko Garden Shopping Arcade Blok B/8. DH Jl. S Parman. JakBar - 14470</v>
          </cell>
          <cell r="G245" t="str">
            <v>□</v>
          </cell>
          <cell r="H245" t="str">
            <v>□</v>
          </cell>
          <cell r="I245" t="str">
            <v>□</v>
          </cell>
          <cell r="J245" t="str">
            <v>□</v>
          </cell>
          <cell r="K245" t="str">
            <v>□</v>
          </cell>
          <cell r="L245" t="str">
            <v>□</v>
          </cell>
          <cell r="M245" t="str">
            <v>□</v>
          </cell>
          <cell r="N245" t="str">
            <v>□</v>
          </cell>
          <cell r="O245" t="str">
            <v>□</v>
          </cell>
          <cell r="P245" t="str">
            <v>□</v>
          </cell>
          <cell r="Q245" t="str">
            <v>□</v>
          </cell>
          <cell r="R245" t="str">
            <v>□</v>
          </cell>
          <cell r="S245" t="str">
            <v>□</v>
          </cell>
          <cell r="T245" t="str">
            <v>□</v>
          </cell>
          <cell r="U245" t="str">
            <v>NA</v>
          </cell>
          <cell r="V245" t="str">
            <v>No Register</v>
          </cell>
          <cell r="W245" t="str">
            <v/>
          </cell>
          <cell r="Y245" t="str">
            <v/>
          </cell>
        </row>
        <row r="246">
          <cell r="B246" t="str">
            <v>Multitech Industrial Indonesia, PT</v>
          </cell>
          <cell r="C246" t="str">
            <v>afif_ma@yahoo.co.id; mti.ind@yahoo.com</v>
          </cell>
          <cell r="D246" t="str">
            <v>Afif</v>
          </cell>
          <cell r="E246" t="str">
            <v>085101764952</v>
          </cell>
          <cell r="F246" t="str">
            <v>Jl. Komarudin No. 04. Cakung Timur. Jakarta Timur - 13910</v>
          </cell>
          <cell r="G246" t="b">
            <v>1</v>
          </cell>
          <cell r="H246" t="b">
            <v>0</v>
          </cell>
          <cell r="I246" t="b">
            <v>0</v>
          </cell>
          <cell r="J246" t="b">
            <v>0</v>
          </cell>
          <cell r="K246" t="b">
            <v>0</v>
          </cell>
          <cell r="L246" t="b">
            <v>0</v>
          </cell>
          <cell r="M246" t="b">
            <v>1</v>
          </cell>
          <cell r="N246" t="b">
            <v>0</v>
          </cell>
          <cell r="O246" t="b">
            <v>0</v>
          </cell>
          <cell r="P246" t="b">
            <v>0</v>
          </cell>
          <cell r="Q246" t="b">
            <v>0</v>
          </cell>
          <cell r="R246" t="b">
            <v>0</v>
          </cell>
          <cell r="S246" t="b">
            <v>1</v>
          </cell>
          <cell r="T246" t="b">
            <v>0</v>
          </cell>
          <cell r="U246" t="str">
            <v>A</v>
          </cell>
          <cell r="V246" t="str">
            <v>Register</v>
          </cell>
          <cell r="W246" t="str">
            <v>GT - ME
GT - SP</v>
          </cell>
          <cell r="X246" t="str">
            <v>General Trading - Mechanical
General Trading - Sparepart</v>
          </cell>
          <cell r="Y246" t="str">
            <v>Mechanical</v>
          </cell>
        </row>
        <row r="247">
          <cell r="B247" t="str">
            <v>Krisbow Indonesia, PT</v>
          </cell>
          <cell r="C247" t="str">
            <v>dwi.nyiastuti@kawanlama.com</v>
          </cell>
          <cell r="D247" t="str">
            <v>Dwi</v>
          </cell>
          <cell r="E247" t="str">
            <v>082148809991</v>
          </cell>
          <cell r="F247" t="str">
            <v>Jl. A. Yani km 7.7 . Kertak Hanyar. Banjarmasin - 70654</v>
          </cell>
          <cell r="G247" t="b">
            <v>0</v>
          </cell>
          <cell r="H247" t="b">
            <v>0</v>
          </cell>
          <cell r="I247" t="b">
            <v>0</v>
          </cell>
          <cell r="J247" t="b">
            <v>0</v>
          </cell>
          <cell r="K247" t="b">
            <v>0</v>
          </cell>
          <cell r="L247" t="b">
            <v>0</v>
          </cell>
          <cell r="M247" t="b">
            <v>0</v>
          </cell>
          <cell r="N247" t="b">
            <v>0</v>
          </cell>
          <cell r="O247" t="b">
            <v>0</v>
          </cell>
          <cell r="P247" t="b">
            <v>0</v>
          </cell>
          <cell r="Q247" t="b">
            <v>0</v>
          </cell>
          <cell r="R247" t="b">
            <v>0</v>
          </cell>
          <cell r="S247" t="b">
            <v>0</v>
          </cell>
          <cell r="T247" t="b">
            <v>1</v>
          </cell>
          <cell r="U247" t="str">
            <v>NA</v>
          </cell>
          <cell r="V247" t="str">
            <v>Register</v>
          </cell>
          <cell r="W247" t="str">
            <v>GT - ID</v>
          </cell>
          <cell r="X247" t="str">
            <v>General Trading - Industrial Goods</v>
          </cell>
          <cell r="Y247" t="str">
            <v>Krisbow</v>
          </cell>
        </row>
        <row r="248">
          <cell r="B248" t="str">
            <v>Mitra Usaha Katiga, PT</v>
          </cell>
          <cell r="C248" t="str">
            <v>nisa@muk3.com; nining@muk3.com</v>
          </cell>
          <cell r="D248" t="str">
            <v>Nisa</v>
          </cell>
          <cell r="F248" t="str">
            <v>Jatiwaringin Junction. Jln. Jatiwaringin Raya No. 24 Kav. H. JakTim - 13620</v>
          </cell>
          <cell r="G248" t="b">
            <v>0</v>
          </cell>
          <cell r="H248" t="b">
            <v>0</v>
          </cell>
          <cell r="I248" t="b">
            <v>0</v>
          </cell>
          <cell r="J248" t="b">
            <v>0</v>
          </cell>
          <cell r="K248" t="b">
            <v>0</v>
          </cell>
          <cell r="L248" t="b">
            <v>0</v>
          </cell>
          <cell r="M248" t="b">
            <v>0</v>
          </cell>
          <cell r="N248" t="b">
            <v>0</v>
          </cell>
          <cell r="O248" t="b">
            <v>0</v>
          </cell>
          <cell r="P248" t="b">
            <v>0</v>
          </cell>
          <cell r="Q248" t="b">
            <v>0</v>
          </cell>
          <cell r="R248" t="b">
            <v>0</v>
          </cell>
          <cell r="S248" t="b">
            <v>0</v>
          </cell>
          <cell r="T248" t="b">
            <v>0</v>
          </cell>
          <cell r="U248" t="str">
            <v>NA</v>
          </cell>
          <cell r="V248" t="str">
            <v>Register</v>
          </cell>
          <cell r="W248" t="str">
            <v>SJ - MC</v>
          </cell>
          <cell r="X248" t="str">
            <v>Service Jasa - Medical Service</v>
          </cell>
          <cell r="Y248" t="str">
            <v/>
          </cell>
        </row>
        <row r="249">
          <cell r="B249" t="str">
            <v>Taka Turbomachinery Indonesia, PT</v>
          </cell>
          <cell r="C249" t="str">
            <v>ezra@taka.co.id</v>
          </cell>
          <cell r="D249" t="str">
            <v>Erza</v>
          </cell>
          <cell r="F249" t="str">
            <v>Jl. Soekarno - Hatta No. 797. Bandung Jawa Barat - 40294</v>
          </cell>
          <cell r="G249" t="str">
            <v>□</v>
          </cell>
          <cell r="H249" t="str">
            <v>□</v>
          </cell>
          <cell r="I249" t="str">
            <v>□</v>
          </cell>
          <cell r="J249" t="str">
            <v>□</v>
          </cell>
          <cell r="K249" t="str">
            <v>□</v>
          </cell>
          <cell r="L249" t="str">
            <v>□</v>
          </cell>
          <cell r="M249" t="str">
            <v>□</v>
          </cell>
          <cell r="N249" t="str">
            <v>□</v>
          </cell>
          <cell r="O249" t="str">
            <v>□</v>
          </cell>
          <cell r="P249" t="str">
            <v>□</v>
          </cell>
          <cell r="Q249" t="str">
            <v>□</v>
          </cell>
          <cell r="R249" t="str">
            <v>□</v>
          </cell>
          <cell r="S249" t="str">
            <v>□</v>
          </cell>
          <cell r="T249" t="str">
            <v>□</v>
          </cell>
          <cell r="U249" t="str">
            <v>A</v>
          </cell>
          <cell r="V249" t="str">
            <v>Register</v>
          </cell>
          <cell r="W249" t="str">
            <v/>
          </cell>
          <cell r="X249" t="str">
            <v>Service Jasa - Maintenance</v>
          </cell>
          <cell r="Y249" t="str">
            <v/>
          </cell>
        </row>
        <row r="250">
          <cell r="B250" t="str">
            <v>Vikara Indoprima Perkasa, PT</v>
          </cell>
          <cell r="C250" t="str">
            <v>vikara_indoprimaperkasa@yahoo.co.id</v>
          </cell>
          <cell r="D250" t="str">
            <v>Cintya</v>
          </cell>
          <cell r="F250" t="str">
            <v>Jl. Danau Toba No. 104. Bendungan Hilir - JakPus -10210</v>
          </cell>
          <cell r="G250" t="b">
            <v>0</v>
          </cell>
          <cell r="H250" t="b">
            <v>0</v>
          </cell>
          <cell r="I250" t="b">
            <v>0</v>
          </cell>
          <cell r="J250" t="b">
            <v>0</v>
          </cell>
          <cell r="K250" t="b">
            <v>0</v>
          </cell>
          <cell r="L250" t="b">
            <v>0</v>
          </cell>
          <cell r="M250" t="b">
            <v>0</v>
          </cell>
          <cell r="N250" t="b">
            <v>0</v>
          </cell>
          <cell r="O250" t="b">
            <v>0</v>
          </cell>
          <cell r="P250" t="b">
            <v>0</v>
          </cell>
          <cell r="Q250" t="b">
            <v>0</v>
          </cell>
          <cell r="R250" t="b">
            <v>0</v>
          </cell>
          <cell r="S250" t="b">
            <v>0</v>
          </cell>
          <cell r="T250" t="b">
            <v>0</v>
          </cell>
          <cell r="U250" t="str">
            <v>NA</v>
          </cell>
          <cell r="V250" t="str">
            <v>No Register</v>
          </cell>
          <cell r="W250" t="str">
            <v/>
          </cell>
          <cell r="Y250" t="str">
            <v/>
          </cell>
        </row>
        <row r="251">
          <cell r="B251" t="str">
            <v>Melati Mulya Nusantara, PT</v>
          </cell>
          <cell r="C251" t="str">
            <v>melatimulya@gmail.com</v>
          </cell>
          <cell r="D251" t="str">
            <v>Fachruddin</v>
          </cell>
          <cell r="E251" t="str">
            <v>0811512211</v>
          </cell>
          <cell r="F251" t="str">
            <v>Jl. Simpang Belitung No. 19 RT 001. Kuin Selatan.</v>
          </cell>
          <cell r="G251" t="b">
            <v>0</v>
          </cell>
          <cell r="H251" t="b">
            <v>0</v>
          </cell>
          <cell r="I251" t="b">
            <v>0</v>
          </cell>
          <cell r="J251" t="b">
            <v>0</v>
          </cell>
          <cell r="K251" t="b">
            <v>0</v>
          </cell>
          <cell r="L251" t="b">
            <v>0</v>
          </cell>
          <cell r="M251" t="b">
            <v>0</v>
          </cell>
          <cell r="N251" t="b">
            <v>1</v>
          </cell>
          <cell r="O251" t="b">
            <v>0</v>
          </cell>
          <cell r="P251" t="b">
            <v>0</v>
          </cell>
          <cell r="Q251" t="b">
            <v>0</v>
          </cell>
          <cell r="R251" t="b">
            <v>0</v>
          </cell>
          <cell r="S251" t="b">
            <v>0</v>
          </cell>
          <cell r="T251" t="b">
            <v>0</v>
          </cell>
          <cell r="U251" t="str">
            <v>NA</v>
          </cell>
          <cell r="V251" t="str">
            <v>Register</v>
          </cell>
          <cell r="W251" t="str">
            <v>SJ - HVAC</v>
          </cell>
          <cell r="X251" t="str">
            <v>Service Jasa - HVAC (AC) Service</v>
          </cell>
          <cell r="Y251" t="str">
            <v/>
          </cell>
        </row>
        <row r="252">
          <cell r="B252" t="str">
            <v>Tunas Karya Borneo, PT</v>
          </cell>
          <cell r="C252" t="str">
            <v>tunasmix@gmail.com</v>
          </cell>
          <cell r="D252" t="str">
            <v>Alberto</v>
          </cell>
          <cell r="E252" t="str">
            <v>082245026197</v>
          </cell>
          <cell r="F252" t="str">
            <v>Jl. Ahmad Yani Desa Padang Panjang.RT 08 Kec. Tanta Tabalong KalSel - 71561</v>
          </cell>
          <cell r="G252" t="str">
            <v>□</v>
          </cell>
          <cell r="H252" t="str">
            <v>□</v>
          </cell>
          <cell r="I252" t="str">
            <v>□</v>
          </cell>
          <cell r="J252" t="str">
            <v>□</v>
          </cell>
          <cell r="K252" t="str">
            <v>□</v>
          </cell>
          <cell r="L252" t="str">
            <v>□</v>
          </cell>
          <cell r="M252" t="str">
            <v>□</v>
          </cell>
          <cell r="N252" t="str">
            <v>□</v>
          </cell>
          <cell r="O252" t="str">
            <v>□</v>
          </cell>
          <cell r="P252" t="str">
            <v>□</v>
          </cell>
          <cell r="Q252" t="str">
            <v>□</v>
          </cell>
          <cell r="R252" t="str">
            <v>□</v>
          </cell>
          <cell r="S252" t="str">
            <v>□</v>
          </cell>
          <cell r="T252" t="str">
            <v>□</v>
          </cell>
          <cell r="U252" t="str">
            <v>NA</v>
          </cell>
          <cell r="V252" t="str">
            <v>No Register</v>
          </cell>
          <cell r="W252" t="str">
            <v/>
          </cell>
          <cell r="Y252" t="str">
            <v/>
          </cell>
        </row>
        <row r="253">
          <cell r="B253" t="str">
            <v>Catur Inti Chemical, PT</v>
          </cell>
          <cell r="C253" t="str">
            <v>info@catur-inti.co.id</v>
          </cell>
          <cell r="F253" t="str">
            <v>Jl. Jababeka IV Blok T5B. Kawasan Industri Jababeka 1 Cikarang - Bekasi. 17550</v>
          </cell>
          <cell r="G253" t="str">
            <v>□</v>
          </cell>
          <cell r="H253" t="str">
            <v>□</v>
          </cell>
          <cell r="I253" t="str">
            <v>□</v>
          </cell>
          <cell r="J253" t="str">
            <v>□</v>
          </cell>
          <cell r="K253" t="str">
            <v>□</v>
          </cell>
          <cell r="L253" t="str">
            <v>□</v>
          </cell>
          <cell r="M253" t="str">
            <v>□</v>
          </cell>
          <cell r="N253" t="str">
            <v>□</v>
          </cell>
          <cell r="O253" t="str">
            <v>□</v>
          </cell>
          <cell r="P253" t="str">
            <v>□</v>
          </cell>
          <cell r="Q253" t="str">
            <v>□</v>
          </cell>
          <cell r="R253" t="str">
            <v>□</v>
          </cell>
          <cell r="S253" t="str">
            <v>□</v>
          </cell>
          <cell r="T253" t="str">
            <v>□</v>
          </cell>
          <cell r="U253" t="str">
            <v>NA</v>
          </cell>
          <cell r="V253" t="str">
            <v>No Register</v>
          </cell>
          <cell r="W253" t="str">
            <v/>
          </cell>
          <cell r="Y253" t="str">
            <v/>
          </cell>
        </row>
        <row r="254">
          <cell r="B254" t="str">
            <v>Luhur Mulialestari, PT</v>
          </cell>
          <cell r="C254" t="str">
            <v>pt.luhutmulialestari@gmail.com</v>
          </cell>
          <cell r="D254" t="str">
            <v>Achmad Mulyono</v>
          </cell>
          <cell r="E254" t="str">
            <v>0852257981666</v>
          </cell>
          <cell r="F254" t="str">
            <v>Jl. Manukan Lor 2 Raya No. 109. Banjarsugihan Tandes. Surabaya - 60185</v>
          </cell>
          <cell r="G254" t="str">
            <v>□</v>
          </cell>
          <cell r="H254" t="str">
            <v>□</v>
          </cell>
          <cell r="I254" t="str">
            <v>□</v>
          </cell>
          <cell r="J254" t="str">
            <v>□</v>
          </cell>
          <cell r="K254" t="str">
            <v>□</v>
          </cell>
          <cell r="L254" t="str">
            <v>□</v>
          </cell>
          <cell r="M254" t="str">
            <v>□</v>
          </cell>
          <cell r="N254" t="str">
            <v>□</v>
          </cell>
          <cell r="O254" t="str">
            <v>□</v>
          </cell>
          <cell r="P254" t="str">
            <v>□</v>
          </cell>
          <cell r="Q254" t="str">
            <v>□</v>
          </cell>
          <cell r="R254" t="str">
            <v>□</v>
          </cell>
          <cell r="S254" t="str">
            <v>□</v>
          </cell>
          <cell r="T254" t="str">
            <v>□</v>
          </cell>
          <cell r="U254" t="str">
            <v>NA</v>
          </cell>
          <cell r="V254" t="str">
            <v>No Register</v>
          </cell>
          <cell r="W254" t="str">
            <v/>
          </cell>
          <cell r="Y254" t="str">
            <v/>
          </cell>
        </row>
        <row r="255">
          <cell r="B255" t="str">
            <v>Kapuas Kencana Jaya, PT</v>
          </cell>
          <cell r="C255" t="str">
            <v>soetopo@kapuaskencana.com; sales@kapuaskencana.com</v>
          </cell>
          <cell r="D255" t="str">
            <v>Soetopo KKJ</v>
          </cell>
          <cell r="E255" t="str">
            <v>08115007879; 087816222912</v>
          </cell>
          <cell r="F255" t="str">
            <v>Jl. Ahmad Yani km. 7,6 No 88. Kertak Hanyar. Banjarmasin</v>
          </cell>
          <cell r="G255" t="b">
            <v>0</v>
          </cell>
          <cell r="H255" t="b">
            <v>0</v>
          </cell>
          <cell r="I255" t="b">
            <v>0</v>
          </cell>
          <cell r="J255" t="b">
            <v>0</v>
          </cell>
          <cell r="K255" t="b">
            <v>0</v>
          </cell>
          <cell r="L255" t="b">
            <v>0</v>
          </cell>
          <cell r="M255" t="b">
            <v>0</v>
          </cell>
          <cell r="N255" t="b">
            <v>0</v>
          </cell>
          <cell r="O255" t="b">
            <v>0</v>
          </cell>
          <cell r="P255" t="b">
            <v>0</v>
          </cell>
          <cell r="Q255" t="b">
            <v>0</v>
          </cell>
          <cell r="R255" t="b">
            <v>0</v>
          </cell>
          <cell r="S255" t="b">
            <v>0</v>
          </cell>
          <cell r="T255" t="b">
            <v>0</v>
          </cell>
          <cell r="U255" t="str">
            <v>A</v>
          </cell>
          <cell r="V255" t="str">
            <v>Register</v>
          </cell>
          <cell r="W255" t="str">
            <v/>
          </cell>
          <cell r="X255" t="str">
            <v>Utilities - Lubricant &amp; Industrial Oil</v>
          </cell>
          <cell r="Y255" t="str">
            <v>Oli Pertamina</v>
          </cell>
        </row>
        <row r="256">
          <cell r="B256" t="str">
            <v>Petro Gama Industri, PT</v>
          </cell>
          <cell r="C256" t="str">
            <v xml:space="preserve"> marketing@petrogasindustri.com</v>
          </cell>
          <cell r="D256" t="str">
            <v>Adrian Sandy</v>
          </cell>
          <cell r="E256" t="str">
            <v>087877739649</v>
          </cell>
          <cell r="F256" t="str">
            <v>Komplek Rukonotre Dame Blok F9. Kws Industri Deltamas. Cikarang Timur. Bekasi - 17530</v>
          </cell>
          <cell r="G256" t="b">
            <v>0</v>
          </cell>
          <cell r="H256" t="b">
            <v>0</v>
          </cell>
          <cell r="I256" t="b">
            <v>0</v>
          </cell>
          <cell r="J256" t="b">
            <v>0</v>
          </cell>
          <cell r="K256" t="b">
            <v>0</v>
          </cell>
          <cell r="L256" t="b">
            <v>0</v>
          </cell>
          <cell r="M256" t="b">
            <v>0</v>
          </cell>
          <cell r="N256" t="b">
            <v>0</v>
          </cell>
          <cell r="O256" t="b">
            <v>0</v>
          </cell>
          <cell r="P256" t="b">
            <v>0</v>
          </cell>
          <cell r="Q256" t="b">
            <v>0</v>
          </cell>
          <cell r="R256" t="b">
            <v>0</v>
          </cell>
          <cell r="S256" t="b">
            <v>0</v>
          </cell>
          <cell r="T256" t="b">
            <v>0</v>
          </cell>
          <cell r="U256" t="str">
            <v>NA</v>
          </cell>
          <cell r="V256" t="str">
            <v>Register</v>
          </cell>
          <cell r="W256" t="str">
            <v>GT - IC</v>
          </cell>
          <cell r="X256" t="str">
            <v>General Trading - Elektrical
General Trading - Instrument</v>
          </cell>
          <cell r="Y256" t="str">
            <v>Industrial Gas</v>
          </cell>
        </row>
        <row r="257">
          <cell r="B257" t="str">
            <v>Seltech Utama, PT</v>
          </cell>
          <cell r="C257" t="str">
            <v>Komar@seltechutama.com; Erny@seltechutama.com; Saipul@seltechutama.com</v>
          </cell>
          <cell r="D257" t="str">
            <v>Erny</v>
          </cell>
          <cell r="E257" t="str">
            <v>0898055880</v>
          </cell>
          <cell r="F257" t="str">
            <v>Jl. Brigjen Katamso No. 8-9. Kota Bambu Selatan - Palmerah. Jakarta Barat - 11420</v>
          </cell>
          <cell r="G257" t="b">
            <v>0</v>
          </cell>
          <cell r="H257" t="b">
            <v>0</v>
          </cell>
          <cell r="I257" t="b">
            <v>0</v>
          </cell>
          <cell r="J257" t="b">
            <v>0</v>
          </cell>
          <cell r="K257" t="b">
            <v>0</v>
          </cell>
          <cell r="L257" t="b">
            <v>0</v>
          </cell>
          <cell r="M257" t="b">
            <v>0</v>
          </cell>
          <cell r="N257" t="b">
            <v>0</v>
          </cell>
          <cell r="O257" t="b">
            <v>0</v>
          </cell>
          <cell r="P257" t="b">
            <v>0</v>
          </cell>
          <cell r="Q257" t="b">
            <v>0</v>
          </cell>
          <cell r="R257" t="b">
            <v>0</v>
          </cell>
          <cell r="S257" t="b">
            <v>0</v>
          </cell>
          <cell r="T257" t="b">
            <v>0</v>
          </cell>
          <cell r="U257" t="str">
            <v>A</v>
          </cell>
          <cell r="V257" t="str">
            <v>No Register</v>
          </cell>
          <cell r="W257" t="str">
            <v/>
          </cell>
          <cell r="Y257" t="str">
            <v/>
          </cell>
        </row>
        <row r="258">
          <cell r="B258" t="str">
            <v>Global Satria Aji, PT</v>
          </cell>
          <cell r="C258" t="str">
            <v>sales@gsa.co.id; endang.hardijani@gsa.co.id; vivi.aprilla@gsa.co.id</v>
          </cell>
          <cell r="D258" t="str">
            <v>Vivi</v>
          </cell>
          <cell r="F258" t="str">
            <v>Jl. Rawamangun Muka Raya No. 1 Pulo Gadung
Jakarta   13220
Indonesia</v>
          </cell>
          <cell r="G258" t="b">
            <v>0</v>
          </cell>
          <cell r="H258" t="b">
            <v>0</v>
          </cell>
          <cell r="I258" t="b">
            <v>0</v>
          </cell>
          <cell r="J258" t="b">
            <v>0</v>
          </cell>
          <cell r="K258" t="b">
            <v>0</v>
          </cell>
          <cell r="L258" t="b">
            <v>0</v>
          </cell>
          <cell r="M258" t="b">
            <v>0</v>
          </cell>
          <cell r="N258" t="b">
            <v>0</v>
          </cell>
          <cell r="O258" t="b">
            <v>0</v>
          </cell>
          <cell r="P258" t="b">
            <v>0</v>
          </cell>
          <cell r="Q258" t="b">
            <v>0</v>
          </cell>
          <cell r="R258" t="b">
            <v>0</v>
          </cell>
          <cell r="S258" t="b">
            <v>0</v>
          </cell>
          <cell r="T258" t="b">
            <v>0</v>
          </cell>
          <cell r="U258" t="str">
            <v>A</v>
          </cell>
          <cell r="V258" t="str">
            <v>No Register</v>
          </cell>
          <cell r="W258" t="str">
            <v/>
          </cell>
          <cell r="Y258" t="str">
            <v/>
          </cell>
        </row>
        <row r="259">
          <cell r="B259" t="str">
            <v>Blessindo Prima Sarana, PT</v>
          </cell>
          <cell r="C259" t="str">
            <v>yuni@blessindo.com; yanti@blessindo.com</v>
          </cell>
          <cell r="D259" t="str">
            <v>Yuni Alfiani Sari; Yanti</v>
          </cell>
          <cell r="E259" t="str">
            <v>08119476999; 089658846387</v>
          </cell>
          <cell r="F259" t="str">
            <v>Jl. Taman Sari Komp Ruko 56 61C. JakBar</v>
          </cell>
          <cell r="G259" t="b">
            <v>1</v>
          </cell>
          <cell r="H259" t="b">
            <v>0</v>
          </cell>
          <cell r="I259" t="b">
            <v>0</v>
          </cell>
          <cell r="J259" t="b">
            <v>0</v>
          </cell>
          <cell r="K259" t="b">
            <v>0</v>
          </cell>
          <cell r="L259" t="b">
            <v>0</v>
          </cell>
          <cell r="M259" t="b">
            <v>0</v>
          </cell>
          <cell r="N259" t="b">
            <v>0</v>
          </cell>
          <cell r="O259" t="b">
            <v>0</v>
          </cell>
          <cell r="P259" t="b">
            <v>0</v>
          </cell>
          <cell r="Q259" t="b">
            <v>0</v>
          </cell>
          <cell r="R259" t="b">
            <v>0</v>
          </cell>
          <cell r="S259" t="b">
            <v>0</v>
          </cell>
          <cell r="T259" t="b">
            <v>0</v>
          </cell>
          <cell r="U259" t="str">
            <v>A</v>
          </cell>
          <cell r="V259" t="str">
            <v>Register</v>
          </cell>
          <cell r="W259" t="str">
            <v>GT - ME</v>
          </cell>
          <cell r="X259" t="str">
            <v>General Trading - Mechanical
Service Jasa - Mechanical</v>
          </cell>
          <cell r="Y259" t="str">
            <v>Heavy Equipment</v>
          </cell>
        </row>
        <row r="260">
          <cell r="B260" t="str">
            <v>Nana Global Indonesia, PT</v>
          </cell>
          <cell r="C260" t="str">
            <v/>
          </cell>
          <cell r="D260" t="str">
            <v/>
          </cell>
          <cell r="E260" t="str">
            <v/>
          </cell>
          <cell r="F260" t="str">
            <v>Jl. Sinar Agung Cipendawa No. 88 RT. 003 RW. 007. Kel. Bojong Menteng. Kec Rawa Lumbu. Kota Bekasi. Jawa Barat - 17116</v>
          </cell>
          <cell r="G260" t="b">
            <v>0</v>
          </cell>
          <cell r="H260" t="b">
            <v>0</v>
          </cell>
          <cell r="I260" t="b">
            <v>0</v>
          </cell>
          <cell r="J260" t="b">
            <v>0</v>
          </cell>
          <cell r="K260" t="b">
            <v>1</v>
          </cell>
          <cell r="L260" t="b">
            <v>0</v>
          </cell>
          <cell r="M260" t="b">
            <v>1</v>
          </cell>
          <cell r="N260" t="b">
            <v>0</v>
          </cell>
          <cell r="O260" t="b">
            <v>0</v>
          </cell>
          <cell r="P260" t="b">
            <v>0</v>
          </cell>
          <cell r="Q260" t="b">
            <v>0</v>
          </cell>
          <cell r="R260" t="b">
            <v>0</v>
          </cell>
          <cell r="S260" t="b">
            <v>0</v>
          </cell>
          <cell r="T260" t="b">
            <v>0</v>
          </cell>
          <cell r="U260" t="str">
            <v>NA</v>
          </cell>
          <cell r="V260" t="str">
            <v>No Register</v>
          </cell>
          <cell r="W260" t="str">
            <v>GT - SP</v>
          </cell>
          <cell r="X260" t="str">
            <v>General Trading - HSE
General Trading - Sparepart</v>
          </cell>
          <cell r="Y260" t="str">
            <v>Sparepart HSE</v>
          </cell>
        </row>
        <row r="261">
          <cell r="B261" t="str">
            <v>Trimitra Wahana Sukses, PT</v>
          </cell>
          <cell r="C261" t="str">
            <v>gunawan@twssolution.com; info@twssolution.com</v>
          </cell>
          <cell r="D261" t="str">
            <v>Gunawan; Dhinna</v>
          </cell>
          <cell r="E261" t="str">
            <v>08118256858</v>
          </cell>
          <cell r="F261" t="str">
            <v>Komp. Rukan Mahkota Ancol Blok D39
Jakarta Utara</v>
          </cell>
          <cell r="G261" t="str">
            <v>□</v>
          </cell>
          <cell r="H261" t="str">
            <v>□</v>
          </cell>
          <cell r="I261" t="str">
            <v>□</v>
          </cell>
          <cell r="J261" t="str">
            <v>□</v>
          </cell>
          <cell r="K261" t="str">
            <v>□</v>
          </cell>
          <cell r="L261" t="str">
            <v>□</v>
          </cell>
          <cell r="M261" t="str">
            <v>□</v>
          </cell>
          <cell r="N261" t="str">
            <v>□</v>
          </cell>
          <cell r="O261" t="str">
            <v>□</v>
          </cell>
          <cell r="P261" t="str">
            <v>□</v>
          </cell>
          <cell r="Q261" t="str">
            <v>□</v>
          </cell>
          <cell r="R261" t="str">
            <v>□</v>
          </cell>
          <cell r="S261" t="str">
            <v>□</v>
          </cell>
          <cell r="T261" t="str">
            <v>□</v>
          </cell>
          <cell r="U261" t="str">
            <v>NA</v>
          </cell>
          <cell r="V261" t="str">
            <v>No Register</v>
          </cell>
          <cell r="W261" t="str">
            <v/>
          </cell>
          <cell r="Y261" t="str">
            <v/>
          </cell>
        </row>
        <row r="262">
          <cell r="B262" t="str">
            <v>Mulia Solusindo, PT</v>
          </cell>
          <cell r="C262" t="str">
            <v>heldy.muliasolusindo@gmail.com; heldy@muliasolusindo.com</v>
          </cell>
          <cell r="D262" t="str">
            <v>Heldi</v>
          </cell>
          <cell r="E262" t="str">
            <v>082339658028</v>
          </cell>
          <cell r="F262" t="str">
            <v>Jl. Mulawarman No. 124 RT 22 Balikpapan</v>
          </cell>
          <cell r="G262" t="str">
            <v>□</v>
          </cell>
          <cell r="H262" t="str">
            <v>□</v>
          </cell>
          <cell r="I262" t="str">
            <v>□</v>
          </cell>
          <cell r="J262" t="str">
            <v>□</v>
          </cell>
          <cell r="K262" t="str">
            <v>□</v>
          </cell>
          <cell r="L262" t="str">
            <v>□</v>
          </cell>
          <cell r="M262" t="str">
            <v>□</v>
          </cell>
          <cell r="N262" t="str">
            <v>□</v>
          </cell>
          <cell r="O262" t="str">
            <v>□</v>
          </cell>
          <cell r="P262" t="str">
            <v>□</v>
          </cell>
          <cell r="Q262" t="str">
            <v>□</v>
          </cell>
          <cell r="R262" t="str">
            <v>□</v>
          </cell>
          <cell r="S262" t="str">
            <v>□</v>
          </cell>
          <cell r="T262" t="str">
            <v>□</v>
          </cell>
          <cell r="U262" t="str">
            <v>A</v>
          </cell>
          <cell r="V262" t="str">
            <v>No Register</v>
          </cell>
          <cell r="W262" t="str">
            <v/>
          </cell>
          <cell r="X262" t="str">
            <v>Service Jasa - Calibration / Testing</v>
          </cell>
          <cell r="Y262" t="str">
            <v>Rewinding</v>
          </cell>
        </row>
        <row r="263">
          <cell r="B263" t="str">
            <v>Outsourcindo, PT</v>
          </cell>
          <cell r="C263" t="str">
            <v>outsourcindo@gmail.com; sales@outsourcindo.com</v>
          </cell>
          <cell r="D263" t="str">
            <v>Richard</v>
          </cell>
          <cell r="E263" t="str">
            <v>081311533042</v>
          </cell>
          <cell r="F263" t="str">
            <v>Jl. Salemba Tengah No. 12 F-G Paseban Senen
Jakarta Pusat</v>
          </cell>
          <cell r="G263" t="b">
            <v>1</v>
          </cell>
          <cell r="H263" t="b">
            <v>1</v>
          </cell>
          <cell r="I263" t="b">
            <v>1</v>
          </cell>
          <cell r="J263" t="b">
            <v>0</v>
          </cell>
          <cell r="K263" t="b">
            <v>0</v>
          </cell>
          <cell r="L263" t="b">
            <v>0</v>
          </cell>
          <cell r="M263" t="b">
            <v>0</v>
          </cell>
          <cell r="N263" t="b">
            <v>0</v>
          </cell>
          <cell r="O263" t="b">
            <v>0</v>
          </cell>
          <cell r="P263" t="b">
            <v>0</v>
          </cell>
          <cell r="Q263" t="b">
            <v>0</v>
          </cell>
          <cell r="R263" t="b">
            <v>0</v>
          </cell>
          <cell r="S263" t="b">
            <v>1</v>
          </cell>
          <cell r="T263" t="b">
            <v>0</v>
          </cell>
          <cell r="U263" t="str">
            <v>A</v>
          </cell>
          <cell r="V263" t="str">
            <v>Register</v>
          </cell>
          <cell r="W263" t="str">
            <v>GT - ME
GT - IC</v>
          </cell>
          <cell r="X263" t="str">
            <v>General Trading - Mechanical
General Trading - Elektrical
General Trading - Instrument</v>
          </cell>
          <cell r="Y263" t="str">
            <v>Mechanical</v>
          </cell>
        </row>
        <row r="264">
          <cell r="B264" t="str">
            <v>Indo Makmur Mandiri, PT</v>
          </cell>
          <cell r="C264" t="str">
            <v>indomakmur@dnet.net.id; jochika79@gmail.com</v>
          </cell>
          <cell r="D264" t="str">
            <v>Yulius Andri</v>
          </cell>
          <cell r="E264" t="str">
            <v>087886058962</v>
          </cell>
          <cell r="F264" t="str">
            <v>JL. Peta Barat Komp. Citra Business Park Blok B No. 12
Jakarta Barat</v>
          </cell>
          <cell r="G264" t="b">
            <v>0</v>
          </cell>
          <cell r="H264" t="b">
            <v>0</v>
          </cell>
          <cell r="I264" t="b">
            <v>0</v>
          </cell>
          <cell r="J264" t="b">
            <v>0</v>
          </cell>
          <cell r="K264" t="b">
            <v>0</v>
          </cell>
          <cell r="L264" t="b">
            <v>0</v>
          </cell>
          <cell r="M264" t="b">
            <v>0</v>
          </cell>
          <cell r="N264" t="b">
            <v>0</v>
          </cell>
          <cell r="O264" t="b">
            <v>0</v>
          </cell>
          <cell r="P264" t="b">
            <v>0</v>
          </cell>
          <cell r="Q264" t="b">
            <v>0</v>
          </cell>
          <cell r="R264" t="b">
            <v>0</v>
          </cell>
          <cell r="S264" t="b">
            <v>1</v>
          </cell>
          <cell r="T264" t="b">
            <v>0</v>
          </cell>
          <cell r="U264" t="str">
            <v>A</v>
          </cell>
          <cell r="V264" t="str">
            <v>Register</v>
          </cell>
          <cell r="W264" t="str">
            <v>GT - ID</v>
          </cell>
          <cell r="X264" t="str">
            <v>General Trading - Industrial Goods</v>
          </cell>
          <cell r="Y264" t="str">
            <v/>
          </cell>
        </row>
        <row r="265">
          <cell r="B265" t="str">
            <v>Tjokro Bersaudara Tanjungindo, PT</v>
          </cell>
          <cell r="C265" t="str">
            <v>ekaoktavian7@gmail.com; tbbanjar@gmail.com</v>
          </cell>
          <cell r="D265" t="str">
            <v>Eka</v>
          </cell>
          <cell r="E265" t="str">
            <v>085388640477</v>
          </cell>
          <cell r="F265" t="str">
            <v>Jl. Sirkuit Marido RT.VI No. 25 Desa Kasiau Kec. Murung Pudak Kab. Tabalong
Tabalong</v>
          </cell>
          <cell r="G265" t="b">
            <v>0</v>
          </cell>
          <cell r="H265" t="b">
            <v>0</v>
          </cell>
          <cell r="I265" t="b">
            <v>0</v>
          </cell>
          <cell r="J265" t="b">
            <v>0</v>
          </cell>
          <cell r="K265" t="b">
            <v>0</v>
          </cell>
          <cell r="L265" t="b">
            <v>0</v>
          </cell>
          <cell r="M265" t="b">
            <v>0</v>
          </cell>
          <cell r="N265" t="b">
            <v>0</v>
          </cell>
          <cell r="O265" t="b">
            <v>0</v>
          </cell>
          <cell r="P265" t="b">
            <v>0</v>
          </cell>
          <cell r="Q265" t="b">
            <v>0</v>
          </cell>
          <cell r="R265" t="b">
            <v>0</v>
          </cell>
          <cell r="S265" t="b">
            <v>0</v>
          </cell>
          <cell r="T265" t="b">
            <v>0</v>
          </cell>
          <cell r="U265" t="str">
            <v>NA</v>
          </cell>
          <cell r="V265" t="str">
            <v>No Register</v>
          </cell>
          <cell r="W265" t="str">
            <v/>
          </cell>
          <cell r="Y265" t="str">
            <v/>
          </cell>
        </row>
        <row r="266">
          <cell r="B266" t="str">
            <v>Karya Teknik Perkasa, PT</v>
          </cell>
          <cell r="C266" t="str">
            <v/>
          </cell>
          <cell r="D266" t="str">
            <v/>
          </cell>
          <cell r="E266" t="str">
            <v/>
          </cell>
          <cell r="F266" t="str">
            <v>Cluster Taman Sari Blok HN No. 61. Kota Harapan Indah 2 . Bekasi - 17214</v>
          </cell>
          <cell r="G266" t="b">
            <v>1</v>
          </cell>
          <cell r="H266" t="b">
            <v>0</v>
          </cell>
          <cell r="I266" t="b">
            <v>0</v>
          </cell>
          <cell r="J266" t="b">
            <v>0</v>
          </cell>
          <cell r="K266" t="b">
            <v>0</v>
          </cell>
          <cell r="L266" t="b">
            <v>0</v>
          </cell>
          <cell r="M266" t="b">
            <v>1</v>
          </cell>
          <cell r="N266" t="b">
            <v>0</v>
          </cell>
          <cell r="O266" t="b">
            <v>0</v>
          </cell>
          <cell r="P266" t="b">
            <v>0</v>
          </cell>
          <cell r="Q266" t="b">
            <v>0</v>
          </cell>
          <cell r="R266" t="b">
            <v>0</v>
          </cell>
          <cell r="S266" t="b">
            <v>1</v>
          </cell>
          <cell r="T266" t="b">
            <v>0</v>
          </cell>
          <cell r="U266" t="str">
            <v>NA</v>
          </cell>
          <cell r="V266" t="str">
            <v>No Register</v>
          </cell>
          <cell r="W266" t="str">
            <v>GT - ME
GT - SP</v>
          </cell>
          <cell r="X266" t="str">
            <v>General Trading - Mechanical
General Trading - Sparepart</v>
          </cell>
          <cell r="Y266" t="str">
            <v/>
          </cell>
        </row>
        <row r="267">
          <cell r="B267" t="str">
            <v>Eonchemicals Putra, PT</v>
          </cell>
          <cell r="C267" t="str">
            <v>lingga.ahadi@eonchemical.com; sales@eonchemical.com; marketing@eonchemicals.com; iyan.sudianto@eonchemical.com; muhamad.hadi@eonchemical.com; dicky.permady@eonchemical.com</v>
          </cell>
          <cell r="D267" t="str">
            <v>Dicky</v>
          </cell>
          <cell r="E267" t="str">
            <v>081190013558</v>
          </cell>
          <cell r="F267" t="str">
            <v>Jl. Dr. Saharjo No. 111. Tebet. JakSel - 12810</v>
          </cell>
          <cell r="G267" t="b">
            <v>0</v>
          </cell>
          <cell r="H267" t="b">
            <v>0</v>
          </cell>
          <cell r="I267" t="b">
            <v>0</v>
          </cell>
          <cell r="J267" t="b">
            <v>1</v>
          </cell>
          <cell r="K267" t="b">
            <v>0</v>
          </cell>
          <cell r="L267" t="b">
            <v>0</v>
          </cell>
          <cell r="M267" t="b">
            <v>0</v>
          </cell>
          <cell r="N267" t="b">
            <v>1</v>
          </cell>
          <cell r="O267" t="b">
            <v>0</v>
          </cell>
          <cell r="P267" t="b">
            <v>0</v>
          </cell>
          <cell r="Q267" t="b">
            <v>0</v>
          </cell>
          <cell r="R267" t="b">
            <v>0</v>
          </cell>
          <cell r="S267" t="b">
            <v>0</v>
          </cell>
          <cell r="T267" t="b">
            <v>0</v>
          </cell>
          <cell r="U267" t="str">
            <v>A</v>
          </cell>
          <cell r="V267" t="str">
            <v>Register</v>
          </cell>
          <cell r="W267" t="str">
            <v>GT - CHE</v>
          </cell>
          <cell r="X267" t="str">
            <v>Service Jasa - Chemical
General Trading - Chemical</v>
          </cell>
          <cell r="Y267" t="str">
            <v/>
          </cell>
        </row>
        <row r="268">
          <cell r="B268" t="str">
            <v>Sinar Surya Lestari, PT</v>
          </cell>
          <cell r="C268" t="str">
            <v>sinarsurya696@gmail.com</v>
          </cell>
          <cell r="D268" t="str">
            <v>Rachman</v>
          </cell>
          <cell r="E268" t="str">
            <v>082111509155</v>
          </cell>
          <cell r="F268" t="str">
            <v>Komp. Ruko Golden Ville No. 88CJ. Jl. Taman Daan Mogot. Jakarta - 11510</v>
          </cell>
          <cell r="G268" t="b">
            <v>1</v>
          </cell>
          <cell r="H268" t="b">
            <v>0</v>
          </cell>
          <cell r="I268" t="b">
            <v>0</v>
          </cell>
          <cell r="J268" t="b">
            <v>0</v>
          </cell>
          <cell r="K268" t="b">
            <v>0</v>
          </cell>
          <cell r="L268" t="b">
            <v>0</v>
          </cell>
          <cell r="M268" t="b">
            <v>0</v>
          </cell>
          <cell r="N268" t="b">
            <v>0</v>
          </cell>
          <cell r="O268" t="b">
            <v>0</v>
          </cell>
          <cell r="P268" t="b">
            <v>0</v>
          </cell>
          <cell r="Q268" t="b">
            <v>0</v>
          </cell>
          <cell r="R268" t="b">
            <v>0</v>
          </cell>
          <cell r="S268" t="b">
            <v>0</v>
          </cell>
          <cell r="T268" t="b">
            <v>0</v>
          </cell>
          <cell r="U268" t="str">
            <v>NA</v>
          </cell>
          <cell r="V268" t="str">
            <v>Register</v>
          </cell>
          <cell r="W268" t="str">
            <v>GT - ME</v>
          </cell>
          <cell r="X268" t="str">
            <v>General Trading - Mechanical</v>
          </cell>
          <cell r="Y268" t="str">
            <v>Conveyor System</v>
          </cell>
        </row>
        <row r="269">
          <cell r="B269" t="str">
            <v>Alfa Teknik Mandiri Makmur, PT</v>
          </cell>
          <cell r="C269" t="str">
            <v>sales.atmm@gmail.com; alex_atmm@yahoo.com</v>
          </cell>
          <cell r="D269" t="str">
            <v>Alexander</v>
          </cell>
          <cell r="E269" t="str">
            <v>081399558869</v>
          </cell>
          <cell r="F269" t="str">
            <v>Komp. Season City Lt. LG C6 No. 3. Jl Jembatan Besi No. 33. JakBar - 11320</v>
          </cell>
          <cell r="G269" t="b">
            <v>0</v>
          </cell>
          <cell r="H269" t="b">
            <v>0</v>
          </cell>
          <cell r="I269" t="b">
            <v>0</v>
          </cell>
          <cell r="J269" t="b">
            <v>0</v>
          </cell>
          <cell r="K269" t="b">
            <v>0</v>
          </cell>
          <cell r="L269" t="b">
            <v>0</v>
          </cell>
          <cell r="M269" t="b">
            <v>0</v>
          </cell>
          <cell r="N269" t="b">
            <v>0</v>
          </cell>
          <cell r="O269" t="b">
            <v>0</v>
          </cell>
          <cell r="P269" t="b">
            <v>0</v>
          </cell>
          <cell r="Q269" t="b">
            <v>0</v>
          </cell>
          <cell r="R269" t="b">
            <v>0</v>
          </cell>
          <cell r="S269" t="b">
            <v>1</v>
          </cell>
          <cell r="T269" t="b">
            <v>0</v>
          </cell>
          <cell r="U269" t="str">
            <v>A</v>
          </cell>
          <cell r="V269" t="str">
            <v>Register</v>
          </cell>
          <cell r="W269" t="str">
            <v>GT</v>
          </cell>
          <cell r="X269" t="str">
            <v>General Trading</v>
          </cell>
          <cell r="Y269" t="str">
            <v>General Trading</v>
          </cell>
        </row>
        <row r="270">
          <cell r="B270" t="str">
            <v>Sinar Kharisma Mitra Agung, PT</v>
          </cell>
          <cell r="C270" t="str">
            <v/>
          </cell>
          <cell r="D270" t="str">
            <v/>
          </cell>
          <cell r="E270" t="str">
            <v/>
          </cell>
          <cell r="F270" t="str">
            <v>Jl. Hutama Raya No. 4 RT 010. RW 013. Jatimulya Bekasi - 17510</v>
          </cell>
          <cell r="G270" t="str">
            <v>□</v>
          </cell>
          <cell r="H270" t="str">
            <v>□</v>
          </cell>
          <cell r="I270" t="str">
            <v>□</v>
          </cell>
          <cell r="J270" t="str">
            <v>□</v>
          </cell>
          <cell r="K270" t="str">
            <v>□</v>
          </cell>
          <cell r="L270" t="str">
            <v>□</v>
          </cell>
          <cell r="M270" t="str">
            <v>□</v>
          </cell>
          <cell r="N270" t="str">
            <v>□</v>
          </cell>
          <cell r="O270" t="str">
            <v>□</v>
          </cell>
          <cell r="P270" t="str">
            <v>□</v>
          </cell>
          <cell r="Q270" t="str">
            <v>□</v>
          </cell>
          <cell r="R270" t="str">
            <v>□</v>
          </cell>
          <cell r="S270" t="str">
            <v>□</v>
          </cell>
          <cell r="T270" t="str">
            <v>□</v>
          </cell>
          <cell r="U270" t="str">
            <v>NA</v>
          </cell>
          <cell r="V270" t="str">
            <v>No Register</v>
          </cell>
          <cell r="W270" t="str">
            <v/>
          </cell>
          <cell r="Y270" t="str">
            <v/>
          </cell>
        </row>
        <row r="271">
          <cell r="B271" t="str">
            <v>Tawada Graha, PT</v>
          </cell>
          <cell r="C271" t="str">
            <v/>
          </cell>
          <cell r="D271" t="str">
            <v/>
          </cell>
          <cell r="E271" t="str">
            <v/>
          </cell>
          <cell r="F271" t="str">
            <v>Rukan Permata Senayan Blok A20-21. Jl. Tentara Pelajar NOS. JakSel - 12210</v>
          </cell>
          <cell r="G271" t="str">
            <v>□</v>
          </cell>
          <cell r="H271" t="str">
            <v>□</v>
          </cell>
          <cell r="I271" t="str">
            <v>□</v>
          </cell>
          <cell r="J271" t="str">
            <v>□</v>
          </cell>
          <cell r="K271" t="str">
            <v>□</v>
          </cell>
          <cell r="L271" t="str">
            <v>□</v>
          </cell>
          <cell r="M271" t="str">
            <v>□</v>
          </cell>
          <cell r="N271" t="str">
            <v>□</v>
          </cell>
          <cell r="O271" t="str">
            <v>□</v>
          </cell>
          <cell r="P271" t="str">
            <v>□</v>
          </cell>
          <cell r="Q271" t="str">
            <v>□</v>
          </cell>
          <cell r="R271" t="str">
            <v>□</v>
          </cell>
          <cell r="S271" t="str">
            <v>□</v>
          </cell>
          <cell r="T271" t="str">
            <v>□</v>
          </cell>
          <cell r="U271" t="str">
            <v>NA</v>
          </cell>
          <cell r="V271" t="str">
            <v>No Register</v>
          </cell>
          <cell r="W271" t="str">
            <v/>
          </cell>
          <cell r="Y271" t="str">
            <v/>
          </cell>
        </row>
        <row r="272">
          <cell r="B272" t="str">
            <v>Sanggadelima Nusantara, PT</v>
          </cell>
          <cell r="C272" t="str">
            <v>anggie@sanggadelima.com; agung.nugroho@sanggadelima.com</v>
          </cell>
          <cell r="D272" t="str">
            <v>Agung; Lola</v>
          </cell>
          <cell r="E272" t="str">
            <v>08118164163; 087788748068</v>
          </cell>
          <cell r="F272" t="str">
            <v>Jl. Raya Kodau Kp. Rawa Bogo . Kav. PDK No. 92. Jatiasih. Bekasi - 17422</v>
          </cell>
          <cell r="G272" t="b">
            <v>0</v>
          </cell>
          <cell r="H272" t="b">
            <v>1</v>
          </cell>
          <cell r="I272" t="b">
            <v>0</v>
          </cell>
          <cell r="J272" t="b">
            <v>0</v>
          </cell>
          <cell r="K272" t="b">
            <v>0</v>
          </cell>
          <cell r="L272" t="b">
            <v>0</v>
          </cell>
          <cell r="M272" t="b">
            <v>0</v>
          </cell>
          <cell r="N272" t="b">
            <v>0</v>
          </cell>
          <cell r="O272" t="b">
            <v>0</v>
          </cell>
          <cell r="P272" t="b">
            <v>0</v>
          </cell>
          <cell r="Q272" t="b">
            <v>0</v>
          </cell>
          <cell r="R272" t="b">
            <v>0</v>
          </cell>
          <cell r="S272" t="b">
            <v>0</v>
          </cell>
          <cell r="T272" t="b">
            <v>0</v>
          </cell>
          <cell r="U272" t="str">
            <v>A</v>
          </cell>
          <cell r="V272" t="str">
            <v>Register</v>
          </cell>
          <cell r="W272" t="str">
            <v/>
          </cell>
          <cell r="X272" t="str">
            <v>General Trading - Elektrical</v>
          </cell>
          <cell r="Y272" t="str">
            <v>Transformer Testing &amp; Aseesment</v>
          </cell>
        </row>
        <row r="273">
          <cell r="B273" t="str">
            <v>Adijaya Mitra Perkasa, PT</v>
          </cell>
          <cell r="C273" t="str">
            <v>info@adijayamitra.com; adijayamitra@gmail.com</v>
          </cell>
          <cell r="D273" t="str">
            <v>Sudarmadi; Dany</v>
          </cell>
          <cell r="E273" t="str">
            <v>081326955006; 085290888811</v>
          </cell>
          <cell r="F273" t="str">
            <v>Jl. Singa Utara Kompleks BPD II No. 9 RT 007 RW. 014. Kalicari Pedurungan. Kota Semarang . Jawa Tengah Semarang</v>
          </cell>
          <cell r="G273" t="b">
            <v>1</v>
          </cell>
          <cell r="H273" t="b">
            <v>0</v>
          </cell>
          <cell r="I273" t="b">
            <v>0</v>
          </cell>
          <cell r="J273" t="b">
            <v>0</v>
          </cell>
          <cell r="K273" t="b">
            <v>0</v>
          </cell>
          <cell r="L273" t="b">
            <v>0</v>
          </cell>
          <cell r="M273" t="b">
            <v>0</v>
          </cell>
          <cell r="N273" t="b">
            <v>0</v>
          </cell>
          <cell r="O273" t="b">
            <v>0</v>
          </cell>
          <cell r="P273" t="b">
            <v>0</v>
          </cell>
          <cell r="Q273" t="b">
            <v>0</v>
          </cell>
          <cell r="R273" t="b">
            <v>0</v>
          </cell>
          <cell r="S273" t="b">
            <v>0</v>
          </cell>
          <cell r="T273" t="b">
            <v>0</v>
          </cell>
          <cell r="U273" t="str">
            <v>A</v>
          </cell>
          <cell r="V273" t="str">
            <v>Register</v>
          </cell>
          <cell r="W273" t="str">
            <v>GT - ME</v>
          </cell>
          <cell r="X273" t="str">
            <v>General Trading - Mechanical
General Trading - Elektrical
Service Jasa - Mechanical</v>
          </cell>
          <cell r="Y273" t="str">
            <v>Piping, Tubing, Repair Valve</v>
          </cell>
        </row>
        <row r="274">
          <cell r="B274" t="str">
            <v>Tjokro Bersaudara Banjarindo, PT</v>
          </cell>
          <cell r="C274" t="str">
            <v>topan.tjokro@yahoo.com; ekaoktavian7@gmail.com; tbbanjar@gmail.com</v>
          </cell>
          <cell r="F274" t="str">
            <v>Jl. Jend A Yani km. 12,900. Gambut - Banjar - 70652</v>
          </cell>
          <cell r="G274" t="str">
            <v>□</v>
          </cell>
          <cell r="H274" t="str">
            <v>□</v>
          </cell>
          <cell r="I274" t="str">
            <v>□</v>
          </cell>
          <cell r="J274" t="str">
            <v>□</v>
          </cell>
          <cell r="K274" t="str">
            <v>□</v>
          </cell>
          <cell r="L274" t="str">
            <v>□</v>
          </cell>
          <cell r="M274" t="str">
            <v>□</v>
          </cell>
          <cell r="N274" t="str">
            <v>□</v>
          </cell>
          <cell r="O274" t="str">
            <v>□</v>
          </cell>
          <cell r="P274" t="str">
            <v>□</v>
          </cell>
          <cell r="Q274" t="str">
            <v>□</v>
          </cell>
          <cell r="R274" t="str">
            <v>□</v>
          </cell>
          <cell r="S274" t="str">
            <v>□</v>
          </cell>
          <cell r="T274" t="str">
            <v>□</v>
          </cell>
          <cell r="U274" t="str">
            <v>NA</v>
          </cell>
          <cell r="V274" t="str">
            <v>No Register</v>
          </cell>
          <cell r="W274" t="str">
            <v/>
          </cell>
          <cell r="Y274" t="str">
            <v/>
          </cell>
        </row>
        <row r="275">
          <cell r="B275" t="str">
            <v>Linco Baxo Benelux .B.V</v>
          </cell>
          <cell r="C275" t="str">
            <v/>
          </cell>
          <cell r="D275" t="str">
            <v/>
          </cell>
          <cell r="E275" t="str">
            <v/>
          </cell>
          <cell r="F275" t="str">
            <v>Polluxstraat 10. Tilburg. Netherlands. 5047</v>
          </cell>
          <cell r="G275" t="str">
            <v>□</v>
          </cell>
          <cell r="H275" t="str">
            <v>□</v>
          </cell>
          <cell r="I275" t="str">
            <v>□</v>
          </cell>
          <cell r="J275" t="str">
            <v>□</v>
          </cell>
          <cell r="K275" t="str">
            <v>□</v>
          </cell>
          <cell r="L275" t="str">
            <v>□</v>
          </cell>
          <cell r="M275" t="str">
            <v>□</v>
          </cell>
          <cell r="N275" t="str">
            <v>□</v>
          </cell>
          <cell r="O275" t="str">
            <v>□</v>
          </cell>
          <cell r="P275" t="str">
            <v>□</v>
          </cell>
          <cell r="Q275" t="str">
            <v>□</v>
          </cell>
          <cell r="R275" t="str">
            <v>□</v>
          </cell>
          <cell r="S275" t="str">
            <v>□</v>
          </cell>
          <cell r="T275" t="str">
            <v>□</v>
          </cell>
          <cell r="U275" t="str">
            <v>NA</v>
          </cell>
          <cell r="V275" t="str">
            <v>No Register</v>
          </cell>
          <cell r="W275" t="str">
            <v/>
          </cell>
          <cell r="Y275" t="str">
            <v/>
          </cell>
        </row>
        <row r="276">
          <cell r="B276" t="str">
            <v>Invira, CV</v>
          </cell>
          <cell r="C276" t="str">
            <v/>
          </cell>
          <cell r="D276" t="str">
            <v/>
          </cell>
          <cell r="E276" t="str">
            <v/>
          </cell>
          <cell r="F276" t="str">
            <v>Jl. Garuda RT.12 No. 31, Bangunsari Murung Pudak. Tanjung. Tabalong - 71571</v>
          </cell>
          <cell r="G276" t="str">
            <v>□</v>
          </cell>
          <cell r="H276" t="str">
            <v>□</v>
          </cell>
          <cell r="I276" t="str">
            <v>□</v>
          </cell>
          <cell r="J276" t="str">
            <v>□</v>
          </cell>
          <cell r="K276" t="str">
            <v>□</v>
          </cell>
          <cell r="L276" t="str">
            <v>□</v>
          </cell>
          <cell r="M276" t="str">
            <v>□</v>
          </cell>
          <cell r="N276" t="str">
            <v>□</v>
          </cell>
          <cell r="O276" t="str">
            <v>□</v>
          </cell>
          <cell r="P276" t="str">
            <v>□</v>
          </cell>
          <cell r="Q276" t="str">
            <v>□</v>
          </cell>
          <cell r="R276" t="str">
            <v>□</v>
          </cell>
          <cell r="S276" t="str">
            <v>□</v>
          </cell>
          <cell r="T276" t="str">
            <v>□</v>
          </cell>
          <cell r="U276" t="str">
            <v>NA</v>
          </cell>
          <cell r="V276" t="str">
            <v>No Register</v>
          </cell>
          <cell r="W276" t="str">
            <v/>
          </cell>
          <cell r="Y276" t="str">
            <v/>
          </cell>
        </row>
        <row r="277">
          <cell r="B277" t="str">
            <v>MHE-Demag Indonesia, PT</v>
          </cell>
          <cell r="C277" t="str">
            <v/>
          </cell>
          <cell r="D277" t="str">
            <v/>
          </cell>
          <cell r="E277" t="str">
            <v/>
          </cell>
          <cell r="F277" t="str">
            <v>Graha Inti Fauzi lt. 7. Jl. Buncit Raya Pejaten . Pasar Minggu. Jakarta</v>
          </cell>
          <cell r="G277" t="str">
            <v>□</v>
          </cell>
          <cell r="H277" t="str">
            <v>□</v>
          </cell>
          <cell r="I277" t="str">
            <v>□</v>
          </cell>
          <cell r="J277" t="str">
            <v>□</v>
          </cell>
          <cell r="K277" t="str">
            <v>□</v>
          </cell>
          <cell r="L277" t="str">
            <v>□</v>
          </cell>
          <cell r="M277" t="str">
            <v>□</v>
          </cell>
          <cell r="N277" t="str">
            <v>□</v>
          </cell>
          <cell r="O277" t="str">
            <v>□</v>
          </cell>
          <cell r="P277" t="str">
            <v>□</v>
          </cell>
          <cell r="Q277" t="str">
            <v>□</v>
          </cell>
          <cell r="R277" t="str">
            <v>□</v>
          </cell>
          <cell r="S277" t="str">
            <v>□</v>
          </cell>
          <cell r="T277" t="str">
            <v>□</v>
          </cell>
          <cell r="U277" t="str">
            <v>NA</v>
          </cell>
          <cell r="V277" t="str">
            <v>No Register</v>
          </cell>
          <cell r="W277" t="str">
            <v/>
          </cell>
          <cell r="Y277" t="str">
            <v/>
          </cell>
        </row>
        <row r="278">
          <cell r="B278" t="str">
            <v>Logistic One Solution, PT</v>
          </cell>
          <cell r="C278" t="str">
            <v>nita.jahardini@logistic1.com; rudi.parningotan@logistic1.com</v>
          </cell>
          <cell r="D278" t="str">
            <v>Rudi</v>
          </cell>
          <cell r="E278" t="str">
            <v xml:space="preserve">081317949434 </v>
          </cell>
          <cell r="F278" t="str">
            <v>Grand Slipi Tower Lantai 16F. Jl Letjen S. Parman Kav 22-24. DKI Jakarta - 11480</v>
          </cell>
          <cell r="G278" t="str">
            <v>□</v>
          </cell>
          <cell r="H278" t="str">
            <v>□</v>
          </cell>
          <cell r="I278" t="str">
            <v>□</v>
          </cell>
          <cell r="J278" t="str">
            <v>□</v>
          </cell>
          <cell r="K278" t="str">
            <v>□</v>
          </cell>
          <cell r="L278" t="str">
            <v>□</v>
          </cell>
          <cell r="M278" t="str">
            <v>□</v>
          </cell>
          <cell r="N278" t="str">
            <v>□</v>
          </cell>
          <cell r="O278" t="str">
            <v>□</v>
          </cell>
          <cell r="P278" t="str">
            <v>□</v>
          </cell>
          <cell r="Q278" t="str">
            <v>□</v>
          </cell>
          <cell r="R278" t="str">
            <v>□</v>
          </cell>
          <cell r="S278" t="str">
            <v>□</v>
          </cell>
          <cell r="T278" t="str">
            <v>□</v>
          </cell>
          <cell r="U278" t="str">
            <v>NA</v>
          </cell>
          <cell r="V278" t="str">
            <v>No Register</v>
          </cell>
          <cell r="W278" t="str">
            <v>LG - TR</v>
          </cell>
          <cell r="X278" t="str">
            <v>Logistics - Trucking</v>
          </cell>
          <cell r="Y278" t="str">
            <v/>
          </cell>
        </row>
        <row r="279">
          <cell r="B279" t="str">
            <v>TNT Skypak International Express, PT</v>
          </cell>
          <cell r="C279" t="str">
            <v/>
          </cell>
          <cell r="D279" t="str">
            <v/>
          </cell>
          <cell r="E279" t="str">
            <v/>
          </cell>
          <cell r="F279" t="str">
            <v>21th Floor Summitmas I. Jl Jend. Sudirman Kav 61-62. JakSel - 12190</v>
          </cell>
          <cell r="G279" t="str">
            <v>□</v>
          </cell>
          <cell r="H279" t="str">
            <v>□</v>
          </cell>
          <cell r="I279" t="str">
            <v>□</v>
          </cell>
          <cell r="J279" t="str">
            <v>□</v>
          </cell>
          <cell r="K279" t="str">
            <v>□</v>
          </cell>
          <cell r="L279" t="str">
            <v>□</v>
          </cell>
          <cell r="M279" t="str">
            <v>□</v>
          </cell>
          <cell r="N279" t="str">
            <v>□</v>
          </cell>
          <cell r="O279" t="str">
            <v>□</v>
          </cell>
          <cell r="P279" t="str">
            <v>□</v>
          </cell>
          <cell r="Q279" t="str">
            <v>□</v>
          </cell>
          <cell r="R279" t="str">
            <v>□</v>
          </cell>
          <cell r="S279" t="str">
            <v>□</v>
          </cell>
          <cell r="T279" t="str">
            <v>□</v>
          </cell>
          <cell r="U279" t="str">
            <v>NA</v>
          </cell>
          <cell r="V279" t="str">
            <v>No Register</v>
          </cell>
          <cell r="W279" t="str">
            <v/>
          </cell>
          <cell r="Y279" t="str">
            <v/>
          </cell>
        </row>
        <row r="280">
          <cell r="B280" t="str">
            <v>Cominco Mitra Perkasa, PT</v>
          </cell>
          <cell r="C280" t="str">
            <v>admin@cominco.co.id; ikhwan.ridho@cominco.co.id</v>
          </cell>
          <cell r="D280" t="str">
            <v>Ikhwan</v>
          </cell>
          <cell r="E280" t="str">
            <v>081258238505</v>
          </cell>
          <cell r="F280" t="str">
            <v>Jl Marsma Iswahyudi No 298/7 RT 36. Balikpapan - 76615</v>
          </cell>
          <cell r="G280" t="b">
            <v>0</v>
          </cell>
          <cell r="H280" t="b">
            <v>0</v>
          </cell>
          <cell r="I280" t="b">
            <v>0</v>
          </cell>
          <cell r="J280" t="b">
            <v>0</v>
          </cell>
          <cell r="K280" t="b">
            <v>0</v>
          </cell>
          <cell r="L280" t="b">
            <v>0</v>
          </cell>
          <cell r="M280" t="b">
            <v>0</v>
          </cell>
          <cell r="N280" t="b">
            <v>0</v>
          </cell>
          <cell r="O280" t="b">
            <v>0</v>
          </cell>
          <cell r="P280" t="b">
            <v>0</v>
          </cell>
          <cell r="Q280" t="b">
            <v>0</v>
          </cell>
          <cell r="R280" t="b">
            <v>0</v>
          </cell>
          <cell r="S280" t="b">
            <v>0</v>
          </cell>
          <cell r="T280" t="b">
            <v>0</v>
          </cell>
          <cell r="U280" t="str">
            <v>A</v>
          </cell>
          <cell r="V280" t="str">
            <v>Register</v>
          </cell>
          <cell r="W280" t="str">
            <v>GT - ME</v>
          </cell>
          <cell r="X280" t="str">
            <v>General Trading - Mechanical
Service Jasa - Mechanical</v>
          </cell>
          <cell r="Y280" t="str">
            <v>Belt Conveyor</v>
          </cell>
        </row>
        <row r="281">
          <cell r="B281" t="str">
            <v>Multisindo Rekayasa Industri, CV</v>
          </cell>
          <cell r="C281" t="str">
            <v/>
          </cell>
          <cell r="D281" t="str">
            <v/>
          </cell>
          <cell r="E281" t="str">
            <v/>
          </cell>
          <cell r="F281" t="str">
            <v>Jl. Raya Tempel 6A. Gempol. Kab. Pasuruan Jatim - 67155</v>
          </cell>
          <cell r="G281" t="str">
            <v>□</v>
          </cell>
          <cell r="H281" t="str">
            <v>□</v>
          </cell>
          <cell r="I281" t="str">
            <v>□</v>
          </cell>
          <cell r="J281" t="str">
            <v>□</v>
          </cell>
          <cell r="K281" t="str">
            <v>□</v>
          </cell>
          <cell r="L281" t="str">
            <v>□</v>
          </cell>
          <cell r="M281" t="str">
            <v>□</v>
          </cell>
          <cell r="N281" t="str">
            <v>□</v>
          </cell>
          <cell r="O281" t="str">
            <v>□</v>
          </cell>
          <cell r="P281" t="str">
            <v>□</v>
          </cell>
          <cell r="Q281" t="str">
            <v>□</v>
          </cell>
          <cell r="R281" t="str">
            <v>□</v>
          </cell>
          <cell r="S281" t="str">
            <v>□</v>
          </cell>
          <cell r="T281" t="str">
            <v>□</v>
          </cell>
          <cell r="U281" t="str">
            <v>NA</v>
          </cell>
          <cell r="V281" t="str">
            <v>No Register</v>
          </cell>
          <cell r="W281" t="str">
            <v>GT - ME</v>
          </cell>
          <cell r="X281" t="str">
            <v>General Trading - Mechanical</v>
          </cell>
          <cell r="Y281" t="str">
            <v>Kalibrasi Weight bridge</v>
          </cell>
        </row>
        <row r="282">
          <cell r="B282" t="str">
            <v>Siwali Swantika, PT</v>
          </cell>
          <cell r="C282" t="str">
            <v>asrofi@siwali.com</v>
          </cell>
          <cell r="D282" t="str">
            <v>Asrofi</v>
          </cell>
          <cell r="E282" t="str">
            <v>08563169139</v>
          </cell>
          <cell r="F282" t="str">
            <v>Artha Gading Niaga Blok C No. 20 Jl. Boulevard Artha Gading Kelapa Gading . Jakarta Utara 14240</v>
          </cell>
          <cell r="G282" t="b">
            <v>0</v>
          </cell>
          <cell r="H282" t="b">
            <v>0</v>
          </cell>
          <cell r="I282" t="b">
            <v>1</v>
          </cell>
          <cell r="J282" t="b">
            <v>0</v>
          </cell>
          <cell r="K282" t="b">
            <v>0</v>
          </cell>
          <cell r="L282" t="b">
            <v>0</v>
          </cell>
          <cell r="M282" t="b">
            <v>0</v>
          </cell>
          <cell r="N282" t="b">
            <v>0</v>
          </cell>
          <cell r="O282" t="b">
            <v>0</v>
          </cell>
          <cell r="P282" t="b">
            <v>0</v>
          </cell>
          <cell r="Q282" t="b">
            <v>0</v>
          </cell>
          <cell r="R282" t="b">
            <v>0</v>
          </cell>
          <cell r="S282" t="b">
            <v>0</v>
          </cell>
          <cell r="T282" t="b">
            <v>0</v>
          </cell>
          <cell r="U282" t="str">
            <v>A</v>
          </cell>
          <cell r="V282" t="str">
            <v>Register</v>
          </cell>
          <cell r="W282" t="str">
            <v>GT - IC</v>
          </cell>
          <cell r="X282" t="str">
            <v>General Trading - Instrument</v>
          </cell>
          <cell r="Y282" t="str">
            <v>Tools &amp; Equipment Testo</v>
          </cell>
        </row>
        <row r="283">
          <cell r="B283" t="str">
            <v>Wisata Donelia Sejahtera, PT</v>
          </cell>
          <cell r="C283" t="str">
            <v/>
          </cell>
          <cell r="D283" t="str">
            <v/>
          </cell>
          <cell r="E283" t="str">
            <v/>
          </cell>
          <cell r="F283" t="str">
            <v>Jl. A. Yani Km. 36. Banjarbaru .</v>
          </cell>
          <cell r="G283" t="str">
            <v>□</v>
          </cell>
          <cell r="H283" t="str">
            <v>□</v>
          </cell>
          <cell r="I283" t="str">
            <v>□</v>
          </cell>
          <cell r="J283" t="str">
            <v>□</v>
          </cell>
          <cell r="K283" t="str">
            <v>□</v>
          </cell>
          <cell r="L283" t="str">
            <v>□</v>
          </cell>
          <cell r="M283" t="str">
            <v>□</v>
          </cell>
          <cell r="N283" t="str">
            <v>□</v>
          </cell>
          <cell r="O283" t="str">
            <v>□</v>
          </cell>
          <cell r="P283" t="str">
            <v>□</v>
          </cell>
          <cell r="Q283" t="str">
            <v>□</v>
          </cell>
          <cell r="R283" t="str">
            <v>□</v>
          </cell>
          <cell r="S283" t="str">
            <v>□</v>
          </cell>
          <cell r="T283" t="str">
            <v>□</v>
          </cell>
          <cell r="U283" t="str">
            <v>NA</v>
          </cell>
          <cell r="V283" t="str">
            <v>No Register</v>
          </cell>
          <cell r="W283" t="str">
            <v/>
          </cell>
          <cell r="Y283" t="str">
            <v/>
          </cell>
        </row>
        <row r="284">
          <cell r="B284" t="str">
            <v>Bali Sarana Sejahtera, PT</v>
          </cell>
          <cell r="C284" t="str">
            <v/>
          </cell>
          <cell r="D284" t="str">
            <v/>
          </cell>
          <cell r="E284" t="str">
            <v/>
          </cell>
          <cell r="F284" t="str">
            <v>Jl. A Yani km. 27 No 1A. Landasan Ulin . Banjarbaru - 70724</v>
          </cell>
          <cell r="G284" t="str">
            <v>□</v>
          </cell>
          <cell r="H284" t="str">
            <v>□</v>
          </cell>
          <cell r="I284" t="str">
            <v>□</v>
          </cell>
          <cell r="J284" t="str">
            <v>□</v>
          </cell>
          <cell r="K284" t="str">
            <v>□</v>
          </cell>
          <cell r="L284" t="str">
            <v>□</v>
          </cell>
          <cell r="M284" t="str">
            <v>□</v>
          </cell>
          <cell r="N284" t="str">
            <v>□</v>
          </cell>
          <cell r="O284" t="str">
            <v>□</v>
          </cell>
          <cell r="P284" t="str">
            <v>□</v>
          </cell>
          <cell r="Q284" t="str">
            <v>□</v>
          </cell>
          <cell r="R284" t="str">
            <v>□</v>
          </cell>
          <cell r="S284" t="str">
            <v>□</v>
          </cell>
          <cell r="T284" t="str">
            <v>□</v>
          </cell>
          <cell r="U284" t="str">
            <v>NA</v>
          </cell>
          <cell r="V284" t="str">
            <v>No Register</v>
          </cell>
          <cell r="W284" t="str">
            <v/>
          </cell>
          <cell r="Y284" t="str">
            <v/>
          </cell>
        </row>
        <row r="285">
          <cell r="B285" t="str">
            <v>Dwijaya Sentral Sarana, PT</v>
          </cell>
          <cell r="C285" t="str">
            <v>yuminto@dwisenna.co.id; rona@dwisenna.co.id; ricky@dwisenna.co.id</v>
          </cell>
          <cell r="D285" t="str">
            <v>Yuminto</v>
          </cell>
          <cell r="E285" t="str">
            <v>0811177080</v>
          </cell>
          <cell r="F285" t="str">
            <v>Jl. Gunung Sahari Raya No. 8 Blok B5. Lt 4 Gunung Sahari Utara. Jakarta Pusat - 10720</v>
          </cell>
          <cell r="G285" t="b">
            <v>0</v>
          </cell>
          <cell r="H285" t="b">
            <v>0</v>
          </cell>
          <cell r="I285" t="b">
            <v>0</v>
          </cell>
          <cell r="J285" t="b">
            <v>0</v>
          </cell>
          <cell r="K285" t="b">
            <v>0</v>
          </cell>
          <cell r="L285" t="b">
            <v>0</v>
          </cell>
          <cell r="M285" t="b">
            <v>0</v>
          </cell>
          <cell r="N285" t="b">
            <v>0</v>
          </cell>
          <cell r="O285" t="b">
            <v>0</v>
          </cell>
          <cell r="P285" t="b">
            <v>0</v>
          </cell>
          <cell r="Q285" t="b">
            <v>0</v>
          </cell>
          <cell r="R285" t="b">
            <v>0</v>
          </cell>
          <cell r="S285" t="b">
            <v>0</v>
          </cell>
          <cell r="T285" t="b">
            <v>0</v>
          </cell>
          <cell r="U285" t="str">
            <v>A</v>
          </cell>
          <cell r="V285" t="str">
            <v>Register</v>
          </cell>
          <cell r="W285" t="str">
            <v>GT - ME</v>
          </cell>
          <cell r="X285" t="str">
            <v>General Trading - Mechanical</v>
          </cell>
          <cell r="Y285" t="str">
            <v/>
          </cell>
        </row>
        <row r="286">
          <cell r="B286" t="str">
            <v>Pilar Presisi Indonesia, PT</v>
          </cell>
          <cell r="C286" t="str">
            <v>marketing@pilarpresisi.co.id; aditia.tirto@gmail.com</v>
          </cell>
          <cell r="D286" t="str">
            <v>Adit; Lambok</v>
          </cell>
          <cell r="E286" t="str">
            <v>08128521195; 08112400159</v>
          </cell>
          <cell r="F286" t="str">
            <v>Jl. Mina XVII Blok KO No. 8. Kel. Panunggangan. Kec. Cibodas. Tangerang - 15139</v>
          </cell>
          <cell r="G286" t="str">
            <v>□</v>
          </cell>
          <cell r="H286" t="str">
            <v>□</v>
          </cell>
          <cell r="I286" t="str">
            <v>□</v>
          </cell>
          <cell r="J286" t="str">
            <v>□</v>
          </cell>
          <cell r="K286" t="str">
            <v>□</v>
          </cell>
          <cell r="L286" t="str">
            <v>□</v>
          </cell>
          <cell r="M286" t="str">
            <v>□</v>
          </cell>
          <cell r="N286" t="str">
            <v>□</v>
          </cell>
          <cell r="O286" t="str">
            <v>□</v>
          </cell>
          <cell r="P286" t="str">
            <v>□</v>
          </cell>
          <cell r="Q286" t="str">
            <v>□</v>
          </cell>
          <cell r="R286" t="str">
            <v>□</v>
          </cell>
          <cell r="S286" t="str">
            <v>□</v>
          </cell>
          <cell r="T286" t="str">
            <v>□</v>
          </cell>
          <cell r="U286" t="str">
            <v>NA</v>
          </cell>
          <cell r="V286" t="str">
            <v>No Register</v>
          </cell>
          <cell r="W286" t="str">
            <v/>
          </cell>
          <cell r="X286" t="str">
            <v>Service Jasa - Mechanical</v>
          </cell>
          <cell r="Y286" t="str">
            <v>Coating</v>
          </cell>
        </row>
        <row r="287">
          <cell r="B287" t="str">
            <v>Putera Instrumenindo, PT</v>
          </cell>
          <cell r="C287" t="str">
            <v>vergi@pinst.co.id; linda@pinst.co.id; putri@pinst.co.id</v>
          </cell>
          <cell r="D287" t="str">
            <v>Vergi; Linda; Putri</v>
          </cell>
          <cell r="E287" t="str">
            <v>08561142628</v>
          </cell>
          <cell r="F287" t="str">
            <v>Jl. Jatimulya Raya Ruko No. 3. Kel Jatimulya Kec Tambun Selatan. Bekasi - 17515</v>
          </cell>
          <cell r="G287" t="b">
            <v>1</v>
          </cell>
          <cell r="H287" t="b">
            <v>0</v>
          </cell>
          <cell r="I287" t="b">
            <v>1</v>
          </cell>
          <cell r="J287" t="b">
            <v>0</v>
          </cell>
          <cell r="K287" t="b">
            <v>1</v>
          </cell>
          <cell r="L287" t="b">
            <v>0</v>
          </cell>
          <cell r="M287" t="b">
            <v>0</v>
          </cell>
          <cell r="N287" t="b">
            <v>0</v>
          </cell>
          <cell r="O287" t="b">
            <v>0</v>
          </cell>
          <cell r="P287" t="b">
            <v>0</v>
          </cell>
          <cell r="Q287" t="b">
            <v>0</v>
          </cell>
          <cell r="R287" t="b">
            <v>0</v>
          </cell>
          <cell r="S287" t="b">
            <v>0</v>
          </cell>
          <cell r="T287" t="b">
            <v>0</v>
          </cell>
          <cell r="U287" t="str">
            <v>A</v>
          </cell>
          <cell r="V287" t="str">
            <v>Register</v>
          </cell>
          <cell r="W287" t="str">
            <v>GT - IC
GT - ME</v>
          </cell>
          <cell r="X287" t="str">
            <v>General Trading - Instrument
General Trading - Mechanical</v>
          </cell>
          <cell r="Y287" t="str">
            <v>General Trading</v>
          </cell>
        </row>
        <row r="288">
          <cell r="B288" t="str">
            <v>Rollent Indonesia, PT</v>
          </cell>
          <cell r="C288" t="str">
            <v>marketing@rollent.co.id</v>
          </cell>
          <cell r="D288" t="str">
            <v>Faisal</v>
          </cell>
          <cell r="E288" t="str">
            <v>08113098615</v>
          </cell>
          <cell r="F288" t="str">
            <v>Jl. KIG Raya Barat Kav. G No. 11. Ds Randuagung Kec Kebomas Gresik - 61121</v>
          </cell>
          <cell r="G288" t="b">
            <v>1</v>
          </cell>
          <cell r="H288" t="b">
            <v>0</v>
          </cell>
          <cell r="I288" t="b">
            <v>0</v>
          </cell>
          <cell r="J288" t="b">
            <v>0</v>
          </cell>
          <cell r="K288" t="b">
            <v>0</v>
          </cell>
          <cell r="L288" t="b">
            <v>0</v>
          </cell>
          <cell r="M288" t="b">
            <v>0</v>
          </cell>
          <cell r="N288" t="b">
            <v>0</v>
          </cell>
          <cell r="O288" t="b">
            <v>0</v>
          </cell>
          <cell r="P288" t="b">
            <v>0</v>
          </cell>
          <cell r="Q288" t="b">
            <v>0</v>
          </cell>
          <cell r="R288" t="b">
            <v>0</v>
          </cell>
          <cell r="S288" t="b">
            <v>0</v>
          </cell>
          <cell r="T288" t="b">
            <v>0</v>
          </cell>
          <cell r="U288" t="str">
            <v>NA</v>
          </cell>
          <cell r="V288" t="str">
            <v>Register</v>
          </cell>
          <cell r="W288" t="str">
            <v>GT - ME</v>
          </cell>
          <cell r="X288" t="str">
            <v>General Trading - Mechanical</v>
          </cell>
          <cell r="Y288" t="str">
            <v>Conveyor System</v>
          </cell>
        </row>
        <row r="289">
          <cell r="B289" t="str">
            <v>Indoporlen, PT</v>
          </cell>
          <cell r="C289" t="str">
            <v/>
          </cell>
          <cell r="D289" t="str">
            <v>Nurjaeni</v>
          </cell>
          <cell r="E289" t="str">
            <v>08121007577</v>
          </cell>
          <cell r="F289" t="str">
            <v>Jl. Raya Bekasi KM 38-39. Setiamekar Tambun Selatan Bekasi - 17510</v>
          </cell>
          <cell r="G289" t="str">
            <v>□</v>
          </cell>
          <cell r="H289" t="str">
            <v>□</v>
          </cell>
          <cell r="I289" t="str">
            <v>□</v>
          </cell>
          <cell r="J289" t="str">
            <v>□</v>
          </cell>
          <cell r="K289" t="str">
            <v>□</v>
          </cell>
          <cell r="L289" t="str">
            <v>□</v>
          </cell>
          <cell r="M289" t="str">
            <v>□</v>
          </cell>
          <cell r="N289" t="str">
            <v>□</v>
          </cell>
          <cell r="O289" t="str">
            <v>□</v>
          </cell>
          <cell r="P289" t="str">
            <v>□</v>
          </cell>
          <cell r="Q289" t="str">
            <v>□</v>
          </cell>
          <cell r="R289" t="str">
            <v>□</v>
          </cell>
          <cell r="S289" t="str">
            <v>□</v>
          </cell>
          <cell r="T289" t="str">
            <v>□</v>
          </cell>
          <cell r="U289" t="str">
            <v>NA</v>
          </cell>
          <cell r="V289" t="str">
            <v>No Register</v>
          </cell>
          <cell r="W289" t="str">
            <v/>
          </cell>
          <cell r="X289" t="str">
            <v>Service Jasa - Maintenance</v>
          </cell>
          <cell r="Y289" t="str">
            <v>Refraktori</v>
          </cell>
        </row>
        <row r="290">
          <cell r="B290" t="str">
            <v>Solusi Total Komputindo, PT</v>
          </cell>
          <cell r="C290" t="str">
            <v>nurul_solusikomputindo@yahoo.co.id</v>
          </cell>
          <cell r="D290" t="str">
            <v/>
          </cell>
          <cell r="F290" t="str">
            <v>Gedung Harcomas Mangga Dua Raya. Lantai SG No 78. Jakarta</v>
          </cell>
          <cell r="G290" t="str">
            <v>□</v>
          </cell>
          <cell r="H290" t="str">
            <v>□</v>
          </cell>
          <cell r="I290" t="str">
            <v>□</v>
          </cell>
          <cell r="J290" t="str">
            <v>□</v>
          </cell>
          <cell r="K290" t="str">
            <v>□</v>
          </cell>
          <cell r="L290" t="str">
            <v>□</v>
          </cell>
          <cell r="M290" t="str">
            <v>□</v>
          </cell>
          <cell r="N290" t="str">
            <v>□</v>
          </cell>
          <cell r="O290" t="str">
            <v>□</v>
          </cell>
          <cell r="P290" t="str">
            <v>□</v>
          </cell>
          <cell r="Q290" t="str">
            <v>□</v>
          </cell>
          <cell r="R290" t="str">
            <v>□</v>
          </cell>
          <cell r="S290" t="str">
            <v>□</v>
          </cell>
          <cell r="T290" t="str">
            <v>□</v>
          </cell>
          <cell r="U290" t="str">
            <v>NA</v>
          </cell>
          <cell r="V290" t="str">
            <v>No Register</v>
          </cell>
          <cell r="W290" t="str">
            <v>GT - OF</v>
          </cell>
          <cell r="X290" t="str">
            <v>General Trading - Office Supplies</v>
          </cell>
          <cell r="Y290" t="str">
            <v/>
          </cell>
        </row>
        <row r="291">
          <cell r="B291" t="str">
            <v>Vertech Perdana, PT</v>
          </cell>
          <cell r="C291" t="str">
            <v>info@vertechperdana.com; djaka.utama@vertechperdana.com</v>
          </cell>
          <cell r="D291" t="str">
            <v>Aida Nurul Aini</v>
          </cell>
          <cell r="E291" t="str">
            <v>085693656452</v>
          </cell>
          <cell r="F291" t="str">
            <v>Bizhub Serpong Blok GB No. 27. Jl Serpong Raya. Kab. Bogor - 16340</v>
          </cell>
          <cell r="G291" t="b">
            <v>0</v>
          </cell>
          <cell r="H291" t="b">
            <v>1</v>
          </cell>
          <cell r="I291" t="b">
            <v>0</v>
          </cell>
          <cell r="J291" t="b">
            <v>0</v>
          </cell>
          <cell r="K291" t="b">
            <v>0</v>
          </cell>
          <cell r="L291" t="b">
            <v>0</v>
          </cell>
          <cell r="M291" t="b">
            <v>0</v>
          </cell>
          <cell r="N291" t="b">
            <v>0</v>
          </cell>
          <cell r="O291" t="b">
            <v>0</v>
          </cell>
          <cell r="P291" t="b">
            <v>0</v>
          </cell>
          <cell r="Q291" t="b">
            <v>0</v>
          </cell>
          <cell r="R291" t="b">
            <v>0</v>
          </cell>
          <cell r="S291" t="b">
            <v>0</v>
          </cell>
          <cell r="T291" t="b">
            <v>0</v>
          </cell>
          <cell r="U291" t="str">
            <v>A</v>
          </cell>
          <cell r="V291" t="str">
            <v>No Register</v>
          </cell>
          <cell r="W291" t="str">
            <v>GT - IC</v>
          </cell>
          <cell r="X291" t="str">
            <v>General Trading - Instrument</v>
          </cell>
          <cell r="Y291" t="str">
            <v>Electrical</v>
          </cell>
        </row>
        <row r="292">
          <cell r="B292" t="str">
            <v>Amptron Instrumindo, PT</v>
          </cell>
          <cell r="C292" t="str">
            <v xml:space="preserve">bisnis@amptron-indo.com </v>
          </cell>
          <cell r="D292" t="str">
            <v xml:space="preserve">David Ramaputra </v>
          </cell>
          <cell r="E292" t="str">
            <v>085172325678</v>
          </cell>
          <cell r="F292" t="str">
            <v>Rukan Taman Meruya Blok N15-16. Meruya Utara Kembangan JakBar-11620</v>
          </cell>
          <cell r="G292" t="b">
            <v>1</v>
          </cell>
          <cell r="H292" t="b">
            <v>0</v>
          </cell>
          <cell r="I292" t="b">
            <v>0</v>
          </cell>
          <cell r="J292" t="b">
            <v>0</v>
          </cell>
          <cell r="K292" t="b">
            <v>0</v>
          </cell>
          <cell r="L292" t="b">
            <v>0</v>
          </cell>
          <cell r="M292" t="b">
            <v>0</v>
          </cell>
          <cell r="N292" t="b">
            <v>0</v>
          </cell>
          <cell r="O292" t="b">
            <v>0</v>
          </cell>
          <cell r="P292" t="b">
            <v>0</v>
          </cell>
          <cell r="Q292" t="b">
            <v>0</v>
          </cell>
          <cell r="R292" t="b">
            <v>0</v>
          </cell>
          <cell r="S292" t="b">
            <v>0</v>
          </cell>
          <cell r="T292" t="b">
            <v>0</v>
          </cell>
          <cell r="U292" t="str">
            <v>A</v>
          </cell>
          <cell r="V292" t="str">
            <v>No Register</v>
          </cell>
          <cell r="W292" t="str">
            <v/>
          </cell>
          <cell r="Y292" t="str">
            <v>Instrumentation</v>
          </cell>
        </row>
        <row r="293">
          <cell r="B293" t="str">
            <v>Simenteknindo, PT</v>
          </cell>
          <cell r="C293" t="str">
            <v>bontor.sianturi@simenteknindo.com; nena@simenteknindo.com</v>
          </cell>
          <cell r="D293" t="str">
            <v>Bontor Sianturi; Nena</v>
          </cell>
          <cell r="E293" t="str">
            <v>081350235999; 08119319699</v>
          </cell>
          <cell r="F293" t="str">
            <v>Jl Lio Baru (Bouroq) No. 37 RT01RW01 Karang Anyar Neglasari Tangerang - 15121</v>
          </cell>
          <cell r="G293" t="b">
            <v>0</v>
          </cell>
          <cell r="H293" t="b">
            <v>1</v>
          </cell>
          <cell r="I293" t="b">
            <v>0</v>
          </cell>
          <cell r="J293" t="b">
            <v>0</v>
          </cell>
          <cell r="K293" t="b">
            <v>0</v>
          </cell>
          <cell r="L293" t="b">
            <v>0</v>
          </cell>
          <cell r="M293" t="b">
            <v>0</v>
          </cell>
          <cell r="N293" t="b">
            <v>0</v>
          </cell>
          <cell r="O293" t="b">
            <v>0</v>
          </cell>
          <cell r="P293" t="b">
            <v>0</v>
          </cell>
          <cell r="Q293" t="b">
            <v>0</v>
          </cell>
          <cell r="R293" t="b">
            <v>0</v>
          </cell>
          <cell r="S293" t="b">
            <v>0</v>
          </cell>
          <cell r="T293" t="b">
            <v>0</v>
          </cell>
          <cell r="U293" t="str">
            <v>A</v>
          </cell>
          <cell r="V293" t="str">
            <v>Register</v>
          </cell>
          <cell r="W293" t="str">
            <v/>
          </cell>
          <cell r="X293" t="str">
            <v>General Trading - Elektrical</v>
          </cell>
          <cell r="Y293" t="str">
            <v>Electrical</v>
          </cell>
        </row>
        <row r="294">
          <cell r="B294" t="str">
            <v>Dunia Saftindo, PT</v>
          </cell>
          <cell r="C294" t="str">
            <v>salesbppn@safetyindonesia.com;  indratan_dsbpn@safetyindonesia.com; salesbppn5@safetyindonesia.com; salesbppn2@safetyindonesia.com; salesbppn3@safetyindonesia.com; ginting_dsbpn@safetyindonesia.com</v>
          </cell>
          <cell r="D294" t="str">
            <v>Selvy</v>
          </cell>
          <cell r="E294" t="str">
            <v>085138876177</v>
          </cell>
          <cell r="F294" t="str">
            <v>Jl. Jend Sudirman Komplek BSB Balikpapan Selatan . Kaltim - 76114</v>
          </cell>
          <cell r="G294" t="b">
            <v>0</v>
          </cell>
          <cell r="H294" t="b">
            <v>0</v>
          </cell>
          <cell r="I294" t="b">
            <v>0</v>
          </cell>
          <cell r="J294" t="b">
            <v>0</v>
          </cell>
          <cell r="K294" t="b">
            <v>1</v>
          </cell>
          <cell r="L294" t="b">
            <v>0</v>
          </cell>
          <cell r="M294" t="b">
            <v>0</v>
          </cell>
          <cell r="N294" t="b">
            <v>0</v>
          </cell>
          <cell r="O294" t="b">
            <v>0</v>
          </cell>
          <cell r="P294" t="b">
            <v>0</v>
          </cell>
          <cell r="Q294" t="b">
            <v>0</v>
          </cell>
          <cell r="R294" t="b">
            <v>0</v>
          </cell>
          <cell r="S294" t="b">
            <v>0</v>
          </cell>
          <cell r="T294" t="b">
            <v>0</v>
          </cell>
          <cell r="U294" t="str">
            <v>A</v>
          </cell>
          <cell r="V294" t="str">
            <v>Register</v>
          </cell>
          <cell r="W294" t="str">
            <v/>
          </cell>
          <cell r="X294" t="str">
            <v>General Trading - HSE</v>
          </cell>
          <cell r="Y294" t="str">
            <v>Safety</v>
          </cell>
        </row>
        <row r="295">
          <cell r="B295" t="str">
            <v>Tiga Putri Abadi, CV</v>
          </cell>
          <cell r="C295" t="str">
            <v>tigaputriabadi@gmail.com</v>
          </cell>
          <cell r="D295" t="str">
            <v>Budi</v>
          </cell>
          <cell r="E295" t="str">
            <v>081255229191</v>
          </cell>
          <cell r="F295" t="str">
            <v>Permata Asri RT08 No 08. Pembataan. Tanjung. Tabalong KalSel</v>
          </cell>
          <cell r="G295" t="b">
            <v>0</v>
          </cell>
          <cell r="H295" t="b">
            <v>0</v>
          </cell>
          <cell r="I295" t="b">
            <v>0</v>
          </cell>
          <cell r="J295" t="b">
            <v>0</v>
          </cell>
          <cell r="K295" t="b">
            <v>0</v>
          </cell>
          <cell r="L295" t="b">
            <v>0</v>
          </cell>
          <cell r="M295" t="b">
            <v>0</v>
          </cell>
          <cell r="N295" t="b">
            <v>0</v>
          </cell>
          <cell r="O295" t="b">
            <v>0</v>
          </cell>
          <cell r="P295" t="b">
            <v>0</v>
          </cell>
          <cell r="Q295" t="b">
            <v>0</v>
          </cell>
          <cell r="R295" t="b">
            <v>0</v>
          </cell>
          <cell r="S295" t="b">
            <v>0</v>
          </cell>
          <cell r="T295" t="b">
            <v>0</v>
          </cell>
          <cell r="U295" t="str">
            <v>A</v>
          </cell>
          <cell r="V295" t="str">
            <v>Register</v>
          </cell>
          <cell r="W295" t="str">
            <v/>
          </cell>
          <cell r="X295" t="str">
            <v>General Trading - HSE</v>
          </cell>
          <cell r="Y295" t="str">
            <v/>
          </cell>
        </row>
        <row r="296">
          <cell r="B296" t="str">
            <v>Menara Alfasemesta, PT</v>
          </cell>
          <cell r="C296" t="str">
            <v>indah_alini@yahoo.com; indah_menara@yahoo.com; risad@mas.co.id; sales.jkt@mas.co.id; admjkt@mas.co.id</v>
          </cell>
          <cell r="D296" t="str">
            <v>Indah</v>
          </cell>
          <cell r="E296" t="str">
            <v>081348660234</v>
          </cell>
          <cell r="F296" t="str">
            <v>Jl. Bambu II No 77-A. Medan - 20235</v>
          </cell>
          <cell r="G296" t="b">
            <v>0</v>
          </cell>
          <cell r="H296" t="b">
            <v>0</v>
          </cell>
          <cell r="I296" t="b">
            <v>0</v>
          </cell>
          <cell r="J296" t="b">
            <v>0</v>
          </cell>
          <cell r="K296" t="b">
            <v>0</v>
          </cell>
          <cell r="L296" t="b">
            <v>0</v>
          </cell>
          <cell r="M296" t="b">
            <v>0</v>
          </cell>
          <cell r="N296" t="b">
            <v>0</v>
          </cell>
          <cell r="O296" t="b">
            <v>0</v>
          </cell>
          <cell r="P296" t="b">
            <v>0</v>
          </cell>
          <cell r="Q296" t="b">
            <v>0</v>
          </cell>
          <cell r="R296" t="b">
            <v>0</v>
          </cell>
          <cell r="S296" t="b">
            <v>0</v>
          </cell>
          <cell r="T296" t="b">
            <v>0</v>
          </cell>
          <cell r="U296" t="str">
            <v>A</v>
          </cell>
          <cell r="V296" t="str">
            <v>No Register</v>
          </cell>
          <cell r="W296" t="str">
            <v/>
          </cell>
          <cell r="Y296" t="str">
            <v/>
          </cell>
        </row>
        <row r="297">
          <cell r="B297" t="str">
            <v>Ampera, CV</v>
          </cell>
          <cell r="C297" t="str">
            <v/>
          </cell>
          <cell r="D297" t="str">
            <v>H. Juanda</v>
          </cell>
          <cell r="E297" t="str">
            <v>081251022673</v>
          </cell>
          <cell r="F297" t="str">
            <v>Jl. Kupang RT 03. Pembataan . Kel. Pembataan Kec. Murung Pudak. Tanjung Tabalong. KalSel - 71571</v>
          </cell>
          <cell r="G297" t="str">
            <v>□</v>
          </cell>
          <cell r="H297" t="str">
            <v>□</v>
          </cell>
          <cell r="I297" t="str">
            <v>□</v>
          </cell>
          <cell r="J297" t="str">
            <v>□</v>
          </cell>
          <cell r="K297" t="str">
            <v>□</v>
          </cell>
          <cell r="L297" t="str">
            <v>□</v>
          </cell>
          <cell r="M297" t="str">
            <v>□</v>
          </cell>
          <cell r="N297" t="str">
            <v>□</v>
          </cell>
          <cell r="O297" t="str">
            <v>□</v>
          </cell>
          <cell r="P297" t="str">
            <v>□</v>
          </cell>
          <cell r="Q297" t="str">
            <v>□</v>
          </cell>
          <cell r="R297" t="str">
            <v>□</v>
          </cell>
          <cell r="S297" t="str">
            <v>□</v>
          </cell>
          <cell r="T297" t="str">
            <v>□</v>
          </cell>
          <cell r="U297" t="str">
            <v>NA</v>
          </cell>
          <cell r="V297" t="str">
            <v>No Register</v>
          </cell>
          <cell r="W297" t="str">
            <v/>
          </cell>
          <cell r="Y297" t="str">
            <v/>
          </cell>
        </row>
        <row r="298">
          <cell r="B298" t="str">
            <v>Edmi Indonesia, PT</v>
          </cell>
          <cell r="C298" t="str">
            <v>support-indonesia@edmi-meters.com; agung@edmi-meters.com</v>
          </cell>
          <cell r="D298" t="str">
            <v>Agung</v>
          </cell>
          <cell r="E298" t="str">
            <v>085691612851</v>
          </cell>
          <cell r="F298" t="str">
            <v>Rukan Tendean Square No. 8. Jl Wolter Monginsidi 122-124. JakSel - 12170</v>
          </cell>
          <cell r="G298" t="b">
            <v>0</v>
          </cell>
          <cell r="H298" t="b">
            <v>1</v>
          </cell>
          <cell r="I298" t="b">
            <v>0</v>
          </cell>
          <cell r="J298" t="b">
            <v>0</v>
          </cell>
          <cell r="K298" t="b">
            <v>0</v>
          </cell>
          <cell r="L298" t="b">
            <v>0</v>
          </cell>
          <cell r="M298" t="b">
            <v>0</v>
          </cell>
          <cell r="N298" t="b">
            <v>0</v>
          </cell>
          <cell r="O298" t="b">
            <v>0</v>
          </cell>
          <cell r="P298" t="b">
            <v>0</v>
          </cell>
          <cell r="Q298" t="b">
            <v>0</v>
          </cell>
          <cell r="R298" t="b">
            <v>0</v>
          </cell>
          <cell r="S298" t="b">
            <v>0</v>
          </cell>
          <cell r="T298" t="b">
            <v>1</v>
          </cell>
          <cell r="U298" t="str">
            <v>NA</v>
          </cell>
          <cell r="V298" t="str">
            <v>Register</v>
          </cell>
          <cell r="W298" t="str">
            <v>GT - ME</v>
          </cell>
          <cell r="X298" t="str">
            <v>General Trading - Mechanical</v>
          </cell>
          <cell r="Y298" t="str">
            <v>AD Edmi</v>
          </cell>
        </row>
        <row r="299">
          <cell r="B299" t="str">
            <v>Aditana Inti Perdana, PT</v>
          </cell>
          <cell r="C299" t="str">
            <v/>
          </cell>
          <cell r="D299" t="str">
            <v/>
          </cell>
          <cell r="E299" t="str">
            <v/>
          </cell>
          <cell r="F299" t="str">
            <v>Raya Kalirungkut 1-3. Ruko Rungkut Megah RAya M23. Surabaya - 6029</v>
          </cell>
          <cell r="G299" t="str">
            <v>□</v>
          </cell>
          <cell r="H299" t="str">
            <v>□</v>
          </cell>
          <cell r="I299" t="str">
            <v>□</v>
          </cell>
          <cell r="J299" t="str">
            <v>□</v>
          </cell>
          <cell r="K299" t="str">
            <v>□</v>
          </cell>
          <cell r="L299" t="str">
            <v>□</v>
          </cell>
          <cell r="M299" t="str">
            <v>□</v>
          </cell>
          <cell r="N299" t="str">
            <v>□</v>
          </cell>
          <cell r="O299" t="str">
            <v>□</v>
          </cell>
          <cell r="P299" t="str">
            <v>□</v>
          </cell>
          <cell r="Q299" t="str">
            <v>□</v>
          </cell>
          <cell r="R299" t="str">
            <v>□</v>
          </cell>
          <cell r="S299" t="str">
            <v>□</v>
          </cell>
          <cell r="T299" t="str">
            <v>□</v>
          </cell>
          <cell r="U299" t="str">
            <v>NA</v>
          </cell>
          <cell r="V299" t="str">
            <v>No Register</v>
          </cell>
          <cell r="W299" t="str">
            <v/>
          </cell>
          <cell r="Y299" t="str">
            <v/>
          </cell>
        </row>
        <row r="300">
          <cell r="B300" t="str">
            <v>Yabestindo Mitra Utama, PT</v>
          </cell>
          <cell r="C300" t="str">
            <v>sales2@yabestindo.com; yabestindo_pt@yahoo.com; sales3@yabestindo.com</v>
          </cell>
          <cell r="D300" t="str">
            <v>Anis</v>
          </cell>
          <cell r="E300" t="str">
            <v>081805182902</v>
          </cell>
          <cell r="F300" t="str">
            <v>Jl. Industri Raya No. 21B. Jakarta Pusat - 10720</v>
          </cell>
          <cell r="G300" t="str">
            <v>□</v>
          </cell>
          <cell r="H300" t="str">
            <v>□</v>
          </cell>
          <cell r="I300" t="str">
            <v>□</v>
          </cell>
          <cell r="J300" t="str">
            <v>□</v>
          </cell>
          <cell r="K300" t="str">
            <v>□</v>
          </cell>
          <cell r="L300" t="str">
            <v>□</v>
          </cell>
          <cell r="M300" t="str">
            <v>□</v>
          </cell>
          <cell r="N300" t="str">
            <v>□</v>
          </cell>
          <cell r="O300" t="str">
            <v>□</v>
          </cell>
          <cell r="P300" t="str">
            <v>□</v>
          </cell>
          <cell r="Q300" t="str">
            <v>□</v>
          </cell>
          <cell r="R300" t="str">
            <v>□</v>
          </cell>
          <cell r="S300" t="str">
            <v>□</v>
          </cell>
          <cell r="T300" t="str">
            <v>□</v>
          </cell>
          <cell r="U300" t="str">
            <v>NA</v>
          </cell>
          <cell r="V300" t="str">
            <v>No Register</v>
          </cell>
          <cell r="W300" t="str">
            <v/>
          </cell>
          <cell r="Y300" t="str">
            <v/>
          </cell>
        </row>
        <row r="301">
          <cell r="B301" t="str">
            <v>Festo, PT</v>
          </cell>
          <cell r="C301" t="str">
            <v>sales_id@festo.com</v>
          </cell>
          <cell r="D301" t="str">
            <v/>
          </cell>
          <cell r="F301" t="str">
            <v>Jl. Tekno V Blok A/1 Sektor XI. Kawasan Industri Tekno BSD - 15314</v>
          </cell>
          <cell r="G301" t="str">
            <v>□</v>
          </cell>
          <cell r="H301" t="str">
            <v>□</v>
          </cell>
          <cell r="I301" t="str">
            <v>□</v>
          </cell>
          <cell r="J301" t="str">
            <v>□</v>
          </cell>
          <cell r="K301" t="str">
            <v>□</v>
          </cell>
          <cell r="L301" t="str">
            <v>□</v>
          </cell>
          <cell r="M301" t="str">
            <v>□</v>
          </cell>
          <cell r="N301" t="str">
            <v>□</v>
          </cell>
          <cell r="O301" t="str">
            <v>□</v>
          </cell>
          <cell r="P301" t="str">
            <v>□</v>
          </cell>
          <cell r="Q301" t="str">
            <v>□</v>
          </cell>
          <cell r="R301" t="str">
            <v>□</v>
          </cell>
          <cell r="S301" t="str">
            <v>□</v>
          </cell>
          <cell r="T301" t="str">
            <v>□</v>
          </cell>
          <cell r="U301" t="str">
            <v>NA</v>
          </cell>
          <cell r="V301" t="str">
            <v>No Register</v>
          </cell>
          <cell r="W301" t="str">
            <v/>
          </cell>
          <cell r="Y301" t="str">
            <v/>
          </cell>
        </row>
        <row r="302">
          <cell r="B302" t="str">
            <v>Sinar Mahaputera Mandaga Bakti, PT</v>
          </cell>
          <cell r="C302" t="str">
            <v/>
          </cell>
          <cell r="D302" t="str">
            <v/>
          </cell>
          <cell r="E302" t="str">
            <v/>
          </cell>
          <cell r="F302" t="str">
            <v>Desa Wirang RT. 3 Kec. Haruai. Tabalong</v>
          </cell>
          <cell r="G302" t="str">
            <v>□</v>
          </cell>
          <cell r="H302" t="str">
            <v>□</v>
          </cell>
          <cell r="I302" t="str">
            <v>□</v>
          </cell>
          <cell r="J302" t="str">
            <v>□</v>
          </cell>
          <cell r="K302" t="str">
            <v>□</v>
          </cell>
          <cell r="L302" t="str">
            <v>□</v>
          </cell>
          <cell r="M302" t="str">
            <v>□</v>
          </cell>
          <cell r="N302" t="str">
            <v>□</v>
          </cell>
          <cell r="O302" t="str">
            <v>□</v>
          </cell>
          <cell r="P302" t="str">
            <v>□</v>
          </cell>
          <cell r="Q302" t="str">
            <v>□</v>
          </cell>
          <cell r="R302" t="str">
            <v>□</v>
          </cell>
          <cell r="S302" t="str">
            <v>□</v>
          </cell>
          <cell r="T302" t="str">
            <v>□</v>
          </cell>
          <cell r="U302" t="str">
            <v>NA</v>
          </cell>
          <cell r="V302" t="str">
            <v>No Register</v>
          </cell>
          <cell r="W302" t="str">
            <v/>
          </cell>
          <cell r="Y302" t="str">
            <v/>
          </cell>
        </row>
        <row r="303">
          <cell r="B303" t="str">
            <v>Sumber Berlian Motors, PT</v>
          </cell>
          <cell r="C303" t="str">
            <v>partsbmtanjung@yahoo.co.id</v>
          </cell>
          <cell r="D303" t="str">
            <v>Arni</v>
          </cell>
          <cell r="E303" t="str">
            <v>085714267565</v>
          </cell>
          <cell r="F303" t="str">
            <v>Jl A. Yani Km. 10, 300 No. 1. RT.5 Kec. Kertak Hanyar Kab. Banjar - 70654</v>
          </cell>
          <cell r="G303" t="b">
            <v>0</v>
          </cell>
          <cell r="H303" t="b">
            <v>0</v>
          </cell>
          <cell r="I303" t="b">
            <v>0</v>
          </cell>
          <cell r="J303" t="b">
            <v>0</v>
          </cell>
          <cell r="K303" t="b">
            <v>0</v>
          </cell>
          <cell r="L303" t="b">
            <v>0</v>
          </cell>
          <cell r="M303" t="b">
            <v>1</v>
          </cell>
          <cell r="N303" t="b">
            <v>0</v>
          </cell>
          <cell r="O303" t="b">
            <v>0</v>
          </cell>
          <cell r="P303" t="b">
            <v>0</v>
          </cell>
          <cell r="Q303" t="b">
            <v>0</v>
          </cell>
          <cell r="R303" t="b">
            <v>0</v>
          </cell>
          <cell r="S303" t="b">
            <v>0</v>
          </cell>
          <cell r="T303" t="b">
            <v>0</v>
          </cell>
          <cell r="U303" t="str">
            <v>NA</v>
          </cell>
          <cell r="V303" t="str">
            <v>Register</v>
          </cell>
          <cell r="W303" t="str">
            <v>GT - SP</v>
          </cell>
          <cell r="X303" t="str">
            <v>General Trading - Sparepart</v>
          </cell>
          <cell r="Y303" t="str">
            <v/>
          </cell>
        </row>
        <row r="304">
          <cell r="B304" t="str">
            <v>Bima Kaltim Utama, PT</v>
          </cell>
          <cell r="C304" t="str">
            <v>rera.bimakaltim@yahoo.com; albert.bimautama@yahoo.com; rya_bimakaltim@yahoo.com</v>
          </cell>
          <cell r="D304" t="str">
            <v>Rera; Albert Amanta</v>
          </cell>
          <cell r="E304" t="str">
            <v xml:space="preserve"> 082148406064; 081513036310</v>
          </cell>
          <cell r="F304" t="str">
            <v>Jl. Marsma R Iswahyudi No. 57 . Balikpapan - 76114</v>
          </cell>
          <cell r="G304" t="b">
            <v>1</v>
          </cell>
          <cell r="H304" t="b">
            <v>0</v>
          </cell>
          <cell r="I304" t="b">
            <v>0</v>
          </cell>
          <cell r="J304" t="b">
            <v>0</v>
          </cell>
          <cell r="K304" t="b">
            <v>0</v>
          </cell>
          <cell r="L304" t="b">
            <v>0</v>
          </cell>
          <cell r="M304" t="b">
            <v>0</v>
          </cell>
          <cell r="N304" t="b">
            <v>1</v>
          </cell>
          <cell r="O304" t="b">
            <v>0</v>
          </cell>
          <cell r="P304" t="b">
            <v>0</v>
          </cell>
          <cell r="Q304" t="b">
            <v>0</v>
          </cell>
          <cell r="R304" t="b">
            <v>0</v>
          </cell>
          <cell r="S304" t="b">
            <v>0</v>
          </cell>
          <cell r="T304" t="b">
            <v>0</v>
          </cell>
          <cell r="U304" t="str">
            <v>A</v>
          </cell>
          <cell r="V304" t="str">
            <v>Register</v>
          </cell>
          <cell r="W304" t="str">
            <v/>
          </cell>
          <cell r="X304" t="str">
            <v>General Trading - Elektrical
Service Jasa - Mechanical</v>
          </cell>
          <cell r="Y304" t="str">
            <v>Electrical</v>
          </cell>
        </row>
        <row r="305">
          <cell r="B305" t="str">
            <v>Enggal Sukses Perkasa, PT</v>
          </cell>
          <cell r="C305" t="str">
            <v/>
          </cell>
          <cell r="D305" t="str">
            <v/>
          </cell>
          <cell r="E305" t="str">
            <v/>
          </cell>
          <cell r="F305" t="str">
            <v>Jl. Karya Logam KM. 39 No 8. Tambun Selatan. Bekasi - 17510</v>
          </cell>
          <cell r="G305" t="str">
            <v>□</v>
          </cell>
          <cell r="H305" t="str">
            <v>□</v>
          </cell>
          <cell r="I305" t="str">
            <v>□</v>
          </cell>
          <cell r="J305" t="str">
            <v>□</v>
          </cell>
          <cell r="K305" t="str">
            <v>□</v>
          </cell>
          <cell r="L305" t="str">
            <v>□</v>
          </cell>
          <cell r="M305" t="str">
            <v>□</v>
          </cell>
          <cell r="N305" t="str">
            <v>□</v>
          </cell>
          <cell r="O305" t="str">
            <v>□</v>
          </cell>
          <cell r="P305" t="str">
            <v>□</v>
          </cell>
          <cell r="Q305" t="str">
            <v>□</v>
          </cell>
          <cell r="R305" t="str">
            <v>□</v>
          </cell>
          <cell r="S305" t="str">
            <v>□</v>
          </cell>
          <cell r="T305" t="str">
            <v>□</v>
          </cell>
          <cell r="U305" t="str">
            <v>NA</v>
          </cell>
          <cell r="V305" t="str">
            <v>No Register</v>
          </cell>
          <cell r="W305" t="str">
            <v>GT - ME</v>
          </cell>
          <cell r="X305" t="str">
            <v>General Trading - Mechanical</v>
          </cell>
          <cell r="Y305" t="str">
            <v/>
          </cell>
        </row>
        <row r="306">
          <cell r="B306" t="str">
            <v>Andisa Karya Mandiri, PT</v>
          </cell>
          <cell r="C306" t="str">
            <v/>
          </cell>
          <cell r="D306" t="str">
            <v/>
          </cell>
          <cell r="E306" t="str">
            <v/>
          </cell>
          <cell r="F306" t="str">
            <v>Jl. Citra 8 Blok F20 Pembataan. Murung Oudak - 71571</v>
          </cell>
          <cell r="G306" t="str">
            <v>□</v>
          </cell>
          <cell r="H306" t="str">
            <v>□</v>
          </cell>
          <cell r="I306" t="str">
            <v>□</v>
          </cell>
          <cell r="J306" t="str">
            <v>□</v>
          </cell>
          <cell r="K306" t="str">
            <v>□</v>
          </cell>
          <cell r="L306" t="str">
            <v>□</v>
          </cell>
          <cell r="M306" t="str">
            <v>□</v>
          </cell>
          <cell r="N306" t="str">
            <v>□</v>
          </cell>
          <cell r="O306" t="str">
            <v>□</v>
          </cell>
          <cell r="P306" t="str">
            <v>□</v>
          </cell>
          <cell r="Q306" t="str">
            <v>□</v>
          </cell>
          <cell r="R306" t="str">
            <v>□</v>
          </cell>
          <cell r="S306" t="str">
            <v>□</v>
          </cell>
          <cell r="T306" t="str">
            <v>□</v>
          </cell>
          <cell r="U306" t="str">
            <v>NA</v>
          </cell>
          <cell r="V306" t="str">
            <v>No Register</v>
          </cell>
          <cell r="W306" t="str">
            <v/>
          </cell>
          <cell r="Y306" t="str">
            <v/>
          </cell>
        </row>
        <row r="307">
          <cell r="B307" t="str">
            <v>Qanita Hotel, PT</v>
          </cell>
          <cell r="C307" t="str">
            <v/>
          </cell>
          <cell r="D307" t="str">
            <v/>
          </cell>
          <cell r="E307" t="str">
            <v/>
          </cell>
          <cell r="F307" t="str">
            <v>Jl. Ahmad Yani km. 36, 8 Banjarbaru - 70714</v>
          </cell>
          <cell r="G307" t="str">
            <v>□</v>
          </cell>
          <cell r="H307" t="str">
            <v>□</v>
          </cell>
          <cell r="I307" t="str">
            <v>□</v>
          </cell>
          <cell r="J307" t="str">
            <v>□</v>
          </cell>
          <cell r="K307" t="str">
            <v>□</v>
          </cell>
          <cell r="L307" t="str">
            <v>□</v>
          </cell>
          <cell r="M307" t="str">
            <v>□</v>
          </cell>
          <cell r="N307" t="str">
            <v>□</v>
          </cell>
          <cell r="O307" t="str">
            <v>□</v>
          </cell>
          <cell r="P307" t="str">
            <v>□</v>
          </cell>
          <cell r="Q307" t="str">
            <v>□</v>
          </cell>
          <cell r="R307" t="str">
            <v>□</v>
          </cell>
          <cell r="S307" t="str">
            <v>□</v>
          </cell>
          <cell r="T307" t="str">
            <v>□</v>
          </cell>
          <cell r="U307" t="str">
            <v>NA</v>
          </cell>
          <cell r="V307" t="str">
            <v>No Register</v>
          </cell>
          <cell r="W307" t="str">
            <v/>
          </cell>
          <cell r="Y307" t="str">
            <v/>
          </cell>
        </row>
        <row r="308">
          <cell r="B308" t="str">
            <v>MTS Indonesia, PT</v>
          </cell>
          <cell r="C308" t="str">
            <v/>
          </cell>
          <cell r="D308" t="str">
            <v/>
          </cell>
          <cell r="E308" t="str">
            <v/>
          </cell>
          <cell r="F308" t="str">
            <v>Jl. Penjernihan II/5A. RT 011 RW 006. Bendungan Hilir . Tanah Abang. JakPus - 10210</v>
          </cell>
          <cell r="G308" t="str">
            <v>□</v>
          </cell>
          <cell r="H308" t="str">
            <v>□</v>
          </cell>
          <cell r="I308" t="str">
            <v>□</v>
          </cell>
          <cell r="J308" t="str">
            <v>□</v>
          </cell>
          <cell r="K308" t="str">
            <v>□</v>
          </cell>
          <cell r="L308" t="str">
            <v>□</v>
          </cell>
          <cell r="M308" t="str">
            <v>□</v>
          </cell>
          <cell r="N308" t="str">
            <v>□</v>
          </cell>
          <cell r="O308" t="str">
            <v>□</v>
          </cell>
          <cell r="P308" t="str">
            <v>□</v>
          </cell>
          <cell r="Q308" t="str">
            <v>□</v>
          </cell>
          <cell r="R308" t="str">
            <v>□</v>
          </cell>
          <cell r="S308" t="str">
            <v>□</v>
          </cell>
          <cell r="T308" t="str">
            <v>□</v>
          </cell>
          <cell r="U308" t="str">
            <v>NA</v>
          </cell>
          <cell r="V308" t="str">
            <v>No Register</v>
          </cell>
          <cell r="W308" t="str">
            <v/>
          </cell>
          <cell r="Y308" t="str">
            <v/>
          </cell>
        </row>
        <row r="309">
          <cell r="B309" t="str">
            <v>Bem-Vindo Jaya, PT</v>
          </cell>
          <cell r="C309" t="str">
            <v>sularto@bem-vindojaya.com</v>
          </cell>
          <cell r="D309" t="str">
            <v>Sularto</v>
          </cell>
          <cell r="E309" t="str">
            <v>082110430374</v>
          </cell>
          <cell r="F309" t="str">
            <v>Jl. Fajar Damai I No. 1 RT 002 RW 020. Jaka Sampurna - Bekasi Barat. Kotamadya Bekasi - Jawa Barat</v>
          </cell>
          <cell r="G309" t="b">
            <v>1</v>
          </cell>
          <cell r="H309" t="b">
            <v>0</v>
          </cell>
          <cell r="I309" t="b">
            <v>0</v>
          </cell>
          <cell r="J309" t="b">
            <v>0</v>
          </cell>
          <cell r="K309" t="b">
            <v>0</v>
          </cell>
          <cell r="L309" t="b">
            <v>0</v>
          </cell>
          <cell r="M309" t="b">
            <v>0</v>
          </cell>
          <cell r="N309" t="b">
            <v>0</v>
          </cell>
          <cell r="O309" t="b">
            <v>0</v>
          </cell>
          <cell r="P309" t="b">
            <v>0</v>
          </cell>
          <cell r="Q309" t="b">
            <v>0</v>
          </cell>
          <cell r="R309" t="b">
            <v>0</v>
          </cell>
          <cell r="S309" t="b">
            <v>0</v>
          </cell>
          <cell r="T309" t="b">
            <v>0</v>
          </cell>
          <cell r="U309" t="str">
            <v>A</v>
          </cell>
          <cell r="V309" t="str">
            <v>Register</v>
          </cell>
          <cell r="W309" t="str">
            <v>GT - ME</v>
          </cell>
          <cell r="X309" t="str">
            <v>General Trading - Mechanical</v>
          </cell>
          <cell r="Y309" t="str">
            <v>Air Dryer Parker</v>
          </cell>
        </row>
        <row r="310">
          <cell r="B310" t="str">
            <v>Dwihasta Pirusa, PT</v>
          </cell>
          <cell r="C310" t="str">
            <v>dhpirusa@indo.net.id; ivan.salim@dhpirusa-spm.co.id</v>
          </cell>
          <cell r="D310" t="str">
            <v>Vicentius Ivan Salim</v>
          </cell>
          <cell r="E310" t="str">
            <v>087877279211</v>
          </cell>
          <cell r="F310" t="str">
            <v>Jalan Pakis Raya E No. 8  Lantai 2 RT 002 RW 007, Rawa Buaya. Cengkareng. JakBar - 11740</v>
          </cell>
          <cell r="G310" t="b">
            <v>1</v>
          </cell>
          <cell r="H310" t="b">
            <v>1</v>
          </cell>
          <cell r="I310" t="b">
            <v>1</v>
          </cell>
          <cell r="J310" t="b">
            <v>0</v>
          </cell>
          <cell r="K310" t="b">
            <v>0</v>
          </cell>
          <cell r="L310" t="b">
            <v>0</v>
          </cell>
          <cell r="M310" t="b">
            <v>0</v>
          </cell>
          <cell r="N310" t="b">
            <v>0</v>
          </cell>
          <cell r="O310" t="b">
            <v>0</v>
          </cell>
          <cell r="P310" t="b">
            <v>0</v>
          </cell>
          <cell r="Q310" t="b">
            <v>0</v>
          </cell>
          <cell r="R310" t="b">
            <v>0</v>
          </cell>
          <cell r="S310" t="b">
            <v>0</v>
          </cell>
          <cell r="T310" t="b">
            <v>0</v>
          </cell>
          <cell r="U310" t="str">
            <v>A</v>
          </cell>
          <cell r="V310" t="str">
            <v>Register</v>
          </cell>
          <cell r="W310" t="str">
            <v>GT</v>
          </cell>
          <cell r="X310" t="str">
            <v>General Trading</v>
          </cell>
          <cell r="Y310" t="str">
            <v>General Trading</v>
          </cell>
        </row>
        <row r="311">
          <cell r="B311" t="str">
            <v>Asia Megamas Internasional, PT</v>
          </cell>
          <cell r="C311" t="str">
            <v/>
          </cell>
          <cell r="D311" t="str">
            <v/>
          </cell>
          <cell r="E311" t="str">
            <v/>
          </cell>
          <cell r="F311" t="str">
            <v>Graha Global ITC Fatmawati C1/10. Jl. RS Fatmawati No. 39</v>
          </cell>
          <cell r="G311" t="str">
            <v>□</v>
          </cell>
          <cell r="H311" t="str">
            <v>□</v>
          </cell>
          <cell r="I311" t="str">
            <v>□</v>
          </cell>
          <cell r="J311" t="str">
            <v>□</v>
          </cell>
          <cell r="K311" t="str">
            <v>□</v>
          </cell>
          <cell r="L311" t="str">
            <v>□</v>
          </cell>
          <cell r="M311" t="str">
            <v>□</v>
          </cell>
          <cell r="N311" t="str">
            <v>□</v>
          </cell>
          <cell r="O311" t="str">
            <v>□</v>
          </cell>
          <cell r="P311" t="str">
            <v>□</v>
          </cell>
          <cell r="Q311" t="str">
            <v>□</v>
          </cell>
          <cell r="R311" t="str">
            <v>□</v>
          </cell>
          <cell r="S311" t="str">
            <v>□</v>
          </cell>
          <cell r="T311" t="str">
            <v>□</v>
          </cell>
          <cell r="U311" t="str">
            <v>NA</v>
          </cell>
          <cell r="V311" t="str">
            <v>No Register</v>
          </cell>
          <cell r="W311" t="str">
            <v/>
          </cell>
          <cell r="Y311" t="str">
            <v/>
          </cell>
        </row>
        <row r="312">
          <cell r="B312" t="str">
            <v>Hagna Movward Inovasi, PT</v>
          </cell>
          <cell r="C312" t="str">
            <v/>
          </cell>
          <cell r="D312" t="str">
            <v/>
          </cell>
          <cell r="E312" t="str">
            <v/>
          </cell>
          <cell r="F312" t="str">
            <v>The CEO Building Level 12. Jl. TB Simatuoang 18 C RT.006 RW.009</v>
          </cell>
          <cell r="G312" t="str">
            <v>□</v>
          </cell>
          <cell r="H312" t="str">
            <v>□</v>
          </cell>
          <cell r="I312" t="str">
            <v>□</v>
          </cell>
          <cell r="J312" t="str">
            <v>□</v>
          </cell>
          <cell r="K312" t="str">
            <v>□</v>
          </cell>
          <cell r="L312" t="str">
            <v>□</v>
          </cell>
          <cell r="M312" t="str">
            <v>□</v>
          </cell>
          <cell r="N312" t="str">
            <v>□</v>
          </cell>
          <cell r="O312" t="str">
            <v>□</v>
          </cell>
          <cell r="P312" t="str">
            <v>□</v>
          </cell>
          <cell r="Q312" t="str">
            <v>□</v>
          </cell>
          <cell r="R312" t="str">
            <v>□</v>
          </cell>
          <cell r="S312" t="str">
            <v>□</v>
          </cell>
          <cell r="T312" t="str">
            <v>□</v>
          </cell>
          <cell r="U312" t="str">
            <v>NA</v>
          </cell>
          <cell r="V312" t="str">
            <v>No Register</v>
          </cell>
          <cell r="W312" t="str">
            <v/>
          </cell>
          <cell r="Y312" t="str">
            <v/>
          </cell>
        </row>
        <row r="313">
          <cell r="B313" t="str">
            <v>Sucofindo, PT</v>
          </cell>
          <cell r="C313" t="str">
            <v>octavia@sucofindo.co.id; juniyanto@sucofindo.co.id;
c.anugrahno@sucofindo.co.id;
pidekso.kusumadatu@sucofindo.co.id; ismanto@sucofindo.co.id; customer.service@sucofindo.co.id</v>
          </cell>
          <cell r="D313" t="str">
            <v>Juniyanto - BJM
Christian - BJM
Ismanto (Sony) - TJG
Mada (Pidekso) - TJG</v>
          </cell>
          <cell r="E313" t="str">
            <v>085386401234</v>
          </cell>
          <cell r="F313" t="str">
            <v>Graha Sucofindo. Jl Raya Pasar Minggu Kav. 34 Pancoran. JakSel - 12780</v>
          </cell>
          <cell r="G313" t="b">
            <v>0</v>
          </cell>
          <cell r="H313" t="b">
            <v>0</v>
          </cell>
          <cell r="I313" t="b">
            <v>0</v>
          </cell>
          <cell r="J313" t="b">
            <v>0</v>
          </cell>
          <cell r="K313" t="b">
            <v>0</v>
          </cell>
          <cell r="L313" t="b">
            <v>0</v>
          </cell>
          <cell r="M313" t="b">
            <v>0</v>
          </cell>
          <cell r="N313" t="b">
            <v>0</v>
          </cell>
          <cell r="O313" t="b">
            <v>1</v>
          </cell>
          <cell r="P313" t="b">
            <v>0</v>
          </cell>
          <cell r="Q313" t="b">
            <v>0</v>
          </cell>
          <cell r="R313" t="b">
            <v>0</v>
          </cell>
          <cell r="S313" t="b">
            <v>0</v>
          </cell>
          <cell r="T313" t="b">
            <v>0</v>
          </cell>
          <cell r="U313" t="str">
            <v>A</v>
          </cell>
          <cell r="V313" t="str">
            <v>Register</v>
          </cell>
          <cell r="W313" t="str">
            <v>PR - CS
ENV - IM</v>
          </cell>
          <cell r="X313" t="str">
            <v>Professional Services - Consulting
Environment &amp; Compliance - Environmental Impact Monitoring</v>
          </cell>
          <cell r="Y313" t="str">
            <v>Assesment</v>
          </cell>
        </row>
        <row r="314">
          <cell r="B314" t="str">
            <v>Sulzer Indonesia, PT</v>
          </cell>
          <cell r="C314" t="str">
            <v>dicky.aryanto@sulzer.com; Ahmad.sobari@sulzer.com</v>
          </cell>
          <cell r="D314" t="str">
            <v>Diki; Ahmad</v>
          </cell>
          <cell r="E314" t="str">
            <v>08118491512; 08111175903</v>
          </cell>
          <cell r="F314" t="str">
            <v>Kaw. Industri Kota Bukit Indah Blok A-II No. Kav. IC-ID. Wanakerta. Bungursari. Purwakarta. Jawa Barat</v>
          </cell>
          <cell r="G314" t="str">
            <v>□</v>
          </cell>
          <cell r="H314" t="str">
            <v>□</v>
          </cell>
          <cell r="I314" t="str">
            <v>□</v>
          </cell>
          <cell r="J314" t="str">
            <v>□</v>
          </cell>
          <cell r="K314" t="str">
            <v>□</v>
          </cell>
          <cell r="L314" t="str">
            <v>□</v>
          </cell>
          <cell r="M314" t="str">
            <v>□</v>
          </cell>
          <cell r="N314" t="str">
            <v>□</v>
          </cell>
          <cell r="O314" t="str">
            <v>□</v>
          </cell>
          <cell r="P314" t="str">
            <v>□</v>
          </cell>
          <cell r="Q314" t="str">
            <v>□</v>
          </cell>
          <cell r="R314" t="str">
            <v>□</v>
          </cell>
          <cell r="S314" t="str">
            <v>□</v>
          </cell>
          <cell r="T314" t="str">
            <v>□</v>
          </cell>
          <cell r="U314" t="str">
            <v>NA</v>
          </cell>
          <cell r="V314" t="str">
            <v>No Register</v>
          </cell>
          <cell r="W314" t="str">
            <v/>
          </cell>
          <cell r="Y314" t="str">
            <v/>
          </cell>
        </row>
        <row r="315">
          <cell r="B315" t="str">
            <v>Duta Sarana Engineering, PT</v>
          </cell>
          <cell r="C315" t="str">
            <v>danny@dutasaranaeng.com; andry@dutasaranaeng.com</v>
          </cell>
          <cell r="D315" t="str">
            <v>Danny, Andry</v>
          </cell>
          <cell r="E315" t="str">
            <v>085100255000</v>
          </cell>
          <cell r="F315" t="str">
            <v>Ngagel Jaya Indah No. 8 (B3-5) RT. 004 RW. 002. Barat Jaya Gubeng. Surabaya. Jawa Timur.</v>
          </cell>
          <cell r="G315" t="b">
            <v>1</v>
          </cell>
          <cell r="H315" t="b">
            <v>1</v>
          </cell>
          <cell r="I315" t="b">
            <v>1</v>
          </cell>
          <cell r="J315" t="b">
            <v>0</v>
          </cell>
          <cell r="K315" t="b">
            <v>0</v>
          </cell>
          <cell r="L315" t="b">
            <v>0</v>
          </cell>
          <cell r="M315" t="b">
            <v>0</v>
          </cell>
          <cell r="N315" t="b">
            <v>1</v>
          </cell>
          <cell r="O315" t="b">
            <v>0</v>
          </cell>
          <cell r="P315" t="b">
            <v>0</v>
          </cell>
          <cell r="Q315" t="b">
            <v>0</v>
          </cell>
          <cell r="R315" t="b">
            <v>0</v>
          </cell>
          <cell r="S315" t="b">
            <v>0</v>
          </cell>
          <cell r="T315" t="b">
            <v>0</v>
          </cell>
          <cell r="U315" t="str">
            <v>NA</v>
          </cell>
          <cell r="V315" t="str">
            <v>Register</v>
          </cell>
          <cell r="W315" t="str">
            <v>GT - ME</v>
          </cell>
          <cell r="X315" t="str">
            <v>General Trading - Mechanical
Service Jasa - Mechanical</v>
          </cell>
          <cell r="Y315" t="str">
            <v>Transformer Testing &amp; Aseesment</v>
          </cell>
        </row>
        <row r="316">
          <cell r="B316" t="str">
            <v>Triguna Mandala, PT</v>
          </cell>
          <cell r="C316" t="str">
            <v>sales@trigunamandala.co.id</v>
          </cell>
          <cell r="D316" t="str">
            <v/>
          </cell>
          <cell r="F316" t="str">
            <v>Komp. Season City Blok A I Jalan Jembatan Besi, No 33 Tambora Jakarta Barat DKI Jakarta - 11320</v>
          </cell>
          <cell r="G316" t="str">
            <v>□</v>
          </cell>
          <cell r="H316" t="str">
            <v>□</v>
          </cell>
          <cell r="I316" t="str">
            <v>□</v>
          </cell>
          <cell r="J316" t="str">
            <v>□</v>
          </cell>
          <cell r="K316" t="str">
            <v>□</v>
          </cell>
          <cell r="L316" t="str">
            <v>□</v>
          </cell>
          <cell r="M316" t="str">
            <v>□</v>
          </cell>
          <cell r="N316" t="str">
            <v>□</v>
          </cell>
          <cell r="O316" t="str">
            <v>□</v>
          </cell>
          <cell r="P316" t="str">
            <v>□</v>
          </cell>
          <cell r="Q316" t="str">
            <v>□</v>
          </cell>
          <cell r="R316" t="str">
            <v>□</v>
          </cell>
          <cell r="S316" t="str">
            <v>□</v>
          </cell>
          <cell r="T316" t="str">
            <v>□</v>
          </cell>
          <cell r="U316" t="str">
            <v>NA</v>
          </cell>
          <cell r="V316" t="str">
            <v>No Register</v>
          </cell>
          <cell r="W316" t="str">
            <v/>
          </cell>
          <cell r="Y316" t="str">
            <v/>
          </cell>
        </row>
        <row r="317">
          <cell r="B317" t="str">
            <v>Mubaroqah, CV</v>
          </cell>
          <cell r="C317" t="str">
            <v>mubaroqah_engineer8@gmail.com</v>
          </cell>
          <cell r="D317" t="str">
            <v>Abdul</v>
          </cell>
          <cell r="E317" t="str">
            <v>081350264719</v>
          </cell>
          <cell r="F317" t="str">
            <v>Jl. Sultan Adam Komp. Family RT.020 RW. 000. Surgi Mufti. Banjarmasin Utara. Banjarmasin. KalSel</v>
          </cell>
          <cell r="G317" t="str">
            <v>□</v>
          </cell>
          <cell r="H317" t="str">
            <v>□</v>
          </cell>
          <cell r="I317" t="str">
            <v>□</v>
          </cell>
          <cell r="J317" t="str">
            <v>□</v>
          </cell>
          <cell r="K317" t="str">
            <v>□</v>
          </cell>
          <cell r="L317" t="str">
            <v>□</v>
          </cell>
          <cell r="M317" t="str">
            <v>□</v>
          </cell>
          <cell r="N317" t="str">
            <v>□</v>
          </cell>
          <cell r="O317" t="str">
            <v>□</v>
          </cell>
          <cell r="P317" t="str">
            <v>□</v>
          </cell>
          <cell r="Q317" t="str">
            <v>□</v>
          </cell>
          <cell r="R317" t="str">
            <v>□</v>
          </cell>
          <cell r="S317" t="str">
            <v>□</v>
          </cell>
          <cell r="T317" t="str">
            <v>□</v>
          </cell>
          <cell r="U317" t="str">
            <v>NA</v>
          </cell>
          <cell r="V317" t="str">
            <v>No Register</v>
          </cell>
          <cell r="W317" t="str">
            <v/>
          </cell>
          <cell r="Y317" t="str">
            <v/>
          </cell>
        </row>
        <row r="318">
          <cell r="B318" t="str">
            <v>Ramadhan, CV</v>
          </cell>
          <cell r="C318" t="str">
            <v/>
          </cell>
          <cell r="D318" t="str">
            <v/>
          </cell>
          <cell r="E318" t="str">
            <v/>
          </cell>
          <cell r="F318" t="str">
            <v>Jl. Anggrek 5 No. 176. Pembataan - Tabalong - 71571</v>
          </cell>
          <cell r="G318" t="str">
            <v>□</v>
          </cell>
          <cell r="H318" t="str">
            <v>□</v>
          </cell>
          <cell r="I318" t="str">
            <v>□</v>
          </cell>
          <cell r="J318" t="str">
            <v>□</v>
          </cell>
          <cell r="K318" t="str">
            <v>□</v>
          </cell>
          <cell r="L318" t="str">
            <v>□</v>
          </cell>
          <cell r="M318" t="str">
            <v>□</v>
          </cell>
          <cell r="N318" t="str">
            <v>□</v>
          </cell>
          <cell r="O318" t="str">
            <v>□</v>
          </cell>
          <cell r="P318" t="str">
            <v>□</v>
          </cell>
          <cell r="Q318" t="str">
            <v>□</v>
          </cell>
          <cell r="R318" t="str">
            <v>□</v>
          </cell>
          <cell r="S318" t="str">
            <v>□</v>
          </cell>
          <cell r="T318" t="str">
            <v>□</v>
          </cell>
          <cell r="U318" t="str">
            <v>NA</v>
          </cell>
          <cell r="V318" t="str">
            <v>No Register</v>
          </cell>
          <cell r="W318" t="str">
            <v/>
          </cell>
          <cell r="Y318" t="str">
            <v/>
          </cell>
        </row>
        <row r="319">
          <cell r="B319" t="str">
            <v>Mitra Usaha, CV</v>
          </cell>
          <cell r="C319" t="str">
            <v>mitrausaha@mubpn.com</v>
          </cell>
          <cell r="D319" t="str">
            <v>Anya</v>
          </cell>
          <cell r="F319" t="str">
            <v>Jl. AMD 36 Komp. Bpp Baru Sentra Eropa Blok AB-3. No 09 . Damai-Balikpapan Selatan - KalTim</v>
          </cell>
          <cell r="G319" t="b">
            <v>0</v>
          </cell>
          <cell r="H319" t="b">
            <v>0</v>
          </cell>
          <cell r="I319" t="b">
            <v>0</v>
          </cell>
          <cell r="J319" t="b">
            <v>0</v>
          </cell>
          <cell r="K319" t="b">
            <v>0</v>
          </cell>
          <cell r="L319" t="b">
            <v>0</v>
          </cell>
          <cell r="M319" t="b">
            <v>0</v>
          </cell>
          <cell r="N319" t="b">
            <v>0</v>
          </cell>
          <cell r="O319" t="b">
            <v>0</v>
          </cell>
          <cell r="P319" t="b">
            <v>0</v>
          </cell>
          <cell r="Q319" t="b">
            <v>0</v>
          </cell>
          <cell r="R319" t="b">
            <v>0</v>
          </cell>
          <cell r="S319" t="b">
            <v>0</v>
          </cell>
          <cell r="T319" t="b">
            <v>0</v>
          </cell>
          <cell r="U319" t="str">
            <v>A</v>
          </cell>
          <cell r="V319" t="str">
            <v>Register</v>
          </cell>
          <cell r="W319" t="str">
            <v>GT - OF</v>
          </cell>
          <cell r="X319" t="str">
            <v>General Trading - Office Supplies</v>
          </cell>
          <cell r="Y319" t="str">
            <v>GT</v>
          </cell>
        </row>
        <row r="320">
          <cell r="B320" t="str">
            <v>Alphacipta Computindo, PT</v>
          </cell>
          <cell r="C320" t="str">
            <v/>
          </cell>
          <cell r="D320" t="str">
            <v/>
          </cell>
          <cell r="E320" t="str">
            <v/>
          </cell>
          <cell r="F320" t="str">
            <v>Jl. Kesehatan No. 60 M . Petojo Selatan Gambir. Jakarta Pusat . DKI Jakarta - 10160</v>
          </cell>
          <cell r="G320" t="str">
            <v>□</v>
          </cell>
          <cell r="H320" t="str">
            <v>□</v>
          </cell>
          <cell r="I320" t="str">
            <v>□</v>
          </cell>
          <cell r="J320" t="str">
            <v>□</v>
          </cell>
          <cell r="K320" t="str">
            <v>□</v>
          </cell>
          <cell r="L320" t="str">
            <v>□</v>
          </cell>
          <cell r="M320" t="str">
            <v>□</v>
          </cell>
          <cell r="N320" t="str">
            <v>□</v>
          </cell>
          <cell r="O320" t="str">
            <v>□</v>
          </cell>
          <cell r="P320" t="str">
            <v>□</v>
          </cell>
          <cell r="Q320" t="str">
            <v>□</v>
          </cell>
          <cell r="R320" t="str">
            <v>□</v>
          </cell>
          <cell r="S320" t="str">
            <v>□</v>
          </cell>
          <cell r="T320" t="str">
            <v>□</v>
          </cell>
          <cell r="U320" t="str">
            <v>NA</v>
          </cell>
          <cell r="V320" t="str">
            <v>No Register</v>
          </cell>
          <cell r="W320" t="str">
            <v/>
          </cell>
          <cell r="Y320" t="str">
            <v/>
          </cell>
        </row>
        <row r="321">
          <cell r="B321" t="str">
            <v>Wibon Kreasi Mandiri, PT</v>
          </cell>
          <cell r="C321" t="str">
            <v/>
          </cell>
          <cell r="D321" t="str">
            <v/>
          </cell>
          <cell r="E321" t="str">
            <v/>
          </cell>
          <cell r="F321" t="str">
            <v>Jl. Kartini VIII No. 9
Jakarta Pusat</v>
          </cell>
          <cell r="G321" t="str">
            <v>□</v>
          </cell>
          <cell r="H321" t="str">
            <v>□</v>
          </cell>
          <cell r="I321" t="str">
            <v>□</v>
          </cell>
          <cell r="J321" t="str">
            <v>□</v>
          </cell>
          <cell r="K321" t="str">
            <v>□</v>
          </cell>
          <cell r="L321" t="str">
            <v>□</v>
          </cell>
          <cell r="M321" t="str">
            <v>□</v>
          </cell>
          <cell r="N321" t="str">
            <v>□</v>
          </cell>
          <cell r="O321" t="str">
            <v>□</v>
          </cell>
          <cell r="P321" t="str">
            <v>□</v>
          </cell>
          <cell r="Q321" t="str">
            <v>□</v>
          </cell>
          <cell r="R321" t="str">
            <v>□</v>
          </cell>
          <cell r="S321" t="str">
            <v>□</v>
          </cell>
          <cell r="T321" t="str">
            <v>□</v>
          </cell>
          <cell r="U321" t="str">
            <v>NA</v>
          </cell>
          <cell r="V321" t="str">
            <v>No Register</v>
          </cell>
          <cell r="W321" t="str">
            <v/>
          </cell>
          <cell r="Y321" t="str">
            <v/>
          </cell>
        </row>
        <row r="322">
          <cell r="B322" t="str">
            <v>Unilab Perdana, PT</v>
          </cell>
          <cell r="C322" t="str">
            <v>imam@unilabperdana.com</v>
          </cell>
          <cell r="D322" t="str">
            <v>Imam</v>
          </cell>
          <cell r="E322" t="str">
            <v>081280812474</v>
          </cell>
          <cell r="F322" t="str">
            <v>GEDUNG UNILAB, Jl. Ciledug Raya No.10, Cipulir</v>
          </cell>
          <cell r="G322" t="b">
            <v>0</v>
          </cell>
          <cell r="H322" t="b">
            <v>0</v>
          </cell>
          <cell r="I322" t="b">
            <v>0</v>
          </cell>
          <cell r="J322" t="b">
            <v>0</v>
          </cell>
          <cell r="K322" t="b">
            <v>0</v>
          </cell>
          <cell r="L322" t="b">
            <v>0</v>
          </cell>
          <cell r="M322" t="b">
            <v>0</v>
          </cell>
          <cell r="N322" t="b">
            <v>0</v>
          </cell>
          <cell r="O322" t="b">
            <v>1</v>
          </cell>
          <cell r="P322" t="b">
            <v>0</v>
          </cell>
          <cell r="Q322" t="b">
            <v>0</v>
          </cell>
          <cell r="R322" t="b">
            <v>0</v>
          </cell>
          <cell r="S322" t="b">
            <v>0</v>
          </cell>
          <cell r="T322" t="b">
            <v>0</v>
          </cell>
          <cell r="U322" t="str">
            <v>NA</v>
          </cell>
          <cell r="V322" t="str">
            <v>Register</v>
          </cell>
          <cell r="W322" t="str">
            <v>ENV - IM</v>
          </cell>
          <cell r="X322" t="str">
            <v>Environment &amp; Compliance - Environmental Impact Monitoring</v>
          </cell>
          <cell r="Y322" t="str">
            <v/>
          </cell>
        </row>
        <row r="323">
          <cell r="B323" t="str">
            <v>Yokogawa Indonesia, PT</v>
          </cell>
          <cell r="C323" t="str">
            <v>muhammad.dava@yokogawa.com</v>
          </cell>
          <cell r="D323" t="str">
            <v>Dava</v>
          </cell>
          <cell r="E323" t="str">
            <v>081119079389</v>
          </cell>
          <cell r="F323" t="str">
            <v>Gedung Plaza Oleos Lantai 3. Unit A-H. Jl TB. Simatupang no 53A. Pasar Minggu . JakSel.</v>
          </cell>
          <cell r="G323" t="str">
            <v>□</v>
          </cell>
          <cell r="H323" t="str">
            <v>□</v>
          </cell>
          <cell r="I323" t="str">
            <v>□</v>
          </cell>
          <cell r="J323" t="str">
            <v>□</v>
          </cell>
          <cell r="K323" t="str">
            <v>□</v>
          </cell>
          <cell r="L323" t="str">
            <v>□</v>
          </cell>
          <cell r="M323" t="str">
            <v>□</v>
          </cell>
          <cell r="N323" t="str">
            <v>□</v>
          </cell>
          <cell r="O323" t="str">
            <v>□</v>
          </cell>
          <cell r="P323" t="str">
            <v>□</v>
          </cell>
          <cell r="Q323" t="str">
            <v>□</v>
          </cell>
          <cell r="R323" t="str">
            <v>□</v>
          </cell>
          <cell r="S323" t="str">
            <v>□</v>
          </cell>
          <cell r="T323" t="str">
            <v>□</v>
          </cell>
          <cell r="U323" t="str">
            <v>A</v>
          </cell>
          <cell r="V323" t="str">
            <v>Register</v>
          </cell>
          <cell r="W323" t="str">
            <v>GT - ME</v>
          </cell>
          <cell r="X323" t="str">
            <v>General Trading - Mechanical</v>
          </cell>
          <cell r="Y323" t="str">
            <v>AD Yokogawa</v>
          </cell>
        </row>
        <row r="324">
          <cell r="B324" t="str">
            <v>Surya Maju Mapan, PT</v>
          </cell>
          <cell r="C324" t="str">
            <v/>
          </cell>
          <cell r="D324" t="str">
            <v/>
          </cell>
          <cell r="E324" t="str">
            <v/>
          </cell>
          <cell r="F324" t="str">
            <v>Perum Griya Alam Sentosa O.3/06. Pasir Angin Cileungsi Bogor. Jawa Barat - 16820</v>
          </cell>
          <cell r="G324" t="str">
            <v>□</v>
          </cell>
          <cell r="H324" t="str">
            <v>□</v>
          </cell>
          <cell r="I324" t="str">
            <v>□</v>
          </cell>
          <cell r="J324" t="str">
            <v>□</v>
          </cell>
          <cell r="K324" t="str">
            <v>□</v>
          </cell>
          <cell r="L324" t="str">
            <v>□</v>
          </cell>
          <cell r="M324" t="str">
            <v>□</v>
          </cell>
          <cell r="N324" t="str">
            <v>□</v>
          </cell>
          <cell r="O324" t="str">
            <v>□</v>
          </cell>
          <cell r="P324" t="str">
            <v>□</v>
          </cell>
          <cell r="Q324" t="str">
            <v>□</v>
          </cell>
          <cell r="R324" t="str">
            <v>□</v>
          </cell>
          <cell r="S324" t="str">
            <v>□</v>
          </cell>
          <cell r="T324" t="str">
            <v>□</v>
          </cell>
          <cell r="U324" t="str">
            <v>NA</v>
          </cell>
          <cell r="V324" t="str">
            <v>No Register</v>
          </cell>
          <cell r="W324" t="str">
            <v/>
          </cell>
          <cell r="Y324" t="str">
            <v/>
          </cell>
        </row>
        <row r="325">
          <cell r="B325" t="str">
            <v>Fajar Mas Murni, PT</v>
          </cell>
          <cell r="C325" t="str">
            <v>armadi@fajarmasmurni.com; balikpapan@fajarmasmurni.com; edi.rahmat@fajarmasmurni.com</v>
          </cell>
          <cell r="D325" t="str">
            <v>Edi</v>
          </cell>
          <cell r="E325" t="str">
            <v>081350502884</v>
          </cell>
          <cell r="F325" t="str">
            <v>Jl. Jend. Sudirman RT.104 No 01. PO BOX 153. Gn. Bahagia. Balikpapan Selatan. Balikpapan. KalTim</v>
          </cell>
          <cell r="G325" t="b">
            <v>1</v>
          </cell>
          <cell r="H325" t="b">
            <v>0</v>
          </cell>
          <cell r="I325" t="b">
            <v>0</v>
          </cell>
          <cell r="J325" t="b">
            <v>0</v>
          </cell>
          <cell r="K325" t="b">
            <v>0</v>
          </cell>
          <cell r="L325" t="b">
            <v>0</v>
          </cell>
          <cell r="M325" t="b">
            <v>0</v>
          </cell>
          <cell r="N325" t="b">
            <v>0</v>
          </cell>
          <cell r="O325" t="b">
            <v>0</v>
          </cell>
          <cell r="P325" t="b">
            <v>0</v>
          </cell>
          <cell r="Q325" t="b">
            <v>0</v>
          </cell>
          <cell r="R325" t="b">
            <v>0</v>
          </cell>
          <cell r="S325" t="b">
            <v>0</v>
          </cell>
          <cell r="T325" t="b">
            <v>0</v>
          </cell>
          <cell r="U325" t="str">
            <v>NA</v>
          </cell>
          <cell r="V325" t="str">
            <v>Register</v>
          </cell>
          <cell r="W325" t="str">
            <v>GT - ME</v>
          </cell>
          <cell r="X325" t="str">
            <v>General Trading - Mechanical</v>
          </cell>
          <cell r="Y325" t="str">
            <v>Mechanical</v>
          </cell>
        </row>
        <row r="326">
          <cell r="B326" t="str">
            <v>Sumber Rezeki Maburai Anto, CV</v>
          </cell>
          <cell r="C326" t="str">
            <v/>
          </cell>
          <cell r="D326" t="str">
            <v/>
          </cell>
          <cell r="E326" t="str">
            <v/>
          </cell>
          <cell r="F326" t="str">
            <v>Jl. Ahmad Yani Km. 11.5, Maburai, Tabalong 71571, Indonesia</v>
          </cell>
          <cell r="G326" t="str">
            <v>□</v>
          </cell>
          <cell r="H326" t="str">
            <v>□</v>
          </cell>
          <cell r="I326" t="str">
            <v>□</v>
          </cell>
          <cell r="J326" t="str">
            <v>□</v>
          </cell>
          <cell r="K326" t="str">
            <v>□</v>
          </cell>
          <cell r="L326" t="str">
            <v>□</v>
          </cell>
          <cell r="M326" t="str">
            <v>□</v>
          </cell>
          <cell r="N326" t="str">
            <v>□</v>
          </cell>
          <cell r="O326" t="str">
            <v>□</v>
          </cell>
          <cell r="P326" t="str">
            <v>□</v>
          </cell>
          <cell r="Q326" t="str">
            <v>□</v>
          </cell>
          <cell r="R326" t="str">
            <v>□</v>
          </cell>
          <cell r="S326" t="str">
            <v>□</v>
          </cell>
          <cell r="T326" t="str">
            <v>□</v>
          </cell>
          <cell r="U326" t="str">
            <v>NA</v>
          </cell>
          <cell r="V326" t="str">
            <v>No Register</v>
          </cell>
          <cell r="W326" t="str">
            <v/>
          </cell>
          <cell r="Y326" t="str">
            <v/>
          </cell>
        </row>
        <row r="327">
          <cell r="B327" t="str">
            <v>Graha Lestari Jaya, PT</v>
          </cell>
          <cell r="C327" t="str">
            <v/>
          </cell>
          <cell r="D327" t="str">
            <v/>
          </cell>
          <cell r="E327" t="str">
            <v/>
          </cell>
          <cell r="F327" t="str">
            <v>Jl. A Yani km. 32. 5 RT013 RW006. Kel. Loktabat Utara Kec Banjarbaru. Banjarbaru Utara</v>
          </cell>
          <cell r="G327" t="str">
            <v>□</v>
          </cell>
          <cell r="H327" t="str">
            <v>□</v>
          </cell>
          <cell r="I327" t="str">
            <v>□</v>
          </cell>
          <cell r="J327" t="str">
            <v>□</v>
          </cell>
          <cell r="K327" t="str">
            <v>□</v>
          </cell>
          <cell r="L327" t="str">
            <v>□</v>
          </cell>
          <cell r="M327" t="str">
            <v>□</v>
          </cell>
          <cell r="N327" t="str">
            <v>□</v>
          </cell>
          <cell r="O327" t="str">
            <v>□</v>
          </cell>
          <cell r="P327" t="str">
            <v>□</v>
          </cell>
          <cell r="Q327" t="str">
            <v>□</v>
          </cell>
          <cell r="R327" t="str">
            <v>□</v>
          </cell>
          <cell r="S327" t="str">
            <v>□</v>
          </cell>
          <cell r="T327" t="str">
            <v>□</v>
          </cell>
          <cell r="U327" t="str">
            <v>NA</v>
          </cell>
          <cell r="V327" t="str">
            <v>No Register</v>
          </cell>
          <cell r="W327" t="str">
            <v/>
          </cell>
          <cell r="Y327" t="str">
            <v/>
          </cell>
        </row>
        <row r="328">
          <cell r="B328" t="str">
            <v>Now Indonesia, PT</v>
          </cell>
          <cell r="C328" t="str">
            <v>Novarna.Salim@dnov.com</v>
          </cell>
          <cell r="D328" t="str">
            <v/>
          </cell>
          <cell r="F328" t="str">
            <v>Jl. Sultan iskandar Muda - Kebayoran, Jakarta Selatan 12240
Jakarta Selatan</v>
          </cell>
          <cell r="G328" t="str">
            <v>□</v>
          </cell>
          <cell r="H328" t="str">
            <v>□</v>
          </cell>
          <cell r="I328" t="str">
            <v>□</v>
          </cell>
          <cell r="J328" t="str">
            <v>□</v>
          </cell>
          <cell r="K328" t="str">
            <v>□</v>
          </cell>
          <cell r="L328" t="str">
            <v>□</v>
          </cell>
          <cell r="M328" t="str">
            <v>□</v>
          </cell>
          <cell r="N328" t="str">
            <v>□</v>
          </cell>
          <cell r="O328" t="str">
            <v>□</v>
          </cell>
          <cell r="P328" t="str">
            <v>□</v>
          </cell>
          <cell r="Q328" t="str">
            <v>□</v>
          </cell>
          <cell r="R328" t="str">
            <v>□</v>
          </cell>
          <cell r="S328" t="str">
            <v>□</v>
          </cell>
          <cell r="T328" t="str">
            <v>□</v>
          </cell>
          <cell r="U328" t="str">
            <v>NA</v>
          </cell>
          <cell r="V328" t="str">
            <v>No Register</v>
          </cell>
          <cell r="W328" t="str">
            <v/>
          </cell>
          <cell r="Y328" t="str">
            <v/>
          </cell>
        </row>
        <row r="329">
          <cell r="B329" t="str">
            <v>Kwarsa Hexagon, PT</v>
          </cell>
          <cell r="C329" t="str">
            <v>prim-h@kwarsahexagon.co.id; edfar@kwarsahexagon.co.id; olin@kwarsahexagon.co.id; pricilla@kwarsahexagon.co.id; bandung@kwarsahexagon.co.id</v>
          </cell>
          <cell r="D329" t="str">
            <v>Pricilla</v>
          </cell>
          <cell r="E329" t="str">
            <v>083829891207</v>
          </cell>
          <cell r="G329" t="str">
            <v>□</v>
          </cell>
          <cell r="H329" t="str">
            <v>□</v>
          </cell>
          <cell r="I329" t="str">
            <v>□</v>
          </cell>
          <cell r="J329" t="str">
            <v>□</v>
          </cell>
          <cell r="K329" t="str">
            <v>□</v>
          </cell>
          <cell r="L329" t="str">
            <v>□</v>
          </cell>
          <cell r="M329" t="str">
            <v>□</v>
          </cell>
          <cell r="N329" t="str">
            <v>□</v>
          </cell>
          <cell r="O329" t="str">
            <v>□</v>
          </cell>
          <cell r="P329" t="str">
            <v>□</v>
          </cell>
          <cell r="Q329" t="str">
            <v>□</v>
          </cell>
          <cell r="R329" t="str">
            <v>□</v>
          </cell>
          <cell r="S329" t="str">
            <v>□</v>
          </cell>
          <cell r="T329" t="str">
            <v>□</v>
          </cell>
          <cell r="U329" t="str">
            <v>NA</v>
          </cell>
          <cell r="V329" t="str">
            <v>Register</v>
          </cell>
          <cell r="W329" t="str">
            <v>ENV - AC</v>
          </cell>
          <cell r="X329" t="str">
            <v>Environment &amp; Compliance - AMDAL / UKL-UPL Consultant</v>
          </cell>
          <cell r="Y329" t="str">
            <v/>
          </cell>
        </row>
        <row r="330">
          <cell r="B330" t="str">
            <v>Power System Indonesia, PT</v>
          </cell>
          <cell r="C330" t="str">
            <v>aliefatina@gmail.com</v>
          </cell>
          <cell r="D330" t="str">
            <v>Mida Sri Lestari; Alif</v>
          </cell>
          <cell r="E330" t="str">
            <v>082225236250</v>
          </cell>
          <cell r="G330" t="str">
            <v>□</v>
          </cell>
          <cell r="H330" t="str">
            <v>□</v>
          </cell>
          <cell r="I330" t="str">
            <v>□</v>
          </cell>
          <cell r="J330" t="str">
            <v>□</v>
          </cell>
          <cell r="K330" t="str">
            <v>□</v>
          </cell>
          <cell r="L330" t="str">
            <v>□</v>
          </cell>
          <cell r="M330" t="str">
            <v>□</v>
          </cell>
          <cell r="N330" t="str">
            <v>□</v>
          </cell>
          <cell r="O330" t="str">
            <v>□</v>
          </cell>
          <cell r="P330" t="str">
            <v>□</v>
          </cell>
          <cell r="Q330" t="str">
            <v>□</v>
          </cell>
          <cell r="R330" t="str">
            <v>□</v>
          </cell>
          <cell r="S330" t="str">
            <v>□</v>
          </cell>
          <cell r="T330" t="str">
            <v>□</v>
          </cell>
          <cell r="U330" t="str">
            <v>NA</v>
          </cell>
          <cell r="V330" t="str">
            <v>No Register</v>
          </cell>
          <cell r="W330" t="str">
            <v/>
          </cell>
          <cell r="Y330" t="str">
            <v/>
          </cell>
        </row>
        <row r="331">
          <cell r="B331" t="str">
            <v>Filtras Indonesia, PT</v>
          </cell>
          <cell r="C331" t="str">
            <v/>
          </cell>
          <cell r="D331" t="str">
            <v/>
          </cell>
          <cell r="E331" t="str">
            <v/>
          </cell>
          <cell r="G331" t="str">
            <v>□</v>
          </cell>
          <cell r="H331" t="str">
            <v>□</v>
          </cell>
          <cell r="I331" t="str">
            <v>□</v>
          </cell>
          <cell r="J331" t="str">
            <v>□</v>
          </cell>
          <cell r="K331" t="str">
            <v>□</v>
          </cell>
          <cell r="L331" t="str">
            <v>□</v>
          </cell>
          <cell r="M331" t="str">
            <v>□</v>
          </cell>
          <cell r="N331" t="str">
            <v>□</v>
          </cell>
          <cell r="O331" t="str">
            <v>□</v>
          </cell>
          <cell r="P331" t="str">
            <v>□</v>
          </cell>
          <cell r="Q331" t="str">
            <v>□</v>
          </cell>
          <cell r="R331" t="str">
            <v>□</v>
          </cell>
          <cell r="S331" t="str">
            <v>□</v>
          </cell>
          <cell r="T331" t="str">
            <v>□</v>
          </cell>
          <cell r="U331" t="str">
            <v>NA</v>
          </cell>
          <cell r="V331" t="str">
            <v>No Register</v>
          </cell>
          <cell r="W331" t="str">
            <v/>
          </cell>
          <cell r="Y331" t="str">
            <v/>
          </cell>
        </row>
        <row r="332">
          <cell r="B332" t="str">
            <v>Inesev, PT</v>
          </cell>
          <cell r="C332" t="str">
            <v>zuliendy@vistari.com</v>
          </cell>
          <cell r="D332" t="str">
            <v>Zuliendy Zulfan</v>
          </cell>
          <cell r="E332" t="str">
            <v>083899750007</v>
          </cell>
          <cell r="F332" t="str">
            <v>Jl. Serayu no.1, RT 003 RW 001, Cideng, Gambir</v>
          </cell>
          <cell r="G332" t="b">
            <v>0</v>
          </cell>
          <cell r="H332" t="b">
            <v>0</v>
          </cell>
          <cell r="I332" t="b">
            <v>0</v>
          </cell>
          <cell r="J332" t="b">
            <v>0</v>
          </cell>
          <cell r="K332" t="b">
            <v>0</v>
          </cell>
          <cell r="L332" t="b">
            <v>0</v>
          </cell>
          <cell r="M332" t="b">
            <v>0</v>
          </cell>
          <cell r="N332" t="b">
            <v>0</v>
          </cell>
          <cell r="O332" t="b">
            <v>0</v>
          </cell>
          <cell r="P332" t="b">
            <v>0</v>
          </cell>
          <cell r="Q332" t="b">
            <v>1</v>
          </cell>
          <cell r="R332" t="b">
            <v>0</v>
          </cell>
          <cell r="S332" t="b">
            <v>0</v>
          </cell>
          <cell r="T332" t="b">
            <v>0</v>
          </cell>
          <cell r="U332" t="str">
            <v>NA</v>
          </cell>
          <cell r="V332" t="str">
            <v>Register</v>
          </cell>
          <cell r="W332" t="str">
            <v>GT - OF</v>
          </cell>
          <cell r="X332" t="str">
            <v>General Trading - Office Supplies</v>
          </cell>
          <cell r="Y332" t="str">
            <v>Printing</v>
          </cell>
        </row>
        <row r="333">
          <cell r="B333" t="str">
            <v>Pacific Dwiyasa Putra, PT</v>
          </cell>
          <cell r="C333" t="str">
            <v>anang.wahyu@pdppaint.com; carlo@pdppaint.com; s.sutomo@pdppaint.com; sjamsul.sutomo@pdppaint.com; feni@pdppaint.com</v>
          </cell>
          <cell r="D333" t="str">
            <v>Anang</v>
          </cell>
          <cell r="E333" t="str">
            <v>08119919778</v>
          </cell>
          <cell r="F333" t="str">
            <v>Menara Satu Sentra Kelapa Gading 7th Floor Unit 706A Jl. Boulevard Raya LA 3 No. 1
Jakarta Utara</v>
          </cell>
          <cell r="G333" t="b">
            <v>0</v>
          </cell>
          <cell r="H333" t="b">
            <v>0</v>
          </cell>
          <cell r="I333" t="b">
            <v>0</v>
          </cell>
          <cell r="J333" t="b">
            <v>0</v>
          </cell>
          <cell r="K333" t="b">
            <v>0</v>
          </cell>
          <cell r="L333" t="b">
            <v>0</v>
          </cell>
          <cell r="M333" t="b">
            <v>0</v>
          </cell>
          <cell r="N333" t="b">
            <v>1</v>
          </cell>
          <cell r="O333" t="b">
            <v>0</v>
          </cell>
          <cell r="P333" t="b">
            <v>0</v>
          </cell>
          <cell r="Q333" t="b">
            <v>0</v>
          </cell>
          <cell r="R333" t="b">
            <v>0</v>
          </cell>
          <cell r="S333" t="b">
            <v>0</v>
          </cell>
          <cell r="T333" t="b">
            <v>0</v>
          </cell>
          <cell r="U333" t="str">
            <v>NA</v>
          </cell>
          <cell r="V333" t="str">
            <v>Register</v>
          </cell>
          <cell r="W333" t="str">
            <v/>
          </cell>
          <cell r="X333" t="str">
            <v>Service Jasa - Mechanical
Service Jasa - Maintenance</v>
          </cell>
          <cell r="Y333" t="str">
            <v/>
          </cell>
        </row>
        <row r="334">
          <cell r="B334" t="str">
            <v>Smart Solusindo, PT</v>
          </cell>
          <cell r="C334" t="str">
            <v>sari.nainggolan@yahoo.com</v>
          </cell>
          <cell r="D334" t="str">
            <v>Sari Nainggolan</v>
          </cell>
          <cell r="E334" t="str">
            <v>081316602619</v>
          </cell>
          <cell r="F334" t="str">
            <v>Jl. P Jayakarta 135 Block. C-2 RT.007/RW.010Kel. Mangga Dua Selatan Kec. Sawah Besar. Jak-Pus</v>
          </cell>
          <cell r="G334" t="b">
            <v>0</v>
          </cell>
          <cell r="H334" t="b">
            <v>0</v>
          </cell>
          <cell r="I334" t="b">
            <v>0</v>
          </cell>
          <cell r="J334" t="b">
            <v>0</v>
          </cell>
          <cell r="K334" t="b">
            <v>0</v>
          </cell>
          <cell r="L334" t="b">
            <v>0</v>
          </cell>
          <cell r="M334" t="b">
            <v>0</v>
          </cell>
          <cell r="N334" t="b">
            <v>0</v>
          </cell>
          <cell r="O334" t="b">
            <v>0</v>
          </cell>
          <cell r="P334" t="b">
            <v>0</v>
          </cell>
          <cell r="Q334" t="b">
            <v>0</v>
          </cell>
          <cell r="R334" t="b">
            <v>0</v>
          </cell>
          <cell r="S334" t="b">
            <v>0</v>
          </cell>
          <cell r="T334" t="b">
            <v>0</v>
          </cell>
          <cell r="U334" t="str">
            <v>NA</v>
          </cell>
          <cell r="V334" t="str">
            <v>No Register</v>
          </cell>
          <cell r="W334" t="str">
            <v/>
          </cell>
          <cell r="Y334" t="str">
            <v/>
          </cell>
        </row>
        <row r="335">
          <cell r="B335" t="str">
            <v>Tabalong Putra Persada, CV</v>
          </cell>
          <cell r="C335" t="str">
            <v>tabalongputrapersada@yahoo.co.id</v>
          </cell>
          <cell r="D335" t="str">
            <v>Achmad Gusairi</v>
          </cell>
          <cell r="E335" t="str">
            <v>0811559111</v>
          </cell>
          <cell r="F335" t="str">
            <v>Jl. Cempaka D3. No 55A. Komperta. Murung Pudak. Tabalong. KalSel</v>
          </cell>
          <cell r="G335" t="b">
            <v>0</v>
          </cell>
          <cell r="H335" t="b">
            <v>0</v>
          </cell>
          <cell r="I335" t="b">
            <v>0</v>
          </cell>
          <cell r="J335" t="b">
            <v>0</v>
          </cell>
          <cell r="K335" t="b">
            <v>0</v>
          </cell>
          <cell r="L335" t="b">
            <v>0</v>
          </cell>
          <cell r="M335" t="b">
            <v>0</v>
          </cell>
          <cell r="N335" t="b">
            <v>1</v>
          </cell>
          <cell r="O335" t="b">
            <v>0</v>
          </cell>
          <cell r="P335" t="b">
            <v>0</v>
          </cell>
          <cell r="Q335" t="b">
            <v>0</v>
          </cell>
          <cell r="R335" t="b">
            <v>0</v>
          </cell>
          <cell r="S335" t="b">
            <v>0</v>
          </cell>
          <cell r="T335" t="b">
            <v>0</v>
          </cell>
          <cell r="U335" t="str">
            <v>NA</v>
          </cell>
          <cell r="V335" t="str">
            <v>Register</v>
          </cell>
          <cell r="W335" t="str">
            <v>TR - CR</v>
          </cell>
          <cell r="X335" t="str">
            <v>Transportation - Car Rental</v>
          </cell>
          <cell r="Y335" t="str">
            <v>Rental Mobil</v>
          </cell>
        </row>
        <row r="336">
          <cell r="B336" t="str">
            <v>Nugraha, CV</v>
          </cell>
          <cell r="C336" t="str">
            <v>fresy.widianti@yahoo.com</v>
          </cell>
          <cell r="D336" t="str">
            <v>Fresy Widianti</v>
          </cell>
          <cell r="E336" t="str">
            <v>0811553357</v>
          </cell>
          <cell r="F336" t="str">
            <v>Jl Flamboyan Dalam Perum Griya Persada Asri Blok C No 2. Tabalong - 71571</v>
          </cell>
          <cell r="G336" t="str">
            <v>□</v>
          </cell>
          <cell r="H336" t="str">
            <v>□</v>
          </cell>
          <cell r="I336" t="str">
            <v>□</v>
          </cell>
          <cell r="J336" t="str">
            <v>□</v>
          </cell>
          <cell r="K336" t="str">
            <v>□</v>
          </cell>
          <cell r="L336" t="str">
            <v>□</v>
          </cell>
          <cell r="M336" t="str">
            <v>□</v>
          </cell>
          <cell r="N336" t="str">
            <v>□</v>
          </cell>
          <cell r="O336" t="str">
            <v>□</v>
          </cell>
          <cell r="P336" t="str">
            <v>□</v>
          </cell>
          <cell r="Q336" t="str">
            <v>□</v>
          </cell>
          <cell r="R336" t="str">
            <v>□</v>
          </cell>
          <cell r="S336" t="str">
            <v>□</v>
          </cell>
          <cell r="T336" t="str">
            <v>□</v>
          </cell>
          <cell r="U336" t="str">
            <v>NA</v>
          </cell>
          <cell r="V336" t="str">
            <v>No Register</v>
          </cell>
          <cell r="W336" t="str">
            <v/>
          </cell>
          <cell r="Y336" t="str">
            <v/>
          </cell>
        </row>
        <row r="337">
          <cell r="B337" t="str">
            <v>Tritama Mitra Lestari, PT</v>
          </cell>
          <cell r="C337" t="str">
            <v>daffaghifari@tmlenergy.co.id</v>
          </cell>
          <cell r="D337" t="str">
            <v>Daffa</v>
          </cell>
          <cell r="E337" t="str">
            <v>085156349392</v>
          </cell>
          <cell r="F337" t="str">
            <v>Jl. Soekarni Hatta No. 541C. Bandung - 40275</v>
          </cell>
          <cell r="G337" t="b">
            <v>0</v>
          </cell>
          <cell r="H337" t="b">
            <v>0</v>
          </cell>
          <cell r="I337" t="b">
            <v>0</v>
          </cell>
          <cell r="J337" t="b">
            <v>0</v>
          </cell>
          <cell r="K337" t="b">
            <v>0</v>
          </cell>
          <cell r="L337" t="b">
            <v>0</v>
          </cell>
          <cell r="M337" t="b">
            <v>0</v>
          </cell>
          <cell r="N337" t="b">
            <v>1</v>
          </cell>
          <cell r="O337" t="b">
            <v>0</v>
          </cell>
          <cell r="P337" t="b">
            <v>0</v>
          </cell>
          <cell r="Q337" t="b">
            <v>0</v>
          </cell>
          <cell r="R337" t="b">
            <v>0</v>
          </cell>
          <cell r="S337" t="b">
            <v>0</v>
          </cell>
          <cell r="T337" t="b">
            <v>0</v>
          </cell>
          <cell r="U337" t="str">
            <v>NA</v>
          </cell>
          <cell r="V337" t="str">
            <v>Register</v>
          </cell>
          <cell r="W337" t="str">
            <v/>
          </cell>
          <cell r="X337" t="str">
            <v>Service Jasa - Electrical
Service Jasa - Maintenance</v>
          </cell>
          <cell r="Y337" t="str">
            <v/>
          </cell>
        </row>
        <row r="338">
          <cell r="B338" t="str">
            <v>Borneo Ground, CV</v>
          </cell>
          <cell r="C338" t="str">
            <v>borneoground@gmail.com</v>
          </cell>
          <cell r="D338" t="str">
            <v xml:space="preserve">Henry </v>
          </cell>
          <cell r="F338" t="str">
            <v>Komplek Beringin Blok Nangka No. 78 Kel. Sungai Besar. Banjar Baru - 70714</v>
          </cell>
          <cell r="G338" t="str">
            <v>□</v>
          </cell>
          <cell r="H338" t="str">
            <v>□</v>
          </cell>
          <cell r="I338" t="str">
            <v>□</v>
          </cell>
          <cell r="J338" t="str">
            <v>□</v>
          </cell>
          <cell r="K338" t="str">
            <v>□</v>
          </cell>
          <cell r="L338" t="str">
            <v>□</v>
          </cell>
          <cell r="M338" t="str">
            <v>□</v>
          </cell>
          <cell r="N338" t="str">
            <v>□</v>
          </cell>
          <cell r="O338" t="str">
            <v>□</v>
          </cell>
          <cell r="P338" t="str">
            <v>□</v>
          </cell>
          <cell r="Q338" t="str">
            <v>□</v>
          </cell>
          <cell r="R338" t="str">
            <v>□</v>
          </cell>
          <cell r="S338" t="str">
            <v>□</v>
          </cell>
          <cell r="T338" t="str">
            <v>□</v>
          </cell>
          <cell r="U338" t="str">
            <v>NA</v>
          </cell>
          <cell r="V338" t="str">
            <v>No Register</v>
          </cell>
          <cell r="W338" t="str">
            <v/>
          </cell>
          <cell r="Y338" t="str">
            <v/>
          </cell>
        </row>
        <row r="339">
          <cell r="B339" t="str">
            <v>Amri Niaga Utama, PT</v>
          </cell>
          <cell r="C339" t="str">
            <v/>
          </cell>
          <cell r="D339" t="str">
            <v/>
          </cell>
          <cell r="E339" t="str">
            <v/>
          </cell>
          <cell r="F339" t="str">
            <v>Jl. MT Haryono Kav. 49 Jakarta</v>
          </cell>
          <cell r="G339" t="str">
            <v>□</v>
          </cell>
          <cell r="H339" t="str">
            <v>□</v>
          </cell>
          <cell r="I339" t="str">
            <v>□</v>
          </cell>
          <cell r="J339" t="str">
            <v>□</v>
          </cell>
          <cell r="K339" t="str">
            <v>□</v>
          </cell>
          <cell r="L339" t="str">
            <v>□</v>
          </cell>
          <cell r="M339" t="str">
            <v>□</v>
          </cell>
          <cell r="N339" t="str">
            <v>□</v>
          </cell>
          <cell r="O339" t="str">
            <v>□</v>
          </cell>
          <cell r="P339" t="str">
            <v>□</v>
          </cell>
          <cell r="Q339" t="str">
            <v>□</v>
          </cell>
          <cell r="R339" t="str">
            <v>□</v>
          </cell>
          <cell r="S339" t="str">
            <v>□</v>
          </cell>
          <cell r="T339" t="str">
            <v>□</v>
          </cell>
          <cell r="U339" t="str">
            <v>NA</v>
          </cell>
          <cell r="V339" t="str">
            <v>No Register</v>
          </cell>
          <cell r="W339" t="str">
            <v/>
          </cell>
          <cell r="Y339" t="str">
            <v/>
          </cell>
        </row>
        <row r="340">
          <cell r="B340" t="str">
            <v>Intraparr Nusantara, PT</v>
          </cell>
          <cell r="C340" t="str">
            <v>intraparr@cbn.net.id; intraparr.nusantara@gmail.com</v>
          </cell>
          <cell r="D340" t="str">
            <v>Endang W</v>
          </cell>
          <cell r="E340" t="str">
            <v>081310624880</v>
          </cell>
          <cell r="F340" t="str">
            <v>Jl. Letjend Suprapto 160 Blok A6. Cempaka Baru. Kemayoran. JakPus - 10640</v>
          </cell>
          <cell r="G340" t="b">
            <v>0</v>
          </cell>
          <cell r="H340" t="b">
            <v>0</v>
          </cell>
          <cell r="I340" t="b">
            <v>0</v>
          </cell>
          <cell r="J340" t="b">
            <v>1</v>
          </cell>
          <cell r="K340" t="b">
            <v>0</v>
          </cell>
          <cell r="L340" t="b">
            <v>0</v>
          </cell>
          <cell r="M340" t="b">
            <v>0</v>
          </cell>
          <cell r="N340" t="b">
            <v>0</v>
          </cell>
          <cell r="O340" t="b">
            <v>0</v>
          </cell>
          <cell r="P340" t="b">
            <v>0</v>
          </cell>
          <cell r="Q340" t="b">
            <v>0</v>
          </cell>
          <cell r="R340" t="b">
            <v>0</v>
          </cell>
          <cell r="S340" t="b">
            <v>0</v>
          </cell>
          <cell r="T340" t="b">
            <v>0</v>
          </cell>
          <cell r="U340" t="str">
            <v>A</v>
          </cell>
          <cell r="V340" t="str">
            <v>Register</v>
          </cell>
          <cell r="W340" t="str">
            <v>GT - CHE</v>
          </cell>
          <cell r="X340" t="str">
            <v>General Trading - Chemical</v>
          </cell>
          <cell r="Y340" t="str">
            <v>Chemical</v>
          </cell>
        </row>
        <row r="341">
          <cell r="B341" t="str">
            <v>Sumber Berkah Lestari, CV</v>
          </cell>
          <cell r="C341" t="str">
            <v/>
          </cell>
          <cell r="D341" t="str">
            <v>Indra Damanik</v>
          </cell>
          <cell r="E341" t="str">
            <v/>
          </cell>
          <cell r="F341" t="str">
            <v>Komplek Dwina Indah Blok</v>
          </cell>
          <cell r="G341" t="str">
            <v>□</v>
          </cell>
          <cell r="H341" t="str">
            <v>□</v>
          </cell>
          <cell r="I341" t="str">
            <v>□</v>
          </cell>
          <cell r="J341" t="str">
            <v>□</v>
          </cell>
          <cell r="K341" t="str">
            <v>□</v>
          </cell>
          <cell r="L341" t="str">
            <v>□</v>
          </cell>
          <cell r="M341" t="str">
            <v>□</v>
          </cell>
          <cell r="N341" t="str">
            <v>□</v>
          </cell>
          <cell r="O341" t="str">
            <v>□</v>
          </cell>
          <cell r="P341" t="str">
            <v>□</v>
          </cell>
          <cell r="Q341" t="str">
            <v>□</v>
          </cell>
          <cell r="R341" t="str">
            <v>□</v>
          </cell>
          <cell r="S341" t="str">
            <v>□</v>
          </cell>
          <cell r="T341" t="str">
            <v>□</v>
          </cell>
          <cell r="U341" t="str">
            <v>NA</v>
          </cell>
          <cell r="V341" t="str">
            <v>No Register</v>
          </cell>
          <cell r="W341" t="str">
            <v/>
          </cell>
          <cell r="Y341" t="str">
            <v/>
          </cell>
        </row>
        <row r="342">
          <cell r="B342" t="str">
            <v>AF Consult Ltd</v>
          </cell>
          <cell r="C342" t="str">
            <v/>
          </cell>
          <cell r="D342" t="str">
            <v/>
          </cell>
          <cell r="E342" t="str">
            <v/>
          </cell>
          <cell r="F342" t="str">
            <v>Bertel Jungin Aukio 9. Espoo. Finland - 0260</v>
          </cell>
          <cell r="G342" t="str">
            <v>□</v>
          </cell>
          <cell r="H342" t="str">
            <v>□</v>
          </cell>
          <cell r="I342" t="str">
            <v>□</v>
          </cell>
          <cell r="J342" t="str">
            <v>□</v>
          </cell>
          <cell r="K342" t="str">
            <v>□</v>
          </cell>
          <cell r="L342" t="str">
            <v>□</v>
          </cell>
          <cell r="M342" t="str">
            <v>□</v>
          </cell>
          <cell r="N342" t="str">
            <v>□</v>
          </cell>
          <cell r="O342" t="str">
            <v>□</v>
          </cell>
          <cell r="P342" t="str">
            <v>□</v>
          </cell>
          <cell r="Q342" t="str">
            <v>□</v>
          </cell>
          <cell r="R342" t="str">
            <v>□</v>
          </cell>
          <cell r="S342" t="str">
            <v>□</v>
          </cell>
          <cell r="T342" t="str">
            <v>□</v>
          </cell>
          <cell r="U342" t="str">
            <v>NA</v>
          </cell>
          <cell r="V342" t="str">
            <v>No Register</v>
          </cell>
          <cell r="W342" t="str">
            <v/>
          </cell>
          <cell r="Y342" t="str">
            <v/>
          </cell>
        </row>
        <row r="343">
          <cell r="B343" t="str">
            <v>Agon Pacific Co., Ltd</v>
          </cell>
          <cell r="C343" t="str">
            <v/>
          </cell>
          <cell r="D343" t="str">
            <v/>
          </cell>
          <cell r="E343" t="str">
            <v/>
          </cell>
          <cell r="F343" t="str">
            <v>No. 50, GMM Grammy Place, 25th Floor, Unit 2505, Soi Sukhumvit 21 (Asoke)., Khlongtoei Nua, Wattana,  Bangkok 10110, Thailand</v>
          </cell>
          <cell r="G343" t="b">
            <v>0</v>
          </cell>
          <cell r="H343" t="b">
            <v>0</v>
          </cell>
          <cell r="I343" t="b">
            <v>0</v>
          </cell>
          <cell r="J343" t="b">
            <v>0</v>
          </cell>
          <cell r="K343" t="b">
            <v>0</v>
          </cell>
          <cell r="L343" t="b">
            <v>0</v>
          </cell>
          <cell r="M343" t="b">
            <v>0</v>
          </cell>
          <cell r="N343" t="b">
            <v>0</v>
          </cell>
          <cell r="O343" t="b">
            <v>1</v>
          </cell>
          <cell r="P343" t="b">
            <v>0</v>
          </cell>
          <cell r="Q343" t="b">
            <v>0</v>
          </cell>
          <cell r="R343" t="b">
            <v>0</v>
          </cell>
          <cell r="S343" t="b">
            <v>0</v>
          </cell>
          <cell r="T343" t="b">
            <v>0</v>
          </cell>
          <cell r="U343" t="str">
            <v>NA</v>
          </cell>
          <cell r="V343" t="str">
            <v>Register</v>
          </cell>
          <cell r="W343" t="str">
            <v>PR - CS</v>
          </cell>
          <cell r="X343" t="str">
            <v>Professional Services - Consulting
Service Jasa - Maintenance</v>
          </cell>
          <cell r="Y343" t="str">
            <v>Boiler service, boiler pressure parts fabrication, engineering, installation, maintenance, retrofit/modification.</v>
          </cell>
        </row>
        <row r="344">
          <cell r="B344" t="str">
            <v>Kin Kitra Kencana, PT</v>
          </cell>
          <cell r="C344" t="str">
            <v>ptkinkitrakencana@gmail.com; teguhkin999@gmail.com</v>
          </cell>
          <cell r="D344" t="str">
            <v>Teguh; Ana</v>
          </cell>
          <cell r="E344" t="str">
            <v>081384982727; 08111623919</v>
          </cell>
          <cell r="F344" t="str">
            <v>Ruko De'Minimalis No. 5 Lt.3 Jl Raya Jatimulya. RT 05 RW 06. Kel. Jatimulya. Kec. Tambun Selatan</v>
          </cell>
          <cell r="G344" t="b">
            <v>1</v>
          </cell>
          <cell r="H344" t="b">
            <v>0</v>
          </cell>
          <cell r="I344" t="b">
            <v>1</v>
          </cell>
          <cell r="J344" t="b">
            <v>0</v>
          </cell>
          <cell r="K344" t="b">
            <v>0</v>
          </cell>
          <cell r="L344" t="b">
            <v>0</v>
          </cell>
          <cell r="M344" t="b">
            <v>0</v>
          </cell>
          <cell r="N344" t="b">
            <v>0</v>
          </cell>
          <cell r="O344" t="b">
            <v>0</v>
          </cell>
          <cell r="P344" t="b">
            <v>0</v>
          </cell>
          <cell r="Q344" t="b">
            <v>0</v>
          </cell>
          <cell r="R344" t="b">
            <v>0</v>
          </cell>
          <cell r="S344" t="b">
            <v>1</v>
          </cell>
          <cell r="T344" t="b">
            <v>0</v>
          </cell>
          <cell r="U344" t="str">
            <v>A</v>
          </cell>
          <cell r="V344" t="str">
            <v>Register</v>
          </cell>
          <cell r="W344" t="str">
            <v>GT - ME</v>
          </cell>
          <cell r="X344" t="str">
            <v>General Trading - Mechanical
General Trading - Elektrical</v>
          </cell>
          <cell r="Y344" t="str">
            <v>General Trading, 
D Forbes
D ABB</v>
          </cell>
        </row>
        <row r="345">
          <cell r="B345" t="str">
            <v>Citra Van Titipan Kilat, PT</v>
          </cell>
          <cell r="C345" t="str">
            <v/>
          </cell>
          <cell r="D345" t="str">
            <v/>
          </cell>
          <cell r="E345" t="str">
            <v/>
          </cell>
          <cell r="F345" t="str">
            <v>Jl. R. Saleh Raya No. 2. JakPus.</v>
          </cell>
          <cell r="G345" t="b">
            <v>0</v>
          </cell>
          <cell r="H345" t="b">
            <v>0</v>
          </cell>
          <cell r="I345" t="b">
            <v>0</v>
          </cell>
          <cell r="J345" t="b">
            <v>0</v>
          </cell>
          <cell r="K345" t="b">
            <v>0</v>
          </cell>
          <cell r="L345" t="b">
            <v>0</v>
          </cell>
          <cell r="M345" t="b">
            <v>0</v>
          </cell>
          <cell r="N345" t="b">
            <v>0</v>
          </cell>
          <cell r="O345" t="b">
            <v>0</v>
          </cell>
          <cell r="P345" t="b">
            <v>0</v>
          </cell>
          <cell r="Q345" t="b">
            <v>0</v>
          </cell>
          <cell r="R345" t="b">
            <v>0</v>
          </cell>
          <cell r="S345" t="b">
            <v>1</v>
          </cell>
          <cell r="T345" t="b">
            <v>0</v>
          </cell>
          <cell r="U345" t="str">
            <v>NA</v>
          </cell>
          <cell r="V345" t="str">
            <v>Register</v>
          </cell>
          <cell r="W345" t="str">
            <v>KR - DO
KR - EX</v>
          </cell>
          <cell r="X345" t="str">
            <v>Courier - Document Courier
Courier - Express Courier</v>
          </cell>
          <cell r="Y345" t="str">
            <v/>
          </cell>
        </row>
        <row r="346">
          <cell r="B346" t="str">
            <v>Bambang Djaja, PT</v>
          </cell>
          <cell r="C346" t="str">
            <v>vita@bambangdjaja.com; winda@bambangdjaja.com; alexander@bambangdjaja.com</v>
          </cell>
          <cell r="D346" t="str">
            <v>Vita</v>
          </cell>
          <cell r="E346" t="str">
            <v>031-8438703</v>
          </cell>
          <cell r="F346" t="str">
            <v>Jl. Rungkut Industri III No. 56. Surabaya - 60293.</v>
          </cell>
          <cell r="G346" t="b">
            <v>0</v>
          </cell>
          <cell r="H346" t="b">
            <v>1</v>
          </cell>
          <cell r="I346" t="b">
            <v>0</v>
          </cell>
          <cell r="J346" t="b">
            <v>0</v>
          </cell>
          <cell r="K346" t="b">
            <v>0</v>
          </cell>
          <cell r="L346" t="b">
            <v>0</v>
          </cell>
          <cell r="M346" t="b">
            <v>0</v>
          </cell>
          <cell r="N346" t="b">
            <v>0</v>
          </cell>
          <cell r="O346" t="b">
            <v>0</v>
          </cell>
          <cell r="P346" t="b">
            <v>0</v>
          </cell>
          <cell r="Q346" t="b">
            <v>0</v>
          </cell>
          <cell r="R346" t="b">
            <v>0</v>
          </cell>
          <cell r="S346" t="b">
            <v>0</v>
          </cell>
          <cell r="T346" t="b">
            <v>0</v>
          </cell>
          <cell r="U346" t="str">
            <v>NA</v>
          </cell>
          <cell r="V346" t="str">
            <v>No Register</v>
          </cell>
          <cell r="W346" t="str">
            <v/>
          </cell>
          <cell r="Y346" t="str">
            <v>Electrical</v>
          </cell>
        </row>
        <row r="347">
          <cell r="B347" t="str">
            <v>Hydromart Utama Indonesia, PT</v>
          </cell>
          <cell r="C347" t="str">
            <v>stella@hydromart.co.id</v>
          </cell>
          <cell r="D347" t="str">
            <v>Stella</v>
          </cell>
          <cell r="E347" t="str">
            <v>081345219404</v>
          </cell>
          <cell r="F347" t="str">
            <v>Jl. Kyai Caringin Kav. 29
Jakarta   Indonesia</v>
          </cell>
          <cell r="G347" t="str">
            <v>□</v>
          </cell>
          <cell r="H347" t="str">
            <v>□</v>
          </cell>
          <cell r="I347" t="str">
            <v>□</v>
          </cell>
          <cell r="J347" t="str">
            <v>□</v>
          </cell>
          <cell r="K347" t="str">
            <v>□</v>
          </cell>
          <cell r="L347" t="str">
            <v>□</v>
          </cell>
          <cell r="M347" t="str">
            <v>□</v>
          </cell>
          <cell r="N347" t="str">
            <v>□</v>
          </cell>
          <cell r="O347" t="str">
            <v>□</v>
          </cell>
          <cell r="P347" t="str">
            <v>□</v>
          </cell>
          <cell r="Q347" t="str">
            <v>□</v>
          </cell>
          <cell r="R347" t="str">
            <v>□</v>
          </cell>
          <cell r="S347" t="str">
            <v>□</v>
          </cell>
          <cell r="T347" t="str">
            <v>□</v>
          </cell>
          <cell r="U347" t="str">
            <v>NA</v>
          </cell>
          <cell r="V347" t="str">
            <v>No Register</v>
          </cell>
          <cell r="W347" t="str">
            <v/>
          </cell>
          <cell r="Y347" t="str">
            <v/>
          </cell>
        </row>
        <row r="348">
          <cell r="B348" t="str">
            <v>Wifgasindo Dinamika Instrument Engineering, PT</v>
          </cell>
          <cell r="C348" t="str">
            <v/>
          </cell>
          <cell r="D348" t="str">
            <v/>
          </cell>
          <cell r="E348" t="str">
            <v/>
          </cell>
          <cell r="F348" t="str">
            <v>Tomang Tol Raya Blok 1 No 46. Jalan Kedoya Agave Raya. Jakarta - 11520</v>
          </cell>
          <cell r="G348" t="str">
            <v>□</v>
          </cell>
          <cell r="H348" t="str">
            <v>□</v>
          </cell>
          <cell r="I348" t="str">
            <v>□</v>
          </cell>
          <cell r="J348" t="str">
            <v>□</v>
          </cell>
          <cell r="K348" t="str">
            <v>□</v>
          </cell>
          <cell r="L348" t="str">
            <v>□</v>
          </cell>
          <cell r="M348" t="str">
            <v>□</v>
          </cell>
          <cell r="N348" t="str">
            <v>□</v>
          </cell>
          <cell r="O348" t="str">
            <v>□</v>
          </cell>
          <cell r="P348" t="str">
            <v>□</v>
          </cell>
          <cell r="Q348" t="str">
            <v>□</v>
          </cell>
          <cell r="R348" t="str">
            <v>□</v>
          </cell>
          <cell r="S348" t="str">
            <v>□</v>
          </cell>
          <cell r="T348" t="str">
            <v>□</v>
          </cell>
          <cell r="U348" t="str">
            <v>NA</v>
          </cell>
          <cell r="V348" t="str">
            <v>No Register</v>
          </cell>
          <cell r="W348" t="str">
            <v/>
          </cell>
          <cell r="Y348" t="str">
            <v/>
          </cell>
        </row>
        <row r="349">
          <cell r="B349" t="str">
            <v>Cakra Instrumindo Utama, PT</v>
          </cell>
          <cell r="C349" t="str">
            <v>dewi@cakrainstrumindo.com</v>
          </cell>
          <cell r="D349" t="str">
            <v>Dewiana</v>
          </cell>
          <cell r="E349" t="str">
            <v>081314751182</v>
          </cell>
          <cell r="F349" t="str">
            <v>Graha Saharjo Lt. 3 . Jl Dr.Saharjo No. 244 H. Menteng Dalam Tebet. JakSel-12670</v>
          </cell>
          <cell r="G349" t="b">
            <v>1</v>
          </cell>
          <cell r="H349" t="b">
            <v>0</v>
          </cell>
          <cell r="I349" t="b">
            <v>0</v>
          </cell>
          <cell r="J349" t="b">
            <v>0</v>
          </cell>
          <cell r="K349" t="b">
            <v>0</v>
          </cell>
          <cell r="L349" t="b">
            <v>0</v>
          </cell>
          <cell r="M349" t="b">
            <v>0</v>
          </cell>
          <cell r="N349" t="b">
            <v>0</v>
          </cell>
          <cell r="O349" t="b">
            <v>0</v>
          </cell>
          <cell r="P349" t="b">
            <v>0</v>
          </cell>
          <cell r="Q349" t="b">
            <v>0</v>
          </cell>
          <cell r="R349" t="b">
            <v>0</v>
          </cell>
          <cell r="S349" t="b">
            <v>0</v>
          </cell>
          <cell r="T349" t="b">
            <v>0</v>
          </cell>
          <cell r="U349" t="str">
            <v>NA</v>
          </cell>
          <cell r="V349" t="str">
            <v>Register</v>
          </cell>
          <cell r="W349" t="str">
            <v>GT - ME</v>
          </cell>
          <cell r="X349" t="str">
            <v>General Trading - Mechanical
Service Jasa - Mechanical</v>
          </cell>
          <cell r="Y349" t="str">
            <v>Pipe</v>
          </cell>
        </row>
        <row r="350">
          <cell r="B350" t="str">
            <v>Guna Elektro, PT</v>
          </cell>
          <cell r="C350" t="str">
            <v>akhnes.akhnes@gae.id; iwan.surijadi@gae.id</v>
          </cell>
          <cell r="D350" t="str">
            <v>Akhnes</v>
          </cell>
          <cell r="F350" t="str">
            <v>Jl. Arjuna Utara No. 50 . Duri Kepa . Kebon Jeruk. Jakarta Barat - DKI Jakarta Raya.</v>
          </cell>
          <cell r="G350" t="b">
            <v>0</v>
          </cell>
          <cell r="H350" t="b">
            <v>0</v>
          </cell>
          <cell r="I350" t="b">
            <v>0</v>
          </cell>
          <cell r="J350" t="b">
            <v>0</v>
          </cell>
          <cell r="K350" t="b">
            <v>0</v>
          </cell>
          <cell r="L350" t="b">
            <v>0</v>
          </cell>
          <cell r="M350" t="b">
            <v>0</v>
          </cell>
          <cell r="N350" t="b">
            <v>0</v>
          </cell>
          <cell r="O350" t="b">
            <v>0</v>
          </cell>
          <cell r="P350" t="b">
            <v>0</v>
          </cell>
          <cell r="Q350" t="b">
            <v>0</v>
          </cell>
          <cell r="R350" t="b">
            <v>0</v>
          </cell>
          <cell r="S350" t="b">
            <v>0</v>
          </cell>
          <cell r="T350" t="b">
            <v>0</v>
          </cell>
          <cell r="U350" t="str">
            <v>NA</v>
          </cell>
          <cell r="V350" t="str">
            <v>No Register</v>
          </cell>
          <cell r="W350" t="str">
            <v/>
          </cell>
          <cell r="Y350" t="str">
            <v/>
          </cell>
        </row>
        <row r="351">
          <cell r="B351" t="str">
            <v>Karya Perdana, CV</v>
          </cell>
          <cell r="C351" t="str">
            <v/>
          </cell>
          <cell r="D351" t="str">
            <v/>
          </cell>
          <cell r="E351" t="str">
            <v/>
          </cell>
          <cell r="F351" t="str">
            <v>Desa Padangin
Tabalong</v>
          </cell>
          <cell r="G351" t="str">
            <v>□</v>
          </cell>
          <cell r="H351" t="str">
            <v>□</v>
          </cell>
          <cell r="I351" t="str">
            <v>□</v>
          </cell>
          <cell r="J351" t="str">
            <v>□</v>
          </cell>
          <cell r="K351" t="str">
            <v>□</v>
          </cell>
          <cell r="L351" t="str">
            <v>□</v>
          </cell>
          <cell r="M351" t="str">
            <v>□</v>
          </cell>
          <cell r="N351" t="str">
            <v>□</v>
          </cell>
          <cell r="O351" t="str">
            <v>□</v>
          </cell>
          <cell r="P351" t="str">
            <v>□</v>
          </cell>
          <cell r="Q351" t="str">
            <v>□</v>
          </cell>
          <cell r="R351" t="str">
            <v>□</v>
          </cell>
          <cell r="S351" t="str">
            <v>□</v>
          </cell>
          <cell r="T351" t="str">
            <v>□</v>
          </cell>
          <cell r="U351" t="str">
            <v>NA</v>
          </cell>
          <cell r="V351" t="str">
            <v>No Register</v>
          </cell>
          <cell r="W351" t="str">
            <v/>
          </cell>
          <cell r="Y351" t="str">
            <v/>
          </cell>
        </row>
        <row r="352">
          <cell r="B352" t="str">
            <v>Maju Langgeng Mandiri, PT</v>
          </cell>
          <cell r="C352" t="str">
            <v>dewi@majulanggeng.co.id; zani_ass@majulanggeng.co.id; sub@majulanggeng.co.id; mlm@majulanggeng.co.id</v>
          </cell>
          <cell r="D352" t="str">
            <v>Dewi</v>
          </cell>
          <cell r="E352" t="str">
            <v>0895391191214</v>
          </cell>
          <cell r="F352" t="str">
            <v>Taman Meruya Plaza Blok E/14. No 17 RT 022/004. Meruya Utara. Kembangan. JakBar. DKI Jakarta-11620</v>
          </cell>
          <cell r="G352" t="b">
            <v>0</v>
          </cell>
          <cell r="H352" t="b">
            <v>0</v>
          </cell>
          <cell r="I352" t="b">
            <v>0</v>
          </cell>
          <cell r="J352" t="b">
            <v>0</v>
          </cell>
          <cell r="K352" t="b">
            <v>0</v>
          </cell>
          <cell r="L352" t="b">
            <v>0</v>
          </cell>
          <cell r="M352" t="b">
            <v>0</v>
          </cell>
          <cell r="N352" t="b">
            <v>0</v>
          </cell>
          <cell r="O352" t="b">
            <v>0</v>
          </cell>
          <cell r="P352" t="b">
            <v>0</v>
          </cell>
          <cell r="Q352" t="b">
            <v>0</v>
          </cell>
          <cell r="R352" t="b">
            <v>0</v>
          </cell>
          <cell r="S352" t="b">
            <v>1</v>
          </cell>
          <cell r="T352" t="b">
            <v>0</v>
          </cell>
          <cell r="U352" t="str">
            <v>A</v>
          </cell>
          <cell r="V352" t="str">
            <v>Register</v>
          </cell>
          <cell r="W352" t="str">
            <v>GT - IC</v>
          </cell>
          <cell r="X352" t="str">
            <v>General Trading - Instrument</v>
          </cell>
          <cell r="Y352" t="str">
            <v>D ELGI</v>
          </cell>
        </row>
        <row r="353">
          <cell r="B353" t="str">
            <v>Sarana Prima Lestari, CV</v>
          </cell>
          <cell r="C353" t="str">
            <v>krisma@saranaprimalestari.com; spl@indo.net.id</v>
          </cell>
          <cell r="D353" t="str">
            <v>Krisma</v>
          </cell>
          <cell r="E353" t="str">
            <v>082353207020</v>
          </cell>
          <cell r="F353" t="str">
            <v>Jl. Pramuka No. 63. RT 11. Banjarmasin - 70236</v>
          </cell>
          <cell r="G353" t="b">
            <v>0</v>
          </cell>
          <cell r="H353" t="b">
            <v>0</v>
          </cell>
          <cell r="I353" t="b">
            <v>0</v>
          </cell>
          <cell r="J353" t="b">
            <v>0</v>
          </cell>
          <cell r="K353" t="b">
            <v>1</v>
          </cell>
          <cell r="L353" t="b">
            <v>0</v>
          </cell>
          <cell r="M353" t="b">
            <v>0</v>
          </cell>
          <cell r="N353" t="b">
            <v>0</v>
          </cell>
          <cell r="O353" t="b">
            <v>0</v>
          </cell>
          <cell r="P353" t="b">
            <v>0</v>
          </cell>
          <cell r="Q353" t="b">
            <v>0</v>
          </cell>
          <cell r="R353" t="b">
            <v>0</v>
          </cell>
          <cell r="S353" t="b">
            <v>0</v>
          </cell>
          <cell r="T353" t="b">
            <v>0</v>
          </cell>
          <cell r="U353" t="str">
            <v>A</v>
          </cell>
          <cell r="V353" t="str">
            <v>Register</v>
          </cell>
          <cell r="W353" t="str">
            <v>GT</v>
          </cell>
          <cell r="X353" t="str">
            <v>General Trading
General Trading - HSE</v>
          </cell>
          <cell r="Y353" t="str">
            <v>Safety</v>
          </cell>
        </row>
        <row r="354">
          <cell r="B354" t="str">
            <v>Quartee Technologies, PT</v>
          </cell>
          <cell r="C354" t="str">
            <v>info@quartee.com; rizal@quartee.com</v>
          </cell>
          <cell r="D354" t="str">
            <v>Rizal</v>
          </cell>
          <cell r="E354" t="str">
            <v>081213141488</v>
          </cell>
          <cell r="F354" t="str">
            <v>Taman Semanan Indah . Plaza Delumina Duri Kosambi. Jakarta Barat - 11750</v>
          </cell>
          <cell r="G354" t="b">
            <v>0</v>
          </cell>
          <cell r="H354" t="b">
            <v>1</v>
          </cell>
          <cell r="I354" t="b">
            <v>0</v>
          </cell>
          <cell r="J354" t="b">
            <v>0</v>
          </cell>
          <cell r="K354" t="b">
            <v>0</v>
          </cell>
          <cell r="L354" t="b">
            <v>0</v>
          </cell>
          <cell r="M354" t="b">
            <v>0</v>
          </cell>
          <cell r="N354" t="b">
            <v>0</v>
          </cell>
          <cell r="O354" t="b">
            <v>0</v>
          </cell>
          <cell r="P354" t="b">
            <v>0</v>
          </cell>
          <cell r="Q354" t="b">
            <v>0</v>
          </cell>
          <cell r="R354" t="b">
            <v>0</v>
          </cell>
          <cell r="S354" t="b">
            <v>0</v>
          </cell>
          <cell r="T354" t="b">
            <v>0</v>
          </cell>
          <cell r="U354" t="str">
            <v>NA</v>
          </cell>
          <cell r="V354" t="str">
            <v>Register</v>
          </cell>
          <cell r="W354" t="str">
            <v>GT - IC</v>
          </cell>
          <cell r="X354" t="str">
            <v>General Trading - Elektrical
General Trading - Instrument</v>
          </cell>
          <cell r="Y354" t="str">
            <v>Siemens</v>
          </cell>
        </row>
        <row r="355">
          <cell r="B355" t="str">
            <v>Indo Jaya Perkasa Lubricant, PT</v>
          </cell>
          <cell r="C355" t="str">
            <v>wendy.tedja@yahoo.com</v>
          </cell>
          <cell r="F355" t="str">
            <v>Jl. Haryono MT No. 37 RT 010. RW 001. Kertak Baru Ulu - Banjarmasin Tengah. Kodya Banjarmasin - 70111</v>
          </cell>
          <cell r="G355" t="b">
            <v>0</v>
          </cell>
          <cell r="H355" t="b">
            <v>0</v>
          </cell>
          <cell r="I355" t="b">
            <v>0</v>
          </cell>
          <cell r="J355" t="b">
            <v>0</v>
          </cell>
          <cell r="K355" t="b">
            <v>0</v>
          </cell>
          <cell r="L355" t="b">
            <v>0</v>
          </cell>
          <cell r="M355" t="b">
            <v>0</v>
          </cell>
          <cell r="N355" t="b">
            <v>0</v>
          </cell>
          <cell r="O355" t="b">
            <v>0</v>
          </cell>
          <cell r="P355" t="b">
            <v>0</v>
          </cell>
          <cell r="Q355" t="b">
            <v>0</v>
          </cell>
          <cell r="R355" t="b">
            <v>0</v>
          </cell>
          <cell r="S355" t="b">
            <v>0</v>
          </cell>
          <cell r="T355" t="b">
            <v>0</v>
          </cell>
          <cell r="U355" t="str">
            <v>A</v>
          </cell>
          <cell r="V355" t="str">
            <v>No Register</v>
          </cell>
          <cell r="W355" t="str">
            <v/>
          </cell>
          <cell r="Y355" t="str">
            <v/>
          </cell>
        </row>
        <row r="356">
          <cell r="B356" t="str">
            <v>Rande Buana Teknik, PT</v>
          </cell>
          <cell r="C356" t="str">
            <v>admin@randebuana.com; Sandra.kirani@randebuana.com</v>
          </cell>
          <cell r="D356" t="str">
            <v>Adji; Sandra</v>
          </cell>
          <cell r="E356" t="str">
            <v>081319325302; 081574750948</v>
          </cell>
          <cell r="F356" t="str">
            <v>Ruko Kranggan Permai Blok RT/10. No 3. RT 016/015 Jati Sampurna. Kota Bekasi. Jawa Barat - 17433</v>
          </cell>
          <cell r="G356" t="b">
            <v>0</v>
          </cell>
          <cell r="H356" t="b">
            <v>0</v>
          </cell>
          <cell r="I356" t="b">
            <v>1</v>
          </cell>
          <cell r="J356" t="b">
            <v>0</v>
          </cell>
          <cell r="K356" t="b">
            <v>0</v>
          </cell>
          <cell r="L356" t="b">
            <v>0</v>
          </cell>
          <cell r="M356" t="b">
            <v>0</v>
          </cell>
          <cell r="N356" t="b">
            <v>0</v>
          </cell>
          <cell r="O356" t="b">
            <v>0</v>
          </cell>
          <cell r="P356" t="b">
            <v>0</v>
          </cell>
          <cell r="Q356" t="b">
            <v>0</v>
          </cell>
          <cell r="R356" t="b">
            <v>0</v>
          </cell>
          <cell r="S356" t="b">
            <v>0</v>
          </cell>
          <cell r="T356" t="b">
            <v>0</v>
          </cell>
          <cell r="U356" t="str">
            <v>A</v>
          </cell>
          <cell r="V356" t="str">
            <v>Register</v>
          </cell>
          <cell r="W356" t="str">
            <v>GT - IC</v>
          </cell>
          <cell r="X356" t="str">
            <v>General Trading - Instrument</v>
          </cell>
          <cell r="Y356" t="str">
            <v>Instrumentation</v>
          </cell>
        </row>
        <row r="357">
          <cell r="B357" t="str">
            <v>Asih Eka Abadi, PT</v>
          </cell>
          <cell r="C357" t="str">
            <v/>
          </cell>
          <cell r="D357" t="str">
            <v>Ponta</v>
          </cell>
          <cell r="E357" t="str">
            <v>08119006396</v>
          </cell>
          <cell r="F357" t="str">
            <v>Jl. Rambu No. 17 RT.005 RW.006. Cipete Selatan. Cilandak. JakSel - 12410</v>
          </cell>
          <cell r="G357" t="str">
            <v>□</v>
          </cell>
          <cell r="H357" t="str">
            <v>□</v>
          </cell>
          <cell r="I357" t="str">
            <v>□</v>
          </cell>
          <cell r="J357" t="str">
            <v>□</v>
          </cell>
          <cell r="K357" t="str">
            <v>□</v>
          </cell>
          <cell r="L357" t="str">
            <v>□</v>
          </cell>
          <cell r="M357" t="str">
            <v>□</v>
          </cell>
          <cell r="N357" t="str">
            <v>□</v>
          </cell>
          <cell r="O357" t="str">
            <v>□</v>
          </cell>
          <cell r="P357" t="str">
            <v>□</v>
          </cell>
          <cell r="Q357" t="str">
            <v>□</v>
          </cell>
          <cell r="R357" t="str">
            <v>□</v>
          </cell>
          <cell r="S357" t="str">
            <v>□</v>
          </cell>
          <cell r="T357" t="str">
            <v>□</v>
          </cell>
          <cell r="U357" t="str">
            <v>NA</v>
          </cell>
          <cell r="V357" t="str">
            <v>No Register</v>
          </cell>
          <cell r="W357" t="str">
            <v/>
          </cell>
          <cell r="Y357" t="str">
            <v/>
          </cell>
        </row>
        <row r="358">
          <cell r="B358" t="str">
            <v>Stanindo Artha Langgeng, PT</v>
          </cell>
          <cell r="C358" t="str">
            <v>cso1@stanindoartha.com; cso.stanindo@gmail.com; sales04@stanindoartha.com</v>
          </cell>
          <cell r="D358" t="str">
            <v>Nendo</v>
          </cell>
          <cell r="E358" t="str">
            <v>087878312659</v>
          </cell>
          <cell r="F358" t="str">
            <v>Ruko Paramount Marketplace Blok L.11. Curug Sangereng/ Kelapa Dua Tangerang</v>
          </cell>
          <cell r="G358" t="b">
            <v>1</v>
          </cell>
          <cell r="H358" t="b">
            <v>1</v>
          </cell>
          <cell r="I358" t="b">
            <v>0</v>
          </cell>
          <cell r="J358" t="b">
            <v>0</v>
          </cell>
          <cell r="K358" t="b">
            <v>0</v>
          </cell>
          <cell r="L358" t="b">
            <v>0</v>
          </cell>
          <cell r="M358" t="b">
            <v>0</v>
          </cell>
          <cell r="N358" t="b">
            <v>0</v>
          </cell>
          <cell r="O358" t="b">
            <v>0</v>
          </cell>
          <cell r="P358" t="b">
            <v>0</v>
          </cell>
          <cell r="Q358" t="b">
            <v>0</v>
          </cell>
          <cell r="R358" t="b">
            <v>0</v>
          </cell>
          <cell r="S358" t="b">
            <v>0</v>
          </cell>
          <cell r="T358" t="b">
            <v>0</v>
          </cell>
          <cell r="U358" t="str">
            <v>A</v>
          </cell>
          <cell r="V358" t="str">
            <v>Register</v>
          </cell>
          <cell r="W358" t="str">
            <v>GT</v>
          </cell>
          <cell r="X358" t="str">
            <v>General Trading</v>
          </cell>
          <cell r="Y358" t="str">
            <v>Trading</v>
          </cell>
        </row>
        <row r="359">
          <cell r="B359" t="str">
            <v>General Supply &amp; Services Indonesia, PT</v>
          </cell>
          <cell r="C359" t="str">
            <v>yossep.eriyanto@gssi.asia</v>
          </cell>
          <cell r="D359" t="str">
            <v>Yossep</v>
          </cell>
          <cell r="E359" t="str">
            <v/>
          </cell>
          <cell r="F359" t="str">
            <v>Jl. Jend. Gatot Subroto Kav. 59A. JakSel - 12950</v>
          </cell>
          <cell r="G359" t="str">
            <v>□</v>
          </cell>
          <cell r="H359" t="str">
            <v>□</v>
          </cell>
          <cell r="I359" t="str">
            <v>□</v>
          </cell>
          <cell r="J359" t="str">
            <v>□</v>
          </cell>
          <cell r="K359" t="str">
            <v>□</v>
          </cell>
          <cell r="L359" t="str">
            <v>□</v>
          </cell>
          <cell r="M359" t="str">
            <v>□</v>
          </cell>
          <cell r="N359" t="str">
            <v>□</v>
          </cell>
          <cell r="O359" t="str">
            <v>□</v>
          </cell>
          <cell r="P359" t="str">
            <v>□</v>
          </cell>
          <cell r="Q359" t="str">
            <v>□</v>
          </cell>
          <cell r="R359" t="str">
            <v>□</v>
          </cell>
          <cell r="S359" t="str">
            <v>□</v>
          </cell>
          <cell r="T359" t="str">
            <v>□</v>
          </cell>
          <cell r="U359" t="str">
            <v>NA</v>
          </cell>
          <cell r="V359" t="str">
            <v>No Register</v>
          </cell>
          <cell r="W359" t="str">
            <v>GT - ME</v>
          </cell>
          <cell r="X359" t="str">
            <v>General Trading - Mechanical</v>
          </cell>
          <cell r="Y359" t="str">
            <v/>
          </cell>
        </row>
        <row r="360">
          <cell r="B360" t="str">
            <v>Yanfa Putra Alam, PT</v>
          </cell>
          <cell r="C360" t="str">
            <v/>
          </cell>
          <cell r="D360" t="str">
            <v/>
          </cell>
          <cell r="E360" t="str">
            <v/>
          </cell>
          <cell r="F360" t="str">
            <v>Gd. Tranka Lt. 1 Jl. Raya Pasar Minggu. Km. 17,5. No. 17 . JakSel - 12520</v>
          </cell>
          <cell r="G360" t="str">
            <v>□</v>
          </cell>
          <cell r="H360" t="str">
            <v>□</v>
          </cell>
          <cell r="I360" t="str">
            <v>□</v>
          </cell>
          <cell r="J360" t="str">
            <v>□</v>
          </cell>
          <cell r="K360" t="str">
            <v>□</v>
          </cell>
          <cell r="L360" t="str">
            <v>□</v>
          </cell>
          <cell r="M360" t="str">
            <v>□</v>
          </cell>
          <cell r="N360" t="str">
            <v>□</v>
          </cell>
          <cell r="O360" t="str">
            <v>□</v>
          </cell>
          <cell r="P360" t="str">
            <v>□</v>
          </cell>
          <cell r="Q360" t="str">
            <v>□</v>
          </cell>
          <cell r="R360" t="str">
            <v>□</v>
          </cell>
          <cell r="S360" t="str">
            <v>□</v>
          </cell>
          <cell r="T360" t="str">
            <v>□</v>
          </cell>
          <cell r="U360" t="str">
            <v>NA</v>
          </cell>
          <cell r="V360" t="str">
            <v>No Register</v>
          </cell>
          <cell r="W360" t="str">
            <v/>
          </cell>
          <cell r="Y360" t="str">
            <v/>
          </cell>
        </row>
        <row r="361">
          <cell r="B361" t="str">
            <v>Lapi ITB, PT</v>
          </cell>
          <cell r="C361" t="str">
            <v>hidijar@lapi-itb.com; dodi_ip@lapi-itb.com</v>
          </cell>
          <cell r="D361" t="str">
            <v>Dodi, Hidijar</v>
          </cell>
          <cell r="E361" t="str">
            <v>08112233756</v>
          </cell>
          <cell r="F361" t="str">
            <v>Jl. Ganesha No. 15B. Bandung - 40132</v>
          </cell>
          <cell r="G361" t="b">
            <v>0</v>
          </cell>
          <cell r="H361" t="b">
            <v>0</v>
          </cell>
          <cell r="I361" t="b">
            <v>0</v>
          </cell>
          <cell r="J361" t="b">
            <v>0</v>
          </cell>
          <cell r="K361" t="b">
            <v>0</v>
          </cell>
          <cell r="L361" t="b">
            <v>0</v>
          </cell>
          <cell r="M361" t="b">
            <v>0</v>
          </cell>
          <cell r="N361" t="b">
            <v>0</v>
          </cell>
          <cell r="O361" t="b">
            <v>1</v>
          </cell>
          <cell r="P361" t="b">
            <v>0</v>
          </cell>
          <cell r="Q361" t="b">
            <v>0</v>
          </cell>
          <cell r="R361" t="b">
            <v>0</v>
          </cell>
          <cell r="S361" t="b">
            <v>0</v>
          </cell>
          <cell r="T361" t="b">
            <v>0</v>
          </cell>
          <cell r="U361" t="str">
            <v>NA</v>
          </cell>
          <cell r="V361" t="str">
            <v>Register</v>
          </cell>
          <cell r="W361" t="str">
            <v>PR - CS</v>
          </cell>
          <cell r="X361" t="str">
            <v>Professional Services - Consulting</v>
          </cell>
          <cell r="Y361" t="str">
            <v>Konsultansi, training, sertifikasi, studi kelayakan, audit energi/lingkungan, inspeksi &amp; pengujian teknik.</v>
          </cell>
        </row>
        <row r="362">
          <cell r="B362" t="str">
            <v>Prima Saftindo Elektrika, PT</v>
          </cell>
          <cell r="C362" t="str">
            <v>sales.support@saftindo.com; muzafar@saftindo.com; admin@saftindo.com</v>
          </cell>
          <cell r="D362" t="str">
            <v>Efa; Muzafar</v>
          </cell>
          <cell r="E362" t="str">
            <v>08999100411; 081319710963</v>
          </cell>
          <cell r="F362" t="str">
            <v>Jl. Boulevard Barat Raya Jakarta Utara</v>
          </cell>
          <cell r="G362" t="b">
            <v>0</v>
          </cell>
          <cell r="H362" t="b">
            <v>1</v>
          </cell>
          <cell r="I362" t="b">
            <v>1</v>
          </cell>
          <cell r="J362" t="b">
            <v>0</v>
          </cell>
          <cell r="K362" t="b">
            <v>0</v>
          </cell>
          <cell r="L362" t="b">
            <v>0</v>
          </cell>
          <cell r="M362" t="b">
            <v>0</v>
          </cell>
          <cell r="N362" t="b">
            <v>0</v>
          </cell>
          <cell r="O362" t="b">
            <v>0</v>
          </cell>
          <cell r="P362" t="b">
            <v>0</v>
          </cell>
          <cell r="Q362" t="b">
            <v>0</v>
          </cell>
          <cell r="R362" t="b">
            <v>0</v>
          </cell>
          <cell r="S362" t="b">
            <v>0</v>
          </cell>
          <cell r="T362" t="b">
            <v>0</v>
          </cell>
          <cell r="U362" t="str">
            <v>A</v>
          </cell>
          <cell r="V362" t="str">
            <v>Register</v>
          </cell>
          <cell r="W362" t="str">
            <v/>
          </cell>
          <cell r="X362" t="str">
            <v>General Trading - Elektrical
Service Jasa - Electrical</v>
          </cell>
          <cell r="Y362" t="str">
            <v>Baterry</v>
          </cell>
        </row>
        <row r="363">
          <cell r="B363" t="str">
            <v>Tiara Vibrasindo Pratama, PT</v>
          </cell>
          <cell r="C363" t="str">
            <v xml:space="preserve"> info@tiaravib.com; nazel@tiaravib.com; rojeki@tiaravib.com</v>
          </cell>
          <cell r="D363" t="str">
            <v>Nazlyna</v>
          </cell>
          <cell r="E363" t="str">
            <v>081297027207</v>
          </cell>
          <cell r="F363" t="str">
            <v>City Resort Residence Cluster Malibu Blok J No. 97. Cengkareng. JakBar - 11730</v>
          </cell>
          <cell r="G363" t="str">
            <v>□</v>
          </cell>
          <cell r="H363" t="str">
            <v>□</v>
          </cell>
          <cell r="I363" t="str">
            <v>□</v>
          </cell>
          <cell r="J363" t="str">
            <v>□</v>
          </cell>
          <cell r="K363" t="str">
            <v>□</v>
          </cell>
          <cell r="L363" t="str">
            <v>□</v>
          </cell>
          <cell r="M363" t="str">
            <v>□</v>
          </cell>
          <cell r="N363" t="str">
            <v>□</v>
          </cell>
          <cell r="O363" t="str">
            <v>□</v>
          </cell>
          <cell r="P363" t="str">
            <v>□</v>
          </cell>
          <cell r="Q363" t="str">
            <v>□</v>
          </cell>
          <cell r="R363" t="str">
            <v>□</v>
          </cell>
          <cell r="S363" t="str">
            <v>□</v>
          </cell>
          <cell r="T363" t="str">
            <v>□</v>
          </cell>
          <cell r="U363" t="str">
            <v>NA</v>
          </cell>
          <cell r="V363" t="str">
            <v>No Register</v>
          </cell>
          <cell r="W363" t="str">
            <v/>
          </cell>
          <cell r="Y363" t="str">
            <v/>
          </cell>
        </row>
        <row r="364">
          <cell r="B364" t="str">
            <v>Budi Anugrah Bersama, PT</v>
          </cell>
          <cell r="C364" t="str">
            <v>cv.budianugrah@yahoo.co.id</v>
          </cell>
          <cell r="D364" t="str">
            <v/>
          </cell>
          <cell r="E364" t="str">
            <v/>
          </cell>
          <cell r="F364" t="str">
            <v>Jl. IR. PHM Noor Rt. IV. Kel. Pembataan. Kec. Murung Pudak. Tabalong - 71571</v>
          </cell>
          <cell r="G364" t="b">
            <v>0</v>
          </cell>
          <cell r="H364" t="b">
            <v>0</v>
          </cell>
          <cell r="I364" t="b">
            <v>0</v>
          </cell>
          <cell r="J364" t="b">
            <v>0</v>
          </cell>
          <cell r="K364" t="b">
            <v>0</v>
          </cell>
          <cell r="L364" t="b">
            <v>0</v>
          </cell>
          <cell r="M364" t="b">
            <v>0</v>
          </cell>
          <cell r="N364" t="b">
            <v>0</v>
          </cell>
          <cell r="O364" t="b">
            <v>0</v>
          </cell>
          <cell r="P364" t="b">
            <v>0</v>
          </cell>
          <cell r="Q364" t="b">
            <v>0</v>
          </cell>
          <cell r="R364" t="b">
            <v>0</v>
          </cell>
          <cell r="S364" t="b">
            <v>1</v>
          </cell>
          <cell r="T364" t="b">
            <v>0</v>
          </cell>
          <cell r="U364" t="str">
            <v>NA</v>
          </cell>
          <cell r="V364" t="str">
            <v>Register</v>
          </cell>
          <cell r="W364" t="str">
            <v>GT - ID</v>
          </cell>
          <cell r="X364" t="str">
            <v>General Trading - Industrial Goods
General Trading - HSE</v>
          </cell>
          <cell r="Y364" t="str">
            <v/>
          </cell>
        </row>
        <row r="365">
          <cell r="B365" t="str">
            <v>Andhika Digdaya Manunggal, PT</v>
          </cell>
          <cell r="C365" t="str">
            <v/>
          </cell>
          <cell r="D365" t="str">
            <v/>
          </cell>
          <cell r="E365" t="str">
            <v/>
          </cell>
          <cell r="F365" t="str">
            <v>Jl. Kalibata TEngah No. 1C. Ps. Minggu. Jakarta Selatan</v>
          </cell>
          <cell r="G365" t="str">
            <v>□</v>
          </cell>
          <cell r="H365" t="str">
            <v>□</v>
          </cell>
          <cell r="I365" t="str">
            <v>□</v>
          </cell>
          <cell r="J365" t="str">
            <v>□</v>
          </cell>
          <cell r="K365" t="str">
            <v>□</v>
          </cell>
          <cell r="L365" t="str">
            <v>□</v>
          </cell>
          <cell r="M365" t="str">
            <v>□</v>
          </cell>
          <cell r="N365" t="str">
            <v>□</v>
          </cell>
          <cell r="O365" t="str">
            <v>□</v>
          </cell>
          <cell r="P365" t="str">
            <v>□</v>
          </cell>
          <cell r="Q365" t="str">
            <v>□</v>
          </cell>
          <cell r="R365" t="str">
            <v>□</v>
          </cell>
          <cell r="S365" t="str">
            <v>□</v>
          </cell>
          <cell r="T365" t="str">
            <v>□</v>
          </cell>
          <cell r="U365" t="str">
            <v>NA</v>
          </cell>
          <cell r="V365" t="str">
            <v>No Register</v>
          </cell>
          <cell r="W365" t="str">
            <v/>
          </cell>
          <cell r="Y365" t="str">
            <v/>
          </cell>
        </row>
        <row r="366">
          <cell r="B366" t="str">
            <v>SWTS Indonesia, PT</v>
          </cell>
          <cell r="C366" t="str">
            <v>irfan@swtsindo.com</v>
          </cell>
          <cell r="D366" t="str">
            <v>Irfan</v>
          </cell>
          <cell r="E366" t="str">
            <v>081330899661</v>
          </cell>
          <cell r="F366" t="str">
            <v>Jl.  Raya By PAss Krian KM.31 Krian, Sidoarjo, Indonesia</v>
          </cell>
          <cell r="G366" t="b">
            <v>0</v>
          </cell>
          <cell r="H366" t="b">
            <v>0</v>
          </cell>
          <cell r="I366" t="b">
            <v>0</v>
          </cell>
          <cell r="J366" t="b">
            <v>0</v>
          </cell>
          <cell r="K366" t="b">
            <v>0</v>
          </cell>
          <cell r="L366" t="b">
            <v>0</v>
          </cell>
          <cell r="M366" t="b">
            <v>0</v>
          </cell>
          <cell r="N366" t="b">
            <v>0</v>
          </cell>
          <cell r="O366" t="b">
            <v>1</v>
          </cell>
          <cell r="P366" t="b">
            <v>0</v>
          </cell>
          <cell r="Q366" t="b">
            <v>0</v>
          </cell>
          <cell r="R366" t="b">
            <v>0</v>
          </cell>
          <cell r="S366" t="b">
            <v>0</v>
          </cell>
          <cell r="T366" t="b">
            <v>0</v>
          </cell>
          <cell r="U366" t="str">
            <v>NA</v>
          </cell>
          <cell r="V366" t="str">
            <v>Register</v>
          </cell>
          <cell r="W366" t="str">
            <v/>
          </cell>
          <cell r="X366" t="str">
            <v>Service Jasa - Mechanical
Service Jasa - Electrical</v>
          </cell>
          <cell r="Y366" t="str">
            <v>ABB</v>
          </cell>
        </row>
        <row r="367">
          <cell r="B367" t="str">
            <v>Sekar Adi Karya, PT</v>
          </cell>
          <cell r="C367" t="str">
            <v>cv.sak16@yahoo.co.id; admhr1.sak@gmail.com</v>
          </cell>
          <cell r="D367" t="str">
            <v>Faisal</v>
          </cell>
          <cell r="E367" t="str">
            <v>082252328916</v>
          </cell>
          <cell r="F367" t="str">
            <v>Plamboyan RT.009/RW.0 Pembataan, Murung Pudak Tanjung - Tabalong   Indonesia</v>
          </cell>
          <cell r="G367" t="b">
            <v>0</v>
          </cell>
          <cell r="H367" t="b">
            <v>0</v>
          </cell>
          <cell r="I367" t="b">
            <v>0</v>
          </cell>
          <cell r="J367" t="b">
            <v>0</v>
          </cell>
          <cell r="K367" t="b">
            <v>0</v>
          </cell>
          <cell r="L367" t="b">
            <v>0</v>
          </cell>
          <cell r="M367" t="b">
            <v>0</v>
          </cell>
          <cell r="N367" t="b">
            <v>0</v>
          </cell>
          <cell r="O367" t="b">
            <v>0</v>
          </cell>
          <cell r="P367" t="b">
            <v>0</v>
          </cell>
          <cell r="Q367" t="b">
            <v>0</v>
          </cell>
          <cell r="R367" t="b">
            <v>0</v>
          </cell>
          <cell r="S367" t="b">
            <v>1</v>
          </cell>
          <cell r="T367" t="b">
            <v>0</v>
          </cell>
          <cell r="U367" t="str">
            <v>A</v>
          </cell>
          <cell r="V367" t="str">
            <v>Register</v>
          </cell>
          <cell r="W367" t="str">
            <v/>
          </cell>
          <cell r="X367" t="str">
            <v>Service Jasa - Outsourcing / Manpower</v>
          </cell>
          <cell r="Y367" t="str">
            <v>Manpower Suppplies</v>
          </cell>
        </row>
        <row r="368">
          <cell r="B368" t="str">
            <v>Sinar Bintang Albar, PT</v>
          </cell>
          <cell r="C368" t="str">
            <v>sinarbintangalbar@yahoo.com</v>
          </cell>
          <cell r="D368" t="str">
            <v/>
          </cell>
          <cell r="F368" t="str">
            <v>Jl. Sutoyo Siswomiharjo Gang Arrahman Rt.007 Rw.0002, Pelambuan, Banjarmasin Barat, Kalimantan Selatan
NAjnarmasin   Indonesia</v>
          </cell>
          <cell r="G368" t="str">
            <v>□</v>
          </cell>
          <cell r="H368" t="str">
            <v>□</v>
          </cell>
          <cell r="I368" t="str">
            <v>□</v>
          </cell>
          <cell r="J368" t="str">
            <v>□</v>
          </cell>
          <cell r="K368" t="str">
            <v>□</v>
          </cell>
          <cell r="L368" t="str">
            <v>□</v>
          </cell>
          <cell r="M368" t="str">
            <v>□</v>
          </cell>
          <cell r="N368" t="str">
            <v>□</v>
          </cell>
          <cell r="O368" t="str">
            <v>□</v>
          </cell>
          <cell r="P368" t="str">
            <v>□</v>
          </cell>
          <cell r="Q368" t="str">
            <v>□</v>
          </cell>
          <cell r="R368" t="str">
            <v>□</v>
          </cell>
          <cell r="S368" t="str">
            <v>□</v>
          </cell>
          <cell r="T368" t="str">
            <v>□</v>
          </cell>
          <cell r="U368" t="str">
            <v>NA</v>
          </cell>
          <cell r="V368" t="str">
            <v>No Register</v>
          </cell>
          <cell r="W368" t="str">
            <v/>
          </cell>
          <cell r="Y368" t="str">
            <v/>
          </cell>
        </row>
        <row r="369">
          <cell r="B369" t="str">
            <v>Pusindo Murniraya, PT</v>
          </cell>
          <cell r="C369" t="str">
            <v/>
          </cell>
          <cell r="D369" t="str">
            <v/>
          </cell>
          <cell r="E369" t="str">
            <v/>
          </cell>
          <cell r="F369" t="str">
            <v>Jl. Angkasa Raya No. 20Q, Kemayoran, Jakarta Pusat, Indonesia
Jakarta   Indonesia</v>
          </cell>
          <cell r="G369" t="b">
            <v>0</v>
          </cell>
          <cell r="H369" t="b">
            <v>0</v>
          </cell>
          <cell r="I369" t="b">
            <v>0</v>
          </cell>
          <cell r="J369" t="b">
            <v>0</v>
          </cell>
          <cell r="K369" t="b">
            <v>0</v>
          </cell>
          <cell r="L369" t="b">
            <v>1</v>
          </cell>
          <cell r="M369" t="b">
            <v>0</v>
          </cell>
          <cell r="N369" t="b">
            <v>0</v>
          </cell>
          <cell r="O369" t="b">
            <v>0</v>
          </cell>
          <cell r="P369" t="b">
            <v>0</v>
          </cell>
          <cell r="Q369" t="b">
            <v>0</v>
          </cell>
          <cell r="R369" t="b">
            <v>0</v>
          </cell>
          <cell r="S369" t="b">
            <v>0</v>
          </cell>
          <cell r="T369" t="b">
            <v>0</v>
          </cell>
          <cell r="U369" t="str">
            <v>NA</v>
          </cell>
          <cell r="V369" t="str">
            <v>Register</v>
          </cell>
          <cell r="W369" t="str">
            <v>IT - NT</v>
          </cell>
          <cell r="X369" t="str">
            <v>IT &amp; System - Network &amp; Infrastructure</v>
          </cell>
          <cell r="Y369" t="str">
            <v/>
          </cell>
        </row>
        <row r="370">
          <cell r="B370" t="str">
            <v>Casa Terra Mandiri Indonesia, PT</v>
          </cell>
          <cell r="C370" t="str">
            <v>contactus.casa@gmail.com</v>
          </cell>
          <cell r="D370" t="str">
            <v>Sugianto; Irwan</v>
          </cell>
          <cell r="E370" t="str">
            <v>0811320564; 0811335203</v>
          </cell>
          <cell r="F370" t="str">
            <v>Jl. Pegangsaan Dua No.3, Gading Nias Residences Blok Dahlia, Jakarta Utara</v>
          </cell>
          <cell r="G370" t="b">
            <v>0</v>
          </cell>
          <cell r="H370" t="b">
            <v>0</v>
          </cell>
          <cell r="I370" t="b">
            <v>1</v>
          </cell>
          <cell r="J370" t="b">
            <v>0</v>
          </cell>
          <cell r="K370" t="b">
            <v>0</v>
          </cell>
          <cell r="L370" t="b">
            <v>0</v>
          </cell>
          <cell r="M370" t="b">
            <v>0</v>
          </cell>
          <cell r="N370" t="b">
            <v>0</v>
          </cell>
          <cell r="O370" t="b">
            <v>0</v>
          </cell>
          <cell r="P370" t="b">
            <v>0</v>
          </cell>
          <cell r="Q370" t="b">
            <v>0</v>
          </cell>
          <cell r="R370" t="b">
            <v>0</v>
          </cell>
          <cell r="S370" t="b">
            <v>0</v>
          </cell>
          <cell r="T370" t="b">
            <v>0</v>
          </cell>
          <cell r="U370" t="str">
            <v>A</v>
          </cell>
          <cell r="V370" t="str">
            <v>Register</v>
          </cell>
          <cell r="W370" t="str">
            <v>GT - IC</v>
          </cell>
          <cell r="X370" t="str">
            <v>General Trading - Instrument</v>
          </cell>
          <cell r="Y370" t="str">
            <v>Instrumentation
AD Festo</v>
          </cell>
        </row>
        <row r="371">
          <cell r="B371" t="str">
            <v>Mectron Engineering Indonesia, PT</v>
          </cell>
          <cell r="C371" t="str">
            <v/>
          </cell>
          <cell r="D371" t="str">
            <v/>
          </cell>
          <cell r="E371" t="str">
            <v/>
          </cell>
          <cell r="F371" t="str">
            <v>Tamansari Parama Lt.7 Suite 9, Jl. KH. Wahid Hasyim No.84</v>
          </cell>
          <cell r="G371" t="str">
            <v>□</v>
          </cell>
          <cell r="H371" t="str">
            <v>□</v>
          </cell>
          <cell r="I371" t="str">
            <v>□</v>
          </cell>
          <cell r="J371" t="str">
            <v>□</v>
          </cell>
          <cell r="K371" t="str">
            <v>□</v>
          </cell>
          <cell r="L371" t="str">
            <v>□</v>
          </cell>
          <cell r="M371" t="str">
            <v>□</v>
          </cell>
          <cell r="N371" t="str">
            <v>□</v>
          </cell>
          <cell r="O371" t="str">
            <v>□</v>
          </cell>
          <cell r="P371" t="str">
            <v>□</v>
          </cell>
          <cell r="Q371" t="str">
            <v>□</v>
          </cell>
          <cell r="R371" t="str">
            <v>□</v>
          </cell>
          <cell r="S371" t="str">
            <v>□</v>
          </cell>
          <cell r="T371" t="str">
            <v>□</v>
          </cell>
          <cell r="U371" t="str">
            <v>NA</v>
          </cell>
          <cell r="V371" t="str">
            <v>No Register</v>
          </cell>
          <cell r="W371" t="str">
            <v/>
          </cell>
          <cell r="Y371" t="str">
            <v/>
          </cell>
        </row>
        <row r="372">
          <cell r="B372" t="str">
            <v>Mastrainco Suryadaya, PT</v>
          </cell>
          <cell r="C372" t="str">
            <v/>
          </cell>
          <cell r="D372" t="str">
            <v/>
          </cell>
          <cell r="E372" t="str">
            <v/>
          </cell>
          <cell r="F372" t="str">
            <v>Jl. Panglima Polim Raya 127  Blok C7-C8</v>
          </cell>
          <cell r="G372" t="str">
            <v>□</v>
          </cell>
          <cell r="H372" t="str">
            <v>□</v>
          </cell>
          <cell r="I372" t="str">
            <v>□</v>
          </cell>
          <cell r="J372" t="str">
            <v>□</v>
          </cell>
          <cell r="K372" t="str">
            <v>□</v>
          </cell>
          <cell r="L372" t="str">
            <v>□</v>
          </cell>
          <cell r="M372" t="str">
            <v>□</v>
          </cell>
          <cell r="N372" t="str">
            <v>□</v>
          </cell>
          <cell r="O372" t="str">
            <v>□</v>
          </cell>
          <cell r="P372" t="str">
            <v>□</v>
          </cell>
          <cell r="Q372" t="str">
            <v>□</v>
          </cell>
          <cell r="R372" t="str">
            <v>□</v>
          </cell>
          <cell r="S372" t="str">
            <v>□</v>
          </cell>
          <cell r="T372" t="str">
            <v>□</v>
          </cell>
          <cell r="U372" t="str">
            <v>NA</v>
          </cell>
          <cell r="V372" t="str">
            <v>No Register</v>
          </cell>
          <cell r="W372" t="str">
            <v/>
          </cell>
          <cell r="Y372" t="str">
            <v/>
          </cell>
        </row>
        <row r="373">
          <cell r="B373" t="str">
            <v>Sentral Teknik Wicaksana, PT</v>
          </cell>
          <cell r="C373" t="str">
            <v>stw.tgr@gmail.com</v>
          </cell>
          <cell r="D373" t="str">
            <v>Angga Laksono</v>
          </cell>
          <cell r="F373" t="str">
            <v>Pondok Pakulonan Blok 01 No.8, Pakualam Serpong, Tangerang Selatan
Tangerang</v>
          </cell>
          <cell r="G373" t="str">
            <v>□</v>
          </cell>
          <cell r="H373" t="str">
            <v>□</v>
          </cell>
          <cell r="I373" t="str">
            <v>□</v>
          </cell>
          <cell r="J373" t="str">
            <v>□</v>
          </cell>
          <cell r="K373" t="str">
            <v>□</v>
          </cell>
          <cell r="L373" t="str">
            <v>□</v>
          </cell>
          <cell r="M373" t="str">
            <v>□</v>
          </cell>
          <cell r="N373" t="str">
            <v>□</v>
          </cell>
          <cell r="O373" t="str">
            <v>□</v>
          </cell>
          <cell r="P373" t="str">
            <v>□</v>
          </cell>
          <cell r="Q373" t="str">
            <v>□</v>
          </cell>
          <cell r="R373" t="str">
            <v>□</v>
          </cell>
          <cell r="S373" t="str">
            <v>□</v>
          </cell>
          <cell r="T373" t="str">
            <v>□</v>
          </cell>
          <cell r="U373" t="str">
            <v>NA</v>
          </cell>
          <cell r="V373" t="str">
            <v>No Register</v>
          </cell>
          <cell r="W373" t="str">
            <v/>
          </cell>
          <cell r="Y373" t="str">
            <v/>
          </cell>
        </row>
        <row r="374">
          <cell r="B374" t="str">
            <v>Gridtech Indonesia, PT</v>
          </cell>
          <cell r="C374" t="str">
            <v>yulius@gridtech.co.id</v>
          </cell>
          <cell r="D374" t="str">
            <v>Yulius</v>
          </cell>
          <cell r="E374" t="str">
            <v>081281060645</v>
          </cell>
          <cell r="F374" t="str">
            <v>Millenium Industrial Estate, Jl, Millenium 4-A24/5 / Peusar - Tangerang Banten
Banten</v>
          </cell>
          <cell r="G374" t="b">
            <v>0</v>
          </cell>
          <cell r="H374" t="b">
            <v>1</v>
          </cell>
          <cell r="I374" t="b">
            <v>0</v>
          </cell>
          <cell r="J374" t="b">
            <v>0</v>
          </cell>
          <cell r="K374" t="b">
            <v>0</v>
          </cell>
          <cell r="L374" t="b">
            <v>0</v>
          </cell>
          <cell r="M374" t="b">
            <v>0</v>
          </cell>
          <cell r="N374" t="b">
            <v>0</v>
          </cell>
          <cell r="O374" t="b">
            <v>0</v>
          </cell>
          <cell r="P374" t="b">
            <v>0</v>
          </cell>
          <cell r="Q374" t="b">
            <v>0</v>
          </cell>
          <cell r="R374" t="b">
            <v>0</v>
          </cell>
          <cell r="S374" t="b">
            <v>0</v>
          </cell>
          <cell r="T374" t="b">
            <v>0</v>
          </cell>
          <cell r="U374" t="str">
            <v>A</v>
          </cell>
          <cell r="V374" t="str">
            <v>Register</v>
          </cell>
          <cell r="W374" t="str">
            <v>GT</v>
          </cell>
          <cell r="X374" t="str">
            <v>General Trading
Service Jasa - Electrical
Service Jasa - Instrument</v>
          </cell>
          <cell r="Y374" t="str">
            <v>Electrical</v>
          </cell>
        </row>
        <row r="375">
          <cell r="B375" t="str">
            <v>Niatsae Prakarsa Indonesia, PT</v>
          </cell>
          <cell r="C375" t="str">
            <v>ryan@npi.co.id; budhi@npi.co.id; wahyu@npi.co.id</v>
          </cell>
          <cell r="D375" t="str">
            <v/>
          </cell>
          <cell r="F375" t="str">
            <v>Jl. Sultan Ageng Tirtayasa, Griya Cempaka A10, Talun
Cirebon</v>
          </cell>
          <cell r="G375" t="str">
            <v>□</v>
          </cell>
          <cell r="H375" t="str">
            <v>□</v>
          </cell>
          <cell r="I375" t="str">
            <v>□</v>
          </cell>
          <cell r="J375" t="str">
            <v>□</v>
          </cell>
          <cell r="K375" t="str">
            <v>□</v>
          </cell>
          <cell r="L375" t="str">
            <v>□</v>
          </cell>
          <cell r="M375" t="str">
            <v>□</v>
          </cell>
          <cell r="N375" t="str">
            <v>□</v>
          </cell>
          <cell r="O375" t="str">
            <v>□</v>
          </cell>
          <cell r="P375" t="str">
            <v>□</v>
          </cell>
          <cell r="Q375" t="str">
            <v>□</v>
          </cell>
          <cell r="R375" t="str">
            <v>□</v>
          </cell>
          <cell r="S375" t="str">
            <v>□</v>
          </cell>
          <cell r="T375" t="str">
            <v>□</v>
          </cell>
          <cell r="U375" t="str">
            <v>A</v>
          </cell>
          <cell r="V375" t="str">
            <v>No Register</v>
          </cell>
          <cell r="W375" t="str">
            <v/>
          </cell>
          <cell r="Y375" t="str">
            <v/>
          </cell>
        </row>
        <row r="376">
          <cell r="B376" t="str">
            <v>Lintas Prima Energi, PT</v>
          </cell>
          <cell r="C376" t="str">
            <v/>
          </cell>
          <cell r="D376" t="str">
            <v/>
          </cell>
          <cell r="E376" t="str">
            <v/>
          </cell>
          <cell r="F376" t="str">
            <v>Gedung AKLI
JL. KH. Abdullah Syafe'i, No. 36G RT.001/RW.006, Bukit Duri, Tebet
Jakarta Selatan</v>
          </cell>
          <cell r="G376" t="str">
            <v>□</v>
          </cell>
          <cell r="H376" t="str">
            <v>□</v>
          </cell>
          <cell r="I376" t="str">
            <v>□</v>
          </cell>
          <cell r="J376" t="str">
            <v>□</v>
          </cell>
          <cell r="K376" t="str">
            <v>□</v>
          </cell>
          <cell r="L376" t="str">
            <v>□</v>
          </cell>
          <cell r="M376" t="str">
            <v>□</v>
          </cell>
          <cell r="N376" t="str">
            <v>□</v>
          </cell>
          <cell r="O376" t="str">
            <v>□</v>
          </cell>
          <cell r="P376" t="str">
            <v>□</v>
          </cell>
          <cell r="Q376" t="str">
            <v>□</v>
          </cell>
          <cell r="R376" t="str">
            <v>□</v>
          </cell>
          <cell r="S376" t="str">
            <v>□</v>
          </cell>
          <cell r="T376" t="str">
            <v>□</v>
          </cell>
          <cell r="U376" t="str">
            <v>NA</v>
          </cell>
          <cell r="V376" t="str">
            <v>No Register</v>
          </cell>
          <cell r="W376" t="str">
            <v/>
          </cell>
          <cell r="Y376" t="str">
            <v/>
          </cell>
        </row>
        <row r="377">
          <cell r="B377" t="str">
            <v>Donaldson Filtration Indonesia, PT</v>
          </cell>
          <cell r="C377" t="str">
            <v>dfin_info@donalson.com</v>
          </cell>
          <cell r="D377" t="str">
            <v>Rifki</v>
          </cell>
          <cell r="F377" t="str">
            <v>South Quarter Tower B Lt.16 Unit E, JL. R.A Kartini Kav.8 RT.010 RW.004 Cilandak Barat, Cilandak
Jakarta Selatan</v>
          </cell>
          <cell r="G377" t="str">
            <v>□</v>
          </cell>
          <cell r="H377" t="str">
            <v>□</v>
          </cell>
          <cell r="I377" t="str">
            <v>□</v>
          </cell>
          <cell r="J377" t="str">
            <v>□</v>
          </cell>
          <cell r="K377" t="str">
            <v>□</v>
          </cell>
          <cell r="L377" t="str">
            <v>□</v>
          </cell>
          <cell r="M377" t="str">
            <v>□</v>
          </cell>
          <cell r="N377" t="str">
            <v>□</v>
          </cell>
          <cell r="O377" t="str">
            <v>□</v>
          </cell>
          <cell r="P377" t="str">
            <v>□</v>
          </cell>
          <cell r="Q377" t="str">
            <v>□</v>
          </cell>
          <cell r="R377" t="str">
            <v>□</v>
          </cell>
          <cell r="S377" t="str">
            <v>□</v>
          </cell>
          <cell r="T377" t="str">
            <v>□</v>
          </cell>
          <cell r="U377" t="str">
            <v>NA</v>
          </cell>
          <cell r="V377" t="str">
            <v>No Register</v>
          </cell>
          <cell r="W377" t="str">
            <v/>
          </cell>
          <cell r="Y377" t="str">
            <v/>
          </cell>
        </row>
        <row r="378">
          <cell r="B378" t="str">
            <v>Karya Energi Indonesia, PT</v>
          </cell>
          <cell r="C378" t="str">
            <v>eka@karya-energi.com; eas@karya-energi.com; risa@karya-energi.com; sales2@karya-energi.com</v>
          </cell>
          <cell r="D378" t="str">
            <v>Aisha - Surabaya; Ari - Balikpapan</v>
          </cell>
          <cell r="F378" t="str">
            <v>Jl. Semarang 104A A-23, Gundih, Bubutan, Surabaya, Jawa Timur - 60174</v>
          </cell>
          <cell r="G378" t="b">
            <v>0</v>
          </cell>
          <cell r="H378" t="b">
            <v>0</v>
          </cell>
          <cell r="I378" t="b">
            <v>1</v>
          </cell>
          <cell r="J378" t="b">
            <v>0</v>
          </cell>
          <cell r="K378" t="b">
            <v>0</v>
          </cell>
          <cell r="L378" t="b">
            <v>0</v>
          </cell>
          <cell r="M378" t="b">
            <v>0</v>
          </cell>
          <cell r="N378" t="b">
            <v>0</v>
          </cell>
          <cell r="O378" t="b">
            <v>0</v>
          </cell>
          <cell r="P378" t="b">
            <v>0</v>
          </cell>
          <cell r="Q378" t="b">
            <v>0</v>
          </cell>
          <cell r="R378" t="b">
            <v>0</v>
          </cell>
          <cell r="S378" t="b">
            <v>0</v>
          </cell>
          <cell r="T378" t="b">
            <v>0</v>
          </cell>
          <cell r="U378" t="str">
            <v>NA</v>
          </cell>
          <cell r="V378" t="str">
            <v>Register</v>
          </cell>
          <cell r="W378" t="str">
            <v>GT - IC</v>
          </cell>
          <cell r="X378" t="str">
            <v>General Trading - Instrument</v>
          </cell>
          <cell r="Y378" t="str">
            <v>Instrumentation</v>
          </cell>
        </row>
        <row r="379">
          <cell r="B379" t="str">
            <v>Expert Data Voice Solution, PT</v>
          </cell>
          <cell r="C379" t="str">
            <v/>
          </cell>
          <cell r="D379" t="str">
            <v/>
          </cell>
          <cell r="E379" t="str">
            <v/>
          </cell>
          <cell r="F379" t="str">
            <v>Ruko Puri Botanical Blok H8 No. 15, Jl. Joglo Raya, RT 007 RW 001, Joglo, Kembangan,
Jakarta Barat, DKI Jakarta 11640, Indonesia.</v>
          </cell>
          <cell r="G379" t="str">
            <v>□</v>
          </cell>
          <cell r="H379" t="str">
            <v>□</v>
          </cell>
          <cell r="I379" t="str">
            <v>□</v>
          </cell>
          <cell r="J379" t="str">
            <v>□</v>
          </cell>
          <cell r="K379" t="str">
            <v>□</v>
          </cell>
          <cell r="L379" t="str">
            <v>□</v>
          </cell>
          <cell r="M379" t="str">
            <v>□</v>
          </cell>
          <cell r="N379" t="str">
            <v>□</v>
          </cell>
          <cell r="O379" t="str">
            <v>□</v>
          </cell>
          <cell r="P379" t="str">
            <v>□</v>
          </cell>
          <cell r="Q379" t="str">
            <v>□</v>
          </cell>
          <cell r="R379" t="str">
            <v>□</v>
          </cell>
          <cell r="S379" t="str">
            <v>□</v>
          </cell>
          <cell r="T379" t="str">
            <v>□</v>
          </cell>
          <cell r="U379" t="str">
            <v>NA</v>
          </cell>
          <cell r="V379" t="str">
            <v>No Register</v>
          </cell>
          <cell r="W379" t="str">
            <v/>
          </cell>
          <cell r="Y379" t="str">
            <v/>
          </cell>
        </row>
        <row r="380">
          <cell r="B380" t="str">
            <v>Aqpa Indonesia, PT</v>
          </cell>
          <cell r="C380" t="str">
            <v>azhar@aqpa-indonesia.com</v>
          </cell>
          <cell r="D380" t="str">
            <v xml:space="preserve">M. Azhar Firdaus </v>
          </cell>
          <cell r="E380" t="str">
            <v>081351377427</v>
          </cell>
          <cell r="F380" t="str">
            <v>Jl. Badak IV Blok B No. 104 PTI, Kel. Jatimulya, Kec. Tambun
Selatan, Kab. Bekasi, Prop. Jawa Barat</v>
          </cell>
          <cell r="G380" t="b">
            <v>1</v>
          </cell>
          <cell r="H380" t="b">
            <v>0</v>
          </cell>
          <cell r="I380" t="b">
            <v>0</v>
          </cell>
          <cell r="J380" t="b">
            <v>0</v>
          </cell>
          <cell r="K380" t="b">
            <v>0</v>
          </cell>
          <cell r="L380" t="b">
            <v>0</v>
          </cell>
          <cell r="M380" t="b">
            <v>0</v>
          </cell>
          <cell r="N380" t="b">
            <v>0</v>
          </cell>
          <cell r="O380" t="b">
            <v>0</v>
          </cell>
          <cell r="P380" t="b">
            <v>0</v>
          </cell>
          <cell r="Q380" t="b">
            <v>0</v>
          </cell>
          <cell r="R380" t="b">
            <v>0</v>
          </cell>
          <cell r="S380" t="b">
            <v>0</v>
          </cell>
          <cell r="T380" t="b">
            <v>0</v>
          </cell>
          <cell r="U380" t="str">
            <v>A</v>
          </cell>
          <cell r="V380" t="str">
            <v>Register</v>
          </cell>
          <cell r="W380" t="str">
            <v>GT - ME</v>
          </cell>
          <cell r="X380" t="str">
            <v>General Trading - Mechanical</v>
          </cell>
          <cell r="Y380" t="str">
            <v>Gasket</v>
          </cell>
        </row>
        <row r="381">
          <cell r="B381" t="str">
            <v>THYSSENKRUPP TECHNOLOGIES INDONESIA, PT</v>
          </cell>
          <cell r="C381" t="str">
            <v>abdul.karim@tkelevator.com</v>
          </cell>
          <cell r="D381" t="str">
            <v>Abdul Karim</v>
          </cell>
          <cell r="E381" t="str">
            <v xml:space="preserve">08159000530 </v>
          </cell>
          <cell r="F381" t="str">
            <v>Gedung Trihamas Lantai 2, JL. TB Simatupang Kav 11, Tanjung Barat, Jagakarsa, Jakarta Selatan, DKI Jakarta 12530</v>
          </cell>
          <cell r="G381" t="b">
            <v>0</v>
          </cell>
          <cell r="H381" t="b">
            <v>0</v>
          </cell>
          <cell r="I381" t="b">
            <v>0</v>
          </cell>
          <cell r="J381" t="b">
            <v>0</v>
          </cell>
          <cell r="K381" t="b">
            <v>0</v>
          </cell>
          <cell r="L381" t="b">
            <v>0</v>
          </cell>
          <cell r="M381" t="b">
            <v>0</v>
          </cell>
          <cell r="N381" t="b">
            <v>0</v>
          </cell>
          <cell r="O381" t="b">
            <v>0</v>
          </cell>
          <cell r="P381" t="b">
            <v>0</v>
          </cell>
          <cell r="Q381" t="b">
            <v>0</v>
          </cell>
          <cell r="R381" t="b">
            <v>0</v>
          </cell>
          <cell r="S381" t="b">
            <v>0</v>
          </cell>
          <cell r="T381" t="b">
            <v>0</v>
          </cell>
          <cell r="U381" t="str">
            <v>NA</v>
          </cell>
          <cell r="V381" t="str">
            <v>No Register</v>
          </cell>
          <cell r="W381" t="str">
            <v/>
          </cell>
          <cell r="Y381" t="str">
            <v/>
          </cell>
        </row>
        <row r="382">
          <cell r="B382" t="str">
            <v>Multi Transs Utama, PT</v>
          </cell>
          <cell r="C382" t="str">
            <v/>
          </cell>
          <cell r="D382" t="str">
            <v/>
          </cell>
          <cell r="E382" t="str">
            <v/>
          </cell>
          <cell r="F382" t="str">
            <v>Jl. Simpang Darmo Permai Selatan XV No. 36 RT.005 RW.010, Lontar Sambikerep, Surabaya, Jawa Timur</v>
          </cell>
          <cell r="G382" t="str">
            <v>□</v>
          </cell>
          <cell r="H382" t="str">
            <v>□</v>
          </cell>
          <cell r="I382" t="str">
            <v>□</v>
          </cell>
          <cell r="J382" t="str">
            <v>□</v>
          </cell>
          <cell r="K382" t="str">
            <v>□</v>
          </cell>
          <cell r="L382" t="str">
            <v>□</v>
          </cell>
          <cell r="M382" t="str">
            <v>□</v>
          </cell>
          <cell r="N382" t="str">
            <v>□</v>
          </cell>
          <cell r="O382" t="str">
            <v>□</v>
          </cell>
          <cell r="P382" t="str">
            <v>□</v>
          </cell>
          <cell r="Q382" t="str">
            <v>□</v>
          </cell>
          <cell r="R382" t="str">
            <v>□</v>
          </cell>
          <cell r="S382" t="str">
            <v>□</v>
          </cell>
          <cell r="T382" t="str">
            <v>□</v>
          </cell>
          <cell r="U382" t="str">
            <v>NA</v>
          </cell>
          <cell r="V382" t="str">
            <v>No Register</v>
          </cell>
          <cell r="W382" t="str">
            <v/>
          </cell>
          <cell r="Y382" t="str">
            <v/>
          </cell>
        </row>
        <row r="383">
          <cell r="B383" t="str">
            <v>Cahaya Murni, CV</v>
          </cell>
          <cell r="C383" t="str">
            <v>cahayamurni2005@gmail.com</v>
          </cell>
          <cell r="D383" t="str">
            <v>Ghafur Nurcholis</v>
          </cell>
          <cell r="E383" t="str">
            <v>085849540436</v>
          </cell>
          <cell r="F383" t="str">
            <v>Komp. Permata Baru I, Jl. Jamrud D-7 RT-12, Pembataan - Murung Pudak - Tabalong - 71571</v>
          </cell>
          <cell r="G383" t="b">
            <v>0</v>
          </cell>
          <cell r="H383" t="b">
            <v>0</v>
          </cell>
          <cell r="I383" t="b">
            <v>0</v>
          </cell>
          <cell r="J383" t="b">
            <v>0</v>
          </cell>
          <cell r="K383" t="b">
            <v>0</v>
          </cell>
          <cell r="L383" t="b">
            <v>0</v>
          </cell>
          <cell r="M383" t="b">
            <v>0</v>
          </cell>
          <cell r="N383" t="b">
            <v>0</v>
          </cell>
          <cell r="O383" t="b">
            <v>0</v>
          </cell>
          <cell r="P383" t="b">
            <v>0</v>
          </cell>
          <cell r="Q383" t="b">
            <v>0</v>
          </cell>
          <cell r="R383" t="b">
            <v>0</v>
          </cell>
          <cell r="S383" t="b">
            <v>1</v>
          </cell>
          <cell r="T383" t="b">
            <v>0</v>
          </cell>
          <cell r="U383" t="str">
            <v>A</v>
          </cell>
          <cell r="V383" t="str">
            <v>Register</v>
          </cell>
          <cell r="W383" t="str">
            <v>GT - ID</v>
          </cell>
          <cell r="X383" t="str">
            <v>General Trading - Industrial Goods</v>
          </cell>
          <cell r="Y383" t="str">
            <v/>
          </cell>
        </row>
        <row r="384">
          <cell r="B384" t="str">
            <v>Trimitra Bangun Karyatama, PT</v>
          </cell>
          <cell r="C384" t="str">
            <v>devid@tribama.com; lusiana@tribama.com</v>
          </cell>
          <cell r="D384" t="str">
            <v>Devid</v>
          </cell>
          <cell r="E384" t="str">
            <v>081288866906</v>
          </cell>
          <cell r="F384" t="str">
            <v>Fontana Office Tower Lt. 26 Unit K2, Jl. Trembesi Blok D4, Bandar Baru, Komplek Kemayoran, Jakarta - 14410</v>
          </cell>
          <cell r="G384" t="b">
            <v>0</v>
          </cell>
          <cell r="H384" t="b">
            <v>0</v>
          </cell>
          <cell r="I384" t="b">
            <v>1</v>
          </cell>
          <cell r="J384" t="b">
            <v>0</v>
          </cell>
          <cell r="K384" t="b">
            <v>0</v>
          </cell>
          <cell r="L384" t="b">
            <v>0</v>
          </cell>
          <cell r="M384" t="b">
            <v>0</v>
          </cell>
          <cell r="N384" t="b">
            <v>0</v>
          </cell>
          <cell r="O384" t="b">
            <v>0</v>
          </cell>
          <cell r="P384" t="b">
            <v>0</v>
          </cell>
          <cell r="Q384" t="b">
            <v>0</v>
          </cell>
          <cell r="R384" t="b">
            <v>0</v>
          </cell>
          <cell r="S384" t="b">
            <v>0</v>
          </cell>
          <cell r="T384" t="b">
            <v>0</v>
          </cell>
          <cell r="U384" t="str">
            <v>A</v>
          </cell>
          <cell r="V384" t="str">
            <v>Register</v>
          </cell>
          <cell r="W384" t="str">
            <v>GT - IC</v>
          </cell>
          <cell r="X384" t="str">
            <v>General Trading - Instrument</v>
          </cell>
          <cell r="Y384" t="str">
            <v>Instrumentation</v>
          </cell>
        </row>
        <row r="385">
          <cell r="B385" t="str">
            <v>Greentek Elektrikal Indonesia, PT</v>
          </cell>
          <cell r="C385" t="str">
            <v>rendym@greentechinternational.com</v>
          </cell>
          <cell r="D385" t="str">
            <v>Rendy</v>
          </cell>
          <cell r="E385" t="str">
            <v>081291468149</v>
          </cell>
          <cell r="F385" t="str">
            <v>The Manhattan Square Mid Tower LT.12, JL. TB Simatupang, No.Kav 1-5, Cilandak Timur, Pasar Minggu, Jakarta Selatan, DKI Jakarta -12950</v>
          </cell>
          <cell r="G385" t="b">
            <v>0</v>
          </cell>
          <cell r="H385" t="b">
            <v>1</v>
          </cell>
          <cell r="I385" t="b">
            <v>1</v>
          </cell>
          <cell r="J385" t="b">
            <v>0</v>
          </cell>
          <cell r="K385" t="b">
            <v>0</v>
          </cell>
          <cell r="L385" t="b">
            <v>0</v>
          </cell>
          <cell r="M385" t="b">
            <v>0</v>
          </cell>
          <cell r="N385" t="b">
            <v>0</v>
          </cell>
          <cell r="O385" t="b">
            <v>0</v>
          </cell>
          <cell r="P385" t="b">
            <v>0</v>
          </cell>
          <cell r="Q385" t="b">
            <v>0</v>
          </cell>
          <cell r="R385" t="b">
            <v>0</v>
          </cell>
          <cell r="S385" t="b">
            <v>1</v>
          </cell>
          <cell r="T385" t="b">
            <v>0</v>
          </cell>
          <cell r="U385" t="str">
            <v>A</v>
          </cell>
          <cell r="V385" t="str">
            <v>Register</v>
          </cell>
          <cell r="W385" t="str">
            <v>GT - IC</v>
          </cell>
          <cell r="X385" t="str">
            <v>General Trading - Elektrical
General Trading - Instrument</v>
          </cell>
          <cell r="Y385" t="str">
            <v>Electrical</v>
          </cell>
        </row>
        <row r="386">
          <cell r="B386" t="str">
            <v>Gevana, PT</v>
          </cell>
          <cell r="C386" t="str">
            <v>charlierobiansa7@gmail.com; eviedenny277@gmail.com</v>
          </cell>
          <cell r="D386" t="str">
            <v>Charlie</v>
          </cell>
          <cell r="E386" t="str">
            <v>085809924253</v>
          </cell>
          <cell r="F386" t="str">
            <v>Ruko Botanical Junction Blok 110 No.12  Joglo, Kembangan - Jakarta Barat</v>
          </cell>
          <cell r="G386" t="b">
            <v>1</v>
          </cell>
          <cell r="H386" t="b">
            <v>1</v>
          </cell>
          <cell r="I386" t="b">
            <v>1</v>
          </cell>
          <cell r="J386" t="b">
            <v>0</v>
          </cell>
          <cell r="K386" t="b">
            <v>0</v>
          </cell>
          <cell r="L386" t="b">
            <v>0</v>
          </cell>
          <cell r="M386" t="b">
            <v>0</v>
          </cell>
          <cell r="N386" t="b">
            <v>0</v>
          </cell>
          <cell r="O386" t="b">
            <v>0</v>
          </cell>
          <cell r="P386" t="b">
            <v>0</v>
          </cell>
          <cell r="Q386" t="b">
            <v>0</v>
          </cell>
          <cell r="R386" t="b">
            <v>0</v>
          </cell>
          <cell r="S386" t="b">
            <v>1</v>
          </cell>
          <cell r="T386" t="b">
            <v>0</v>
          </cell>
          <cell r="U386" t="str">
            <v>A</v>
          </cell>
          <cell r="V386" t="str">
            <v>Register</v>
          </cell>
          <cell r="W386" t="str">
            <v>GT - ME
GT - IC</v>
          </cell>
          <cell r="X386" t="str">
            <v>General Trading - Mechanical
General Trading - Elektrical
General Trading - Instrument</v>
          </cell>
          <cell r="Y386" t="str">
            <v>GT</v>
          </cell>
        </row>
        <row r="387">
          <cell r="B387" t="str">
            <v>Suprabakti Mandiri, PT</v>
          </cell>
          <cell r="C387" t="str">
            <v>han@beltcare.com; sucinto@beltcare.com</v>
          </cell>
          <cell r="D387" t="str">
            <v>Han</v>
          </cell>
          <cell r="E387" t="str">
            <v>082188880708; 08118000746</v>
          </cell>
          <cell r="F387" t="str">
            <v>GRAHA SUPRA Jl. Danau Sunter Utara A9 Lt.2 - Sunter, Jakarta Utara</v>
          </cell>
          <cell r="G387" t="b">
            <v>1</v>
          </cell>
          <cell r="H387" t="b">
            <v>0</v>
          </cell>
          <cell r="I387" t="b">
            <v>0</v>
          </cell>
          <cell r="J387" t="b">
            <v>0</v>
          </cell>
          <cell r="K387" t="b">
            <v>0</v>
          </cell>
          <cell r="L387" t="b">
            <v>0</v>
          </cell>
          <cell r="M387" t="b">
            <v>0</v>
          </cell>
          <cell r="N387" t="b">
            <v>1</v>
          </cell>
          <cell r="O387" t="b">
            <v>0</v>
          </cell>
          <cell r="P387" t="b">
            <v>0</v>
          </cell>
          <cell r="Q387" t="b">
            <v>0</v>
          </cell>
          <cell r="R387" t="b">
            <v>0</v>
          </cell>
          <cell r="S387" t="b">
            <v>0</v>
          </cell>
          <cell r="T387" t="b">
            <v>0</v>
          </cell>
          <cell r="U387" t="str">
            <v>A</v>
          </cell>
          <cell r="V387" t="str">
            <v>Register</v>
          </cell>
          <cell r="W387" t="str">
            <v>GT - ME</v>
          </cell>
          <cell r="X387" t="str">
            <v>General Trading - Mechanical
Service Jasa - Mechanical</v>
          </cell>
          <cell r="Y387" t="str">
            <v>Conveyor System
AD Remtiptop</v>
          </cell>
        </row>
        <row r="388">
          <cell r="B388" t="str">
            <v>Pohon Mas Sejahtera, PT</v>
          </cell>
          <cell r="C388" t="str">
            <v>irawan@ptpms.com</v>
          </cell>
          <cell r="D388" t="str">
            <v>Krisna Irawan</v>
          </cell>
          <cell r="E388" t="str">
            <v>081298488991</v>
          </cell>
          <cell r="F388" t="str">
            <v>Taman Pulo Indah Blok L 26 Penggilingan Jakarta Timur</v>
          </cell>
          <cell r="G388" t="b">
            <v>0</v>
          </cell>
          <cell r="H388" t="b">
            <v>0</v>
          </cell>
          <cell r="I388" t="b">
            <v>0</v>
          </cell>
          <cell r="J388" t="b">
            <v>0</v>
          </cell>
          <cell r="K388" t="b">
            <v>0</v>
          </cell>
          <cell r="L388" t="b">
            <v>0</v>
          </cell>
          <cell r="M388" t="b">
            <v>0</v>
          </cell>
          <cell r="N388" t="b">
            <v>0</v>
          </cell>
          <cell r="O388" t="b">
            <v>0</v>
          </cell>
          <cell r="P388" t="b">
            <v>0</v>
          </cell>
          <cell r="Q388" t="b">
            <v>0</v>
          </cell>
          <cell r="R388" t="b">
            <v>0</v>
          </cell>
          <cell r="S388" t="b">
            <v>0</v>
          </cell>
          <cell r="T388" t="b">
            <v>0</v>
          </cell>
          <cell r="U388" t="str">
            <v>NA</v>
          </cell>
          <cell r="V388" t="str">
            <v>No Register</v>
          </cell>
          <cell r="W388" t="str">
            <v/>
          </cell>
          <cell r="Y388" t="str">
            <v/>
          </cell>
        </row>
        <row r="389">
          <cell r="B389" t="str">
            <v>Viktori Profindo Industri, PT</v>
          </cell>
          <cell r="C389" t="str">
            <v/>
          </cell>
          <cell r="D389" t="str">
            <v/>
          </cell>
          <cell r="E389" t="str">
            <v/>
          </cell>
          <cell r="F389" t="str">
            <v>Jl. Kapuk Timur Blok F23 No.20F, Delta Silicone 3, Lippo Cikarang,</v>
          </cell>
          <cell r="G389" t="str">
            <v>□</v>
          </cell>
          <cell r="H389" t="str">
            <v>□</v>
          </cell>
          <cell r="I389" t="str">
            <v>□</v>
          </cell>
          <cell r="J389" t="str">
            <v>□</v>
          </cell>
          <cell r="K389" t="str">
            <v>□</v>
          </cell>
          <cell r="L389" t="str">
            <v>□</v>
          </cell>
          <cell r="M389" t="str">
            <v>□</v>
          </cell>
          <cell r="N389" t="str">
            <v>□</v>
          </cell>
          <cell r="O389" t="str">
            <v>□</v>
          </cell>
          <cell r="P389" t="str">
            <v>□</v>
          </cell>
          <cell r="Q389" t="str">
            <v>□</v>
          </cell>
          <cell r="R389" t="str">
            <v>□</v>
          </cell>
          <cell r="S389" t="str">
            <v>□</v>
          </cell>
          <cell r="T389" t="str">
            <v>□</v>
          </cell>
          <cell r="U389" t="str">
            <v>NA</v>
          </cell>
          <cell r="V389" t="str">
            <v>No Register</v>
          </cell>
          <cell r="W389" t="str">
            <v/>
          </cell>
          <cell r="Y389" t="str">
            <v/>
          </cell>
        </row>
        <row r="390">
          <cell r="B390" t="str">
            <v>Tirta Jaya Primakarsa, PT</v>
          </cell>
          <cell r="C390" t="str">
            <v>irena@tirtajayaprima.com</v>
          </cell>
          <cell r="D390" t="str">
            <v xml:space="preserve"> Irena</v>
          </cell>
          <cell r="E390" t="str">
            <v>087883876352</v>
          </cell>
          <cell r="F390" t="str">
            <v>Graha Arteri Mas Kav.27, Jl, Panjang No.68. Kedoya Selatan, Kebun Jeruk,</v>
          </cell>
          <cell r="G390" t="str">
            <v>□</v>
          </cell>
          <cell r="H390" t="str">
            <v>□</v>
          </cell>
          <cell r="I390" t="str">
            <v>□</v>
          </cell>
          <cell r="J390" t="str">
            <v>□</v>
          </cell>
          <cell r="K390" t="str">
            <v>□</v>
          </cell>
          <cell r="L390" t="str">
            <v>□</v>
          </cell>
          <cell r="M390" t="str">
            <v>□</v>
          </cell>
          <cell r="N390" t="str">
            <v>□</v>
          </cell>
          <cell r="O390" t="str">
            <v>□</v>
          </cell>
          <cell r="P390" t="str">
            <v>□</v>
          </cell>
          <cell r="Q390" t="str">
            <v>□</v>
          </cell>
          <cell r="R390" t="str">
            <v>□</v>
          </cell>
          <cell r="S390" t="str">
            <v>□</v>
          </cell>
          <cell r="T390" t="str">
            <v>□</v>
          </cell>
          <cell r="U390" t="str">
            <v>NA</v>
          </cell>
          <cell r="V390" t="str">
            <v>No Register</v>
          </cell>
          <cell r="W390" t="str">
            <v/>
          </cell>
          <cell r="Y390" t="str">
            <v/>
          </cell>
        </row>
        <row r="391">
          <cell r="B391" t="str">
            <v>Bumi Cahaya Unggul, PT</v>
          </cell>
          <cell r="C391" t="str">
            <v>info@bcupt.id; daniel.wi@bcupt.id</v>
          </cell>
          <cell r="D391" t="str">
            <v xml:space="preserve">Daniel W.I. </v>
          </cell>
          <cell r="E391" t="str">
            <v xml:space="preserve">08164834171 </v>
          </cell>
          <cell r="F391" t="str">
            <v>Jl. Rawa Kepiting NO.3, Kawasan Industri Pulogadung, Rawa Terate - Cakung</v>
          </cell>
          <cell r="G391" t="b">
            <v>0</v>
          </cell>
          <cell r="H391" t="b">
            <v>0</v>
          </cell>
          <cell r="I391" t="b">
            <v>0</v>
          </cell>
          <cell r="J391" t="b">
            <v>0</v>
          </cell>
          <cell r="K391" t="b">
            <v>0</v>
          </cell>
          <cell r="L391" t="b">
            <v>0</v>
          </cell>
          <cell r="M391" t="b">
            <v>0</v>
          </cell>
          <cell r="N391" t="b">
            <v>1</v>
          </cell>
          <cell r="O391" t="b">
            <v>0</v>
          </cell>
          <cell r="P391" t="b">
            <v>0</v>
          </cell>
          <cell r="Q391" t="b">
            <v>0</v>
          </cell>
          <cell r="R391" t="b">
            <v>0</v>
          </cell>
          <cell r="S391" t="b">
            <v>1</v>
          </cell>
          <cell r="T391" t="b">
            <v>0</v>
          </cell>
          <cell r="U391" t="str">
            <v>NA</v>
          </cell>
          <cell r="V391" t="str">
            <v>Register</v>
          </cell>
          <cell r="W391" t="str">
            <v>GT - ME</v>
          </cell>
          <cell r="X391" t="str">
            <v>General Trading - Mechanical</v>
          </cell>
          <cell r="Y391" t="str">
            <v/>
          </cell>
        </row>
        <row r="392">
          <cell r="B392" t="str">
            <v>Duta Perkasa, CV</v>
          </cell>
          <cell r="C392" t="str">
            <v/>
          </cell>
          <cell r="D392" t="str">
            <v/>
          </cell>
          <cell r="E392" t="str">
            <v/>
          </cell>
          <cell r="F392" t="str">
            <v>Jl. Margorejo Indah C, No.510-A, RT.003 RW.008, Margorejo, Wonocolo,</v>
          </cell>
          <cell r="G392" t="str">
            <v>□</v>
          </cell>
          <cell r="H392" t="str">
            <v>□</v>
          </cell>
          <cell r="I392" t="str">
            <v>□</v>
          </cell>
          <cell r="J392" t="str">
            <v>□</v>
          </cell>
          <cell r="K392" t="str">
            <v>□</v>
          </cell>
          <cell r="L392" t="str">
            <v>□</v>
          </cell>
          <cell r="M392" t="str">
            <v>□</v>
          </cell>
          <cell r="N392" t="str">
            <v>□</v>
          </cell>
          <cell r="O392" t="str">
            <v>□</v>
          </cell>
          <cell r="P392" t="str">
            <v>□</v>
          </cell>
          <cell r="Q392" t="str">
            <v>□</v>
          </cell>
          <cell r="R392" t="str">
            <v>□</v>
          </cell>
          <cell r="S392" t="str">
            <v>□</v>
          </cell>
          <cell r="T392" t="str">
            <v>□</v>
          </cell>
          <cell r="U392" t="str">
            <v>NA</v>
          </cell>
          <cell r="V392" t="str">
            <v>No Register</v>
          </cell>
          <cell r="W392" t="str">
            <v/>
          </cell>
          <cell r="Y392" t="str">
            <v/>
          </cell>
        </row>
        <row r="393">
          <cell r="B393" t="str">
            <v>Lagas Mandiri, PT</v>
          </cell>
          <cell r="C393" t="str">
            <v/>
          </cell>
          <cell r="D393" t="str">
            <v>Ida Bagus Gede Ari Widiana.,SE.</v>
          </cell>
          <cell r="E393" t="str">
            <v>081236391422</v>
          </cell>
          <cell r="F393" t="str">
            <v>Desa Jontlak, Jontlak Praya Tengah,</v>
          </cell>
          <cell r="G393" t="str">
            <v>□</v>
          </cell>
          <cell r="H393" t="str">
            <v>□</v>
          </cell>
          <cell r="I393" t="str">
            <v>□</v>
          </cell>
          <cell r="J393" t="str">
            <v>□</v>
          </cell>
          <cell r="K393" t="str">
            <v>□</v>
          </cell>
          <cell r="L393" t="str">
            <v>□</v>
          </cell>
          <cell r="M393" t="str">
            <v>□</v>
          </cell>
          <cell r="N393" t="str">
            <v>□</v>
          </cell>
          <cell r="O393" t="str">
            <v>□</v>
          </cell>
          <cell r="P393" t="str">
            <v>□</v>
          </cell>
          <cell r="Q393" t="str">
            <v>□</v>
          </cell>
          <cell r="R393" t="str">
            <v>□</v>
          </cell>
          <cell r="S393" t="str">
            <v>□</v>
          </cell>
          <cell r="T393" t="str">
            <v>□</v>
          </cell>
          <cell r="U393" t="str">
            <v>NA</v>
          </cell>
          <cell r="V393" t="str">
            <v>No Register</v>
          </cell>
          <cell r="W393" t="str">
            <v/>
          </cell>
          <cell r="Y393" t="str">
            <v/>
          </cell>
        </row>
        <row r="394">
          <cell r="B394" t="str">
            <v>Takari Kokoh Sejahtera, PT</v>
          </cell>
          <cell r="C394" t="str">
            <v/>
          </cell>
          <cell r="D394" t="str">
            <v/>
          </cell>
          <cell r="E394" t="str">
            <v/>
          </cell>
          <cell r="F394" t="str">
            <v>JL. Arjuna Utara No. 131 RT.001 / RW.01, Tanjung Duren Selatan, Grogol, Petamburan,</v>
          </cell>
          <cell r="G394" t="str">
            <v>□</v>
          </cell>
          <cell r="H394" t="str">
            <v>□</v>
          </cell>
          <cell r="I394" t="str">
            <v>□</v>
          </cell>
          <cell r="J394" t="str">
            <v>□</v>
          </cell>
          <cell r="K394" t="str">
            <v>□</v>
          </cell>
          <cell r="L394" t="str">
            <v>□</v>
          </cell>
          <cell r="M394" t="str">
            <v>□</v>
          </cell>
          <cell r="N394" t="str">
            <v>□</v>
          </cell>
          <cell r="O394" t="str">
            <v>□</v>
          </cell>
          <cell r="P394" t="str">
            <v>□</v>
          </cell>
          <cell r="Q394" t="str">
            <v>□</v>
          </cell>
          <cell r="R394" t="str">
            <v>□</v>
          </cell>
          <cell r="S394" t="str">
            <v>□</v>
          </cell>
          <cell r="T394" t="str">
            <v>□</v>
          </cell>
          <cell r="U394" t="str">
            <v>NA</v>
          </cell>
          <cell r="V394" t="str">
            <v>No Register</v>
          </cell>
          <cell r="W394" t="str">
            <v/>
          </cell>
          <cell r="Y394" t="str">
            <v/>
          </cell>
        </row>
        <row r="395">
          <cell r="B395" t="str">
            <v>Berkat Jaya Komputindo, PT</v>
          </cell>
          <cell r="C395" t="str">
            <v>berkat_jaya_komputindo@yahoo.co.id</v>
          </cell>
          <cell r="D395" t="str">
            <v>Tifang</v>
          </cell>
          <cell r="E395" t="str">
            <v>081807436498</v>
          </cell>
          <cell r="F395" t="str">
            <v>JL. P. Jayakarta GG. Gatep No.19-E, Gunung Sahari Utara, Sawah Besar,</v>
          </cell>
          <cell r="G395" t="b">
            <v>0</v>
          </cell>
          <cell r="H395" t="b">
            <v>0</v>
          </cell>
          <cell r="I395" t="b">
            <v>0</v>
          </cell>
          <cell r="J395" t="b">
            <v>0</v>
          </cell>
          <cell r="K395" t="b">
            <v>0</v>
          </cell>
          <cell r="L395" t="b">
            <v>1</v>
          </cell>
          <cell r="M395" t="b">
            <v>0</v>
          </cell>
          <cell r="N395" t="b">
            <v>0</v>
          </cell>
          <cell r="O395" t="b">
            <v>0</v>
          </cell>
          <cell r="P395" t="b">
            <v>0</v>
          </cell>
          <cell r="Q395" t="b">
            <v>0</v>
          </cell>
          <cell r="R395" t="b">
            <v>0</v>
          </cell>
          <cell r="S395" t="b">
            <v>0</v>
          </cell>
          <cell r="T395" t="b">
            <v>0</v>
          </cell>
          <cell r="U395" t="str">
            <v>A</v>
          </cell>
          <cell r="V395" t="str">
            <v>Register</v>
          </cell>
          <cell r="W395" t="str">
            <v>IT - HW</v>
          </cell>
          <cell r="X395" t="str">
            <v>IT &amp; System - Hardware</v>
          </cell>
          <cell r="Y395" t="str">
            <v>IT</v>
          </cell>
        </row>
        <row r="396">
          <cell r="B396" t="str">
            <v>Donny Herlinda, PT</v>
          </cell>
          <cell r="C396" t="str">
            <v/>
          </cell>
          <cell r="D396" t="str">
            <v/>
          </cell>
          <cell r="E396" t="str">
            <v/>
          </cell>
          <cell r="F396" t="str">
            <v>Jl. Buaran Indah Blok U 229, Klender, Duren Sawit</v>
          </cell>
          <cell r="G396" t="str">
            <v>□</v>
          </cell>
          <cell r="H396" t="str">
            <v>□</v>
          </cell>
          <cell r="I396" t="str">
            <v>□</v>
          </cell>
          <cell r="J396" t="str">
            <v>□</v>
          </cell>
          <cell r="K396" t="str">
            <v>□</v>
          </cell>
          <cell r="L396" t="str">
            <v>□</v>
          </cell>
          <cell r="M396" t="str">
            <v>□</v>
          </cell>
          <cell r="N396" t="str">
            <v>□</v>
          </cell>
          <cell r="O396" t="str">
            <v>□</v>
          </cell>
          <cell r="P396" t="str">
            <v>□</v>
          </cell>
          <cell r="Q396" t="str">
            <v>□</v>
          </cell>
          <cell r="R396" t="str">
            <v>□</v>
          </cell>
          <cell r="S396" t="str">
            <v>□</v>
          </cell>
          <cell r="T396" t="str">
            <v>□</v>
          </cell>
          <cell r="U396" t="str">
            <v>NA</v>
          </cell>
          <cell r="V396" t="str">
            <v>No Register</v>
          </cell>
          <cell r="W396" t="str">
            <v/>
          </cell>
          <cell r="Y396" t="str">
            <v/>
          </cell>
        </row>
        <row r="397">
          <cell r="B397" t="str">
            <v>Halley and Mellowes Australasia, PT</v>
          </cell>
          <cell r="C397" t="str">
            <v/>
          </cell>
          <cell r="D397" t="str">
            <v/>
          </cell>
          <cell r="E397" t="str">
            <v/>
          </cell>
          <cell r="F397" t="str">
            <v>GD. 18 Office Park, LT. 5, Unit C, Jl. TB Simatupang No.18, Kebagusan, Pasar Minggu, Jakarta Selatan - 12520</v>
          </cell>
          <cell r="G397" t="str">
            <v>□</v>
          </cell>
          <cell r="H397" t="str">
            <v>□</v>
          </cell>
          <cell r="I397" t="str">
            <v>□</v>
          </cell>
          <cell r="J397" t="str">
            <v>□</v>
          </cell>
          <cell r="K397" t="str">
            <v>□</v>
          </cell>
          <cell r="L397" t="str">
            <v>□</v>
          </cell>
          <cell r="M397" t="str">
            <v>□</v>
          </cell>
          <cell r="N397" t="str">
            <v>□</v>
          </cell>
          <cell r="O397" t="str">
            <v>□</v>
          </cell>
          <cell r="P397" t="str">
            <v>□</v>
          </cell>
          <cell r="Q397" t="str">
            <v>□</v>
          </cell>
          <cell r="R397" t="str">
            <v>□</v>
          </cell>
          <cell r="S397" t="str">
            <v>□</v>
          </cell>
          <cell r="T397" t="str">
            <v>□</v>
          </cell>
          <cell r="U397" t="str">
            <v>NA</v>
          </cell>
          <cell r="V397" t="str">
            <v>No Register</v>
          </cell>
          <cell r="W397" t="str">
            <v/>
          </cell>
          <cell r="Y397" t="str">
            <v/>
          </cell>
        </row>
        <row r="398">
          <cell r="B398" t="str">
            <v>Wiya System Solution, PT</v>
          </cell>
          <cell r="C398" t="str">
            <v>shelly.eva@wiya-system.com; teodorus.w@wiya-system.com</v>
          </cell>
          <cell r="D398" t="str">
            <v>Sukma</v>
          </cell>
          <cell r="E398" t="str">
            <v>087789307513</v>
          </cell>
          <cell r="F398" t="str">
            <v>Ruko Jl. Agung Niaga III Blok G.3 No.32, Kel. Sunter Agung, Kec. Tanjung Priok</v>
          </cell>
          <cell r="G398" t="b">
            <v>0</v>
          </cell>
          <cell r="H398" t="b">
            <v>0</v>
          </cell>
          <cell r="I398" t="b">
            <v>0</v>
          </cell>
          <cell r="J398" t="b">
            <v>0</v>
          </cell>
          <cell r="K398" t="b">
            <v>0</v>
          </cell>
          <cell r="L398" t="b">
            <v>0</v>
          </cell>
          <cell r="M398" t="b">
            <v>0</v>
          </cell>
          <cell r="N398" t="b">
            <v>0</v>
          </cell>
          <cell r="O398" t="b">
            <v>0</v>
          </cell>
          <cell r="P398" t="b">
            <v>0</v>
          </cell>
          <cell r="Q398" t="b">
            <v>0</v>
          </cell>
          <cell r="R398" t="b">
            <v>0</v>
          </cell>
          <cell r="S398" t="b">
            <v>0</v>
          </cell>
          <cell r="T398" t="b">
            <v>0</v>
          </cell>
          <cell r="U398" t="str">
            <v>A</v>
          </cell>
          <cell r="V398" t="str">
            <v>Register</v>
          </cell>
          <cell r="W398" t="str">
            <v>GT - ME</v>
          </cell>
          <cell r="X398" t="str">
            <v>General Trading - Mechanical</v>
          </cell>
          <cell r="Y398" t="str">
            <v/>
          </cell>
        </row>
        <row r="399">
          <cell r="B399" t="str">
            <v>ABB Power Grids Indonesia, PT</v>
          </cell>
          <cell r="C399" t="str">
            <v>marlyana.Astari@hitachi-powergrids.com</v>
          </cell>
          <cell r="D399" t="str">
            <v>Marlyana</v>
          </cell>
          <cell r="F399" t="str">
            <v>World Trade Center 3 Building, 24 Floor, Jl. Jend, Sudirman Kav 29-31, DKI Jakarta - 12560</v>
          </cell>
          <cell r="G399" t="str">
            <v>□</v>
          </cell>
          <cell r="H399" t="str">
            <v>□</v>
          </cell>
          <cell r="I399" t="str">
            <v>□</v>
          </cell>
          <cell r="J399" t="str">
            <v>□</v>
          </cell>
          <cell r="K399" t="str">
            <v>□</v>
          </cell>
          <cell r="L399" t="str">
            <v>□</v>
          </cell>
          <cell r="M399" t="str">
            <v>□</v>
          </cell>
          <cell r="N399" t="str">
            <v>□</v>
          </cell>
          <cell r="O399" t="str">
            <v>□</v>
          </cell>
          <cell r="P399" t="str">
            <v>□</v>
          </cell>
          <cell r="Q399" t="str">
            <v>□</v>
          </cell>
          <cell r="R399" t="str">
            <v>□</v>
          </cell>
          <cell r="S399" t="str">
            <v>□</v>
          </cell>
          <cell r="T399" t="str">
            <v>□</v>
          </cell>
          <cell r="U399" t="str">
            <v>NA</v>
          </cell>
          <cell r="V399" t="str">
            <v>No Register</v>
          </cell>
          <cell r="W399" t="str">
            <v/>
          </cell>
          <cell r="Y399" t="str">
            <v/>
          </cell>
        </row>
        <row r="400">
          <cell r="B400" t="str">
            <v>Simentari Abdhi Bina, PT</v>
          </cell>
          <cell r="C400" t="str">
            <v/>
          </cell>
          <cell r="D400" t="str">
            <v/>
          </cell>
          <cell r="E400" t="str">
            <v/>
          </cell>
          <cell r="F400" t="str">
            <v>Ngagel Jaya Selatan RMI Blok H-25, Baratjaya, Gubeng</v>
          </cell>
          <cell r="G400" t="str">
            <v>□</v>
          </cell>
          <cell r="H400" t="str">
            <v>□</v>
          </cell>
          <cell r="I400" t="str">
            <v>□</v>
          </cell>
          <cell r="J400" t="str">
            <v>□</v>
          </cell>
          <cell r="K400" t="str">
            <v>□</v>
          </cell>
          <cell r="L400" t="str">
            <v>□</v>
          </cell>
          <cell r="M400" t="str">
            <v>□</v>
          </cell>
          <cell r="N400" t="str">
            <v>□</v>
          </cell>
          <cell r="O400" t="str">
            <v>□</v>
          </cell>
          <cell r="P400" t="str">
            <v>□</v>
          </cell>
          <cell r="Q400" t="str">
            <v>□</v>
          </cell>
          <cell r="R400" t="str">
            <v>□</v>
          </cell>
          <cell r="S400" t="str">
            <v>□</v>
          </cell>
          <cell r="T400" t="str">
            <v>□</v>
          </cell>
          <cell r="U400" t="str">
            <v>NA</v>
          </cell>
          <cell r="V400" t="str">
            <v>No Register</v>
          </cell>
          <cell r="W400" t="str">
            <v/>
          </cell>
          <cell r="Y400" t="str">
            <v/>
          </cell>
        </row>
        <row r="401">
          <cell r="B401" t="str">
            <v>Energy Trans Martabe, PT</v>
          </cell>
          <cell r="C401" t="str">
            <v>ds.setyani@entramas.com; info@entramas.com</v>
          </cell>
          <cell r="D401" t="str">
            <v>Tyan</v>
          </cell>
          <cell r="E401" t="str">
            <v>081298791148</v>
          </cell>
          <cell r="F401" t="str">
            <v>Komplek Depkes III Kav. 122. RT.009 / RW.001, Jatibening, Pondokgede</v>
          </cell>
          <cell r="G401" t="b">
            <v>0</v>
          </cell>
          <cell r="H401" t="b">
            <v>0</v>
          </cell>
          <cell r="I401" t="b">
            <v>0</v>
          </cell>
          <cell r="J401" t="b">
            <v>0</v>
          </cell>
          <cell r="K401" t="b">
            <v>0</v>
          </cell>
          <cell r="L401" t="b">
            <v>0</v>
          </cell>
          <cell r="M401" t="b">
            <v>0</v>
          </cell>
          <cell r="N401" t="b">
            <v>0</v>
          </cell>
          <cell r="O401" t="b">
            <v>0</v>
          </cell>
          <cell r="P401" t="b">
            <v>0</v>
          </cell>
          <cell r="Q401" t="b">
            <v>0</v>
          </cell>
          <cell r="R401" t="b">
            <v>0</v>
          </cell>
          <cell r="S401" t="b">
            <v>0</v>
          </cell>
          <cell r="T401" t="b">
            <v>0</v>
          </cell>
          <cell r="U401" t="str">
            <v>NA</v>
          </cell>
          <cell r="V401" t="str">
            <v>Register</v>
          </cell>
          <cell r="W401" t="str">
            <v/>
          </cell>
          <cell r="Y401" t="str">
            <v/>
          </cell>
        </row>
        <row r="402">
          <cell r="B402" t="str">
            <v>Vistra Utama, PT</v>
          </cell>
          <cell r="C402" t="str">
            <v/>
          </cell>
          <cell r="D402" t="str">
            <v/>
          </cell>
          <cell r="E402" t="str">
            <v/>
          </cell>
          <cell r="F402" t="str">
            <v>Jl. Rawasari X No. 169 RT. 055 RW. 05. Kelurahan Teluk Dalam</v>
          </cell>
          <cell r="G402" t="str">
            <v>□</v>
          </cell>
          <cell r="H402" t="str">
            <v>□</v>
          </cell>
          <cell r="I402" t="str">
            <v>□</v>
          </cell>
          <cell r="J402" t="str">
            <v>□</v>
          </cell>
          <cell r="K402" t="str">
            <v>□</v>
          </cell>
          <cell r="L402" t="str">
            <v>□</v>
          </cell>
          <cell r="M402" t="str">
            <v>□</v>
          </cell>
          <cell r="N402" t="str">
            <v>□</v>
          </cell>
          <cell r="O402" t="str">
            <v>□</v>
          </cell>
          <cell r="P402" t="str">
            <v>□</v>
          </cell>
          <cell r="Q402" t="str">
            <v>□</v>
          </cell>
          <cell r="R402" t="str">
            <v>□</v>
          </cell>
          <cell r="S402" t="str">
            <v>□</v>
          </cell>
          <cell r="T402" t="str">
            <v>□</v>
          </cell>
          <cell r="U402" t="str">
            <v>NA</v>
          </cell>
          <cell r="V402" t="str">
            <v>No Register</v>
          </cell>
          <cell r="W402" t="str">
            <v/>
          </cell>
          <cell r="Y402" t="str">
            <v/>
          </cell>
        </row>
        <row r="403">
          <cell r="B403" t="str">
            <v>Mitra Wira Pratama, PT</v>
          </cell>
          <cell r="C403" t="str">
            <v>ramot@mitrawp.com; mikhael@mitrawp.com; indra@mitrawp.com</v>
          </cell>
          <cell r="D403" t="str">
            <v>Ramot Imanuel Sitompul</v>
          </cell>
          <cell r="E403" t="str">
            <v>081386741029</v>
          </cell>
          <cell r="F403" t="str">
            <v>Ruko Plaza Kebon Jeruk, Jl. Raya Pejuangan Blok B No. 1-2 Kebon Jeruk</v>
          </cell>
          <cell r="G403" t="b">
            <v>1</v>
          </cell>
          <cell r="H403" t="b">
            <v>0</v>
          </cell>
          <cell r="I403" t="b">
            <v>0</v>
          </cell>
          <cell r="J403" t="b">
            <v>0</v>
          </cell>
          <cell r="K403" t="b">
            <v>0</v>
          </cell>
          <cell r="L403" t="b">
            <v>0</v>
          </cell>
          <cell r="M403" t="b">
            <v>0</v>
          </cell>
          <cell r="N403" t="b">
            <v>0</v>
          </cell>
          <cell r="O403" t="b">
            <v>0</v>
          </cell>
          <cell r="P403" t="b">
            <v>0</v>
          </cell>
          <cell r="Q403" t="b">
            <v>0</v>
          </cell>
          <cell r="R403" t="b">
            <v>0</v>
          </cell>
          <cell r="S403" t="b">
            <v>0</v>
          </cell>
          <cell r="T403" t="b">
            <v>0</v>
          </cell>
          <cell r="U403" t="str">
            <v>A</v>
          </cell>
          <cell r="V403" t="str">
            <v>No Register</v>
          </cell>
          <cell r="W403" t="str">
            <v>GT - ME</v>
          </cell>
          <cell r="X403" t="str">
            <v>General Trading - Mechanical</v>
          </cell>
          <cell r="Y403" t="str">
            <v>Valve and connection</v>
          </cell>
        </row>
        <row r="404">
          <cell r="B404" t="str">
            <v>Medic Trust Inc, PT</v>
          </cell>
          <cell r="C404" t="str">
            <v/>
          </cell>
          <cell r="D404" t="str">
            <v>Niklaus</v>
          </cell>
          <cell r="E404" t="str">
            <v/>
          </cell>
          <cell r="F404" t="str">
            <v>Rumah indonet, Jl. Rempoa Raya No.11, RT.001 / RW.010, Kel Rempoa, Kec Ciputat Timur</v>
          </cell>
          <cell r="G404" t="str">
            <v>□</v>
          </cell>
          <cell r="H404" t="str">
            <v>□</v>
          </cell>
          <cell r="I404" t="str">
            <v>□</v>
          </cell>
          <cell r="J404" t="str">
            <v>□</v>
          </cell>
          <cell r="K404" t="str">
            <v>□</v>
          </cell>
          <cell r="L404" t="str">
            <v>□</v>
          </cell>
          <cell r="M404" t="str">
            <v>□</v>
          </cell>
          <cell r="N404" t="str">
            <v>□</v>
          </cell>
          <cell r="O404" t="str">
            <v>□</v>
          </cell>
          <cell r="P404" t="str">
            <v>□</v>
          </cell>
          <cell r="Q404" t="str">
            <v>□</v>
          </cell>
          <cell r="R404" t="str">
            <v>□</v>
          </cell>
          <cell r="S404" t="str">
            <v>□</v>
          </cell>
          <cell r="T404" t="str">
            <v>□</v>
          </cell>
          <cell r="U404" t="str">
            <v>NA</v>
          </cell>
          <cell r="V404" t="str">
            <v>No Register</v>
          </cell>
          <cell r="W404" t="str">
            <v/>
          </cell>
          <cell r="Y404" t="str">
            <v/>
          </cell>
        </row>
        <row r="405">
          <cell r="B405" t="str">
            <v>Powerindo Prima Perkasa, PT</v>
          </cell>
          <cell r="C405" t="str">
            <v>sales4@powerindoperkasa.com</v>
          </cell>
          <cell r="D405" t="str">
            <v>Nadia</v>
          </cell>
          <cell r="E405" t="str">
            <v>085886581747</v>
          </cell>
          <cell r="F405" t="str">
            <v>Jl. Siliwangi Alam Jaya RT.006 / RW.004, Alam Jaya, Jati Uwung</v>
          </cell>
          <cell r="G405" t="b">
            <v>0</v>
          </cell>
          <cell r="H405" t="b">
            <v>0</v>
          </cell>
          <cell r="I405" t="b">
            <v>0</v>
          </cell>
          <cell r="J405" t="b">
            <v>0</v>
          </cell>
          <cell r="K405" t="b">
            <v>0</v>
          </cell>
          <cell r="L405" t="b">
            <v>0</v>
          </cell>
          <cell r="M405" t="b">
            <v>0</v>
          </cell>
          <cell r="N405" t="b">
            <v>0</v>
          </cell>
          <cell r="O405" t="b">
            <v>0</v>
          </cell>
          <cell r="P405" t="b">
            <v>0</v>
          </cell>
          <cell r="Q405" t="b">
            <v>0</v>
          </cell>
          <cell r="R405" t="b">
            <v>0</v>
          </cell>
          <cell r="S405" t="b">
            <v>0</v>
          </cell>
          <cell r="T405" t="b">
            <v>0</v>
          </cell>
          <cell r="U405" t="str">
            <v>NA</v>
          </cell>
          <cell r="V405" t="str">
            <v>Register</v>
          </cell>
          <cell r="W405" t="str">
            <v/>
          </cell>
          <cell r="X405" t="str">
            <v>Service Jasa - Electrical</v>
          </cell>
          <cell r="Y405" t="str">
            <v/>
          </cell>
        </row>
        <row r="406">
          <cell r="B406" t="str">
            <v>Sola Anugerah Oilfield, PT</v>
          </cell>
          <cell r="C406" t="str">
            <v>mgr3@sola-oilfield.com; sales3@sola-oilfield.com; admsolaanugerah@gmail.com; sales6@sola-oilfield.com</v>
          </cell>
          <cell r="D406" t="str">
            <v>Revita; Mitha</v>
          </cell>
          <cell r="E406" t="str">
            <v>082154181887</v>
          </cell>
          <cell r="F406" t="str">
            <v>JL. MT Haryono Ruko Haryono Palace No. 26, Kel. Gunungsamarinda Baru, Kec. Balikpapan Utara</v>
          </cell>
          <cell r="G406" t="b">
            <v>1</v>
          </cell>
          <cell r="H406" t="b">
            <v>1</v>
          </cell>
          <cell r="I406" t="b">
            <v>1</v>
          </cell>
          <cell r="J406" t="b">
            <v>0</v>
          </cell>
          <cell r="K406" t="b">
            <v>0</v>
          </cell>
          <cell r="L406" t="b">
            <v>0</v>
          </cell>
          <cell r="M406" t="b">
            <v>0</v>
          </cell>
          <cell r="N406" t="b">
            <v>0</v>
          </cell>
          <cell r="O406" t="b">
            <v>0</v>
          </cell>
          <cell r="P406" t="b">
            <v>0</v>
          </cell>
          <cell r="Q406" t="b">
            <v>0</v>
          </cell>
          <cell r="R406" t="b">
            <v>0</v>
          </cell>
          <cell r="S406" t="b">
            <v>1</v>
          </cell>
          <cell r="T406" t="b">
            <v>0</v>
          </cell>
          <cell r="U406" t="str">
            <v>A</v>
          </cell>
          <cell r="V406" t="str">
            <v>Register</v>
          </cell>
          <cell r="W406" t="str">
            <v>GT - ME</v>
          </cell>
          <cell r="X406" t="str">
            <v>General Trading - Mechanical
General Trading - Elektrical</v>
          </cell>
          <cell r="Y406" t="str">
            <v>General Trading</v>
          </cell>
        </row>
        <row r="407">
          <cell r="B407" t="str">
            <v>Berkat Putra Medika, CV</v>
          </cell>
          <cell r="C407" t="str">
            <v/>
          </cell>
          <cell r="D407" t="str">
            <v/>
          </cell>
          <cell r="E407" t="str">
            <v/>
          </cell>
          <cell r="F407" t="str">
            <v>Jl. Limau Manis, RT.007 / RW.000, Kel. Tanta Hulu, Kec. Tanta</v>
          </cell>
          <cell r="G407" t="str">
            <v>□</v>
          </cell>
          <cell r="H407" t="str">
            <v>□</v>
          </cell>
          <cell r="I407" t="str">
            <v>□</v>
          </cell>
          <cell r="J407" t="str">
            <v>□</v>
          </cell>
          <cell r="K407" t="str">
            <v>□</v>
          </cell>
          <cell r="L407" t="str">
            <v>□</v>
          </cell>
          <cell r="M407" t="str">
            <v>□</v>
          </cell>
          <cell r="N407" t="str">
            <v>□</v>
          </cell>
          <cell r="O407" t="str">
            <v>□</v>
          </cell>
          <cell r="P407" t="str">
            <v>□</v>
          </cell>
          <cell r="Q407" t="str">
            <v>□</v>
          </cell>
          <cell r="R407" t="str">
            <v>□</v>
          </cell>
          <cell r="S407" t="str">
            <v>□</v>
          </cell>
          <cell r="T407" t="str">
            <v>□</v>
          </cell>
          <cell r="U407" t="str">
            <v>NA</v>
          </cell>
          <cell r="V407" t="str">
            <v>No Register</v>
          </cell>
          <cell r="W407" t="str">
            <v/>
          </cell>
          <cell r="Y407" t="str">
            <v/>
          </cell>
        </row>
        <row r="408">
          <cell r="B408" t="str">
            <v>Narmada Setia, PT</v>
          </cell>
          <cell r="C408" t="str">
            <v>narmadasetia.bekasi@nrs.co.id; office@nrs.co.id; marketingnatasyanarma@gmail.com; anita.grafitra@nsetia.id</v>
          </cell>
          <cell r="D408" t="str">
            <v>Rizki N</v>
          </cell>
          <cell r="E408" t="str">
            <v>08113875325</v>
          </cell>
          <cell r="F408" t="str">
            <v>JL. KH. Agus Salim Blok C6 No.6 RT.016 / RW.013, Kel. Bekasi Jaya</v>
          </cell>
          <cell r="G408" t="b">
            <v>0</v>
          </cell>
          <cell r="H408" t="b">
            <v>0</v>
          </cell>
          <cell r="I408" t="b">
            <v>1</v>
          </cell>
          <cell r="J408" t="b">
            <v>0</v>
          </cell>
          <cell r="K408" t="b">
            <v>0</v>
          </cell>
          <cell r="L408" t="b">
            <v>0</v>
          </cell>
          <cell r="M408" t="b">
            <v>0</v>
          </cell>
          <cell r="N408" t="b">
            <v>0</v>
          </cell>
          <cell r="O408" t="b">
            <v>0</v>
          </cell>
          <cell r="P408" t="b">
            <v>0</v>
          </cell>
          <cell r="Q408" t="b">
            <v>0</v>
          </cell>
          <cell r="R408" t="b">
            <v>0</v>
          </cell>
          <cell r="S408" t="b">
            <v>0</v>
          </cell>
          <cell r="T408" t="b">
            <v>0</v>
          </cell>
          <cell r="U408" t="str">
            <v>A</v>
          </cell>
          <cell r="V408" t="str">
            <v>Register</v>
          </cell>
          <cell r="W408" t="str">
            <v>GT - CHE</v>
          </cell>
          <cell r="X408" t="str">
            <v>General Trading - Chemical</v>
          </cell>
          <cell r="Y408" t="str">
            <v>Tools &amp; Equipment</v>
          </cell>
        </row>
        <row r="409">
          <cell r="B409" t="str">
            <v>Banjar Permata Dua, PT</v>
          </cell>
          <cell r="C409" t="str">
            <v/>
          </cell>
          <cell r="D409" t="str">
            <v/>
          </cell>
          <cell r="E409" t="str">
            <v/>
          </cell>
          <cell r="F409" t="str">
            <v>JL. Sultan Adam, Komplek Pondok Kelapa No.3 RT.030 / RW 00, Sungai Miai, Banjarmasin Utara</v>
          </cell>
          <cell r="G409" t="str">
            <v>□</v>
          </cell>
          <cell r="H409" t="str">
            <v>□</v>
          </cell>
          <cell r="I409" t="str">
            <v>□</v>
          </cell>
          <cell r="J409" t="str">
            <v>□</v>
          </cell>
          <cell r="K409" t="str">
            <v>□</v>
          </cell>
          <cell r="L409" t="str">
            <v>□</v>
          </cell>
          <cell r="M409" t="str">
            <v>□</v>
          </cell>
          <cell r="N409" t="str">
            <v>□</v>
          </cell>
          <cell r="O409" t="str">
            <v>□</v>
          </cell>
          <cell r="P409" t="str">
            <v>□</v>
          </cell>
          <cell r="Q409" t="str">
            <v>□</v>
          </cell>
          <cell r="R409" t="str">
            <v>□</v>
          </cell>
          <cell r="S409" t="str">
            <v>□</v>
          </cell>
          <cell r="T409" t="str">
            <v>□</v>
          </cell>
          <cell r="U409" t="str">
            <v>NA</v>
          </cell>
          <cell r="V409" t="str">
            <v>No Register</v>
          </cell>
          <cell r="W409" t="str">
            <v/>
          </cell>
          <cell r="Y409" t="str">
            <v/>
          </cell>
        </row>
        <row r="410">
          <cell r="B410" t="str">
            <v>Satria Bengawan, PT</v>
          </cell>
          <cell r="C410" t="str">
            <v/>
          </cell>
          <cell r="D410" t="str">
            <v/>
          </cell>
          <cell r="E410" t="str">
            <v/>
          </cell>
          <cell r="F410" t="str">
            <v>Kp. Pisangan I No. 27 RT.009 / RW.003, Kel. Penggilingan, Kec. Cakung</v>
          </cell>
          <cell r="G410" t="str">
            <v>□</v>
          </cell>
          <cell r="H410" t="str">
            <v>□</v>
          </cell>
          <cell r="I410" t="str">
            <v>□</v>
          </cell>
          <cell r="J410" t="str">
            <v>□</v>
          </cell>
          <cell r="K410" t="str">
            <v>□</v>
          </cell>
          <cell r="L410" t="str">
            <v>□</v>
          </cell>
          <cell r="M410" t="str">
            <v>□</v>
          </cell>
          <cell r="N410" t="str">
            <v>□</v>
          </cell>
          <cell r="O410" t="str">
            <v>□</v>
          </cell>
          <cell r="P410" t="str">
            <v>□</v>
          </cell>
          <cell r="Q410" t="str">
            <v>□</v>
          </cell>
          <cell r="R410" t="str">
            <v>□</v>
          </cell>
          <cell r="S410" t="str">
            <v>□</v>
          </cell>
          <cell r="T410" t="str">
            <v>□</v>
          </cell>
          <cell r="U410" t="str">
            <v>NA</v>
          </cell>
          <cell r="V410" t="str">
            <v>No Register</v>
          </cell>
          <cell r="W410" t="str">
            <v/>
          </cell>
          <cell r="Y410" t="str">
            <v/>
          </cell>
        </row>
        <row r="411">
          <cell r="B411" t="str">
            <v>Selco Indonesia, PT</v>
          </cell>
          <cell r="C411" t="str">
            <v>s.suwanywong@gmail.com</v>
          </cell>
          <cell r="D411" t="str">
            <v>Suwandy</v>
          </cell>
          <cell r="F411" t="str">
            <v>Komplek Borneo Paradiso, Ruko Mahogani, Blok A No.10</v>
          </cell>
          <cell r="G411" t="str">
            <v>□</v>
          </cell>
          <cell r="H411" t="str">
            <v>□</v>
          </cell>
          <cell r="I411" t="str">
            <v>□</v>
          </cell>
          <cell r="J411" t="str">
            <v>□</v>
          </cell>
          <cell r="K411" t="str">
            <v>□</v>
          </cell>
          <cell r="L411" t="str">
            <v>□</v>
          </cell>
          <cell r="M411" t="str">
            <v>□</v>
          </cell>
          <cell r="N411" t="str">
            <v>□</v>
          </cell>
          <cell r="O411" t="str">
            <v>□</v>
          </cell>
          <cell r="P411" t="str">
            <v>□</v>
          </cell>
          <cell r="Q411" t="str">
            <v>□</v>
          </cell>
          <cell r="R411" t="str">
            <v>□</v>
          </cell>
          <cell r="S411" t="str">
            <v>□</v>
          </cell>
          <cell r="T411" t="str">
            <v>□</v>
          </cell>
          <cell r="U411" t="str">
            <v>NA</v>
          </cell>
          <cell r="V411" t="str">
            <v>No Register</v>
          </cell>
          <cell r="W411" t="str">
            <v/>
          </cell>
          <cell r="Y411" t="str">
            <v/>
          </cell>
        </row>
        <row r="412">
          <cell r="B412" t="str">
            <v>Prasadha Pamunah Limbah Industri, PT</v>
          </cell>
          <cell r="C412" t="str">
            <v>customerservice@ppli.co.id; sales@ppli.co.id; rani.rosalia@ppli.co.id; febri.prayitno@ppli.co.id</v>
          </cell>
          <cell r="D412" t="str">
            <v>Rani</v>
          </cell>
          <cell r="E412" t="str">
            <v>08118454009</v>
          </cell>
          <cell r="F412" t="str">
            <v>Sampoerna Strategic Square, South Tower, Lantai 18 Jl. Jend. Sudirman Kav. 45-46, Kel. Karet Semanggi, Kec. Setiabudi,</v>
          </cell>
          <cell r="G412" t="str">
            <v>□</v>
          </cell>
          <cell r="H412" t="str">
            <v>□</v>
          </cell>
          <cell r="I412" t="str">
            <v>□</v>
          </cell>
          <cell r="J412" t="str">
            <v>□</v>
          </cell>
          <cell r="K412" t="str">
            <v>□</v>
          </cell>
          <cell r="L412" t="str">
            <v>□</v>
          </cell>
          <cell r="M412" t="str">
            <v>□</v>
          </cell>
          <cell r="N412" t="str">
            <v>□</v>
          </cell>
          <cell r="O412" t="str">
            <v>□</v>
          </cell>
          <cell r="P412" t="str">
            <v>□</v>
          </cell>
          <cell r="Q412" t="str">
            <v>□</v>
          </cell>
          <cell r="R412" t="str">
            <v>□</v>
          </cell>
          <cell r="S412" t="str">
            <v>□</v>
          </cell>
          <cell r="T412" t="str">
            <v>□</v>
          </cell>
          <cell r="U412" t="str">
            <v>A</v>
          </cell>
          <cell r="V412" t="str">
            <v>Register</v>
          </cell>
          <cell r="W412" t="str">
            <v/>
          </cell>
          <cell r="X412" t="str">
            <v>Utilities - Ash Handling &amp; Disposal</v>
          </cell>
          <cell r="Y412" t="str">
            <v/>
          </cell>
        </row>
        <row r="413">
          <cell r="B413" t="str">
            <v>Biru Jaya Abadi, PT</v>
          </cell>
          <cell r="C413" t="str">
            <v/>
          </cell>
          <cell r="D413" t="str">
            <v/>
          </cell>
          <cell r="E413" t="str">
            <v/>
          </cell>
          <cell r="F413" t="str">
            <v>Satrio Tower 26th Floor Unit C-D, Jl. Prof. Dr. Satrio Kav. 1-4 Blok C4, Kuningan Timur, Setiabudi,</v>
          </cell>
          <cell r="G413" t="str">
            <v>□</v>
          </cell>
          <cell r="H413" t="str">
            <v>□</v>
          </cell>
          <cell r="I413" t="str">
            <v>□</v>
          </cell>
          <cell r="J413" t="str">
            <v>□</v>
          </cell>
          <cell r="K413" t="str">
            <v>□</v>
          </cell>
          <cell r="L413" t="str">
            <v>□</v>
          </cell>
          <cell r="M413" t="str">
            <v>□</v>
          </cell>
          <cell r="N413" t="str">
            <v>□</v>
          </cell>
          <cell r="O413" t="str">
            <v>□</v>
          </cell>
          <cell r="P413" t="str">
            <v>□</v>
          </cell>
          <cell r="Q413" t="str">
            <v>□</v>
          </cell>
          <cell r="R413" t="str">
            <v>□</v>
          </cell>
          <cell r="S413" t="str">
            <v>□</v>
          </cell>
          <cell r="T413" t="str">
            <v>□</v>
          </cell>
          <cell r="U413" t="str">
            <v>NA</v>
          </cell>
          <cell r="V413" t="str">
            <v>No Register</v>
          </cell>
          <cell r="W413" t="str">
            <v/>
          </cell>
          <cell r="Y413" t="str">
            <v/>
          </cell>
        </row>
        <row r="414">
          <cell r="B414" t="str">
            <v>Mandiri Era Utama, PT</v>
          </cell>
          <cell r="C414" t="str">
            <v>mandiri_erautama@yahoo.com</v>
          </cell>
          <cell r="D414" t="str">
            <v>Adinda</v>
          </cell>
          <cell r="E414" t="str">
            <v>082312579020</v>
          </cell>
          <cell r="F414" t="str">
            <v>Jl. Kartini Raya No.75 RT.007 / RW.002 Selindung Baru, Gabek</v>
          </cell>
          <cell r="G414" t="b">
            <v>1</v>
          </cell>
          <cell r="H414" t="b">
            <v>0</v>
          </cell>
          <cell r="I414" t="b">
            <v>0</v>
          </cell>
          <cell r="J414" t="b">
            <v>0</v>
          </cell>
          <cell r="K414" t="b">
            <v>0</v>
          </cell>
          <cell r="L414" t="b">
            <v>0</v>
          </cell>
          <cell r="M414" t="b">
            <v>0</v>
          </cell>
          <cell r="N414" t="b">
            <v>0</v>
          </cell>
          <cell r="O414" t="b">
            <v>0</v>
          </cell>
          <cell r="P414" t="b">
            <v>0</v>
          </cell>
          <cell r="Q414" t="b">
            <v>0</v>
          </cell>
          <cell r="R414" t="b">
            <v>0</v>
          </cell>
          <cell r="S414" t="b">
            <v>0</v>
          </cell>
          <cell r="T414" t="b">
            <v>0</v>
          </cell>
          <cell r="U414" t="str">
            <v>NA</v>
          </cell>
          <cell r="V414" t="str">
            <v>Register</v>
          </cell>
          <cell r="W414" t="str">
            <v>GT - ME</v>
          </cell>
          <cell r="X414" t="str">
            <v>General Trading - Mechanical</v>
          </cell>
          <cell r="Y414" t="str">
            <v>Heavy Equipment</v>
          </cell>
        </row>
        <row r="415">
          <cell r="B415" t="str">
            <v>Creo Eramas Abadi, PT</v>
          </cell>
          <cell r="C415" t="str">
            <v/>
          </cell>
          <cell r="D415" t="str">
            <v/>
          </cell>
          <cell r="E415" t="str">
            <v/>
          </cell>
          <cell r="F415" t="str">
            <v>Mall MGK Lt.1 B01 No.08, Jl. Angkasa Kav B.6, Gunung Sehari Selatan, Kemayoran</v>
          </cell>
          <cell r="G415" t="str">
            <v>□</v>
          </cell>
          <cell r="H415" t="str">
            <v>□</v>
          </cell>
          <cell r="I415" t="str">
            <v>□</v>
          </cell>
          <cell r="J415" t="str">
            <v>□</v>
          </cell>
          <cell r="K415" t="str">
            <v>□</v>
          </cell>
          <cell r="L415" t="str">
            <v>□</v>
          </cell>
          <cell r="M415" t="str">
            <v>□</v>
          </cell>
          <cell r="N415" t="str">
            <v>□</v>
          </cell>
          <cell r="O415" t="str">
            <v>□</v>
          </cell>
          <cell r="P415" t="str">
            <v>□</v>
          </cell>
          <cell r="Q415" t="str">
            <v>□</v>
          </cell>
          <cell r="R415" t="str">
            <v>□</v>
          </cell>
          <cell r="S415" t="str">
            <v>□</v>
          </cell>
          <cell r="T415" t="str">
            <v>□</v>
          </cell>
          <cell r="U415" t="str">
            <v>NA</v>
          </cell>
          <cell r="V415" t="str">
            <v>No Register</v>
          </cell>
          <cell r="W415" t="str">
            <v/>
          </cell>
          <cell r="Y415" t="str">
            <v/>
          </cell>
        </row>
        <row r="416">
          <cell r="B416" t="str">
            <v>Ekatama Putra Perkasa, PT</v>
          </cell>
          <cell r="C416" t="str">
            <v>eko.prasetyo@ekatamagroup.com</v>
          </cell>
          <cell r="D416" t="str">
            <v>Eko</v>
          </cell>
          <cell r="E416" t="str">
            <v>082255200111</v>
          </cell>
          <cell r="F416" t="str">
            <v>Jl. Pangeran Jayakarta No.141 Blok I No.5, Mangga Dua Selatan</v>
          </cell>
          <cell r="G416" t="b">
            <v>0</v>
          </cell>
          <cell r="H416" t="b">
            <v>0</v>
          </cell>
          <cell r="I416" t="b">
            <v>0</v>
          </cell>
          <cell r="J416" t="b">
            <v>0</v>
          </cell>
          <cell r="K416" t="b">
            <v>0</v>
          </cell>
          <cell r="L416" t="b">
            <v>0</v>
          </cell>
          <cell r="M416" t="b">
            <v>0</v>
          </cell>
          <cell r="N416" t="b">
            <v>0</v>
          </cell>
          <cell r="O416" t="b">
            <v>0</v>
          </cell>
          <cell r="P416" t="b">
            <v>0</v>
          </cell>
          <cell r="Q416" t="b">
            <v>0</v>
          </cell>
          <cell r="R416" t="b">
            <v>0</v>
          </cell>
          <cell r="S416" t="b">
            <v>1</v>
          </cell>
          <cell r="T416" t="b">
            <v>0</v>
          </cell>
          <cell r="U416" t="str">
            <v>NA</v>
          </cell>
          <cell r="V416" t="str">
            <v>Register</v>
          </cell>
          <cell r="W416" t="str">
            <v>GT - ID</v>
          </cell>
          <cell r="X416" t="str">
            <v>General Trading - Industrial Goods</v>
          </cell>
          <cell r="Y416" t="str">
            <v/>
          </cell>
        </row>
        <row r="417">
          <cell r="B417" t="str">
            <v>Sehati, CV</v>
          </cell>
          <cell r="C417" t="str">
            <v>cvsehati@ymail.com</v>
          </cell>
          <cell r="D417" t="str">
            <v>H. Akhmad Muklis/Nadya</v>
          </cell>
          <cell r="E417" t="str">
            <v>0811504278;  082153207596</v>
          </cell>
          <cell r="F417" t="str">
            <v>Jl. Jend, A, Yani No.4, RT.001 Jangkung,</v>
          </cell>
          <cell r="G417" t="b">
            <v>0</v>
          </cell>
          <cell r="H417" t="b">
            <v>0</v>
          </cell>
          <cell r="I417" t="b">
            <v>0</v>
          </cell>
          <cell r="J417" t="b">
            <v>0</v>
          </cell>
          <cell r="K417" t="b">
            <v>0</v>
          </cell>
          <cell r="L417" t="b">
            <v>0</v>
          </cell>
          <cell r="M417" t="b">
            <v>0</v>
          </cell>
          <cell r="N417" t="b">
            <v>0</v>
          </cell>
          <cell r="O417" t="b">
            <v>0</v>
          </cell>
          <cell r="P417" t="b">
            <v>0</v>
          </cell>
          <cell r="Q417" t="b">
            <v>0</v>
          </cell>
          <cell r="R417" t="b">
            <v>0</v>
          </cell>
          <cell r="S417" t="b">
            <v>1</v>
          </cell>
          <cell r="T417" t="b">
            <v>0</v>
          </cell>
          <cell r="U417" t="str">
            <v>A</v>
          </cell>
          <cell r="V417" t="str">
            <v>Register</v>
          </cell>
          <cell r="W417" t="str">
            <v>GT</v>
          </cell>
          <cell r="X417" t="str">
            <v>General Trading</v>
          </cell>
          <cell r="Y417" t="str">
            <v>General Trading</v>
          </cell>
        </row>
        <row r="418">
          <cell r="B418" t="str">
            <v>Mega Mitra Abadi, PT</v>
          </cell>
          <cell r="C418" t="str">
            <v>ferizky@ptmma.co.id</v>
          </cell>
          <cell r="D418" t="str">
            <v/>
          </cell>
          <cell r="F418" t="str">
            <v>Dsn. Pangggang RT 011 / RW.003, Lebanisuko - Wringinanom</v>
          </cell>
          <cell r="G418" t="str">
            <v>□</v>
          </cell>
          <cell r="H418" t="str">
            <v>□</v>
          </cell>
          <cell r="I418" t="str">
            <v>□</v>
          </cell>
          <cell r="J418" t="str">
            <v>□</v>
          </cell>
          <cell r="K418" t="str">
            <v>□</v>
          </cell>
          <cell r="L418" t="str">
            <v>□</v>
          </cell>
          <cell r="M418" t="str">
            <v>□</v>
          </cell>
          <cell r="N418" t="str">
            <v>□</v>
          </cell>
          <cell r="O418" t="str">
            <v>□</v>
          </cell>
          <cell r="P418" t="str">
            <v>□</v>
          </cell>
          <cell r="Q418" t="str">
            <v>□</v>
          </cell>
          <cell r="R418" t="str">
            <v>□</v>
          </cell>
          <cell r="S418" t="str">
            <v>□</v>
          </cell>
          <cell r="T418" t="str">
            <v>□</v>
          </cell>
          <cell r="U418" t="str">
            <v>NA</v>
          </cell>
          <cell r="V418" t="str">
            <v>No Register</v>
          </cell>
          <cell r="W418" t="str">
            <v/>
          </cell>
          <cell r="Y418" t="str">
            <v/>
          </cell>
        </row>
        <row r="419">
          <cell r="B419" t="str">
            <v>Adika Mitra Sehati, PT</v>
          </cell>
          <cell r="C419" t="str">
            <v>indoor@adika.biz; admin@adika.biz; sales@adika.biz; el@adika.biz</v>
          </cell>
          <cell r="D419" t="str">
            <v>Dewi Pranitha</v>
          </cell>
          <cell r="E419" t="str">
            <v>08881175061; 08881175062; 085775102684</v>
          </cell>
          <cell r="F419" t="str">
            <v>Ruko Golden Madrid 2 F/26, Rawa Mekar Jaya, Jl. Letnan Sutopo, BSD City</v>
          </cell>
          <cell r="G419" t="b">
            <v>0</v>
          </cell>
          <cell r="H419" t="b">
            <v>0</v>
          </cell>
          <cell r="I419" t="b">
            <v>1</v>
          </cell>
          <cell r="J419" t="b">
            <v>0</v>
          </cell>
          <cell r="K419" t="b">
            <v>0</v>
          </cell>
          <cell r="L419" t="b">
            <v>0</v>
          </cell>
          <cell r="M419" t="b">
            <v>0</v>
          </cell>
          <cell r="N419" t="b">
            <v>0</v>
          </cell>
          <cell r="O419" t="b">
            <v>0</v>
          </cell>
          <cell r="P419" t="b">
            <v>0</v>
          </cell>
          <cell r="Q419" t="b">
            <v>0</v>
          </cell>
          <cell r="R419" t="b">
            <v>0</v>
          </cell>
          <cell r="S419" t="b">
            <v>0</v>
          </cell>
          <cell r="T419" t="b">
            <v>0</v>
          </cell>
          <cell r="U419" t="str">
            <v>NA</v>
          </cell>
          <cell r="V419" t="str">
            <v>No Register</v>
          </cell>
          <cell r="W419" t="str">
            <v>GT - IC</v>
          </cell>
          <cell r="X419" t="str">
            <v>General Trading - Instrument</v>
          </cell>
          <cell r="Y419" t="str">
            <v>Automation</v>
          </cell>
        </row>
        <row r="420">
          <cell r="B420" t="str">
            <v>Multiprima Indosejahtera, PT</v>
          </cell>
          <cell r="C420" t="str">
            <v>sales@multiprima.co.id</v>
          </cell>
          <cell r="D420" t="str">
            <v/>
          </cell>
          <cell r="F420" t="str">
            <v>Komplek Ruko Harmoni Mas Blok B No. 21-25, Jl. Terusan Bandengan Utara, Pejagalan, Penjaringan</v>
          </cell>
          <cell r="G420" t="b">
            <v>0</v>
          </cell>
          <cell r="H420" t="b">
            <v>0</v>
          </cell>
          <cell r="I420" t="b">
            <v>0</v>
          </cell>
          <cell r="J420" t="b">
            <v>0</v>
          </cell>
          <cell r="K420" t="b">
            <v>0</v>
          </cell>
          <cell r="L420" t="b">
            <v>0</v>
          </cell>
          <cell r="M420" t="b">
            <v>0</v>
          </cell>
          <cell r="N420" t="b">
            <v>0</v>
          </cell>
          <cell r="O420" t="b">
            <v>0</v>
          </cell>
          <cell r="P420" t="b">
            <v>0</v>
          </cell>
          <cell r="Q420" t="b">
            <v>0</v>
          </cell>
          <cell r="R420" t="b">
            <v>0</v>
          </cell>
          <cell r="S420" t="b">
            <v>0</v>
          </cell>
          <cell r="T420" t="b">
            <v>0</v>
          </cell>
          <cell r="U420" t="str">
            <v>NA</v>
          </cell>
          <cell r="V420" t="str">
            <v>Register</v>
          </cell>
          <cell r="W420" t="str">
            <v>GT - ME</v>
          </cell>
          <cell r="X420" t="str">
            <v>General Trading - Mechanical</v>
          </cell>
          <cell r="Y420" t="str">
            <v/>
          </cell>
        </row>
        <row r="421">
          <cell r="B421" t="str">
            <v>Hydac Technology Indonesia, PT</v>
          </cell>
          <cell r="C421" t="str">
            <v>wulan@hydac.co.id</v>
          </cell>
          <cell r="D421" t="str">
            <v>Wulan</v>
          </cell>
          <cell r="F421" t="str">
            <v>Techno 8, Komplek Gudang Multiguna No. 27 - 29, Pakulonan, Serpong Utara</v>
          </cell>
          <cell r="G421" t="b">
            <v>0</v>
          </cell>
          <cell r="H421" t="b">
            <v>0</v>
          </cell>
          <cell r="I421" t="b">
            <v>0</v>
          </cell>
          <cell r="J421" t="b">
            <v>0</v>
          </cell>
          <cell r="K421" t="b">
            <v>0</v>
          </cell>
          <cell r="L421" t="b">
            <v>0</v>
          </cell>
          <cell r="M421" t="b">
            <v>0</v>
          </cell>
          <cell r="N421" t="b">
            <v>0</v>
          </cell>
          <cell r="O421" t="b">
            <v>0</v>
          </cell>
          <cell r="P421" t="b">
            <v>0</v>
          </cell>
          <cell r="Q421" t="b">
            <v>0</v>
          </cell>
          <cell r="R421" t="b">
            <v>0</v>
          </cell>
          <cell r="S421" t="b">
            <v>1</v>
          </cell>
          <cell r="T421" t="b">
            <v>0</v>
          </cell>
          <cell r="U421" t="str">
            <v>NA</v>
          </cell>
          <cell r="V421" t="str">
            <v>Register</v>
          </cell>
          <cell r="W421" t="str">
            <v>GT - ME</v>
          </cell>
          <cell r="X421" t="str">
            <v>General Trading - Mechanical</v>
          </cell>
          <cell r="Y421" t="str">
            <v/>
          </cell>
        </row>
        <row r="422">
          <cell r="B422" t="str">
            <v>Insan Bisnis dan Industri Manufaktur Indonesia, PT</v>
          </cell>
          <cell r="C422" t="str">
            <v>marwatiumamit@ibimaindonesia.co.id</v>
          </cell>
          <cell r="D422" t="str">
            <v/>
          </cell>
          <cell r="E422" t="str">
            <v/>
          </cell>
          <cell r="F422" t="str">
            <v>Kebayoran Center Blok B No.4, Kebayoran Lama Utara</v>
          </cell>
          <cell r="G422" t="b">
            <v>0</v>
          </cell>
          <cell r="H422" t="b">
            <v>0</v>
          </cell>
          <cell r="I422" t="b">
            <v>0</v>
          </cell>
          <cell r="J422" t="b">
            <v>0</v>
          </cell>
          <cell r="K422" t="b">
            <v>0</v>
          </cell>
          <cell r="L422" t="b">
            <v>0</v>
          </cell>
          <cell r="M422" t="b">
            <v>0</v>
          </cell>
          <cell r="N422" t="b">
            <v>0</v>
          </cell>
          <cell r="O422" t="b">
            <v>1</v>
          </cell>
          <cell r="P422" t="b">
            <v>0</v>
          </cell>
          <cell r="Q422" t="b">
            <v>0</v>
          </cell>
          <cell r="R422" t="b">
            <v>0</v>
          </cell>
          <cell r="S422" t="b">
            <v>0</v>
          </cell>
          <cell r="T422" t="b">
            <v>0</v>
          </cell>
          <cell r="U422" t="str">
            <v>NA</v>
          </cell>
          <cell r="V422" t="str">
            <v>Register</v>
          </cell>
          <cell r="W422" t="str">
            <v>PR - TR</v>
          </cell>
          <cell r="X422" t="str">
            <v>Professional Services - Training</v>
          </cell>
          <cell r="Y422" t="str">
            <v>konsultasi manajemen bisnis dan industri/manufaktur, khususnya terkait Lean Enterprise, operational excellence, peningkatan produktivitas, pengembangan SDM, dan daya saing industri.</v>
          </cell>
        </row>
        <row r="423">
          <cell r="B423" t="str">
            <v>Sinar Mutiara Cakrabuana, PT</v>
          </cell>
          <cell r="C423" t="str">
            <v>sales@smsindonesia.com</v>
          </cell>
          <cell r="D423" t="str">
            <v>Muliana Rusmin</v>
          </cell>
          <cell r="F423" t="str">
            <v>Kompleks Pertokoan Gedung Glodok Jaya, Ruko No.28, Jl. Hayam Wuruk, Mangga Besar, Taman Sari</v>
          </cell>
          <cell r="G423" t="str">
            <v>□</v>
          </cell>
          <cell r="H423" t="str">
            <v>□</v>
          </cell>
          <cell r="I423" t="str">
            <v>□</v>
          </cell>
          <cell r="J423" t="str">
            <v>□</v>
          </cell>
          <cell r="K423" t="str">
            <v>□</v>
          </cell>
          <cell r="L423" t="str">
            <v>□</v>
          </cell>
          <cell r="M423" t="str">
            <v>□</v>
          </cell>
          <cell r="N423" t="str">
            <v>□</v>
          </cell>
          <cell r="O423" t="str">
            <v>□</v>
          </cell>
          <cell r="P423" t="str">
            <v>□</v>
          </cell>
          <cell r="Q423" t="str">
            <v>□</v>
          </cell>
          <cell r="R423" t="str">
            <v>□</v>
          </cell>
          <cell r="S423" t="str">
            <v>□</v>
          </cell>
          <cell r="T423" t="str">
            <v>□</v>
          </cell>
          <cell r="U423" t="str">
            <v>NA</v>
          </cell>
          <cell r="V423" t="str">
            <v>No Register</v>
          </cell>
          <cell r="W423" t="str">
            <v/>
          </cell>
          <cell r="Y423" t="str">
            <v/>
          </cell>
        </row>
        <row r="424">
          <cell r="B424" t="str">
            <v>PPSDM KEBTKE</v>
          </cell>
          <cell r="C424" t="str">
            <v/>
          </cell>
          <cell r="D424" t="str">
            <v/>
          </cell>
          <cell r="E424" t="str">
            <v/>
          </cell>
          <cell r="F424" t="str">
            <v>Jl. Poncol Raya No.39, Susukan, Ciracas</v>
          </cell>
          <cell r="G424" t="b">
            <v>0</v>
          </cell>
          <cell r="H424" t="b">
            <v>0</v>
          </cell>
          <cell r="I424" t="b">
            <v>0</v>
          </cell>
          <cell r="J424" t="b">
            <v>0</v>
          </cell>
          <cell r="K424" t="b">
            <v>0</v>
          </cell>
          <cell r="L424" t="b">
            <v>0</v>
          </cell>
          <cell r="M424" t="b">
            <v>0</v>
          </cell>
          <cell r="N424" t="b">
            <v>0</v>
          </cell>
          <cell r="O424" t="b">
            <v>1</v>
          </cell>
          <cell r="P424" t="b">
            <v>0</v>
          </cell>
          <cell r="Q424" t="b">
            <v>0</v>
          </cell>
          <cell r="R424" t="b">
            <v>0</v>
          </cell>
          <cell r="S424" t="b">
            <v>0</v>
          </cell>
          <cell r="T424" t="b">
            <v>0</v>
          </cell>
          <cell r="U424" t="str">
            <v>NA</v>
          </cell>
          <cell r="V424" t="str">
            <v>Register</v>
          </cell>
          <cell r="W424" t="str">
            <v>PR - TR</v>
          </cell>
          <cell r="X424" t="str">
            <v>Professional Services - Training</v>
          </cell>
          <cell r="Y424" t="str">
            <v>PLTD dan PLTS</v>
          </cell>
        </row>
        <row r="425">
          <cell r="B425" t="str">
            <v>Permintex Sinergi Indonesia, PT</v>
          </cell>
          <cell r="C425" t="str">
            <v>sales.permintex@permintexsinergi.com; mukhlis@permintexsinergi.com; marketing@permintexsinergi.com</v>
          </cell>
          <cell r="D425" t="str">
            <v>Chandra</v>
          </cell>
          <cell r="E425" t="str">
            <v>085281553504</v>
          </cell>
          <cell r="F425" t="str">
            <v>Ruko Darwin Timur DWRT NO. 35 JL. Scientia Square Timur Gading Serpong, Kel. Medang, Kec. Pagedangan</v>
          </cell>
          <cell r="G425" t="b">
            <v>0</v>
          </cell>
          <cell r="H425" t="b">
            <v>0</v>
          </cell>
          <cell r="I425" t="b">
            <v>0</v>
          </cell>
          <cell r="J425" t="b">
            <v>0</v>
          </cell>
          <cell r="K425" t="b">
            <v>0</v>
          </cell>
          <cell r="L425" t="b">
            <v>0</v>
          </cell>
          <cell r="M425" t="b">
            <v>0</v>
          </cell>
          <cell r="N425" t="b">
            <v>0</v>
          </cell>
          <cell r="O425" t="b">
            <v>0</v>
          </cell>
          <cell r="P425" t="b">
            <v>0</v>
          </cell>
          <cell r="Q425" t="b">
            <v>0</v>
          </cell>
          <cell r="R425" t="b">
            <v>0</v>
          </cell>
          <cell r="S425" t="b">
            <v>0</v>
          </cell>
          <cell r="T425" t="b">
            <v>0</v>
          </cell>
          <cell r="U425" t="str">
            <v>A</v>
          </cell>
          <cell r="V425" t="str">
            <v>No Register</v>
          </cell>
          <cell r="W425" t="str">
            <v/>
          </cell>
          <cell r="Y425" t="str">
            <v/>
          </cell>
        </row>
        <row r="426">
          <cell r="B426" t="str">
            <v>Indonesia Bulk Terminal, PT</v>
          </cell>
          <cell r="C426" t="str">
            <v>jaenuri@ptadaro.com</v>
          </cell>
          <cell r="D426" t="str">
            <v>Jaenuri</v>
          </cell>
          <cell r="E426" t="str">
            <v>081317815129</v>
          </cell>
          <cell r="F426" t="str">
            <v>Menara Karya Lt. 22, Jl. H. R. Rasuna Said Blok X-5, Kav. 1-2, Kuningan Timur,</v>
          </cell>
          <cell r="G426" t="b">
            <v>0</v>
          </cell>
          <cell r="H426" t="b">
            <v>0</v>
          </cell>
          <cell r="I426" t="b">
            <v>0</v>
          </cell>
          <cell r="J426" t="b">
            <v>0</v>
          </cell>
          <cell r="K426" t="b">
            <v>0</v>
          </cell>
          <cell r="L426" t="b">
            <v>0</v>
          </cell>
          <cell r="M426" t="b">
            <v>0</v>
          </cell>
          <cell r="N426" t="b">
            <v>0</v>
          </cell>
          <cell r="O426" t="b">
            <v>0</v>
          </cell>
          <cell r="P426" t="b">
            <v>0</v>
          </cell>
          <cell r="Q426" t="b">
            <v>0</v>
          </cell>
          <cell r="R426" t="b">
            <v>0</v>
          </cell>
          <cell r="S426" t="b">
            <v>1</v>
          </cell>
          <cell r="T426" t="b">
            <v>0</v>
          </cell>
          <cell r="U426" t="str">
            <v>NA</v>
          </cell>
          <cell r="V426" t="str">
            <v>Register</v>
          </cell>
          <cell r="W426" t="str">
            <v>SC</v>
          </cell>
          <cell r="X426" t="str">
            <v>Sister Company - Sewa gedung, Service, Consultant</v>
          </cell>
          <cell r="Y426" t="str">
            <v/>
          </cell>
        </row>
        <row r="427">
          <cell r="B427" t="str">
            <v>Golden Pratama Engineering, PT</v>
          </cell>
          <cell r="C427" t="str">
            <v>sales@ptgoldenpe.com</v>
          </cell>
          <cell r="D427" t="str">
            <v>Heni</v>
          </cell>
          <cell r="E427" t="str">
            <v>081315457800</v>
          </cell>
          <cell r="F427" t="str">
            <v>Boulevard Gading Serpong BA2/56 Gading Serpong, Kel. Pakulonan Barat, Kec. Kelapa Dua,</v>
          </cell>
          <cell r="G427" t="b">
            <v>0</v>
          </cell>
          <cell r="H427" t="b">
            <v>0</v>
          </cell>
          <cell r="I427" t="b">
            <v>0</v>
          </cell>
          <cell r="J427" t="b">
            <v>0</v>
          </cell>
          <cell r="K427" t="b">
            <v>0</v>
          </cell>
          <cell r="L427" t="b">
            <v>0</v>
          </cell>
          <cell r="M427" t="b">
            <v>0</v>
          </cell>
          <cell r="N427" t="b">
            <v>0</v>
          </cell>
          <cell r="O427" t="b">
            <v>0</v>
          </cell>
          <cell r="P427" t="b">
            <v>0</v>
          </cell>
          <cell r="Q427" t="b">
            <v>0</v>
          </cell>
          <cell r="R427" t="b">
            <v>0</v>
          </cell>
          <cell r="S427" t="b">
            <v>0</v>
          </cell>
          <cell r="T427" t="b">
            <v>0</v>
          </cell>
          <cell r="U427" t="str">
            <v>A</v>
          </cell>
          <cell r="V427" t="str">
            <v>Register</v>
          </cell>
          <cell r="W427" t="str">
            <v>GT - ME</v>
          </cell>
          <cell r="X427" t="str">
            <v>General Trading - Mechanical</v>
          </cell>
          <cell r="Y427" t="str">
            <v>Trading
D Forbes</v>
          </cell>
        </row>
        <row r="428">
          <cell r="B428" t="str">
            <v>Pertamina, PT (Persero)</v>
          </cell>
          <cell r="C428" t="str">
            <v/>
          </cell>
          <cell r="D428" t="str">
            <v/>
          </cell>
          <cell r="E428" t="str">
            <v/>
          </cell>
          <cell r="F428" t="str">
            <v>Jl. Medan Merdeka Timur 1A, Gambir,</v>
          </cell>
          <cell r="G428" t="str">
            <v>□</v>
          </cell>
          <cell r="H428" t="str">
            <v>□</v>
          </cell>
          <cell r="I428" t="str">
            <v>□</v>
          </cell>
          <cell r="J428" t="str">
            <v>□</v>
          </cell>
          <cell r="K428" t="str">
            <v>□</v>
          </cell>
          <cell r="L428" t="str">
            <v>□</v>
          </cell>
          <cell r="M428" t="str">
            <v>□</v>
          </cell>
          <cell r="N428" t="str">
            <v>□</v>
          </cell>
          <cell r="O428" t="str">
            <v>□</v>
          </cell>
          <cell r="P428" t="str">
            <v>□</v>
          </cell>
          <cell r="Q428" t="str">
            <v>□</v>
          </cell>
          <cell r="R428" t="str">
            <v>□</v>
          </cell>
          <cell r="S428" t="str">
            <v>□</v>
          </cell>
          <cell r="T428" t="str">
            <v>□</v>
          </cell>
          <cell r="U428" t="str">
            <v>NA</v>
          </cell>
          <cell r="V428" t="str">
            <v>No Register</v>
          </cell>
          <cell r="W428" t="str">
            <v/>
          </cell>
          <cell r="Y428" t="str">
            <v/>
          </cell>
        </row>
        <row r="429">
          <cell r="B429" t="str">
            <v>Digital Akurasi, PT</v>
          </cell>
          <cell r="C429" t="str">
            <v/>
          </cell>
          <cell r="D429" t="str">
            <v/>
          </cell>
          <cell r="E429" t="str">
            <v/>
          </cell>
          <cell r="F429" t="str">
            <v>JL. Taman Sari VII No. 5, Kel. Taman Sari, Kec. Taman Sari, Kota Adm. Jakarta Barat, Prop. DKI Jakarta</v>
          </cell>
          <cell r="G429" t="b">
            <v>0</v>
          </cell>
          <cell r="H429" t="b">
            <v>0</v>
          </cell>
          <cell r="I429" t="b">
            <v>0</v>
          </cell>
          <cell r="J429" t="b">
            <v>0</v>
          </cell>
          <cell r="K429" t="b">
            <v>0</v>
          </cell>
          <cell r="L429" t="b">
            <v>0</v>
          </cell>
          <cell r="M429" t="b">
            <v>0</v>
          </cell>
          <cell r="N429" t="b">
            <v>0</v>
          </cell>
          <cell r="O429" t="b">
            <v>0</v>
          </cell>
          <cell r="P429" t="b">
            <v>0</v>
          </cell>
          <cell r="Q429" t="b">
            <v>0</v>
          </cell>
          <cell r="R429" t="b">
            <v>0</v>
          </cell>
          <cell r="S429" t="b">
            <v>0</v>
          </cell>
          <cell r="T429" t="b">
            <v>0</v>
          </cell>
          <cell r="U429" t="str">
            <v>NA</v>
          </cell>
          <cell r="V429" t="str">
            <v>No Register</v>
          </cell>
          <cell r="W429" t="str">
            <v/>
          </cell>
          <cell r="Y429" t="str">
            <v/>
          </cell>
        </row>
        <row r="430">
          <cell r="B430" t="str">
            <v>Paradhya Ista Teknik, PT</v>
          </cell>
          <cell r="C430" t="str">
            <v/>
          </cell>
          <cell r="D430" t="str">
            <v/>
          </cell>
          <cell r="E430" t="str">
            <v/>
          </cell>
          <cell r="F430" t="str">
            <v>Jalan Mangga 2 Raya No 8B, Kel. Pinangsia, Kec. Taman Sari,</v>
          </cell>
          <cell r="G430" t="str">
            <v>□</v>
          </cell>
          <cell r="H430" t="str">
            <v>□</v>
          </cell>
          <cell r="I430" t="str">
            <v>□</v>
          </cell>
          <cell r="J430" t="str">
            <v>□</v>
          </cell>
          <cell r="K430" t="str">
            <v>□</v>
          </cell>
          <cell r="L430" t="str">
            <v>□</v>
          </cell>
          <cell r="M430" t="str">
            <v>□</v>
          </cell>
          <cell r="N430" t="str">
            <v>□</v>
          </cell>
          <cell r="O430" t="str">
            <v>□</v>
          </cell>
          <cell r="P430" t="str">
            <v>□</v>
          </cell>
          <cell r="Q430" t="str">
            <v>□</v>
          </cell>
          <cell r="R430" t="str">
            <v>□</v>
          </cell>
          <cell r="S430" t="str">
            <v>□</v>
          </cell>
          <cell r="T430" t="str">
            <v>□</v>
          </cell>
          <cell r="U430" t="str">
            <v>NA</v>
          </cell>
          <cell r="V430" t="str">
            <v>No Register</v>
          </cell>
          <cell r="W430" t="str">
            <v/>
          </cell>
          <cell r="Y430" t="str">
            <v/>
          </cell>
        </row>
        <row r="431">
          <cell r="B431" t="str">
            <v>Samudra Karya Mustika, PT</v>
          </cell>
          <cell r="C431" t="str">
            <v/>
          </cell>
          <cell r="D431" t="str">
            <v/>
          </cell>
          <cell r="E431" t="str">
            <v/>
          </cell>
          <cell r="F431" t="str">
            <v>Komplek Pertokoan Tritunggal B8, Jalan Tri Tunggal Jotawang, Kel. Bangunharjo, Kec. Sewon</v>
          </cell>
          <cell r="G431" t="b">
            <v>0</v>
          </cell>
          <cell r="H431" t="b">
            <v>0</v>
          </cell>
          <cell r="I431" t="b">
            <v>0</v>
          </cell>
          <cell r="J431" t="b">
            <v>0</v>
          </cell>
          <cell r="K431" t="b">
            <v>0</v>
          </cell>
          <cell r="L431" t="b">
            <v>0</v>
          </cell>
          <cell r="M431" t="b">
            <v>0</v>
          </cell>
          <cell r="N431" t="b">
            <v>0</v>
          </cell>
          <cell r="O431" t="b">
            <v>1</v>
          </cell>
          <cell r="P431" t="b">
            <v>0</v>
          </cell>
          <cell r="Q431" t="b">
            <v>0</v>
          </cell>
          <cell r="R431" t="b">
            <v>0</v>
          </cell>
          <cell r="S431" t="b">
            <v>0</v>
          </cell>
          <cell r="T431" t="b">
            <v>0</v>
          </cell>
          <cell r="U431" t="str">
            <v>NA</v>
          </cell>
          <cell r="V431" t="str">
            <v>Register</v>
          </cell>
          <cell r="W431" t="str">
            <v>PR - TR</v>
          </cell>
          <cell r="X431" t="str">
            <v>Professional Services - Training</v>
          </cell>
          <cell r="Y431" t="str">
            <v>POPAL POIPOPU
PPPA</v>
          </cell>
        </row>
        <row r="432">
          <cell r="B432" t="str">
            <v>Aneka Alat Teknik, CV</v>
          </cell>
          <cell r="C432" t="str">
            <v>marketing.anekaalatteknik@gmail.com</v>
          </cell>
          <cell r="D432" t="str">
            <v/>
          </cell>
          <cell r="E432" t="str">
            <v>081285502123</v>
          </cell>
          <cell r="F432" t="str">
            <v>Mall MGK Kemayoran LT. UG, Blok D.02 No.5 Superblok MEga Kemayoran, Jl, Angkasa Kav B-6. Gunung Sahari Selatan, Kemayoran</v>
          </cell>
          <cell r="G432" t="str">
            <v>□</v>
          </cell>
          <cell r="H432" t="str">
            <v>□</v>
          </cell>
          <cell r="I432" t="str">
            <v>□</v>
          </cell>
          <cell r="J432" t="str">
            <v>□</v>
          </cell>
          <cell r="K432" t="str">
            <v>□</v>
          </cell>
          <cell r="L432" t="str">
            <v>□</v>
          </cell>
          <cell r="M432" t="str">
            <v>□</v>
          </cell>
          <cell r="N432" t="str">
            <v>□</v>
          </cell>
          <cell r="O432" t="str">
            <v>□</v>
          </cell>
          <cell r="P432" t="str">
            <v>□</v>
          </cell>
          <cell r="Q432" t="str">
            <v>□</v>
          </cell>
          <cell r="R432" t="str">
            <v>□</v>
          </cell>
          <cell r="S432" t="str">
            <v>□</v>
          </cell>
          <cell r="T432" t="str">
            <v>□</v>
          </cell>
          <cell r="U432" t="str">
            <v>NA</v>
          </cell>
          <cell r="V432" t="str">
            <v>No Register</v>
          </cell>
          <cell r="W432" t="str">
            <v/>
          </cell>
          <cell r="Y432" t="str">
            <v/>
          </cell>
        </row>
        <row r="433">
          <cell r="B433" t="str">
            <v>Berkat Amira, CV</v>
          </cell>
          <cell r="C433" t="str">
            <v>berkatamira06@gmail.com</v>
          </cell>
          <cell r="D433" t="str">
            <v>Rusmiyatie</v>
          </cell>
          <cell r="E433" t="str">
            <v>085249935736</v>
          </cell>
          <cell r="F433" t="str">
            <v>Jl. Belimbing Raya RT.016 No.129, Murung Pudak</v>
          </cell>
          <cell r="G433" t="b">
            <v>0</v>
          </cell>
          <cell r="H433" t="b">
            <v>0</v>
          </cell>
          <cell r="I433" t="b">
            <v>0</v>
          </cell>
          <cell r="J433" t="b">
            <v>0</v>
          </cell>
          <cell r="K433" t="b">
            <v>0</v>
          </cell>
          <cell r="L433" t="b">
            <v>0</v>
          </cell>
          <cell r="M433" t="b">
            <v>0</v>
          </cell>
          <cell r="N433" t="b">
            <v>0</v>
          </cell>
          <cell r="O433" t="b">
            <v>0</v>
          </cell>
          <cell r="P433" t="b">
            <v>0</v>
          </cell>
          <cell r="Q433" t="b">
            <v>0</v>
          </cell>
          <cell r="R433" t="b">
            <v>0</v>
          </cell>
          <cell r="S433" t="b">
            <v>1</v>
          </cell>
          <cell r="T433" t="b">
            <v>0</v>
          </cell>
          <cell r="U433" t="str">
            <v>A</v>
          </cell>
          <cell r="V433" t="str">
            <v>Register</v>
          </cell>
          <cell r="W433" t="str">
            <v>GT</v>
          </cell>
          <cell r="X433" t="str">
            <v>General Trading</v>
          </cell>
          <cell r="Y433" t="str">
            <v>General Trading</v>
          </cell>
        </row>
        <row r="434">
          <cell r="B434" t="str">
            <v>Pasifik Berlian Natiusindo, PT</v>
          </cell>
          <cell r="C434" t="str">
            <v/>
          </cell>
          <cell r="D434" t="str">
            <v/>
          </cell>
          <cell r="E434" t="str">
            <v/>
          </cell>
          <cell r="F434" t="str">
            <v>Season City Lt LG Blok C 12 No.8, Jl. Latumanten No.33, Kel. Jembatan Besi, Kec. Tambora</v>
          </cell>
          <cell r="G434" t="str">
            <v>□</v>
          </cell>
          <cell r="H434" t="str">
            <v>□</v>
          </cell>
          <cell r="I434" t="str">
            <v>□</v>
          </cell>
          <cell r="J434" t="str">
            <v>□</v>
          </cell>
          <cell r="K434" t="str">
            <v>□</v>
          </cell>
          <cell r="L434" t="str">
            <v>□</v>
          </cell>
          <cell r="M434" t="str">
            <v>□</v>
          </cell>
          <cell r="N434" t="str">
            <v>□</v>
          </cell>
          <cell r="O434" t="str">
            <v>□</v>
          </cell>
          <cell r="P434" t="str">
            <v>□</v>
          </cell>
          <cell r="Q434" t="str">
            <v>□</v>
          </cell>
          <cell r="R434" t="str">
            <v>□</v>
          </cell>
          <cell r="S434" t="str">
            <v>□</v>
          </cell>
          <cell r="T434" t="str">
            <v>□</v>
          </cell>
          <cell r="U434" t="str">
            <v>NA</v>
          </cell>
          <cell r="V434" t="str">
            <v>No Register</v>
          </cell>
          <cell r="W434" t="str">
            <v/>
          </cell>
          <cell r="Y434" t="str">
            <v/>
          </cell>
        </row>
        <row r="435">
          <cell r="B435" t="str">
            <v>Delta Indonesia Pranenggar, PT</v>
          </cell>
          <cell r="C435" t="str">
            <v/>
          </cell>
          <cell r="D435" t="str">
            <v/>
          </cell>
          <cell r="E435" t="str">
            <v/>
          </cell>
          <cell r="F435" t="str">
            <v>Komplek Suncity Square H-20 Jl. M. Hasibuan, Margajaya</v>
          </cell>
          <cell r="G435" t="str">
            <v>□</v>
          </cell>
          <cell r="H435" t="str">
            <v>□</v>
          </cell>
          <cell r="I435" t="str">
            <v>□</v>
          </cell>
          <cell r="J435" t="str">
            <v>□</v>
          </cell>
          <cell r="K435" t="str">
            <v>□</v>
          </cell>
          <cell r="L435" t="str">
            <v>□</v>
          </cell>
          <cell r="M435" t="str">
            <v>□</v>
          </cell>
          <cell r="N435" t="str">
            <v>□</v>
          </cell>
          <cell r="O435" t="str">
            <v>□</v>
          </cell>
          <cell r="P435" t="str">
            <v>□</v>
          </cell>
          <cell r="Q435" t="str">
            <v>□</v>
          </cell>
          <cell r="R435" t="str">
            <v>□</v>
          </cell>
          <cell r="S435" t="str">
            <v>□</v>
          </cell>
          <cell r="T435" t="str">
            <v>□</v>
          </cell>
          <cell r="U435" t="str">
            <v>NA</v>
          </cell>
          <cell r="V435" t="str">
            <v>No Register</v>
          </cell>
          <cell r="W435" t="str">
            <v/>
          </cell>
          <cell r="Y435" t="str">
            <v/>
          </cell>
        </row>
        <row r="436">
          <cell r="B436" t="str">
            <v>Alpha Kencana Perkasa, PT</v>
          </cell>
          <cell r="C436" t="str">
            <v/>
          </cell>
          <cell r="D436" t="str">
            <v/>
          </cell>
          <cell r="E436" t="str">
            <v/>
          </cell>
          <cell r="F436" t="str">
            <v>Kayumanis 1, Delta Silicon 3, Blok F10 No.01.C, Kel. Serang, Kec. Cikarang Selatan</v>
          </cell>
          <cell r="G436" t="str">
            <v>□</v>
          </cell>
          <cell r="H436" t="str">
            <v>□</v>
          </cell>
          <cell r="I436" t="str">
            <v>□</v>
          </cell>
          <cell r="J436" t="str">
            <v>□</v>
          </cell>
          <cell r="K436" t="str">
            <v>□</v>
          </cell>
          <cell r="L436" t="str">
            <v>□</v>
          </cell>
          <cell r="M436" t="str">
            <v>□</v>
          </cell>
          <cell r="N436" t="str">
            <v>□</v>
          </cell>
          <cell r="O436" t="str">
            <v>□</v>
          </cell>
          <cell r="P436" t="str">
            <v>□</v>
          </cell>
          <cell r="Q436" t="str">
            <v>□</v>
          </cell>
          <cell r="R436" t="str">
            <v>□</v>
          </cell>
          <cell r="S436" t="str">
            <v>□</v>
          </cell>
          <cell r="T436" t="str">
            <v>□</v>
          </cell>
          <cell r="U436" t="str">
            <v>NA</v>
          </cell>
          <cell r="V436" t="str">
            <v>No Register</v>
          </cell>
          <cell r="W436" t="str">
            <v/>
          </cell>
          <cell r="Y436" t="str">
            <v/>
          </cell>
        </row>
        <row r="437">
          <cell r="B437" t="str">
            <v>Adhigana Perkasa Mandiri, PT</v>
          </cell>
          <cell r="C437" t="str">
            <v>sales1@adhiganacorp.com; sales4@adhiganacorp.com</v>
          </cell>
          <cell r="D437" t="str">
            <v>Wiwin</v>
          </cell>
          <cell r="E437" t="str">
            <v>081188805344</v>
          </cell>
          <cell r="F437" t="str">
            <v>Lindevetes Trade Center Lt.1, Blok B17, No. 1-3, Jl. Hayam Wuruk No.127, Mangga Besar, Tamansari</v>
          </cell>
          <cell r="G437" t="b">
            <v>0</v>
          </cell>
          <cell r="H437" t="b">
            <v>0</v>
          </cell>
          <cell r="I437" t="b">
            <v>0</v>
          </cell>
          <cell r="J437" t="b">
            <v>0</v>
          </cell>
          <cell r="K437" t="b">
            <v>1</v>
          </cell>
          <cell r="L437" t="b">
            <v>0</v>
          </cell>
          <cell r="M437" t="b">
            <v>0</v>
          </cell>
          <cell r="N437" t="b">
            <v>0</v>
          </cell>
          <cell r="O437" t="b">
            <v>0</v>
          </cell>
          <cell r="P437" t="b">
            <v>0</v>
          </cell>
          <cell r="Q437" t="b">
            <v>0</v>
          </cell>
          <cell r="R437" t="b">
            <v>0</v>
          </cell>
          <cell r="S437" t="b">
            <v>0</v>
          </cell>
          <cell r="T437" t="b">
            <v>0</v>
          </cell>
          <cell r="U437" t="str">
            <v>NA</v>
          </cell>
          <cell r="V437" t="str">
            <v>Register</v>
          </cell>
          <cell r="W437" t="str">
            <v/>
          </cell>
          <cell r="X437" t="str">
            <v>General Trading - HSE</v>
          </cell>
          <cell r="Y437" t="str">
            <v>Gas Detector / Fire System</v>
          </cell>
        </row>
        <row r="438">
          <cell r="B438" t="str">
            <v>Azhar Beruntung, UD</v>
          </cell>
          <cell r="C438" t="str">
            <v/>
          </cell>
          <cell r="D438" t="str">
            <v/>
          </cell>
          <cell r="E438" t="str">
            <v/>
          </cell>
          <cell r="F438" t="str">
            <v>Jl. Basuki Rahmat No.50 RT.011</v>
          </cell>
          <cell r="G438" t="str">
            <v>□</v>
          </cell>
          <cell r="H438" t="str">
            <v>□</v>
          </cell>
          <cell r="I438" t="str">
            <v>□</v>
          </cell>
          <cell r="J438" t="str">
            <v>□</v>
          </cell>
          <cell r="K438" t="str">
            <v>□</v>
          </cell>
          <cell r="L438" t="str">
            <v>□</v>
          </cell>
          <cell r="M438" t="str">
            <v>□</v>
          </cell>
          <cell r="N438" t="str">
            <v>□</v>
          </cell>
          <cell r="O438" t="str">
            <v>□</v>
          </cell>
          <cell r="P438" t="str">
            <v>□</v>
          </cell>
          <cell r="Q438" t="str">
            <v>□</v>
          </cell>
          <cell r="R438" t="str">
            <v>□</v>
          </cell>
          <cell r="S438" t="str">
            <v>□</v>
          </cell>
          <cell r="T438" t="str">
            <v>□</v>
          </cell>
          <cell r="U438" t="str">
            <v>NA</v>
          </cell>
          <cell r="V438" t="str">
            <v>No Register</v>
          </cell>
          <cell r="W438" t="str">
            <v/>
          </cell>
          <cell r="Y438" t="str">
            <v/>
          </cell>
        </row>
        <row r="439">
          <cell r="B439" t="str">
            <v>Dinamika Solusi Informatika, PT</v>
          </cell>
          <cell r="C439" t="str">
            <v>calvin@dinamika-si.com</v>
          </cell>
          <cell r="D439" t="str">
            <v/>
          </cell>
          <cell r="F439" t="str">
            <v>Wisma Nugra Santana Lt.2, Jl. Jend. Sudirman Kav 7-8 RT.006 RW.011, Karet Tengsin, Tanah Abang</v>
          </cell>
          <cell r="G439" t="b">
            <v>0</v>
          </cell>
          <cell r="H439" t="b">
            <v>0</v>
          </cell>
          <cell r="I439" t="b">
            <v>0</v>
          </cell>
          <cell r="J439" t="b">
            <v>0</v>
          </cell>
          <cell r="K439" t="b">
            <v>0</v>
          </cell>
          <cell r="L439" t="b">
            <v>1</v>
          </cell>
          <cell r="M439" t="b">
            <v>0</v>
          </cell>
          <cell r="N439" t="b">
            <v>0</v>
          </cell>
          <cell r="O439" t="b">
            <v>0</v>
          </cell>
          <cell r="P439" t="b">
            <v>0</v>
          </cell>
          <cell r="Q439" t="b">
            <v>0</v>
          </cell>
          <cell r="R439" t="b">
            <v>0</v>
          </cell>
          <cell r="S439" t="b">
            <v>0</v>
          </cell>
          <cell r="T439" t="b">
            <v>0</v>
          </cell>
          <cell r="U439" t="str">
            <v>NA</v>
          </cell>
          <cell r="V439" t="str">
            <v>Register</v>
          </cell>
          <cell r="W439" t="str">
            <v>IT - SW</v>
          </cell>
          <cell r="X439" t="str">
            <v>IT &amp; System - Software</v>
          </cell>
          <cell r="Y439" t="str">
            <v/>
          </cell>
        </row>
        <row r="440">
          <cell r="B440" t="str">
            <v>Octocomm Asia, PT</v>
          </cell>
          <cell r="C440" t="str">
            <v>winda@octodesign.co.id</v>
          </cell>
          <cell r="D440" t="str">
            <v>E.B Winda Apsari</v>
          </cell>
          <cell r="E440" t="str">
            <v>081298574769</v>
          </cell>
          <cell r="F440" t="str">
            <v>The Belleza Shopping Arcade 3rd floor Unit No.333, Jl. Letjend Soepeno No. 34, Grogol Utara, Kebayoran Lama</v>
          </cell>
          <cell r="G440" t="b">
            <v>0</v>
          </cell>
          <cell r="H440" t="b">
            <v>0</v>
          </cell>
          <cell r="I440" t="b">
            <v>0</v>
          </cell>
          <cell r="J440" t="b">
            <v>0</v>
          </cell>
          <cell r="K440" t="b">
            <v>0</v>
          </cell>
          <cell r="L440" t="b">
            <v>0</v>
          </cell>
          <cell r="M440" t="b">
            <v>1</v>
          </cell>
          <cell r="N440" t="b">
            <v>0</v>
          </cell>
          <cell r="O440" t="b">
            <v>0</v>
          </cell>
          <cell r="P440" t="b">
            <v>0</v>
          </cell>
          <cell r="Q440" t="b">
            <v>0</v>
          </cell>
          <cell r="R440" t="b">
            <v>0</v>
          </cell>
          <cell r="S440" t="b">
            <v>1</v>
          </cell>
          <cell r="T440" t="b">
            <v>0</v>
          </cell>
          <cell r="U440" t="str">
            <v>NA</v>
          </cell>
          <cell r="V440" t="str">
            <v>Register</v>
          </cell>
          <cell r="W440" t="str">
            <v>GT - OF</v>
          </cell>
          <cell r="X440" t="str">
            <v>General Trading - Office Supplies</v>
          </cell>
          <cell r="Y440" t="str">
            <v/>
          </cell>
        </row>
        <row r="441">
          <cell r="B441" t="str">
            <v>Cahaya Indo Mitra Berkarya, PT</v>
          </cell>
          <cell r="C441" t="str">
            <v/>
          </cell>
          <cell r="D441" t="str">
            <v/>
          </cell>
          <cell r="E441" t="str">
            <v/>
          </cell>
          <cell r="F441" t="str">
            <v>Perum Gedung Cilegon Damai 9 Blok B 38, No.05 RT.04 / RW.05, Kalitimbang Cibeber</v>
          </cell>
          <cell r="G441" t="str">
            <v>□</v>
          </cell>
          <cell r="H441" t="str">
            <v>□</v>
          </cell>
          <cell r="I441" t="str">
            <v>□</v>
          </cell>
          <cell r="J441" t="str">
            <v>□</v>
          </cell>
          <cell r="K441" t="str">
            <v>□</v>
          </cell>
          <cell r="L441" t="str">
            <v>□</v>
          </cell>
          <cell r="M441" t="str">
            <v>□</v>
          </cell>
          <cell r="N441" t="str">
            <v>□</v>
          </cell>
          <cell r="O441" t="str">
            <v>□</v>
          </cell>
          <cell r="P441" t="str">
            <v>□</v>
          </cell>
          <cell r="Q441" t="str">
            <v>□</v>
          </cell>
          <cell r="R441" t="str">
            <v>□</v>
          </cell>
          <cell r="S441" t="str">
            <v>□</v>
          </cell>
          <cell r="T441" t="str">
            <v>□</v>
          </cell>
          <cell r="U441" t="str">
            <v>NA</v>
          </cell>
          <cell r="V441" t="str">
            <v>No Register</v>
          </cell>
          <cell r="W441" t="str">
            <v/>
          </cell>
          <cell r="Y441" t="str">
            <v/>
          </cell>
        </row>
        <row r="442">
          <cell r="B442" t="str">
            <v>KSB Sales Indonesia, PT</v>
          </cell>
          <cell r="C442" t="str">
            <v>ovan.wibisono@ksb.com; OzyPratazikiRachmat.Yunas@ksb.com; Taufik.Sidik@ksb.com</v>
          </cell>
          <cell r="D442" t="str">
            <v>Ovan</v>
          </cell>
          <cell r="E442" t="str">
            <v>081119104365</v>
          </cell>
          <cell r="F442" t="str">
            <v>Kawasan Industri MM 2100, Jl. Timor Blok D.2-1, Lt.2 Mekar Wangi, Cikarang Barat</v>
          </cell>
          <cell r="G442" t="str">
            <v>□</v>
          </cell>
          <cell r="H442" t="str">
            <v>□</v>
          </cell>
          <cell r="I442" t="str">
            <v>□</v>
          </cell>
          <cell r="J442" t="str">
            <v>□</v>
          </cell>
          <cell r="K442" t="str">
            <v>□</v>
          </cell>
          <cell r="L442" t="str">
            <v>□</v>
          </cell>
          <cell r="M442" t="str">
            <v>□</v>
          </cell>
          <cell r="N442" t="str">
            <v>□</v>
          </cell>
          <cell r="O442" t="str">
            <v>□</v>
          </cell>
          <cell r="P442" t="str">
            <v>□</v>
          </cell>
          <cell r="Q442" t="str">
            <v>□</v>
          </cell>
          <cell r="R442" t="str">
            <v>□</v>
          </cell>
          <cell r="S442" t="str">
            <v>□</v>
          </cell>
          <cell r="T442" t="str">
            <v>□</v>
          </cell>
          <cell r="U442" t="str">
            <v>NA</v>
          </cell>
          <cell r="V442" t="str">
            <v>Register</v>
          </cell>
          <cell r="W442" t="str">
            <v>GT - ME</v>
          </cell>
          <cell r="X442" t="str">
            <v>General Trading - Mechanical</v>
          </cell>
          <cell r="Y442" t="str">
            <v>AD KSB</v>
          </cell>
        </row>
        <row r="443">
          <cell r="B443" t="str">
            <v>Ali Shahab</v>
          </cell>
          <cell r="C443" t="str">
            <v/>
          </cell>
          <cell r="D443" t="str">
            <v/>
          </cell>
          <cell r="E443" t="str">
            <v/>
          </cell>
          <cell r="F443" t="str">
            <v>Jl. M. Saidi No.34 RT.005/RW.001, Petukangan Selatan, Pesanggrahan Kota</v>
          </cell>
          <cell r="G443" t="str">
            <v>□</v>
          </cell>
          <cell r="H443" t="str">
            <v>□</v>
          </cell>
          <cell r="I443" t="str">
            <v>□</v>
          </cell>
          <cell r="J443" t="str">
            <v>□</v>
          </cell>
          <cell r="K443" t="str">
            <v>□</v>
          </cell>
          <cell r="L443" t="str">
            <v>□</v>
          </cell>
          <cell r="M443" t="str">
            <v>□</v>
          </cell>
          <cell r="N443" t="str">
            <v>□</v>
          </cell>
          <cell r="O443" t="str">
            <v>□</v>
          </cell>
          <cell r="P443" t="str">
            <v>□</v>
          </cell>
          <cell r="Q443" t="str">
            <v>□</v>
          </cell>
          <cell r="R443" t="str">
            <v>□</v>
          </cell>
          <cell r="S443" t="str">
            <v>□</v>
          </cell>
          <cell r="T443" t="str">
            <v>□</v>
          </cell>
          <cell r="U443" t="str">
            <v>NA</v>
          </cell>
          <cell r="V443" t="str">
            <v>No Register</v>
          </cell>
          <cell r="W443" t="str">
            <v/>
          </cell>
          <cell r="Y443" t="str">
            <v/>
          </cell>
        </row>
        <row r="444">
          <cell r="B444" t="str">
            <v>Wahana Safety Indonesia, PT</v>
          </cell>
          <cell r="C444" t="str">
            <v>ardhian@wahanasafety.com</v>
          </cell>
          <cell r="D444" t="str">
            <v>Ardhian</v>
          </cell>
          <cell r="E444" t="str">
            <v>081255542533</v>
          </cell>
          <cell r="F444" t="str">
            <v>JL. Jend Sudirman Ruko BSB Blok F-28 RT.040, Gunung Bahagia, Balikpapan Selatan</v>
          </cell>
          <cell r="G444" t="b">
            <v>0</v>
          </cell>
          <cell r="H444" t="b">
            <v>0</v>
          </cell>
          <cell r="I444" t="b">
            <v>0</v>
          </cell>
          <cell r="J444" t="b">
            <v>0</v>
          </cell>
          <cell r="K444" t="b">
            <v>1</v>
          </cell>
          <cell r="L444" t="b">
            <v>0</v>
          </cell>
          <cell r="M444" t="b">
            <v>0</v>
          </cell>
          <cell r="N444" t="b">
            <v>0</v>
          </cell>
          <cell r="O444" t="b">
            <v>0</v>
          </cell>
          <cell r="P444" t="b">
            <v>0</v>
          </cell>
          <cell r="Q444" t="b">
            <v>0</v>
          </cell>
          <cell r="R444" t="b">
            <v>0</v>
          </cell>
          <cell r="S444" t="b">
            <v>0</v>
          </cell>
          <cell r="T444" t="b">
            <v>0</v>
          </cell>
          <cell r="U444" t="str">
            <v>A</v>
          </cell>
          <cell r="V444" t="str">
            <v>Register</v>
          </cell>
          <cell r="W444" t="str">
            <v/>
          </cell>
          <cell r="X444" t="str">
            <v>General Trading - HSE</v>
          </cell>
          <cell r="Y444" t="str">
            <v>Safety</v>
          </cell>
        </row>
        <row r="445">
          <cell r="B445" t="str">
            <v>Anugerah Kualitas Lingkungan Madani Indonesia, PT</v>
          </cell>
          <cell r="C445" t="str">
            <v/>
          </cell>
          <cell r="D445" t="str">
            <v/>
          </cell>
          <cell r="E445" t="str">
            <v/>
          </cell>
          <cell r="F445" t="str">
            <v>Gedung DPP AKLI Lt.2, Jl KH Abdullah Syafe'i No. 36 - 37, Kel. Bukit Duri, Kec. Tebet</v>
          </cell>
          <cell r="G445" t="str">
            <v>□</v>
          </cell>
          <cell r="H445" t="str">
            <v>□</v>
          </cell>
          <cell r="I445" t="str">
            <v>□</v>
          </cell>
          <cell r="J445" t="str">
            <v>□</v>
          </cell>
          <cell r="K445" t="str">
            <v>□</v>
          </cell>
          <cell r="L445" t="str">
            <v>□</v>
          </cell>
          <cell r="M445" t="str">
            <v>□</v>
          </cell>
          <cell r="N445" t="str">
            <v>□</v>
          </cell>
          <cell r="O445" t="str">
            <v>□</v>
          </cell>
          <cell r="P445" t="str">
            <v>□</v>
          </cell>
          <cell r="Q445" t="str">
            <v>□</v>
          </cell>
          <cell r="R445" t="str">
            <v>□</v>
          </cell>
          <cell r="S445" t="str">
            <v>□</v>
          </cell>
          <cell r="T445" t="str">
            <v>□</v>
          </cell>
          <cell r="U445" t="str">
            <v>NA</v>
          </cell>
          <cell r="V445" t="str">
            <v>No Register</v>
          </cell>
          <cell r="W445" t="str">
            <v/>
          </cell>
          <cell r="Y445" t="str">
            <v/>
          </cell>
        </row>
        <row r="446">
          <cell r="B446" t="str">
            <v>Sumberdaya Sewatama, PT</v>
          </cell>
          <cell r="C446" t="str">
            <v>tomi.riyanto@sewatama.com; info@sewatama.com</v>
          </cell>
          <cell r="D446" t="str">
            <v>Tomi Riyanto</v>
          </cell>
          <cell r="E446" t="str">
            <v>08121365317</v>
          </cell>
          <cell r="F446" t="str">
            <v>TMT Building 2, 1&amp;2 Floor, Jl. Cilandak KKO Raya No.1, Cilandak Timur, Pasar Minggu</v>
          </cell>
          <cell r="G446" t="b">
            <v>0</v>
          </cell>
          <cell r="H446" t="b">
            <v>0</v>
          </cell>
          <cell r="I446" t="b">
            <v>0</v>
          </cell>
          <cell r="J446" t="b">
            <v>0</v>
          </cell>
          <cell r="K446" t="b">
            <v>0</v>
          </cell>
          <cell r="L446" t="b">
            <v>0</v>
          </cell>
          <cell r="M446" t="b">
            <v>0</v>
          </cell>
          <cell r="N446" t="b">
            <v>0</v>
          </cell>
          <cell r="O446" t="b">
            <v>0</v>
          </cell>
          <cell r="P446" t="b">
            <v>0</v>
          </cell>
          <cell r="Q446" t="b">
            <v>0</v>
          </cell>
          <cell r="R446" t="b">
            <v>0</v>
          </cell>
          <cell r="S446" t="b">
            <v>1</v>
          </cell>
          <cell r="T446" t="b">
            <v>0</v>
          </cell>
          <cell r="U446" t="str">
            <v>A</v>
          </cell>
          <cell r="V446" t="str">
            <v>Register</v>
          </cell>
          <cell r="W446" t="str">
            <v/>
          </cell>
          <cell r="X446" t="str">
            <v>Service Jasa - Mechanical
Transportation - Truck / Alat Berat Rental</v>
          </cell>
          <cell r="Y446" t="str">
            <v/>
          </cell>
        </row>
        <row r="447">
          <cell r="B447" t="str">
            <v>Trimitra Wisesa Abadi, PT</v>
          </cell>
          <cell r="C447" t="str">
            <v>oktavia@twa.co.id</v>
          </cell>
          <cell r="D447" t="str">
            <v>Oktavia</v>
          </cell>
          <cell r="E447" t="str">
            <v>085646626918; 081224008484</v>
          </cell>
          <cell r="F447" t="str">
            <v>Lindeves Trade Center Lt.2 Blok C.43 No.27-28, Kel. Mangga Besar, Kec. Taman Sari,</v>
          </cell>
          <cell r="G447" t="b">
            <v>0</v>
          </cell>
          <cell r="H447" t="b">
            <v>0</v>
          </cell>
          <cell r="I447" t="b">
            <v>0</v>
          </cell>
          <cell r="J447" t="b">
            <v>0</v>
          </cell>
          <cell r="K447" t="b">
            <v>0</v>
          </cell>
          <cell r="L447" t="b">
            <v>0</v>
          </cell>
          <cell r="M447" t="b">
            <v>0</v>
          </cell>
          <cell r="N447" t="b">
            <v>0</v>
          </cell>
          <cell r="O447" t="b">
            <v>0</v>
          </cell>
          <cell r="P447" t="b">
            <v>0</v>
          </cell>
          <cell r="Q447" t="b">
            <v>0</v>
          </cell>
          <cell r="R447" t="b">
            <v>0</v>
          </cell>
          <cell r="S447" t="b">
            <v>0</v>
          </cell>
          <cell r="T447" t="b">
            <v>0</v>
          </cell>
          <cell r="U447" t="str">
            <v>A</v>
          </cell>
          <cell r="V447" t="str">
            <v>No Register</v>
          </cell>
          <cell r="W447" t="str">
            <v/>
          </cell>
          <cell r="Y447" t="str">
            <v/>
          </cell>
        </row>
        <row r="448">
          <cell r="B448" t="str">
            <v>Cipta Krida Bahari, PT</v>
          </cell>
          <cell r="C448" t="str">
            <v>auliarahman@ckb.com</v>
          </cell>
          <cell r="D448" t="str">
            <v>Aulia</v>
          </cell>
          <cell r="E448" t="str">
            <v>08152100333</v>
          </cell>
          <cell r="F448" t="str">
            <v>Gedung TMT 1, 7Th Floor Suite 701, Jl. CIlandak KKO No.1, Cilandak Timur, Pasar Minggu</v>
          </cell>
          <cell r="G448" t="str">
            <v>□</v>
          </cell>
          <cell r="H448" t="str">
            <v>□</v>
          </cell>
          <cell r="I448" t="str">
            <v>□</v>
          </cell>
          <cell r="J448" t="str">
            <v>□</v>
          </cell>
          <cell r="K448" t="str">
            <v>□</v>
          </cell>
          <cell r="L448" t="str">
            <v>□</v>
          </cell>
          <cell r="M448" t="str">
            <v>□</v>
          </cell>
          <cell r="N448" t="str">
            <v>□</v>
          </cell>
          <cell r="O448" t="str">
            <v>□</v>
          </cell>
          <cell r="P448" t="str">
            <v>□</v>
          </cell>
          <cell r="Q448" t="str">
            <v>□</v>
          </cell>
          <cell r="R448" t="str">
            <v>□</v>
          </cell>
          <cell r="S448" t="str">
            <v>□</v>
          </cell>
          <cell r="T448" t="str">
            <v>□</v>
          </cell>
          <cell r="U448" t="str">
            <v>NA</v>
          </cell>
          <cell r="V448" t="str">
            <v>No Register</v>
          </cell>
          <cell r="W448" t="str">
            <v>LG - TR</v>
          </cell>
          <cell r="X448" t="str">
            <v>Logistics - Trucking</v>
          </cell>
          <cell r="Y448" t="str">
            <v/>
          </cell>
        </row>
        <row r="449">
          <cell r="B449" t="str">
            <v>MARCOM SRL</v>
          </cell>
          <cell r="C449" t="str">
            <v>sossella@marcomweb.it; marani@marcomweb.it; comai@marcomweb.it</v>
          </cell>
          <cell r="D449" t="str">
            <v>Valentina Sossella</v>
          </cell>
          <cell r="F449" t="str">
            <v>Via della Metallurgia 11</v>
          </cell>
          <cell r="G449" t="str">
            <v>□</v>
          </cell>
          <cell r="H449" t="str">
            <v>□</v>
          </cell>
          <cell r="I449" t="str">
            <v>□</v>
          </cell>
          <cell r="J449" t="str">
            <v>□</v>
          </cell>
          <cell r="K449" t="str">
            <v>□</v>
          </cell>
          <cell r="L449" t="str">
            <v>□</v>
          </cell>
          <cell r="M449" t="str">
            <v>□</v>
          </cell>
          <cell r="N449" t="str">
            <v>□</v>
          </cell>
          <cell r="O449" t="str">
            <v>□</v>
          </cell>
          <cell r="P449" t="str">
            <v>□</v>
          </cell>
          <cell r="Q449" t="str">
            <v>□</v>
          </cell>
          <cell r="R449" t="str">
            <v>□</v>
          </cell>
          <cell r="S449" t="str">
            <v>□</v>
          </cell>
          <cell r="T449" t="str">
            <v>□</v>
          </cell>
          <cell r="U449" t="str">
            <v>NA</v>
          </cell>
          <cell r="V449" t="str">
            <v>No Register</v>
          </cell>
          <cell r="W449" t="str">
            <v/>
          </cell>
          <cell r="Y449" t="str">
            <v/>
          </cell>
        </row>
        <row r="450">
          <cell r="B450" t="str">
            <v>Berkat Partindo Abadi, PT</v>
          </cell>
          <cell r="C450" t="str">
            <v>info@berkatpartindoabadi.com; daniel@berkatpartindoabadi.com</v>
          </cell>
          <cell r="D450" t="str">
            <v>Fauziah</v>
          </cell>
          <cell r="E450" t="str">
            <v>085888202266</v>
          </cell>
          <cell r="F450" t="str">
            <v>GD Mega Glodok Kemayoran LT UG Blok A-18 No.07, Gunung Sahari Selatan - Kemayoran</v>
          </cell>
          <cell r="G450" t="b">
            <v>0</v>
          </cell>
          <cell r="H450" t="b">
            <v>0</v>
          </cell>
          <cell r="I450" t="b">
            <v>0</v>
          </cell>
          <cell r="J450" t="b">
            <v>0</v>
          </cell>
          <cell r="K450" t="b">
            <v>0</v>
          </cell>
          <cell r="L450" t="b">
            <v>0</v>
          </cell>
          <cell r="M450" t="b">
            <v>0</v>
          </cell>
          <cell r="N450" t="b">
            <v>0</v>
          </cell>
          <cell r="O450" t="b">
            <v>0</v>
          </cell>
          <cell r="P450" t="b">
            <v>0</v>
          </cell>
          <cell r="Q450" t="b">
            <v>0</v>
          </cell>
          <cell r="R450" t="b">
            <v>0</v>
          </cell>
          <cell r="S450" t="b">
            <v>0</v>
          </cell>
          <cell r="T450" t="b">
            <v>0</v>
          </cell>
          <cell r="U450" t="str">
            <v>NA</v>
          </cell>
          <cell r="V450" t="str">
            <v>No Register</v>
          </cell>
          <cell r="W450" t="str">
            <v/>
          </cell>
          <cell r="Y450" t="str">
            <v/>
          </cell>
        </row>
        <row r="451">
          <cell r="B451" t="str">
            <v>Viktori Profindo Automation, PT</v>
          </cell>
          <cell r="C451" t="str">
            <v>wahyu@viktori-automation.com; sales@viktori-automation.com; retno@viktori-automation.com; dini@viktori-automation.com; admin@viktori-automation.com</v>
          </cell>
          <cell r="D451" t="str">
            <v>Wahyu</v>
          </cell>
          <cell r="E451" t="str">
            <v>081335749893</v>
          </cell>
          <cell r="F451" t="str">
            <v>Galaxi Bumi Permai Blok J-1/12-A, Semolowaru - Sukolilo</v>
          </cell>
          <cell r="G451" t="b">
            <v>0</v>
          </cell>
          <cell r="H451" t="b">
            <v>1</v>
          </cell>
          <cell r="I451" t="b">
            <v>1</v>
          </cell>
          <cell r="J451" t="b">
            <v>0</v>
          </cell>
          <cell r="K451" t="b">
            <v>0</v>
          </cell>
          <cell r="L451" t="b">
            <v>0</v>
          </cell>
          <cell r="M451" t="b">
            <v>0</v>
          </cell>
          <cell r="N451" t="b">
            <v>0</v>
          </cell>
          <cell r="O451" t="b">
            <v>0</v>
          </cell>
          <cell r="P451" t="b">
            <v>0</v>
          </cell>
          <cell r="Q451" t="b">
            <v>0</v>
          </cell>
          <cell r="R451" t="b">
            <v>0</v>
          </cell>
          <cell r="S451" t="b">
            <v>1</v>
          </cell>
          <cell r="T451" t="b">
            <v>0</v>
          </cell>
          <cell r="U451" t="str">
            <v>A</v>
          </cell>
          <cell r="V451" t="str">
            <v>Register</v>
          </cell>
          <cell r="W451" t="str">
            <v>GT - IC</v>
          </cell>
          <cell r="X451" t="str">
            <v>General Trading - Instrument
General Trading - Elektrical</v>
          </cell>
          <cell r="Y451" t="str">
            <v/>
          </cell>
        </row>
        <row r="452">
          <cell r="B452" t="str">
            <v>Alkon Trainindo Utama, PT</v>
          </cell>
          <cell r="C452" t="str">
            <v/>
          </cell>
          <cell r="D452" t="str">
            <v/>
          </cell>
          <cell r="E452" t="str">
            <v/>
          </cell>
          <cell r="F452" t="str">
            <v>Jl. Kedungdoro No. 74-76, Blok B.16-20, Sawahan</v>
          </cell>
          <cell r="G452" t="str">
            <v>□</v>
          </cell>
          <cell r="H452" t="str">
            <v>□</v>
          </cell>
          <cell r="I452" t="str">
            <v>□</v>
          </cell>
          <cell r="J452" t="str">
            <v>□</v>
          </cell>
          <cell r="K452" t="str">
            <v>□</v>
          </cell>
          <cell r="L452" t="str">
            <v>□</v>
          </cell>
          <cell r="M452" t="str">
            <v>□</v>
          </cell>
          <cell r="N452" t="str">
            <v>□</v>
          </cell>
          <cell r="O452" t="str">
            <v>□</v>
          </cell>
          <cell r="P452" t="str">
            <v>□</v>
          </cell>
          <cell r="Q452" t="str">
            <v>□</v>
          </cell>
          <cell r="R452" t="str">
            <v>□</v>
          </cell>
          <cell r="S452" t="str">
            <v>□</v>
          </cell>
          <cell r="T452" t="str">
            <v>□</v>
          </cell>
          <cell r="U452" t="str">
            <v>NA</v>
          </cell>
          <cell r="V452" t="str">
            <v>No Register</v>
          </cell>
          <cell r="W452" t="str">
            <v/>
          </cell>
          <cell r="Y452" t="str">
            <v/>
          </cell>
        </row>
        <row r="453">
          <cell r="B453" t="str">
            <v>Bengkel Mobil Arif Jaya Mandiri</v>
          </cell>
          <cell r="C453" t="str">
            <v/>
          </cell>
          <cell r="D453" t="str">
            <v/>
          </cell>
          <cell r="E453" t="str">
            <v/>
          </cell>
          <cell r="F453" t="str">
            <v>Komp Griya Persada Asri Blok E No.9, RT.09/RW.00, Kel. Pembataan, Kec. Murung Pudak</v>
          </cell>
          <cell r="G453" t="str">
            <v>□</v>
          </cell>
          <cell r="H453" t="str">
            <v>□</v>
          </cell>
          <cell r="I453" t="str">
            <v>□</v>
          </cell>
          <cell r="J453" t="str">
            <v>□</v>
          </cell>
          <cell r="K453" t="str">
            <v>□</v>
          </cell>
          <cell r="L453" t="str">
            <v>□</v>
          </cell>
          <cell r="M453" t="str">
            <v>□</v>
          </cell>
          <cell r="N453" t="str">
            <v>□</v>
          </cell>
          <cell r="O453" t="str">
            <v>□</v>
          </cell>
          <cell r="P453" t="str">
            <v>□</v>
          </cell>
          <cell r="Q453" t="str">
            <v>□</v>
          </cell>
          <cell r="R453" t="str">
            <v>□</v>
          </cell>
          <cell r="S453" t="str">
            <v>□</v>
          </cell>
          <cell r="T453" t="str">
            <v>□</v>
          </cell>
          <cell r="U453" t="str">
            <v>NA</v>
          </cell>
          <cell r="V453" t="str">
            <v>No Register</v>
          </cell>
          <cell r="W453" t="str">
            <v/>
          </cell>
          <cell r="Y453" t="str">
            <v/>
          </cell>
        </row>
        <row r="454">
          <cell r="B454" t="str">
            <v>Yunia, CV</v>
          </cell>
          <cell r="C454" t="str">
            <v>cv.yunia@yahoo.co.id</v>
          </cell>
          <cell r="D454" t="str">
            <v>Sri Wahyuningsih</v>
          </cell>
          <cell r="E454" t="str">
            <v>081255570577; 081251188887</v>
          </cell>
          <cell r="F454" t="str">
            <v>Jl. Bougenville RT.019 / RW.00, Kel, Belimbing Raya, Kec. Murung Pudak</v>
          </cell>
          <cell r="G454" t="b">
            <v>0</v>
          </cell>
          <cell r="H454" t="b">
            <v>0</v>
          </cell>
          <cell r="I454" t="b">
            <v>0</v>
          </cell>
          <cell r="J454" t="b">
            <v>0</v>
          </cell>
          <cell r="K454" t="b">
            <v>0</v>
          </cell>
          <cell r="L454" t="b">
            <v>0</v>
          </cell>
          <cell r="M454" t="b">
            <v>0</v>
          </cell>
          <cell r="N454" t="b">
            <v>0</v>
          </cell>
          <cell r="O454" t="b">
            <v>0</v>
          </cell>
          <cell r="P454" t="b">
            <v>0</v>
          </cell>
          <cell r="Q454" t="b">
            <v>0</v>
          </cell>
          <cell r="R454" t="b">
            <v>0</v>
          </cell>
          <cell r="S454" t="b">
            <v>0</v>
          </cell>
          <cell r="T454" t="b">
            <v>0</v>
          </cell>
          <cell r="U454" t="str">
            <v>NA</v>
          </cell>
          <cell r="V454" t="str">
            <v>No Register</v>
          </cell>
          <cell r="W454" t="str">
            <v/>
          </cell>
          <cell r="Y454" t="str">
            <v/>
          </cell>
        </row>
        <row r="455">
          <cell r="B455" t="str">
            <v>Anugrah Andalan Bestindo, PT</v>
          </cell>
          <cell r="C455" t="str">
            <v>SalesSupport@ptaab.id</v>
          </cell>
          <cell r="D455" t="str">
            <v/>
          </cell>
          <cell r="E455" t="str">
            <v/>
          </cell>
          <cell r="F455" t="str">
            <v>Gedung Centennial Tower LT.29 Unit D-E, Jl Jend. Gatot Subroto, Karet Semanggi, Setiabudi</v>
          </cell>
          <cell r="G455" t="str">
            <v>□</v>
          </cell>
          <cell r="H455" t="str">
            <v>□</v>
          </cell>
          <cell r="I455" t="str">
            <v>□</v>
          </cell>
          <cell r="J455" t="str">
            <v>□</v>
          </cell>
          <cell r="K455" t="str">
            <v>□</v>
          </cell>
          <cell r="L455" t="str">
            <v>□</v>
          </cell>
          <cell r="M455" t="str">
            <v>□</v>
          </cell>
          <cell r="N455" t="str">
            <v>□</v>
          </cell>
          <cell r="O455" t="str">
            <v>□</v>
          </cell>
          <cell r="P455" t="str">
            <v>□</v>
          </cell>
          <cell r="Q455" t="str">
            <v>□</v>
          </cell>
          <cell r="R455" t="str">
            <v>□</v>
          </cell>
          <cell r="S455" t="str">
            <v>□</v>
          </cell>
          <cell r="T455" t="str">
            <v>□</v>
          </cell>
          <cell r="U455" t="str">
            <v>NA</v>
          </cell>
          <cell r="V455" t="str">
            <v>No Register</v>
          </cell>
          <cell r="W455" t="str">
            <v/>
          </cell>
          <cell r="Y455" t="str">
            <v/>
          </cell>
        </row>
        <row r="456">
          <cell r="B456" t="str">
            <v>Indotech Citra Sinergi, PT</v>
          </cell>
          <cell r="C456" t="str">
            <v>rian@icsinergi.com</v>
          </cell>
          <cell r="D456" t="str">
            <v>Rian</v>
          </cell>
          <cell r="E456" t="str">
            <v>082250348427</v>
          </cell>
          <cell r="F456" t="str">
            <v>Jl. Asoka Raya Pesona Country Komp. Balikpapan Baru, Blok G5 No. 3A RT.09, Damai Baru, Balikpapan Selatan</v>
          </cell>
          <cell r="G456" t="b">
            <v>0</v>
          </cell>
          <cell r="H456" t="b">
            <v>0</v>
          </cell>
          <cell r="I456" t="b">
            <v>0</v>
          </cell>
          <cell r="J456" t="b">
            <v>0</v>
          </cell>
          <cell r="K456" t="b">
            <v>0</v>
          </cell>
          <cell r="L456" t="b">
            <v>0</v>
          </cell>
          <cell r="M456" t="b">
            <v>0</v>
          </cell>
          <cell r="N456" t="b">
            <v>0</v>
          </cell>
          <cell r="O456" t="b">
            <v>0</v>
          </cell>
          <cell r="P456" t="b">
            <v>0</v>
          </cell>
          <cell r="Q456" t="b">
            <v>0</v>
          </cell>
          <cell r="R456" t="b">
            <v>0</v>
          </cell>
          <cell r="S456" t="b">
            <v>0</v>
          </cell>
          <cell r="T456" t="b">
            <v>0</v>
          </cell>
          <cell r="U456" t="str">
            <v>A</v>
          </cell>
          <cell r="V456" t="str">
            <v>Register</v>
          </cell>
          <cell r="W456" t="str">
            <v>PR - TR</v>
          </cell>
          <cell r="X456" t="str">
            <v>Professional Services - Training</v>
          </cell>
          <cell r="Y456" t="str">
            <v>Sertifikasi</v>
          </cell>
        </row>
        <row r="457">
          <cell r="B457" t="str">
            <v>Fadnov Airtech Indonesia, PT</v>
          </cell>
          <cell r="C457" t="str">
            <v>nurul.habibi@fadnovairtech.com; marketing@fadnovairtech.com</v>
          </cell>
          <cell r="D457" t="str">
            <v>Nurul</v>
          </cell>
          <cell r="E457" t="str">
            <v>082319002806</v>
          </cell>
          <cell r="F457" t="str">
            <v>Komplek Permata Buah, Jl. Raya Terusan Buah Batu R-9 RT.003/RW.007, Lengkong, Bojongsoang</v>
          </cell>
          <cell r="G457" t="b">
            <v>1</v>
          </cell>
          <cell r="H457" t="b">
            <v>0</v>
          </cell>
          <cell r="I457" t="b">
            <v>0</v>
          </cell>
          <cell r="J457" t="b">
            <v>0</v>
          </cell>
          <cell r="K457" t="b">
            <v>0</v>
          </cell>
          <cell r="L457" t="b">
            <v>0</v>
          </cell>
          <cell r="M457" t="b">
            <v>0</v>
          </cell>
          <cell r="N457" t="b">
            <v>0</v>
          </cell>
          <cell r="O457" t="b">
            <v>0</v>
          </cell>
          <cell r="P457" t="b">
            <v>0</v>
          </cell>
          <cell r="Q457" t="b">
            <v>0</v>
          </cell>
          <cell r="R457" t="b">
            <v>0</v>
          </cell>
          <cell r="S457" t="b">
            <v>0</v>
          </cell>
          <cell r="T457" t="b">
            <v>0</v>
          </cell>
          <cell r="U457" t="str">
            <v>A</v>
          </cell>
          <cell r="V457" t="str">
            <v>Register</v>
          </cell>
          <cell r="W457" t="str">
            <v>GT - ME</v>
          </cell>
          <cell r="X457" t="str">
            <v>General Trading - Mechanical</v>
          </cell>
          <cell r="Y457" t="str">
            <v>Mechanical</v>
          </cell>
        </row>
        <row r="458">
          <cell r="B458" t="str">
            <v>Allsys Solutions, PT</v>
          </cell>
          <cell r="C458" t="str">
            <v/>
          </cell>
          <cell r="D458" t="str">
            <v/>
          </cell>
          <cell r="E458" t="str">
            <v/>
          </cell>
          <cell r="F458" t="str">
            <v>Jl. Utan Kayu No. 87 GD. Utaka 87 Lt. III R.303 RT.013/006, Utan Kayu Utara, Matraman</v>
          </cell>
          <cell r="G458" t="str">
            <v>□</v>
          </cell>
          <cell r="H458" t="str">
            <v>□</v>
          </cell>
          <cell r="I458" t="str">
            <v>□</v>
          </cell>
          <cell r="J458" t="str">
            <v>□</v>
          </cell>
          <cell r="K458" t="str">
            <v>□</v>
          </cell>
          <cell r="L458" t="str">
            <v>□</v>
          </cell>
          <cell r="M458" t="str">
            <v>□</v>
          </cell>
          <cell r="N458" t="str">
            <v>□</v>
          </cell>
          <cell r="O458" t="str">
            <v>□</v>
          </cell>
          <cell r="P458" t="str">
            <v>□</v>
          </cell>
          <cell r="Q458" t="str">
            <v>□</v>
          </cell>
          <cell r="R458" t="str">
            <v>□</v>
          </cell>
          <cell r="S458" t="str">
            <v>□</v>
          </cell>
          <cell r="T458" t="str">
            <v>□</v>
          </cell>
          <cell r="U458" t="str">
            <v>NA</v>
          </cell>
          <cell r="V458" t="str">
            <v>No Register</v>
          </cell>
          <cell r="W458" t="str">
            <v/>
          </cell>
          <cell r="Y458" t="str">
            <v/>
          </cell>
        </row>
        <row r="459">
          <cell r="B459" t="str">
            <v>Ardh Global Indonesia, PT</v>
          </cell>
          <cell r="C459" t="str">
            <v/>
          </cell>
          <cell r="D459" t="str">
            <v/>
          </cell>
          <cell r="E459" t="str">
            <v/>
          </cell>
          <cell r="F459" t="str">
            <v>Ruko Golden Madrid 2 Blok G No.23, BSD City, Rawa Mekar Jaya, Serpong</v>
          </cell>
          <cell r="G459" t="b">
            <v>0</v>
          </cell>
          <cell r="H459" t="b">
            <v>0</v>
          </cell>
          <cell r="I459" t="b">
            <v>0</v>
          </cell>
          <cell r="J459" t="b">
            <v>0</v>
          </cell>
          <cell r="K459" t="b">
            <v>0</v>
          </cell>
          <cell r="L459" t="b">
            <v>1</v>
          </cell>
          <cell r="M459" t="b">
            <v>0</v>
          </cell>
          <cell r="N459" t="b">
            <v>0</v>
          </cell>
          <cell r="O459" t="b">
            <v>0</v>
          </cell>
          <cell r="P459" t="b">
            <v>0</v>
          </cell>
          <cell r="Q459" t="b">
            <v>0</v>
          </cell>
          <cell r="R459" t="b">
            <v>0</v>
          </cell>
          <cell r="S459" t="b">
            <v>0</v>
          </cell>
          <cell r="T459" t="b">
            <v>0</v>
          </cell>
          <cell r="U459" t="str">
            <v>NA</v>
          </cell>
          <cell r="V459" t="str">
            <v>Register</v>
          </cell>
          <cell r="W459" t="str">
            <v>IT - CL</v>
          </cell>
          <cell r="X459" t="str">
            <v>IT &amp; System - Cloud Services</v>
          </cell>
          <cell r="Y459" t="str">
            <v/>
          </cell>
        </row>
        <row r="460">
          <cell r="B460" t="str">
            <v>Global Energitama, PT</v>
          </cell>
          <cell r="C460" t="str">
            <v>sugiarto@gar.co.id</v>
          </cell>
          <cell r="D460" t="str">
            <v>Sugiarto</v>
          </cell>
          <cell r="E460" t="str">
            <v>081329261971</v>
          </cell>
          <cell r="F460" t="str">
            <v>CBD Emerald Avenue Blok EA/A-39, Jl. Boulevard Raya Bintaro Jaya Sektor 9, Parigi, Pondok Aren,</v>
          </cell>
          <cell r="G460" t="str">
            <v>□</v>
          </cell>
          <cell r="H460" t="str">
            <v>□</v>
          </cell>
          <cell r="I460" t="str">
            <v>□</v>
          </cell>
          <cell r="J460" t="str">
            <v>□</v>
          </cell>
          <cell r="K460" t="str">
            <v>□</v>
          </cell>
          <cell r="L460" t="str">
            <v>□</v>
          </cell>
          <cell r="M460" t="str">
            <v>□</v>
          </cell>
          <cell r="N460" t="str">
            <v>□</v>
          </cell>
          <cell r="O460" t="str">
            <v>□</v>
          </cell>
          <cell r="P460" t="str">
            <v>□</v>
          </cell>
          <cell r="Q460" t="str">
            <v>□</v>
          </cell>
          <cell r="R460" t="str">
            <v>□</v>
          </cell>
          <cell r="S460" t="str">
            <v>□</v>
          </cell>
          <cell r="T460" t="str">
            <v>□</v>
          </cell>
          <cell r="U460" t="str">
            <v>NA</v>
          </cell>
          <cell r="V460" t="str">
            <v>No Register</v>
          </cell>
          <cell r="W460" t="str">
            <v/>
          </cell>
          <cell r="Y460" t="str">
            <v/>
          </cell>
        </row>
        <row r="461">
          <cell r="B461" t="str">
            <v>Bengkel Ampera</v>
          </cell>
          <cell r="C461" t="str">
            <v/>
          </cell>
          <cell r="D461" t="str">
            <v/>
          </cell>
          <cell r="E461" t="str">
            <v/>
          </cell>
          <cell r="F461" t="str">
            <v>JL. Paramian RT.06 Kel. Pembataan Murung Pudak,</v>
          </cell>
          <cell r="G461" t="str">
            <v>□</v>
          </cell>
          <cell r="H461" t="str">
            <v>□</v>
          </cell>
          <cell r="I461" t="str">
            <v>□</v>
          </cell>
          <cell r="J461" t="str">
            <v>□</v>
          </cell>
          <cell r="K461" t="str">
            <v>□</v>
          </cell>
          <cell r="L461" t="str">
            <v>□</v>
          </cell>
          <cell r="M461" t="str">
            <v>□</v>
          </cell>
          <cell r="N461" t="str">
            <v>□</v>
          </cell>
          <cell r="O461" t="str">
            <v>□</v>
          </cell>
          <cell r="P461" t="str">
            <v>□</v>
          </cell>
          <cell r="Q461" t="str">
            <v>□</v>
          </cell>
          <cell r="R461" t="str">
            <v>□</v>
          </cell>
          <cell r="S461" t="str">
            <v>□</v>
          </cell>
          <cell r="T461" t="str">
            <v>□</v>
          </cell>
          <cell r="U461" t="str">
            <v>NA</v>
          </cell>
          <cell r="V461" t="str">
            <v>No Register</v>
          </cell>
          <cell r="W461" t="str">
            <v/>
          </cell>
          <cell r="Y461" t="str">
            <v/>
          </cell>
        </row>
        <row r="462">
          <cell r="B462" t="str">
            <v>Transavia Otomasi Pratama, PT</v>
          </cell>
          <cell r="C462" t="str">
            <v/>
          </cell>
          <cell r="D462" t="str">
            <v/>
          </cell>
          <cell r="E462" t="str">
            <v/>
          </cell>
          <cell r="F462" t="str">
            <v>Graha Paramita, JL. Denpasar Raya Blok D-2, Kel. Karet Kuningan, Kec. Setiabudi,</v>
          </cell>
          <cell r="G462" t="str">
            <v>□</v>
          </cell>
          <cell r="H462" t="str">
            <v>□</v>
          </cell>
          <cell r="I462" t="str">
            <v>□</v>
          </cell>
          <cell r="J462" t="str">
            <v>□</v>
          </cell>
          <cell r="K462" t="str">
            <v>□</v>
          </cell>
          <cell r="L462" t="str">
            <v>□</v>
          </cell>
          <cell r="M462" t="str">
            <v>□</v>
          </cell>
          <cell r="N462" t="str">
            <v>□</v>
          </cell>
          <cell r="O462" t="str">
            <v>□</v>
          </cell>
          <cell r="P462" t="str">
            <v>□</v>
          </cell>
          <cell r="Q462" t="str">
            <v>□</v>
          </cell>
          <cell r="R462" t="str">
            <v>□</v>
          </cell>
          <cell r="S462" t="str">
            <v>□</v>
          </cell>
          <cell r="T462" t="str">
            <v>□</v>
          </cell>
          <cell r="U462" t="str">
            <v>NA</v>
          </cell>
          <cell r="V462" t="str">
            <v>No Register</v>
          </cell>
          <cell r="W462" t="str">
            <v/>
          </cell>
          <cell r="Y462" t="str">
            <v/>
          </cell>
        </row>
        <row r="463">
          <cell r="B463" t="str">
            <v>Lamindo Prima Mandiri, PT</v>
          </cell>
          <cell r="C463" t="str">
            <v>sales@lamindo.co.id; arif@lamindo.co.id</v>
          </cell>
          <cell r="D463" t="str">
            <v>Arif</v>
          </cell>
          <cell r="E463" t="str">
            <v>081272919201</v>
          </cell>
          <cell r="F463" t="str">
            <v>Ruko Taman Cilegon Indah A.1 No.37 RT.006 RW.005, Sukmajaya Jombang</v>
          </cell>
          <cell r="G463" t="b">
            <v>1</v>
          </cell>
          <cell r="H463" t="b">
            <v>0</v>
          </cell>
          <cell r="I463" t="b">
            <v>0</v>
          </cell>
          <cell r="J463" t="b">
            <v>0</v>
          </cell>
          <cell r="K463" t="b">
            <v>0</v>
          </cell>
          <cell r="L463" t="b">
            <v>0</v>
          </cell>
          <cell r="M463" t="b">
            <v>0</v>
          </cell>
          <cell r="N463" t="b">
            <v>0</v>
          </cell>
          <cell r="O463" t="b">
            <v>0</v>
          </cell>
          <cell r="P463" t="b">
            <v>0</v>
          </cell>
          <cell r="Q463" t="b">
            <v>0</v>
          </cell>
          <cell r="R463" t="b">
            <v>0</v>
          </cell>
          <cell r="S463" t="b">
            <v>0</v>
          </cell>
          <cell r="T463" t="b">
            <v>0</v>
          </cell>
          <cell r="U463" t="str">
            <v>NA</v>
          </cell>
          <cell r="V463" t="str">
            <v>No Register</v>
          </cell>
          <cell r="W463" t="str">
            <v>GT - ME</v>
          </cell>
          <cell r="X463" t="str">
            <v>General Trading - Mechanical</v>
          </cell>
          <cell r="Y463" t="str">
            <v>Valve, Gauge</v>
          </cell>
        </row>
        <row r="464">
          <cell r="B464" t="str">
            <v>Berkat Keselamatan Dunia, PT</v>
          </cell>
          <cell r="C464" t="str">
            <v>novidadeputra@berkatsafety.co.id</v>
          </cell>
          <cell r="D464" t="str">
            <v>Novid Ade Putra</v>
          </cell>
          <cell r="E464" t="str">
            <v>08113344808</v>
          </cell>
          <cell r="F464" t="str">
            <v>Jl. Ngagel Raya 6 No. 183, RT.000 RW.000, Ngagel Rejo Wonokromo</v>
          </cell>
          <cell r="G464" t="b">
            <v>0</v>
          </cell>
          <cell r="H464" t="b">
            <v>0</v>
          </cell>
          <cell r="I464" t="b">
            <v>0</v>
          </cell>
          <cell r="J464" t="b">
            <v>0</v>
          </cell>
          <cell r="K464" t="b">
            <v>1</v>
          </cell>
          <cell r="L464" t="b">
            <v>0</v>
          </cell>
          <cell r="M464" t="b">
            <v>0</v>
          </cell>
          <cell r="N464" t="b">
            <v>0</v>
          </cell>
          <cell r="O464" t="b">
            <v>0</v>
          </cell>
          <cell r="P464" t="b">
            <v>0</v>
          </cell>
          <cell r="Q464" t="b">
            <v>0</v>
          </cell>
          <cell r="R464" t="b">
            <v>0</v>
          </cell>
          <cell r="S464" t="b">
            <v>0</v>
          </cell>
          <cell r="T464" t="b">
            <v>0</v>
          </cell>
          <cell r="U464" t="str">
            <v>A</v>
          </cell>
          <cell r="V464" t="str">
            <v>Register</v>
          </cell>
          <cell r="W464" t="str">
            <v/>
          </cell>
          <cell r="X464" t="str">
            <v>General Trading - HSE</v>
          </cell>
          <cell r="Y464" t="str">
            <v>Safety</v>
          </cell>
        </row>
        <row r="465">
          <cell r="B465" t="str">
            <v>Gamma Energi Pratama, PT</v>
          </cell>
          <cell r="C465" t="str">
            <v>sales@gammaenergi.com</v>
          </cell>
          <cell r="D465" t="str">
            <v>Ari</v>
          </cell>
          <cell r="E465" t="str">
            <v>082214384604</v>
          </cell>
          <cell r="F465" t="str">
            <v>Jl. Bintara Jaya Raya No. 2, Kel. Bintara Jaya, Kec. Bekasi Barat,</v>
          </cell>
          <cell r="G465" t="b">
            <v>1</v>
          </cell>
          <cell r="H465" t="b">
            <v>0</v>
          </cell>
          <cell r="I465" t="b">
            <v>0</v>
          </cell>
          <cell r="J465" t="b">
            <v>0</v>
          </cell>
          <cell r="K465" t="b">
            <v>0</v>
          </cell>
          <cell r="L465" t="b">
            <v>0</v>
          </cell>
          <cell r="M465" t="b">
            <v>0</v>
          </cell>
          <cell r="N465" t="b">
            <v>0</v>
          </cell>
          <cell r="O465" t="b">
            <v>0</v>
          </cell>
          <cell r="P465" t="b">
            <v>0</v>
          </cell>
          <cell r="Q465" t="b">
            <v>0</v>
          </cell>
          <cell r="R465" t="b">
            <v>0</v>
          </cell>
          <cell r="S465" t="b">
            <v>0</v>
          </cell>
          <cell r="T465" t="b">
            <v>0</v>
          </cell>
          <cell r="U465" t="str">
            <v>NA</v>
          </cell>
          <cell r="V465" t="str">
            <v>No Register</v>
          </cell>
          <cell r="W465" t="str">
            <v>GT - ME</v>
          </cell>
          <cell r="X465" t="str">
            <v>General Trading - Mechanical</v>
          </cell>
          <cell r="Y465" t="str">
            <v>Mechanical
Valve</v>
          </cell>
        </row>
        <row r="466">
          <cell r="B466" t="str">
            <v>Alfa Pegasus, PT</v>
          </cell>
          <cell r="C466" t="str">
            <v>amin.wahidi@alfapegasus.com; budi.setyawan@alfapegasus.com; rahmadhani.kurniawan@hach.com</v>
          </cell>
          <cell r="D466" t="str">
            <v>Amin</v>
          </cell>
          <cell r="E466" t="str">
            <v>081807166676</v>
          </cell>
          <cell r="F466" t="str">
            <v>Roxy Mas Blok E-1, No.36. Jl. KH. Hasyim Asyari, Cideng, Gambir</v>
          </cell>
          <cell r="G466" t="b">
            <v>0</v>
          </cell>
          <cell r="H466" t="b">
            <v>0</v>
          </cell>
          <cell r="I466" t="b">
            <v>0</v>
          </cell>
          <cell r="J466" t="b">
            <v>1</v>
          </cell>
          <cell r="K466" t="b">
            <v>0</v>
          </cell>
          <cell r="L466" t="b">
            <v>0</v>
          </cell>
          <cell r="M466" t="b">
            <v>0</v>
          </cell>
          <cell r="N466" t="b">
            <v>0</v>
          </cell>
          <cell r="O466" t="b">
            <v>1</v>
          </cell>
          <cell r="P466" t="b">
            <v>0</v>
          </cell>
          <cell r="Q466" t="b">
            <v>0</v>
          </cell>
          <cell r="R466" t="b">
            <v>0</v>
          </cell>
          <cell r="S466" t="b">
            <v>0</v>
          </cell>
          <cell r="T466" t="b">
            <v>0</v>
          </cell>
          <cell r="U466" t="str">
            <v>A</v>
          </cell>
          <cell r="V466" t="str">
            <v>Register</v>
          </cell>
          <cell r="W466" t="str">
            <v>GT - CHE</v>
          </cell>
          <cell r="X466" t="str">
            <v>General Trading - Chemical</v>
          </cell>
          <cell r="Y466" t="str">
            <v>Laboratory Product</v>
          </cell>
        </row>
        <row r="467">
          <cell r="B467" t="str">
            <v>Yayasan Pendidikan Kristen ORA et LABORA</v>
          </cell>
          <cell r="C467" t="str">
            <v/>
          </cell>
          <cell r="D467" t="str">
            <v/>
          </cell>
          <cell r="E467" t="str">
            <v/>
          </cell>
          <cell r="F467" t="str">
            <v>Anggrek Loka Sektor 2.1, Bumi Serpong Damai</v>
          </cell>
          <cell r="G467" t="str">
            <v>□</v>
          </cell>
          <cell r="H467" t="str">
            <v>□</v>
          </cell>
          <cell r="I467" t="str">
            <v>□</v>
          </cell>
          <cell r="J467" t="str">
            <v>□</v>
          </cell>
          <cell r="K467" t="str">
            <v>□</v>
          </cell>
          <cell r="L467" t="str">
            <v>□</v>
          </cell>
          <cell r="M467" t="str">
            <v>□</v>
          </cell>
          <cell r="N467" t="str">
            <v>□</v>
          </cell>
          <cell r="O467" t="str">
            <v>□</v>
          </cell>
          <cell r="P467" t="str">
            <v>□</v>
          </cell>
          <cell r="Q467" t="str">
            <v>□</v>
          </cell>
          <cell r="R467" t="str">
            <v>□</v>
          </cell>
          <cell r="S467" t="str">
            <v>□</v>
          </cell>
          <cell r="T467" t="str">
            <v>□</v>
          </cell>
          <cell r="U467" t="str">
            <v>NA</v>
          </cell>
          <cell r="V467" t="str">
            <v>No Register</v>
          </cell>
          <cell r="W467" t="str">
            <v/>
          </cell>
          <cell r="Y467" t="str">
            <v/>
          </cell>
        </row>
        <row r="468">
          <cell r="B468" t="str">
            <v>Manunggal Rizky Agung (Maritza Mart), CV</v>
          </cell>
          <cell r="C468" t="str">
            <v>mm.maritzamart@gmail.com</v>
          </cell>
          <cell r="D468" t="str">
            <v>Andika</v>
          </cell>
          <cell r="E468" t="str">
            <v>082148008836</v>
          </cell>
          <cell r="F468" t="str">
            <v>Jl. Jend A. Yani RT.004 Kel. Mabuun, Kec. Murung Pudak</v>
          </cell>
          <cell r="G468" t="b">
            <v>0</v>
          </cell>
          <cell r="H468" t="b">
            <v>0</v>
          </cell>
          <cell r="I468" t="b">
            <v>0</v>
          </cell>
          <cell r="J468" t="b">
            <v>0</v>
          </cell>
          <cell r="K468" t="b">
            <v>0</v>
          </cell>
          <cell r="L468" t="b">
            <v>0</v>
          </cell>
          <cell r="M468" t="b">
            <v>1</v>
          </cell>
          <cell r="N468" t="b">
            <v>0</v>
          </cell>
          <cell r="O468" t="b">
            <v>0</v>
          </cell>
          <cell r="P468" t="b">
            <v>0</v>
          </cell>
          <cell r="Q468" t="b">
            <v>0</v>
          </cell>
          <cell r="R468" t="b">
            <v>0</v>
          </cell>
          <cell r="S468" t="b">
            <v>1</v>
          </cell>
          <cell r="T468" t="b">
            <v>0</v>
          </cell>
          <cell r="U468" t="str">
            <v>NA</v>
          </cell>
          <cell r="V468" t="str">
            <v>Register</v>
          </cell>
          <cell r="W468" t="str">
            <v>GT - OF</v>
          </cell>
          <cell r="X468" t="str">
            <v>General Trading - Office Supplies</v>
          </cell>
          <cell r="Y468" t="str">
            <v/>
          </cell>
        </row>
        <row r="469">
          <cell r="B469" t="str">
            <v>Radian Fokus Mandiri, CV</v>
          </cell>
          <cell r="C469" t="str">
            <v>fanani@cvrfm.com; support@cvrfm.com; rfmbalikpapan@gmail.com</v>
          </cell>
          <cell r="D469" t="str">
            <v>Frans</v>
          </cell>
          <cell r="E469" t="str">
            <v>081351511976; 08115443456</v>
          </cell>
          <cell r="F469" t="str">
            <v>JL. LKMD SUMBER INDAH BLOK L-3 NO.05, Kel. Batu Ampar, Kec. Balikpapan Utara,</v>
          </cell>
          <cell r="G469" t="b">
            <v>0</v>
          </cell>
          <cell r="H469" t="b">
            <v>0</v>
          </cell>
          <cell r="I469" t="b">
            <v>0</v>
          </cell>
          <cell r="J469" t="b">
            <v>0</v>
          </cell>
          <cell r="K469" t="b">
            <v>0</v>
          </cell>
          <cell r="L469" t="b">
            <v>0</v>
          </cell>
          <cell r="M469" t="b">
            <v>1</v>
          </cell>
          <cell r="N469" t="b">
            <v>0</v>
          </cell>
          <cell r="O469" t="b">
            <v>0</v>
          </cell>
          <cell r="P469" t="b">
            <v>0</v>
          </cell>
          <cell r="Q469" t="b">
            <v>0</v>
          </cell>
          <cell r="R469" t="b">
            <v>0</v>
          </cell>
          <cell r="S469" t="b">
            <v>1</v>
          </cell>
          <cell r="T469" t="b">
            <v>0</v>
          </cell>
          <cell r="U469" t="str">
            <v>NA</v>
          </cell>
          <cell r="V469" t="str">
            <v>Register</v>
          </cell>
          <cell r="W469" t="str">
            <v>GT - ID
GT - OF</v>
          </cell>
          <cell r="X469" t="str">
            <v>General Trading - Industrial Goods
General Trading - Office Supplies</v>
          </cell>
          <cell r="Y469" t="str">
            <v/>
          </cell>
        </row>
        <row r="470">
          <cell r="B470" t="str">
            <v>Amanda Sejahtera Abadi, PT</v>
          </cell>
          <cell r="C470" t="str">
            <v>andri.riza@asapro.asia; irwin.khairiadi@asapro.asia; admin.asa@asapro.asia</v>
          </cell>
          <cell r="D470" t="str">
            <v>Riza</v>
          </cell>
          <cell r="E470" t="str">
            <v>081349644694</v>
          </cell>
          <cell r="F470" t="str">
            <v>Jalan Alkais Graha 2 Blok B, Nomor 07 , Kel. Maburai, Kec. Murung Pudak,</v>
          </cell>
          <cell r="G470" t="b">
            <v>0</v>
          </cell>
          <cell r="H470" t="b">
            <v>1</v>
          </cell>
          <cell r="I470" t="b">
            <v>0</v>
          </cell>
          <cell r="J470" t="b">
            <v>0</v>
          </cell>
          <cell r="K470" t="b">
            <v>0</v>
          </cell>
          <cell r="L470" t="b">
            <v>0</v>
          </cell>
          <cell r="M470" t="b">
            <v>0</v>
          </cell>
          <cell r="N470" t="b">
            <v>0</v>
          </cell>
          <cell r="O470" t="b">
            <v>0</v>
          </cell>
          <cell r="P470" t="b">
            <v>0</v>
          </cell>
          <cell r="Q470" t="b">
            <v>0</v>
          </cell>
          <cell r="R470" t="b">
            <v>0</v>
          </cell>
          <cell r="S470" t="b">
            <v>0</v>
          </cell>
          <cell r="T470" t="b">
            <v>0</v>
          </cell>
          <cell r="U470" t="str">
            <v>A</v>
          </cell>
          <cell r="V470" t="str">
            <v>Register</v>
          </cell>
          <cell r="W470" t="str">
            <v/>
          </cell>
          <cell r="X470" t="str">
            <v>Service Jasa - Maintenance</v>
          </cell>
          <cell r="Y470" t="str">
            <v>Rewinding</v>
          </cell>
        </row>
        <row r="471">
          <cell r="B471" t="str">
            <v>Otto Sukses Jaya Perkasa, PT</v>
          </cell>
          <cell r="C471" t="str">
            <v>ferrya@ottosukses.co.id</v>
          </cell>
          <cell r="D471" t="str">
            <v/>
          </cell>
          <cell r="F471" t="str">
            <v>Jl. A. Yani KM. 13,5, Komplek Pergudangan Sentral No. 99L RT.08 / RW.03, Gambut Barat</v>
          </cell>
          <cell r="G471" t="str">
            <v>□</v>
          </cell>
          <cell r="H471" t="str">
            <v>□</v>
          </cell>
          <cell r="I471" t="str">
            <v>□</v>
          </cell>
          <cell r="J471" t="str">
            <v>□</v>
          </cell>
          <cell r="K471" t="str">
            <v>□</v>
          </cell>
          <cell r="L471" t="str">
            <v>□</v>
          </cell>
          <cell r="M471" t="str">
            <v>□</v>
          </cell>
          <cell r="N471" t="str">
            <v>□</v>
          </cell>
          <cell r="O471" t="str">
            <v>□</v>
          </cell>
          <cell r="P471" t="str">
            <v>□</v>
          </cell>
          <cell r="Q471" t="str">
            <v>□</v>
          </cell>
          <cell r="R471" t="str">
            <v>□</v>
          </cell>
          <cell r="S471" t="str">
            <v>□</v>
          </cell>
          <cell r="T471" t="str">
            <v>□</v>
          </cell>
          <cell r="U471" t="str">
            <v>NA</v>
          </cell>
          <cell r="V471" t="str">
            <v>No Register</v>
          </cell>
          <cell r="W471" t="str">
            <v/>
          </cell>
          <cell r="Y471" t="str">
            <v/>
          </cell>
        </row>
        <row r="472">
          <cell r="B472" t="str">
            <v>Berlian Sejahtera Teknik, PT</v>
          </cell>
          <cell r="C472" t="str">
            <v>karcher@berliansejahtera.co.id</v>
          </cell>
          <cell r="D472" t="str">
            <v>Habibi</v>
          </cell>
          <cell r="E472" t="str">
            <v>081288950550</v>
          </cell>
          <cell r="F472" t="str">
            <v>Bukit Serpong Mas F2 No. 8 B/9, Kel. Pakulonan, Kec. Serpong Utara</v>
          </cell>
          <cell r="G472" t="b">
            <v>0</v>
          </cell>
          <cell r="H472" t="b">
            <v>0</v>
          </cell>
          <cell r="I472" t="b">
            <v>0</v>
          </cell>
          <cell r="J472" t="b">
            <v>0</v>
          </cell>
          <cell r="K472" t="b">
            <v>0</v>
          </cell>
          <cell r="L472" t="b">
            <v>0</v>
          </cell>
          <cell r="M472" t="b">
            <v>0</v>
          </cell>
          <cell r="N472" t="b">
            <v>0</v>
          </cell>
          <cell r="O472" t="b">
            <v>0</v>
          </cell>
          <cell r="P472" t="b">
            <v>0</v>
          </cell>
          <cell r="Q472" t="b">
            <v>0</v>
          </cell>
          <cell r="R472" t="b">
            <v>0</v>
          </cell>
          <cell r="S472" t="b">
            <v>0</v>
          </cell>
          <cell r="T472" t="b">
            <v>0</v>
          </cell>
          <cell r="U472" t="str">
            <v>A</v>
          </cell>
          <cell r="V472" t="str">
            <v>Register</v>
          </cell>
          <cell r="W472" t="str">
            <v>GT - ME</v>
          </cell>
          <cell r="X472" t="str">
            <v>General Trading - Mechanical</v>
          </cell>
          <cell r="Y472" t="str">
            <v>Tools &amp; Equipment</v>
          </cell>
        </row>
        <row r="473">
          <cell r="B473" t="str">
            <v>Sinergi Safetypreneur Multiusaha, PT</v>
          </cell>
          <cell r="C473" t="str">
            <v/>
          </cell>
          <cell r="D473" t="str">
            <v/>
          </cell>
          <cell r="E473" t="str">
            <v/>
          </cell>
          <cell r="F473" t="str">
            <v>JL. Raya Brigjen Saptadji No.5 Cemplang Timur, Kel. Cilendek Barat, Kec. Bogor Barat</v>
          </cell>
          <cell r="G473" t="str">
            <v>□</v>
          </cell>
          <cell r="H473" t="str">
            <v>□</v>
          </cell>
          <cell r="I473" t="str">
            <v>□</v>
          </cell>
          <cell r="J473" t="str">
            <v>□</v>
          </cell>
          <cell r="K473" t="str">
            <v>□</v>
          </cell>
          <cell r="L473" t="str">
            <v>□</v>
          </cell>
          <cell r="M473" t="str">
            <v>□</v>
          </cell>
          <cell r="N473" t="str">
            <v>□</v>
          </cell>
          <cell r="O473" t="str">
            <v>□</v>
          </cell>
          <cell r="P473" t="str">
            <v>□</v>
          </cell>
          <cell r="Q473" t="str">
            <v>□</v>
          </cell>
          <cell r="R473" t="str">
            <v>□</v>
          </cell>
          <cell r="S473" t="str">
            <v>□</v>
          </cell>
          <cell r="T473" t="str">
            <v>□</v>
          </cell>
          <cell r="U473" t="str">
            <v>NA</v>
          </cell>
          <cell r="V473" t="str">
            <v>No Register</v>
          </cell>
          <cell r="W473" t="str">
            <v/>
          </cell>
          <cell r="Y473" t="str">
            <v/>
          </cell>
        </row>
        <row r="474">
          <cell r="B474" t="str">
            <v>Guest House September</v>
          </cell>
          <cell r="C474" t="str">
            <v/>
          </cell>
          <cell r="D474" t="str">
            <v/>
          </cell>
          <cell r="E474" t="str">
            <v/>
          </cell>
          <cell r="F474" t="str">
            <v>Jalan Stadion RT.006, Kel. Pembataan, Kec. Murung Pudak</v>
          </cell>
          <cell r="G474" t="str">
            <v>□</v>
          </cell>
          <cell r="H474" t="str">
            <v>□</v>
          </cell>
          <cell r="I474" t="str">
            <v>□</v>
          </cell>
          <cell r="J474" t="str">
            <v>□</v>
          </cell>
          <cell r="K474" t="str">
            <v>□</v>
          </cell>
          <cell r="L474" t="str">
            <v>□</v>
          </cell>
          <cell r="M474" t="str">
            <v>□</v>
          </cell>
          <cell r="N474" t="str">
            <v>□</v>
          </cell>
          <cell r="O474" t="str">
            <v>□</v>
          </cell>
          <cell r="P474" t="str">
            <v>□</v>
          </cell>
          <cell r="Q474" t="str">
            <v>□</v>
          </cell>
          <cell r="R474" t="str">
            <v>□</v>
          </cell>
          <cell r="S474" t="str">
            <v>□</v>
          </cell>
          <cell r="T474" t="str">
            <v>□</v>
          </cell>
          <cell r="U474" t="str">
            <v>NA</v>
          </cell>
          <cell r="V474" t="str">
            <v>No Register</v>
          </cell>
          <cell r="W474" t="str">
            <v/>
          </cell>
          <cell r="Y474" t="str">
            <v/>
          </cell>
        </row>
        <row r="475">
          <cell r="B475" t="str">
            <v>Comestoarra Bentarra Noesantarra, PT</v>
          </cell>
          <cell r="C475" t="str">
            <v/>
          </cell>
          <cell r="D475" t="str">
            <v/>
          </cell>
          <cell r="E475" t="str">
            <v/>
          </cell>
          <cell r="F475" t="str">
            <v>Wisma Monex Lt 9, Jalan Asia Afrika 133-137, Kel. Kebon Pisang, Kec. Sumur Bandung</v>
          </cell>
          <cell r="G475" t="str">
            <v>□</v>
          </cell>
          <cell r="H475" t="str">
            <v>□</v>
          </cell>
          <cell r="I475" t="str">
            <v>□</v>
          </cell>
          <cell r="J475" t="str">
            <v>□</v>
          </cell>
          <cell r="K475" t="str">
            <v>□</v>
          </cell>
          <cell r="L475" t="str">
            <v>□</v>
          </cell>
          <cell r="M475" t="str">
            <v>□</v>
          </cell>
          <cell r="N475" t="str">
            <v>□</v>
          </cell>
          <cell r="O475" t="str">
            <v>□</v>
          </cell>
          <cell r="P475" t="str">
            <v>□</v>
          </cell>
          <cell r="Q475" t="str">
            <v>□</v>
          </cell>
          <cell r="R475" t="str">
            <v>□</v>
          </cell>
          <cell r="S475" t="str">
            <v>□</v>
          </cell>
          <cell r="T475" t="str">
            <v>□</v>
          </cell>
          <cell r="U475" t="str">
            <v>NA</v>
          </cell>
          <cell r="V475" t="str">
            <v>No Register</v>
          </cell>
          <cell r="W475" t="str">
            <v/>
          </cell>
          <cell r="Y475" t="str">
            <v/>
          </cell>
        </row>
        <row r="476">
          <cell r="B476" t="str">
            <v>Arita Prima Indonesia Tbk, PT</v>
          </cell>
          <cell r="C476" t="str">
            <v xml:space="preserve">derisna.setiawati@arita.co.id; andreas.yudhatama@arita.co.id; arita_banjarmasin@yahoo.co.id; </v>
          </cell>
          <cell r="D476" t="str">
            <v>Hadi Satria</v>
          </cell>
          <cell r="E476" t="str">
            <v>082148089339</v>
          </cell>
          <cell r="F476" t="str">
            <v>Komp.Sunter Permai, Jl, Danau Sunter Utara Blok C No.9, Sunter Agung, Tanjung Priok</v>
          </cell>
          <cell r="G476" t="b">
            <v>1</v>
          </cell>
          <cell r="H476" t="b">
            <v>0</v>
          </cell>
          <cell r="I476" t="b">
            <v>0</v>
          </cell>
          <cell r="J476" t="b">
            <v>0</v>
          </cell>
          <cell r="K476" t="b">
            <v>0</v>
          </cell>
          <cell r="L476" t="b">
            <v>0</v>
          </cell>
          <cell r="M476" t="b">
            <v>0</v>
          </cell>
          <cell r="N476" t="b">
            <v>0</v>
          </cell>
          <cell r="O476" t="b">
            <v>0</v>
          </cell>
          <cell r="P476" t="b">
            <v>0</v>
          </cell>
          <cell r="Q476" t="b">
            <v>0</v>
          </cell>
          <cell r="R476" t="b">
            <v>0</v>
          </cell>
          <cell r="S476" t="b">
            <v>0</v>
          </cell>
          <cell r="T476" t="b">
            <v>1</v>
          </cell>
          <cell r="U476" t="str">
            <v>A</v>
          </cell>
          <cell r="V476" t="str">
            <v>Register</v>
          </cell>
          <cell r="W476" t="str">
            <v/>
          </cell>
          <cell r="X476" t="str">
            <v>Service Jasa - Maintenance</v>
          </cell>
          <cell r="Y476" t="str">
            <v>Piping, Tubing, Repair Valve</v>
          </cell>
        </row>
        <row r="477">
          <cell r="B477" t="str">
            <v>Ciputra Liang Court, PT</v>
          </cell>
          <cell r="C477" t="str">
            <v/>
          </cell>
          <cell r="D477" t="str">
            <v/>
          </cell>
          <cell r="E477" t="str">
            <v/>
          </cell>
          <cell r="F477" t="str">
            <v>JL.Prof DR Satrio Kav.1, Setiabudi</v>
          </cell>
          <cell r="G477" t="b">
            <v>0</v>
          </cell>
          <cell r="H477" t="b">
            <v>0</v>
          </cell>
          <cell r="I477" t="b">
            <v>0</v>
          </cell>
          <cell r="J477" t="b">
            <v>0</v>
          </cell>
          <cell r="K477" t="b">
            <v>0</v>
          </cell>
          <cell r="L477" t="b">
            <v>0</v>
          </cell>
          <cell r="M477" t="b">
            <v>0</v>
          </cell>
          <cell r="N477" t="b">
            <v>0</v>
          </cell>
          <cell r="O477" t="b">
            <v>0</v>
          </cell>
          <cell r="P477" t="b">
            <v>0</v>
          </cell>
          <cell r="Q477" t="b">
            <v>0</v>
          </cell>
          <cell r="R477" t="b">
            <v>0</v>
          </cell>
          <cell r="S477" t="b">
            <v>1</v>
          </cell>
          <cell r="T477" t="b">
            <v>0</v>
          </cell>
          <cell r="U477" t="str">
            <v>NA</v>
          </cell>
          <cell r="V477" t="str">
            <v>Register</v>
          </cell>
          <cell r="W477" t="str">
            <v>RL - EM</v>
          </cell>
          <cell r="X477" t="str">
            <v>Relocation - Employee / Expat Relocation</v>
          </cell>
          <cell r="Y477" t="str">
            <v/>
          </cell>
        </row>
        <row r="478">
          <cell r="B478" t="str">
            <v>Tentra Eka Pratama, PT</v>
          </cell>
          <cell r="C478" t="str">
            <v>sales@tentraekapratama.com; tentraekapratama@gmail.com</v>
          </cell>
          <cell r="D478" t="str">
            <v>Mia</v>
          </cell>
          <cell r="E478" t="str">
            <v>081234597050</v>
          </cell>
          <cell r="F478" t="str">
            <v>Jalan Husen Sastranegara No.2, Kel. Benda, Kec. Benda</v>
          </cell>
          <cell r="G478" t="b">
            <v>1</v>
          </cell>
          <cell r="H478" t="b">
            <v>0</v>
          </cell>
          <cell r="I478" t="b">
            <v>0</v>
          </cell>
          <cell r="J478" t="b">
            <v>0</v>
          </cell>
          <cell r="K478" t="b">
            <v>0</v>
          </cell>
          <cell r="L478" t="b">
            <v>0</v>
          </cell>
          <cell r="M478" t="b">
            <v>0</v>
          </cell>
          <cell r="N478" t="b">
            <v>0</v>
          </cell>
          <cell r="O478" t="b">
            <v>0</v>
          </cell>
          <cell r="P478" t="b">
            <v>0</v>
          </cell>
          <cell r="Q478" t="b">
            <v>0</v>
          </cell>
          <cell r="R478" t="b">
            <v>0</v>
          </cell>
          <cell r="S478" t="b">
            <v>0</v>
          </cell>
          <cell r="T478" t="b">
            <v>0</v>
          </cell>
          <cell r="U478" t="str">
            <v>A</v>
          </cell>
          <cell r="V478" t="str">
            <v>Register</v>
          </cell>
          <cell r="W478" t="str">
            <v>GT - ME
GT - IC</v>
          </cell>
          <cell r="X478" t="str">
            <v>General Trading - Mechanical
General Trading - Instrument</v>
          </cell>
          <cell r="Y478" t="str">
            <v>Mechanical</v>
          </cell>
        </row>
        <row r="479">
          <cell r="B479" t="str">
            <v>Gading Mas Utama, PT</v>
          </cell>
          <cell r="C479" t="str">
            <v>sales@gmu.co.id; marta.l@cbn.net.id</v>
          </cell>
          <cell r="D479" t="str">
            <v>Erni</v>
          </cell>
          <cell r="E479" t="str">
            <v>087781075092</v>
          </cell>
          <cell r="F479" t="str">
            <v>Kelapa Lilin Utara IV DF 6 No 30 Sektor 7C, Kel. Kelapa Dua, Kec. Kelapa Dua,</v>
          </cell>
          <cell r="G479" t="b">
            <v>0</v>
          </cell>
          <cell r="H479" t="b">
            <v>0</v>
          </cell>
          <cell r="I479" t="b">
            <v>1</v>
          </cell>
          <cell r="J479" t="b">
            <v>0</v>
          </cell>
          <cell r="K479" t="b">
            <v>0</v>
          </cell>
          <cell r="L479" t="b">
            <v>0</v>
          </cell>
          <cell r="M479" t="b">
            <v>0</v>
          </cell>
          <cell r="N479" t="b">
            <v>0</v>
          </cell>
          <cell r="O479" t="b">
            <v>0</v>
          </cell>
          <cell r="P479" t="b">
            <v>0</v>
          </cell>
          <cell r="Q479" t="b">
            <v>0</v>
          </cell>
          <cell r="R479" t="b">
            <v>0</v>
          </cell>
          <cell r="S479" t="b">
            <v>0</v>
          </cell>
          <cell r="T479" t="b">
            <v>0</v>
          </cell>
          <cell r="U479" t="str">
            <v>A</v>
          </cell>
          <cell r="V479" t="str">
            <v>Register</v>
          </cell>
          <cell r="W479" t="str">
            <v>GT - IC</v>
          </cell>
          <cell r="X479" t="str">
            <v>General Trading - Instrument</v>
          </cell>
          <cell r="Y479" t="str">
            <v>Instrumentation
D ABB</v>
          </cell>
        </row>
        <row r="480">
          <cell r="B480" t="str">
            <v>Anugrah Analisis Sempurna, PT</v>
          </cell>
          <cell r="C480" t="str">
            <v>septi@aaslaboratory.com</v>
          </cell>
          <cell r="D480" t="str">
            <v>Septi Dwi Ananda</v>
          </cell>
          <cell r="E480" t="str">
            <v>085714459828</v>
          </cell>
          <cell r="F480" t="str">
            <v>JL. Raya Jakarta Bogor KM 37, Kel. Sukamaju, Kec. Cilodong</v>
          </cell>
          <cell r="G480" t="b">
            <v>0</v>
          </cell>
          <cell r="H480" t="b">
            <v>0</v>
          </cell>
          <cell r="I480" t="b">
            <v>0</v>
          </cell>
          <cell r="J480" t="b">
            <v>0</v>
          </cell>
          <cell r="K480" t="b">
            <v>1</v>
          </cell>
          <cell r="L480" t="b">
            <v>0</v>
          </cell>
          <cell r="M480" t="b">
            <v>0</v>
          </cell>
          <cell r="N480" t="b">
            <v>0</v>
          </cell>
          <cell r="O480" t="b">
            <v>1</v>
          </cell>
          <cell r="P480" t="b">
            <v>0</v>
          </cell>
          <cell r="Q480" t="b">
            <v>0</v>
          </cell>
          <cell r="R480" t="b">
            <v>0</v>
          </cell>
          <cell r="S480" t="b">
            <v>0</v>
          </cell>
          <cell r="T480" t="b">
            <v>0</v>
          </cell>
          <cell r="U480" t="str">
            <v>NA</v>
          </cell>
          <cell r="V480" t="str">
            <v>Register</v>
          </cell>
          <cell r="W480" t="str">
            <v>ENV - IM</v>
          </cell>
          <cell r="X480" t="str">
            <v>Environment &amp; Compliance - Environmental Impact Monitoring</v>
          </cell>
          <cell r="Y480" t="str">
            <v>Asessment</v>
          </cell>
        </row>
        <row r="481">
          <cell r="B481" t="str">
            <v>Rahmat Parna Sakti, CV</v>
          </cell>
          <cell r="C481" t="str">
            <v>parjonorps5418@gmail.com</v>
          </cell>
          <cell r="D481" t="str">
            <v>parjono</v>
          </cell>
          <cell r="E481" t="str">
            <v>082352498684</v>
          </cell>
          <cell r="F481" t="str">
            <v>JL. A. Yani, Komplek Handayani I No 04, Kel. Pemurus Baru, Kec. Banjarmasin Selatan</v>
          </cell>
          <cell r="G481" t="b">
            <v>0</v>
          </cell>
          <cell r="H481" t="b">
            <v>0</v>
          </cell>
          <cell r="I481" t="b">
            <v>0</v>
          </cell>
          <cell r="J481" t="b">
            <v>0</v>
          </cell>
          <cell r="K481" t="b">
            <v>0</v>
          </cell>
          <cell r="L481" t="b">
            <v>0</v>
          </cell>
          <cell r="M481" t="b">
            <v>1</v>
          </cell>
          <cell r="N481" t="b">
            <v>0</v>
          </cell>
          <cell r="O481" t="b">
            <v>0</v>
          </cell>
          <cell r="P481" t="b">
            <v>0</v>
          </cell>
          <cell r="Q481" t="b">
            <v>0</v>
          </cell>
          <cell r="R481" t="b">
            <v>0</v>
          </cell>
          <cell r="S481" t="b">
            <v>0</v>
          </cell>
          <cell r="T481" t="b">
            <v>0</v>
          </cell>
          <cell r="U481" t="str">
            <v>A</v>
          </cell>
          <cell r="V481" t="str">
            <v>Register</v>
          </cell>
          <cell r="W481" t="str">
            <v>GT - ME</v>
          </cell>
          <cell r="X481" t="str">
            <v>General Trading - Mechanical</v>
          </cell>
          <cell r="Y481" t="str">
            <v>Consumables; Brand Karmand Distributor</v>
          </cell>
        </row>
        <row r="482">
          <cell r="B482" t="str">
            <v>Patrari Jaya Utama, PT</v>
          </cell>
          <cell r="C482" t="str">
            <v>marketing2@patrarijaya.co.id</v>
          </cell>
          <cell r="D482" t="str">
            <v/>
          </cell>
          <cell r="E482" t="str">
            <v/>
          </cell>
          <cell r="F482" t="str">
            <v>Perum Mutiara Lowanu Nomor B3, Jalan Lowanu, Kel. Sorosutan, Kec. Umbulharjo,</v>
          </cell>
          <cell r="G482" t="b">
            <v>0</v>
          </cell>
          <cell r="H482" t="b">
            <v>0</v>
          </cell>
          <cell r="I482" t="b">
            <v>0</v>
          </cell>
          <cell r="J482" t="b">
            <v>0</v>
          </cell>
          <cell r="K482" t="b">
            <v>0</v>
          </cell>
          <cell r="L482" t="b">
            <v>0</v>
          </cell>
          <cell r="M482" t="b">
            <v>0</v>
          </cell>
          <cell r="N482" t="b">
            <v>0</v>
          </cell>
          <cell r="O482" t="b">
            <v>1</v>
          </cell>
          <cell r="P482" t="b">
            <v>0</v>
          </cell>
          <cell r="Q482" t="b">
            <v>0</v>
          </cell>
          <cell r="R482" t="b">
            <v>0</v>
          </cell>
          <cell r="S482" t="b">
            <v>0</v>
          </cell>
          <cell r="T482" t="b">
            <v>0</v>
          </cell>
          <cell r="U482" t="str">
            <v>NA</v>
          </cell>
          <cell r="V482" t="str">
            <v>Register</v>
          </cell>
          <cell r="W482" t="str">
            <v>PR - TR</v>
          </cell>
          <cell r="X482" t="str">
            <v>Professional Services - Training</v>
          </cell>
          <cell r="Y482" t="str">
            <v>jasa pelatihan, sertifikasi, dan konsultansi K3/SDM</v>
          </cell>
        </row>
        <row r="483">
          <cell r="B483" t="str">
            <v>Ardiwijaya Prima Indonesia, PT</v>
          </cell>
          <cell r="C483" t="str">
            <v/>
          </cell>
          <cell r="D483" t="str">
            <v/>
          </cell>
          <cell r="E483" t="str">
            <v/>
          </cell>
          <cell r="F483" t="str">
            <v>Plaza OLEOS Lt. 5, Jalan TB Simatupang, Kav 51-53, RT.002/RW.001, Kebagusan, Pasar Minggu</v>
          </cell>
          <cell r="G483" t="str">
            <v>□</v>
          </cell>
          <cell r="H483" t="str">
            <v>□</v>
          </cell>
          <cell r="I483" t="str">
            <v>□</v>
          </cell>
          <cell r="J483" t="str">
            <v>□</v>
          </cell>
          <cell r="K483" t="str">
            <v>□</v>
          </cell>
          <cell r="L483" t="str">
            <v>□</v>
          </cell>
          <cell r="M483" t="str">
            <v>□</v>
          </cell>
          <cell r="N483" t="str">
            <v>□</v>
          </cell>
          <cell r="O483" t="str">
            <v>□</v>
          </cell>
          <cell r="P483" t="str">
            <v>□</v>
          </cell>
          <cell r="Q483" t="str">
            <v>□</v>
          </cell>
          <cell r="R483" t="str">
            <v>□</v>
          </cell>
          <cell r="S483" t="str">
            <v>□</v>
          </cell>
          <cell r="T483" t="str">
            <v>□</v>
          </cell>
          <cell r="U483" t="str">
            <v>NA</v>
          </cell>
          <cell r="V483" t="str">
            <v>No Register</v>
          </cell>
          <cell r="W483" t="str">
            <v/>
          </cell>
          <cell r="Y483" t="str">
            <v/>
          </cell>
        </row>
        <row r="484">
          <cell r="B484" t="str">
            <v>Mff Oilfield Services and Engineering, PT</v>
          </cell>
          <cell r="C484" t="str">
            <v>sales.id@mff-oilfield.com; rauf.wanda@mff-oilfield.com</v>
          </cell>
          <cell r="D484" t="str">
            <v>Rauf</v>
          </cell>
          <cell r="E484" t="str">
            <v>082242536857</v>
          </cell>
          <cell r="F484" t="str">
            <v>Gedung Wisma KDS Lt. 2 Ruang 201 Jl. Warung Jati Barat No. 6B, Kel. Kalibata, Kec. Pancoran</v>
          </cell>
          <cell r="G484" t="str">
            <v>□</v>
          </cell>
          <cell r="H484" t="str">
            <v>□</v>
          </cell>
          <cell r="I484" t="str">
            <v>□</v>
          </cell>
          <cell r="J484" t="str">
            <v>□</v>
          </cell>
          <cell r="K484" t="str">
            <v>□</v>
          </cell>
          <cell r="L484" t="str">
            <v>□</v>
          </cell>
          <cell r="M484" t="str">
            <v>□</v>
          </cell>
          <cell r="N484" t="str">
            <v>□</v>
          </cell>
          <cell r="O484" t="str">
            <v>□</v>
          </cell>
          <cell r="P484" t="str">
            <v>□</v>
          </cell>
          <cell r="Q484" t="str">
            <v>□</v>
          </cell>
          <cell r="R484" t="str">
            <v>□</v>
          </cell>
          <cell r="S484" t="str">
            <v>□</v>
          </cell>
          <cell r="T484" t="str">
            <v>□</v>
          </cell>
          <cell r="U484" t="str">
            <v>A</v>
          </cell>
          <cell r="V484" t="str">
            <v>Register</v>
          </cell>
          <cell r="W484" t="str">
            <v>SJ</v>
          </cell>
          <cell r="X484" t="str">
            <v>General Trading - Elektrical
Service Jasa</v>
          </cell>
          <cell r="Y484" t="str">
            <v/>
          </cell>
        </row>
        <row r="485">
          <cell r="B485" t="str">
            <v>Ginting &amp; Reksodiputro</v>
          </cell>
          <cell r="C485" t="str">
            <v/>
          </cell>
          <cell r="D485" t="str">
            <v/>
          </cell>
          <cell r="E485" t="str">
            <v/>
          </cell>
          <cell r="F485" t="str">
            <v>The Energy Building, 9th Floor, Jl. Jend. Sudirman Kav. 52-53,</v>
          </cell>
          <cell r="G485" t="b">
            <v>0</v>
          </cell>
          <cell r="H485" t="b">
            <v>0</v>
          </cell>
          <cell r="I485" t="b">
            <v>0</v>
          </cell>
          <cell r="J485" t="b">
            <v>0</v>
          </cell>
          <cell r="K485" t="b">
            <v>0</v>
          </cell>
          <cell r="L485" t="b">
            <v>0</v>
          </cell>
          <cell r="M485" t="b">
            <v>0</v>
          </cell>
          <cell r="N485" t="b">
            <v>0</v>
          </cell>
          <cell r="O485" t="b">
            <v>1</v>
          </cell>
          <cell r="P485" t="b">
            <v>0</v>
          </cell>
          <cell r="Q485" t="b">
            <v>0</v>
          </cell>
          <cell r="R485" t="b">
            <v>0</v>
          </cell>
          <cell r="S485" t="b">
            <v>0</v>
          </cell>
          <cell r="T485" t="b">
            <v>0</v>
          </cell>
          <cell r="U485" t="str">
            <v>NA</v>
          </cell>
          <cell r="V485" t="str">
            <v>Register</v>
          </cell>
          <cell r="W485" t="str">
            <v>PR - LG</v>
          </cell>
          <cell r="X485" t="str">
            <v>Professional Services - Legal</v>
          </cell>
          <cell r="Y485" t="str">
            <v/>
          </cell>
        </row>
        <row r="486">
          <cell r="B486" t="str">
            <v>Citra Wahana Sekar Buana, PT</v>
          </cell>
          <cell r="C486" t="str">
            <v/>
          </cell>
          <cell r="D486" t="str">
            <v/>
          </cell>
          <cell r="E486" t="str">
            <v/>
          </cell>
          <cell r="F486" t="str">
            <v>Rukan Graha Arteri Mas Kav. 26, Jl. Panjang No. 68, RT 019/004, Kedoya Selatan, Kebon Jeruk</v>
          </cell>
          <cell r="G486" t="b">
            <v>0</v>
          </cell>
          <cell r="H486" t="b">
            <v>0</v>
          </cell>
          <cell r="I486" t="b">
            <v>1</v>
          </cell>
          <cell r="J486" t="b">
            <v>0</v>
          </cell>
          <cell r="K486" t="b">
            <v>0</v>
          </cell>
          <cell r="L486" t="b">
            <v>0</v>
          </cell>
          <cell r="M486" t="b">
            <v>0</v>
          </cell>
          <cell r="N486" t="b">
            <v>0</v>
          </cell>
          <cell r="O486" t="b">
            <v>0</v>
          </cell>
          <cell r="P486" t="b">
            <v>0</v>
          </cell>
          <cell r="Q486" t="b">
            <v>0</v>
          </cell>
          <cell r="R486" t="b">
            <v>0</v>
          </cell>
          <cell r="S486" t="b">
            <v>0</v>
          </cell>
          <cell r="T486" t="b">
            <v>0</v>
          </cell>
          <cell r="U486" t="str">
            <v>NA</v>
          </cell>
          <cell r="V486" t="str">
            <v>Register</v>
          </cell>
          <cell r="W486" t="str">
            <v/>
          </cell>
          <cell r="X486" t="str">
            <v>Service Jasa - Calibration / Testing</v>
          </cell>
          <cell r="Y486" t="str">
            <v/>
          </cell>
        </row>
        <row r="487">
          <cell r="B487" t="str">
            <v>Ultra Medica Sejahtera, PT</v>
          </cell>
          <cell r="C487" t="str">
            <v/>
          </cell>
          <cell r="D487" t="str">
            <v/>
          </cell>
          <cell r="E487" t="str">
            <v/>
          </cell>
          <cell r="F487" t="str">
            <v>Jl. Jend. Ahmad Yani RT 04 Mabuun Murung Pundak</v>
          </cell>
          <cell r="G487" t="str">
            <v>□</v>
          </cell>
          <cell r="H487" t="str">
            <v>□</v>
          </cell>
          <cell r="I487" t="str">
            <v>□</v>
          </cell>
          <cell r="J487" t="str">
            <v>□</v>
          </cell>
          <cell r="K487" t="str">
            <v>□</v>
          </cell>
          <cell r="L487" t="str">
            <v>□</v>
          </cell>
          <cell r="M487" t="str">
            <v>□</v>
          </cell>
          <cell r="N487" t="str">
            <v>□</v>
          </cell>
          <cell r="O487" t="str">
            <v>□</v>
          </cell>
          <cell r="P487" t="str">
            <v>□</v>
          </cell>
          <cell r="Q487" t="str">
            <v>□</v>
          </cell>
          <cell r="R487" t="str">
            <v>□</v>
          </cell>
          <cell r="S487" t="str">
            <v>□</v>
          </cell>
          <cell r="T487" t="str">
            <v>□</v>
          </cell>
          <cell r="U487" t="str">
            <v>NA</v>
          </cell>
          <cell r="V487" t="str">
            <v>Register</v>
          </cell>
          <cell r="W487" t="str">
            <v>SJ - MC</v>
          </cell>
          <cell r="X487" t="str">
            <v>Service Jasa - Medical Service</v>
          </cell>
          <cell r="Y487" t="str">
            <v>(Klinik Ultra Medica)</v>
          </cell>
        </row>
        <row r="488">
          <cell r="B488" t="str">
            <v>Tunas Dielektrika Nusantara, PT</v>
          </cell>
          <cell r="C488" t="str">
            <v xml:space="preserve">	agus.setiawan@tunasdielektrika.com; jundi@tunasdielektrika.com; agungharyadi@tunasdielektrika.com; 	sigitwisnudermawan@tunasdielektrika.com</v>
          </cell>
          <cell r="D488" t="str">
            <v>Agus Setiawan</v>
          </cell>
          <cell r="E488" t="str">
            <v>081330358958</v>
          </cell>
          <cell r="F488" t="str">
            <v>JL. Pangeran Tubagus Angke No.10 Blok C7 Komplek Jelambar Centre, Kel. Jelambar Baru, Kec. Grogol Petamburan</v>
          </cell>
          <cell r="G488" t="str">
            <v>□</v>
          </cell>
          <cell r="H488" t="str">
            <v>□</v>
          </cell>
          <cell r="I488" t="str">
            <v>□</v>
          </cell>
          <cell r="J488" t="str">
            <v>□</v>
          </cell>
          <cell r="K488" t="str">
            <v>□</v>
          </cell>
          <cell r="L488" t="str">
            <v>□</v>
          </cell>
          <cell r="M488" t="str">
            <v>□</v>
          </cell>
          <cell r="N488" t="str">
            <v>□</v>
          </cell>
          <cell r="O488" t="str">
            <v>□</v>
          </cell>
          <cell r="P488" t="str">
            <v>□</v>
          </cell>
          <cell r="Q488" t="str">
            <v>□</v>
          </cell>
          <cell r="R488" t="str">
            <v>□</v>
          </cell>
          <cell r="S488" t="str">
            <v>□</v>
          </cell>
          <cell r="T488" t="str">
            <v>□</v>
          </cell>
          <cell r="U488" t="str">
            <v>NA</v>
          </cell>
          <cell r="V488" t="str">
            <v>No Register</v>
          </cell>
          <cell r="W488" t="str">
            <v/>
          </cell>
          <cell r="Y488" t="str">
            <v/>
          </cell>
        </row>
        <row r="489">
          <cell r="B489" t="str">
            <v>Samiu Mitra Utama, PT</v>
          </cell>
          <cell r="C489" t="str">
            <v>dewi@samiyu.com</v>
          </cell>
          <cell r="D489" t="str">
            <v>Ani; Dewi</v>
          </cell>
          <cell r="E489" t="str">
            <v>08561485814; 081285837030</v>
          </cell>
          <cell r="F489" t="str">
            <v>Perumahan Bumi Kahuripan Indah Blok B.19 No. 6, Kel. Sukahurip, Kec. Sukatani,</v>
          </cell>
          <cell r="G489" t="str">
            <v>□</v>
          </cell>
          <cell r="H489" t="str">
            <v>□</v>
          </cell>
          <cell r="I489" t="str">
            <v>□</v>
          </cell>
          <cell r="J489" t="str">
            <v>□</v>
          </cell>
          <cell r="K489" t="str">
            <v>□</v>
          </cell>
          <cell r="L489" t="str">
            <v>□</v>
          </cell>
          <cell r="M489" t="str">
            <v>□</v>
          </cell>
          <cell r="N489" t="str">
            <v>□</v>
          </cell>
          <cell r="O489" t="str">
            <v>□</v>
          </cell>
          <cell r="P489" t="str">
            <v>□</v>
          </cell>
          <cell r="Q489" t="str">
            <v>□</v>
          </cell>
          <cell r="R489" t="str">
            <v>□</v>
          </cell>
          <cell r="S489" t="str">
            <v>□</v>
          </cell>
          <cell r="T489" t="str">
            <v>□</v>
          </cell>
          <cell r="U489" t="str">
            <v>NA</v>
          </cell>
          <cell r="V489" t="str">
            <v>No Register</v>
          </cell>
          <cell r="W489" t="str">
            <v/>
          </cell>
          <cell r="Y489" t="str">
            <v/>
          </cell>
        </row>
        <row r="490">
          <cell r="B490" t="str">
            <v>SparkBeyond Pte Ltd</v>
          </cell>
          <cell r="C490" t="str">
            <v/>
          </cell>
          <cell r="D490" t="str">
            <v/>
          </cell>
          <cell r="E490" t="str">
            <v/>
          </cell>
          <cell r="F490" t="str">
            <v>51 Bras Basah Road, 0601 5ONE, Central. Singapore</v>
          </cell>
          <cell r="G490" t="str">
            <v>□</v>
          </cell>
          <cell r="H490" t="str">
            <v>□</v>
          </cell>
          <cell r="I490" t="str">
            <v>□</v>
          </cell>
          <cell r="J490" t="str">
            <v>□</v>
          </cell>
          <cell r="K490" t="str">
            <v>□</v>
          </cell>
          <cell r="L490" t="str">
            <v>□</v>
          </cell>
          <cell r="M490" t="str">
            <v>□</v>
          </cell>
          <cell r="N490" t="str">
            <v>□</v>
          </cell>
          <cell r="O490" t="str">
            <v>□</v>
          </cell>
          <cell r="P490" t="str">
            <v>□</v>
          </cell>
          <cell r="Q490" t="str">
            <v>□</v>
          </cell>
          <cell r="R490" t="str">
            <v>□</v>
          </cell>
          <cell r="S490" t="str">
            <v>□</v>
          </cell>
          <cell r="T490" t="str">
            <v>□</v>
          </cell>
          <cell r="U490" t="str">
            <v>NA</v>
          </cell>
          <cell r="V490" t="str">
            <v>Register</v>
          </cell>
          <cell r="W490" t="str">
            <v>PR - CS</v>
          </cell>
          <cell r="X490" t="str">
            <v>Professional Services - Consulting</v>
          </cell>
          <cell r="Y490" t="str">
            <v/>
          </cell>
        </row>
        <row r="491">
          <cell r="B491" t="str">
            <v>Jashen Mitra Sinergi, PT</v>
          </cell>
          <cell r="C491" t="str">
            <v>marketing2.ptjashen@gmail.com</v>
          </cell>
          <cell r="D491" t="str">
            <v>Fazrie</v>
          </cell>
          <cell r="E491" t="str">
            <v>081295144664</v>
          </cell>
          <cell r="F491" t="str">
            <v>Komplek Kopo Mas Regency Blok B-27, Kel Margasuka, Kec.Babakan Ciparay</v>
          </cell>
          <cell r="G491" t="b">
            <v>0</v>
          </cell>
          <cell r="H491" t="b">
            <v>1</v>
          </cell>
          <cell r="I491" t="b">
            <v>0</v>
          </cell>
          <cell r="J491" t="b">
            <v>0</v>
          </cell>
          <cell r="K491" t="b">
            <v>0</v>
          </cell>
          <cell r="L491" t="b">
            <v>0</v>
          </cell>
          <cell r="M491" t="b">
            <v>0</v>
          </cell>
          <cell r="N491" t="b">
            <v>0</v>
          </cell>
          <cell r="O491" t="b">
            <v>0</v>
          </cell>
          <cell r="P491" t="b">
            <v>0</v>
          </cell>
          <cell r="Q491" t="b">
            <v>0</v>
          </cell>
          <cell r="R491" t="b">
            <v>0</v>
          </cell>
          <cell r="S491" t="b">
            <v>0</v>
          </cell>
          <cell r="T491" t="b">
            <v>0</v>
          </cell>
          <cell r="U491" t="str">
            <v>NA</v>
          </cell>
          <cell r="V491" t="str">
            <v>Register</v>
          </cell>
          <cell r="W491" t="str">
            <v/>
          </cell>
          <cell r="X491" t="str">
            <v>Construction - Electrical
Service Jasa - Electrical</v>
          </cell>
          <cell r="Y491" t="str">
            <v>Trading</v>
          </cell>
        </row>
        <row r="492">
          <cell r="B492" t="str">
            <v>Berkat Pratama Teknik, CV</v>
          </cell>
          <cell r="C492" t="str">
            <v>berkatpratamateknik@gmail.com</v>
          </cell>
          <cell r="D492" t="str">
            <v>Jhonatan</v>
          </cell>
          <cell r="E492" t="str">
            <v>081348815611</v>
          </cell>
          <cell r="F492" t="str">
            <v>Jl. Raya Stagen KM,5, Kel. Sungai Taib, Kec Pulaulaut Utara,</v>
          </cell>
          <cell r="G492" t="b">
            <v>0</v>
          </cell>
          <cell r="H492" t="b">
            <v>0</v>
          </cell>
          <cell r="I492" t="b">
            <v>0</v>
          </cell>
          <cell r="J492" t="b">
            <v>0</v>
          </cell>
          <cell r="K492" t="b">
            <v>0</v>
          </cell>
          <cell r="L492" t="b">
            <v>0</v>
          </cell>
          <cell r="M492" t="b">
            <v>0</v>
          </cell>
          <cell r="N492" t="b">
            <v>0</v>
          </cell>
          <cell r="O492" t="b">
            <v>0</v>
          </cell>
          <cell r="P492" t="b">
            <v>0</v>
          </cell>
          <cell r="Q492" t="b">
            <v>0</v>
          </cell>
          <cell r="R492" t="b">
            <v>0</v>
          </cell>
          <cell r="S492" t="b">
            <v>1</v>
          </cell>
          <cell r="T492" t="b">
            <v>0</v>
          </cell>
          <cell r="U492" t="str">
            <v>A</v>
          </cell>
          <cell r="V492" t="str">
            <v>Register</v>
          </cell>
          <cell r="W492" t="str">
            <v>GT</v>
          </cell>
          <cell r="X492" t="str">
            <v>General Trading
General Trading - Elektrical</v>
          </cell>
          <cell r="Y492" t="str">
            <v>General Trading</v>
          </cell>
        </row>
        <row r="493">
          <cell r="B493" t="str">
            <v>Pertamina Patra Niaga, PT</v>
          </cell>
          <cell r="C493" t="str">
            <v>ibnu.kautsar@pertamina.com; muhammad.nurdin@pertamina.com; mk.ihdimahyapi@mitrakerja.pertamina.com; mk.muhammad.jamil@mitrakerja.pertamina.com; pandu.dwijayanto@pertamina.com; mk.della.putri@mitrakerja.pertamina.com; mk.dwi.oktaviana@mitrakerja.pertamina.com; mk.mardhiyah.m@mitrakerja.pertamina.com</v>
          </cell>
          <cell r="D493" t="str">
            <v>Ibnu</v>
          </cell>
          <cell r="E493" t="str">
            <v>08112292789</v>
          </cell>
          <cell r="F493" t="str">
            <v>Gd. Wisma Tugu II Lt. 2 Jl. HR. Rasuna Said Kav C7-9, Kel. Karet, Kec. Setiabudi</v>
          </cell>
          <cell r="G493" t="str">
            <v>□</v>
          </cell>
          <cell r="H493" t="str">
            <v>□</v>
          </cell>
          <cell r="I493" t="str">
            <v>□</v>
          </cell>
          <cell r="J493" t="str">
            <v>□</v>
          </cell>
          <cell r="K493" t="str">
            <v>□</v>
          </cell>
          <cell r="L493" t="str">
            <v>□</v>
          </cell>
          <cell r="M493" t="str">
            <v>□</v>
          </cell>
          <cell r="N493" t="str">
            <v>□</v>
          </cell>
          <cell r="O493" t="str">
            <v>□</v>
          </cell>
          <cell r="P493" t="str">
            <v>□</v>
          </cell>
          <cell r="Q493" t="str">
            <v>□</v>
          </cell>
          <cell r="R493" t="str">
            <v>□</v>
          </cell>
          <cell r="S493" t="str">
            <v>□</v>
          </cell>
          <cell r="T493" t="str">
            <v>□</v>
          </cell>
          <cell r="U493" t="str">
            <v>NA</v>
          </cell>
          <cell r="V493" t="str">
            <v>Register</v>
          </cell>
          <cell r="W493" t="str">
            <v>LG - TR
UT - FS</v>
          </cell>
          <cell r="X493" t="str">
            <v>Freight, forwarding, trucking - Trucking
Logistics - Trucking
Utilities - Fuel Supply (Coal / Gas / Diesel / Biomass)</v>
          </cell>
          <cell r="Y493" t="str">
            <v>Fuel</v>
          </cell>
        </row>
        <row r="494">
          <cell r="B494" t="str">
            <v>Helix Elektrindo, PT</v>
          </cell>
          <cell r="C494" t="str">
            <v/>
          </cell>
          <cell r="D494" t="str">
            <v/>
          </cell>
          <cell r="E494" t="str">
            <v/>
          </cell>
          <cell r="F494" t="str">
            <v>Gedung Menara Rajawali Lantai 7-1, Jl. DR. Ide Anak Agung Gde Agung, Lot 5.1, Kawasan Mega Kuningan</v>
          </cell>
          <cell r="G494" t="str">
            <v>□</v>
          </cell>
          <cell r="H494" t="str">
            <v>□</v>
          </cell>
          <cell r="I494" t="str">
            <v>□</v>
          </cell>
          <cell r="J494" t="str">
            <v>□</v>
          </cell>
          <cell r="K494" t="str">
            <v>□</v>
          </cell>
          <cell r="L494" t="str">
            <v>□</v>
          </cell>
          <cell r="M494" t="str">
            <v>□</v>
          </cell>
          <cell r="N494" t="str">
            <v>□</v>
          </cell>
          <cell r="O494" t="str">
            <v>□</v>
          </cell>
          <cell r="P494" t="str">
            <v>□</v>
          </cell>
          <cell r="Q494" t="str">
            <v>□</v>
          </cell>
          <cell r="R494" t="str">
            <v>□</v>
          </cell>
          <cell r="S494" t="str">
            <v>□</v>
          </cell>
          <cell r="T494" t="str">
            <v>□</v>
          </cell>
          <cell r="U494" t="str">
            <v>NA</v>
          </cell>
          <cell r="V494" t="str">
            <v>No Register</v>
          </cell>
          <cell r="W494" t="str">
            <v/>
          </cell>
          <cell r="Y494" t="str">
            <v/>
          </cell>
        </row>
        <row r="495">
          <cell r="B495" t="str">
            <v>Sarana Solusindo Informatika, PT</v>
          </cell>
          <cell r="C495" t="str">
            <v>serllyn@solusi.com</v>
          </cell>
          <cell r="D495" t="str">
            <v>Serlly Novita Sari</v>
          </cell>
          <cell r="E495" t="str">
            <v>081932220575; 081291313331</v>
          </cell>
          <cell r="F495" t="str">
            <v>Kedoya Elok Plaza Blok DC NO. 50, Kel. Kedoya Selatan, Kec. Kebon Jeruk, K</v>
          </cell>
          <cell r="G495" t="b">
            <v>0</v>
          </cell>
          <cell r="H495" t="b">
            <v>0</v>
          </cell>
          <cell r="I495" t="b">
            <v>0</v>
          </cell>
          <cell r="J495" t="b">
            <v>0</v>
          </cell>
          <cell r="K495" t="b">
            <v>0</v>
          </cell>
          <cell r="L495" t="b">
            <v>0</v>
          </cell>
          <cell r="M495" t="b">
            <v>0</v>
          </cell>
          <cell r="N495" t="b">
            <v>0</v>
          </cell>
          <cell r="O495" t="b">
            <v>0</v>
          </cell>
          <cell r="P495" t="b">
            <v>0</v>
          </cell>
          <cell r="Q495" t="b">
            <v>0</v>
          </cell>
          <cell r="R495" t="b">
            <v>0</v>
          </cell>
          <cell r="S495" t="b">
            <v>0</v>
          </cell>
          <cell r="T495" t="b">
            <v>0</v>
          </cell>
          <cell r="U495" t="str">
            <v>NA</v>
          </cell>
          <cell r="V495" t="str">
            <v>No Register</v>
          </cell>
          <cell r="W495" t="str">
            <v/>
          </cell>
          <cell r="Y495" t="str">
            <v/>
          </cell>
        </row>
        <row r="496">
          <cell r="B496" t="str">
            <v>Carsurin, PT</v>
          </cell>
          <cell r="C496" t="str">
            <v>sales.coal12@carsurin.com; info@carsurin.com; kastalani@carsurin.com; irwin.pardosi@carsurin.com; horegional1@carsurin.com</v>
          </cell>
          <cell r="D496" t="str">
            <v>Al Ayoubi Aditia Putra</v>
          </cell>
          <cell r="E496" t="str">
            <v>081181112592; 08115659367</v>
          </cell>
          <cell r="F496" t="str">
            <v>Soho Capital Lantai 28, Jalan Letjen S. Parman Kaveling 28, Kel. Tanjung Duren Utara, Kec. Grogol Petamburan, Kota Adm.</v>
          </cell>
          <cell r="G496" t="b">
            <v>0</v>
          </cell>
          <cell r="H496" t="b">
            <v>0</v>
          </cell>
          <cell r="I496" t="b">
            <v>0</v>
          </cell>
          <cell r="J496" t="b">
            <v>0</v>
          </cell>
          <cell r="K496" t="b">
            <v>0</v>
          </cell>
          <cell r="L496" t="b">
            <v>0</v>
          </cell>
          <cell r="M496" t="b">
            <v>0</v>
          </cell>
          <cell r="N496" t="b">
            <v>0</v>
          </cell>
          <cell r="O496" t="b">
            <v>0</v>
          </cell>
          <cell r="P496" t="b">
            <v>0</v>
          </cell>
          <cell r="Q496" t="b">
            <v>0</v>
          </cell>
          <cell r="R496" t="b">
            <v>0</v>
          </cell>
          <cell r="S496" t="b">
            <v>0</v>
          </cell>
          <cell r="T496" t="b">
            <v>0</v>
          </cell>
          <cell r="U496" t="str">
            <v>A</v>
          </cell>
          <cell r="V496" t="str">
            <v>Register</v>
          </cell>
          <cell r="W496" t="str">
            <v>ENV - SL</v>
          </cell>
          <cell r="X496" t="str">
            <v>Environment &amp; Compliance - Sampling &amp; Lab</v>
          </cell>
          <cell r="Y496" t="str">
            <v/>
          </cell>
        </row>
        <row r="497">
          <cell r="B497" t="str">
            <v>Tiga Saudara Teknik, PT</v>
          </cell>
          <cell r="C497" t="str">
            <v>pt.tigasaudarateknik@gmail.com</v>
          </cell>
          <cell r="D497" t="str">
            <v>Ludfi</v>
          </cell>
          <cell r="E497" t="str">
            <v>08125006705</v>
          </cell>
          <cell r="F497" t="str">
            <v>Jl. Amuntai Tanjung No.008 RT.002, Kel. Penangkalaan, Kec. Amuntai Utara. Hulu Sungai Utara</v>
          </cell>
          <cell r="G497" t="b">
            <v>0</v>
          </cell>
          <cell r="H497" t="b">
            <v>0</v>
          </cell>
          <cell r="I497" t="b">
            <v>0</v>
          </cell>
          <cell r="J497" t="b">
            <v>0</v>
          </cell>
          <cell r="K497" t="b">
            <v>0</v>
          </cell>
          <cell r="L497" t="b">
            <v>0</v>
          </cell>
          <cell r="M497" t="b">
            <v>0</v>
          </cell>
          <cell r="N497" t="b">
            <v>0</v>
          </cell>
          <cell r="O497" t="b">
            <v>0</v>
          </cell>
          <cell r="P497" t="b">
            <v>0</v>
          </cell>
          <cell r="Q497" t="b">
            <v>0</v>
          </cell>
          <cell r="R497" t="b">
            <v>0</v>
          </cell>
          <cell r="S497" t="b">
            <v>0</v>
          </cell>
          <cell r="T497" t="b">
            <v>0</v>
          </cell>
          <cell r="U497" t="str">
            <v>A</v>
          </cell>
          <cell r="V497" t="str">
            <v>Register</v>
          </cell>
          <cell r="W497" t="str">
            <v/>
          </cell>
          <cell r="X497" t="str">
            <v>General Trading - Elektrical</v>
          </cell>
          <cell r="Y497" t="str">
            <v/>
          </cell>
        </row>
        <row r="498">
          <cell r="B498" t="str">
            <v>Pelangi Dwiwarna, CV</v>
          </cell>
          <cell r="C498" t="str">
            <v>harie@pelangidwiwarna.com; pelangi_dwiwarna@indo.net.id;
marketing@pelangidwiwarna.com</v>
          </cell>
          <cell r="D498" t="str">
            <v>Hari</v>
          </cell>
          <cell r="E498" t="str">
            <v>081351530499</v>
          </cell>
          <cell r="F498" t="str">
            <v>Jl. A. Yani KM. 10.3 No.15, RT.04, Desa Sungai Lakum, Kec. Kertak Hanyar</v>
          </cell>
          <cell r="G498" t="b">
            <v>0</v>
          </cell>
          <cell r="H498" t="b">
            <v>0</v>
          </cell>
          <cell r="I498" t="b">
            <v>0</v>
          </cell>
          <cell r="J498" t="b">
            <v>0</v>
          </cell>
          <cell r="K498" t="b">
            <v>0</v>
          </cell>
          <cell r="L498" t="b">
            <v>0</v>
          </cell>
          <cell r="M498" t="b">
            <v>0</v>
          </cell>
          <cell r="N498" t="b">
            <v>0</v>
          </cell>
          <cell r="O498" t="b">
            <v>0</v>
          </cell>
          <cell r="P498" t="b">
            <v>0</v>
          </cell>
          <cell r="Q498" t="b">
            <v>1</v>
          </cell>
          <cell r="R498" t="b">
            <v>0</v>
          </cell>
          <cell r="S498" t="b">
            <v>0</v>
          </cell>
          <cell r="T498" t="b">
            <v>0</v>
          </cell>
          <cell r="U498" t="str">
            <v>NA</v>
          </cell>
          <cell r="V498" t="str">
            <v>Register</v>
          </cell>
          <cell r="W498" t="str">
            <v>GT - OF</v>
          </cell>
          <cell r="X498" t="str">
            <v>General Trading - Office Supplies</v>
          </cell>
          <cell r="Y498" t="str">
            <v>Printing</v>
          </cell>
        </row>
        <row r="499">
          <cell r="B499" t="str">
            <v>Winston Indonesia, PT</v>
          </cell>
          <cell r="C499" t="str">
            <v>project_2@winstonindonesia.co.id</v>
          </cell>
          <cell r="D499" t="str">
            <v>Ocha</v>
          </cell>
          <cell r="E499" t="str">
            <v>082260507679</v>
          </cell>
          <cell r="F499" t="str">
            <v>Gudang Prima Center 2 Blok D 5, Jl. Pesing Poglar, Kel. Kedaung Kali Angke, Kec, Cengkareng</v>
          </cell>
          <cell r="G499" t="str">
            <v>□</v>
          </cell>
          <cell r="H499" t="str">
            <v>□</v>
          </cell>
          <cell r="I499" t="str">
            <v>□</v>
          </cell>
          <cell r="J499" t="str">
            <v>□</v>
          </cell>
          <cell r="K499" t="str">
            <v>□</v>
          </cell>
          <cell r="L499" t="str">
            <v>□</v>
          </cell>
          <cell r="M499" t="str">
            <v>□</v>
          </cell>
          <cell r="N499" t="str">
            <v>□</v>
          </cell>
          <cell r="O499" t="str">
            <v>□</v>
          </cell>
          <cell r="P499" t="str">
            <v>□</v>
          </cell>
          <cell r="Q499" t="str">
            <v>□</v>
          </cell>
          <cell r="R499" t="str">
            <v>□</v>
          </cell>
          <cell r="S499" t="str">
            <v>□</v>
          </cell>
          <cell r="T499" t="str">
            <v>□</v>
          </cell>
          <cell r="U499" t="str">
            <v>NA</v>
          </cell>
          <cell r="V499" t="str">
            <v>No Register</v>
          </cell>
          <cell r="W499" t="str">
            <v/>
          </cell>
          <cell r="Y499" t="str">
            <v/>
          </cell>
        </row>
        <row r="500">
          <cell r="B500" t="str">
            <v>Shazayn Rezeki Abadi, PT</v>
          </cell>
          <cell r="C500" t="str">
            <v>pt.shazayn@gmail.com; geaengeline.shazayn@gmail.com; lucyranifarida@gmail.com</v>
          </cell>
          <cell r="D500" t="str">
            <v>Gea</v>
          </cell>
          <cell r="E500" t="str">
            <v>08115111144</v>
          </cell>
          <cell r="F500" t="str">
            <v>Jalan H. Rafie H. Naspi, Komplek Linda Regency 10, Blok K, Nomor : 30, Kel. Mabu"un, Kec. Murung Pudak</v>
          </cell>
          <cell r="G500" t="str">
            <v>□</v>
          </cell>
          <cell r="H500" t="str">
            <v>□</v>
          </cell>
          <cell r="I500" t="str">
            <v>□</v>
          </cell>
          <cell r="J500" t="str">
            <v>□</v>
          </cell>
          <cell r="K500" t="str">
            <v>□</v>
          </cell>
          <cell r="L500" t="str">
            <v>□</v>
          </cell>
          <cell r="M500" t="str">
            <v>□</v>
          </cell>
          <cell r="N500" t="str">
            <v>□</v>
          </cell>
          <cell r="O500" t="str">
            <v>□</v>
          </cell>
          <cell r="P500" t="str">
            <v>□</v>
          </cell>
          <cell r="Q500" t="str">
            <v>□</v>
          </cell>
          <cell r="R500" t="str">
            <v>□</v>
          </cell>
          <cell r="S500" t="str">
            <v>□</v>
          </cell>
          <cell r="T500" t="str">
            <v>□</v>
          </cell>
          <cell r="U500" t="str">
            <v>NA</v>
          </cell>
          <cell r="V500" t="str">
            <v>No Register</v>
          </cell>
          <cell r="W500" t="str">
            <v/>
          </cell>
          <cell r="Y500" t="str">
            <v/>
          </cell>
        </row>
        <row r="501">
          <cell r="B501" t="str">
            <v>Ataya Teknik Mulia, PT</v>
          </cell>
          <cell r="C501" t="str">
            <v>sales@atayatm@gmail.com</v>
          </cell>
          <cell r="D501" t="str">
            <v/>
          </cell>
          <cell r="E501" t="str">
            <v/>
          </cell>
          <cell r="F501" t="str">
            <v>Serdang Asri 2 Blok D.11/23, Kel. Panongan, Kec. Panongan</v>
          </cell>
          <cell r="G501" t="str">
            <v>□</v>
          </cell>
          <cell r="H501" t="str">
            <v>□</v>
          </cell>
          <cell r="I501" t="str">
            <v>□</v>
          </cell>
          <cell r="J501" t="str">
            <v>□</v>
          </cell>
          <cell r="K501" t="str">
            <v>□</v>
          </cell>
          <cell r="L501" t="str">
            <v>□</v>
          </cell>
          <cell r="M501" t="str">
            <v>□</v>
          </cell>
          <cell r="N501" t="str">
            <v>□</v>
          </cell>
          <cell r="O501" t="str">
            <v>□</v>
          </cell>
          <cell r="P501" t="str">
            <v>□</v>
          </cell>
          <cell r="Q501" t="str">
            <v>□</v>
          </cell>
          <cell r="R501" t="str">
            <v>□</v>
          </cell>
          <cell r="S501" t="str">
            <v>□</v>
          </cell>
          <cell r="T501" t="str">
            <v>□</v>
          </cell>
          <cell r="U501" t="str">
            <v>NA</v>
          </cell>
          <cell r="V501" t="str">
            <v>No Register</v>
          </cell>
          <cell r="W501" t="str">
            <v/>
          </cell>
          <cell r="Y501" t="str">
            <v/>
          </cell>
        </row>
        <row r="502">
          <cell r="B502" t="str">
            <v>Alamtri Minerals Indonesia Tbk, PT</v>
          </cell>
          <cell r="C502" t="str">
            <v>arnelis.pujiastuti@alamtri.com; jonathan.hutagaol@alamtri.com</v>
          </cell>
          <cell r="D502" t="str">
            <v>Jonathan</v>
          </cell>
          <cell r="F502" t="str">
            <v>Cyber 2 Tower Lt. 34, JL. HR Rasuna Said Blok X-5, No.13, Kel. Kuningan Tower, Kec. Setiabudi,</v>
          </cell>
          <cell r="G502" t="b">
            <v>0</v>
          </cell>
          <cell r="H502" t="b">
            <v>0</v>
          </cell>
          <cell r="I502" t="b">
            <v>0</v>
          </cell>
          <cell r="J502" t="b">
            <v>0</v>
          </cell>
          <cell r="K502" t="b">
            <v>0</v>
          </cell>
          <cell r="L502" t="b">
            <v>0</v>
          </cell>
          <cell r="M502" t="b">
            <v>0</v>
          </cell>
          <cell r="N502" t="b">
            <v>0</v>
          </cell>
          <cell r="O502" t="b">
            <v>0</v>
          </cell>
          <cell r="P502" t="b">
            <v>0</v>
          </cell>
          <cell r="Q502" t="b">
            <v>0</v>
          </cell>
          <cell r="R502" t="b">
            <v>0</v>
          </cell>
          <cell r="S502" t="b">
            <v>1</v>
          </cell>
          <cell r="T502" t="b">
            <v>0</v>
          </cell>
          <cell r="U502" t="str">
            <v>NA</v>
          </cell>
          <cell r="V502" t="str">
            <v>Register</v>
          </cell>
          <cell r="W502" t="str">
            <v>SC</v>
          </cell>
          <cell r="X502" t="str">
            <v>Sister Company - Sewa gedung, Service, Consultant</v>
          </cell>
          <cell r="Y502" t="str">
            <v/>
          </cell>
        </row>
        <row r="503">
          <cell r="B503" t="str">
            <v>Jaya Mandiri Sentosa, CV</v>
          </cell>
          <cell r="C503" t="str">
            <v>jayamandiri711@gmail.com</v>
          </cell>
          <cell r="D503" t="str">
            <v>Salim Suwita</v>
          </cell>
          <cell r="F503" t="str">
            <v>Jl.Mangga Dua Raya, ITC Mangga Dua Lt.1, Blok E2 No.120, RT.000/RW.000, Ancol, Pademangan</v>
          </cell>
          <cell r="G503" t="b">
            <v>0</v>
          </cell>
          <cell r="H503" t="b">
            <v>0</v>
          </cell>
          <cell r="I503" t="b">
            <v>0</v>
          </cell>
          <cell r="J503" t="b">
            <v>0</v>
          </cell>
          <cell r="K503" t="b">
            <v>0</v>
          </cell>
          <cell r="L503" t="b">
            <v>0</v>
          </cell>
          <cell r="M503" t="b">
            <v>1</v>
          </cell>
          <cell r="N503" t="b">
            <v>0</v>
          </cell>
          <cell r="O503" t="b">
            <v>0</v>
          </cell>
          <cell r="P503" t="b">
            <v>0</v>
          </cell>
          <cell r="Q503" t="b">
            <v>1</v>
          </cell>
          <cell r="R503" t="b">
            <v>0</v>
          </cell>
          <cell r="S503" t="b">
            <v>0</v>
          </cell>
          <cell r="T503" t="b">
            <v>0</v>
          </cell>
          <cell r="U503" t="str">
            <v>NA</v>
          </cell>
          <cell r="V503" t="str">
            <v>Register</v>
          </cell>
          <cell r="W503" t="str">
            <v>GT - OF</v>
          </cell>
          <cell r="X503" t="str">
            <v>General Trading - Office Supplies</v>
          </cell>
          <cell r="Y503" t="str">
            <v/>
          </cell>
        </row>
        <row r="504">
          <cell r="B504" t="str">
            <v>Panca Global Solusindo, PT</v>
          </cell>
          <cell r="C504" t="str">
            <v>sales@pancaglobal.com</v>
          </cell>
          <cell r="D504" t="str">
            <v>Ari Yuniar Ramdiani; Mukti</v>
          </cell>
          <cell r="E504" t="str">
            <v>085220621692; 081220681985</v>
          </cell>
          <cell r="F504" t="str">
            <v>Jl Maribaya Timur No.92 Sukarasa, Kel. Cibodas, Kec. Lembang</v>
          </cell>
          <cell r="G504" t="b">
            <v>0</v>
          </cell>
          <cell r="H504" t="b">
            <v>1</v>
          </cell>
          <cell r="I504" t="b">
            <v>1</v>
          </cell>
          <cell r="J504" t="b">
            <v>0</v>
          </cell>
          <cell r="K504" t="b">
            <v>0</v>
          </cell>
          <cell r="L504" t="b">
            <v>0</v>
          </cell>
          <cell r="M504" t="b">
            <v>0</v>
          </cell>
          <cell r="N504" t="b">
            <v>0</v>
          </cell>
          <cell r="O504" t="b">
            <v>0</v>
          </cell>
          <cell r="P504" t="b">
            <v>0</v>
          </cell>
          <cell r="Q504" t="b">
            <v>0</v>
          </cell>
          <cell r="R504" t="b">
            <v>0</v>
          </cell>
          <cell r="S504" t="b">
            <v>0</v>
          </cell>
          <cell r="T504" t="b">
            <v>0</v>
          </cell>
          <cell r="U504" t="str">
            <v>A</v>
          </cell>
          <cell r="V504" t="str">
            <v>Register</v>
          </cell>
          <cell r="W504" t="str">
            <v>GT - ME</v>
          </cell>
          <cell r="X504" t="str">
            <v>General Trading - Elektrical
Service Jasa - Maintenance
General Trading - Mechanical</v>
          </cell>
          <cell r="Y504" t="str">
            <v>Electrical, HSE, Part Genset</v>
          </cell>
        </row>
        <row r="505">
          <cell r="B505" t="str">
            <v>Powerbrain Automasi Energi, PT</v>
          </cell>
          <cell r="C505" t="str">
            <v/>
          </cell>
          <cell r="D505" t="str">
            <v/>
          </cell>
          <cell r="E505" t="str">
            <v/>
          </cell>
          <cell r="F505" t="str">
            <v>Pulo Gebang Permai Blok Ruko No.6, Kel. Pulo Gebang, Kec. Cakung</v>
          </cell>
          <cell r="G505" t="str">
            <v>□</v>
          </cell>
          <cell r="H505" t="str">
            <v>□</v>
          </cell>
          <cell r="I505" t="str">
            <v>□</v>
          </cell>
          <cell r="J505" t="str">
            <v>□</v>
          </cell>
          <cell r="K505" t="str">
            <v>□</v>
          </cell>
          <cell r="L505" t="str">
            <v>□</v>
          </cell>
          <cell r="M505" t="str">
            <v>□</v>
          </cell>
          <cell r="N505" t="str">
            <v>□</v>
          </cell>
          <cell r="O505" t="str">
            <v>□</v>
          </cell>
          <cell r="P505" t="str">
            <v>□</v>
          </cell>
          <cell r="Q505" t="str">
            <v>□</v>
          </cell>
          <cell r="R505" t="str">
            <v>□</v>
          </cell>
          <cell r="S505" t="str">
            <v>□</v>
          </cell>
          <cell r="T505" t="str">
            <v>□</v>
          </cell>
          <cell r="U505" t="str">
            <v>NA</v>
          </cell>
          <cell r="V505" t="str">
            <v>No Register</v>
          </cell>
          <cell r="W505" t="str">
            <v/>
          </cell>
          <cell r="Y505" t="str">
            <v/>
          </cell>
        </row>
        <row r="506">
          <cell r="B506" t="str">
            <v>Metro Winata, PT</v>
          </cell>
          <cell r="C506" t="str">
            <v/>
          </cell>
          <cell r="D506" t="str">
            <v/>
          </cell>
          <cell r="E506" t="str">
            <v/>
          </cell>
          <cell r="F506" t="str">
            <v>Apt. GD Mediterania Residences RK/27/B, Kel. Kelapa GadingBarat, Kec. Kelapa Gading</v>
          </cell>
          <cell r="G506" t="str">
            <v>□</v>
          </cell>
          <cell r="H506" t="str">
            <v>□</v>
          </cell>
          <cell r="I506" t="str">
            <v>□</v>
          </cell>
          <cell r="J506" t="str">
            <v>□</v>
          </cell>
          <cell r="K506" t="str">
            <v>□</v>
          </cell>
          <cell r="L506" t="str">
            <v>□</v>
          </cell>
          <cell r="M506" t="str">
            <v>□</v>
          </cell>
          <cell r="N506" t="str">
            <v>□</v>
          </cell>
          <cell r="O506" t="str">
            <v>□</v>
          </cell>
          <cell r="P506" t="str">
            <v>□</v>
          </cell>
          <cell r="Q506" t="str">
            <v>□</v>
          </cell>
          <cell r="R506" t="str">
            <v>□</v>
          </cell>
          <cell r="S506" t="str">
            <v>□</v>
          </cell>
          <cell r="T506" t="str">
            <v>□</v>
          </cell>
          <cell r="U506" t="str">
            <v>NA</v>
          </cell>
          <cell r="V506" t="str">
            <v>No Register</v>
          </cell>
          <cell r="W506" t="str">
            <v/>
          </cell>
          <cell r="Y506" t="str">
            <v/>
          </cell>
        </row>
        <row r="507">
          <cell r="B507" t="str">
            <v>Sentra Tanjung Jaya, CV</v>
          </cell>
          <cell r="C507" t="str">
            <v>sentra.tjg@gmail.com</v>
          </cell>
          <cell r="D507" t="str">
            <v>Tiara Salsabilla</v>
          </cell>
          <cell r="E507" t="str">
            <v>081235555357</v>
          </cell>
          <cell r="F507" t="str">
            <v>Jl. Jend A. Yani RT.004/RW.002, Kel. Mabuun, Kec. Murung Pudak,</v>
          </cell>
          <cell r="G507" t="b">
            <v>0</v>
          </cell>
          <cell r="H507" t="b">
            <v>0</v>
          </cell>
          <cell r="I507" t="b">
            <v>0</v>
          </cell>
          <cell r="J507" t="b">
            <v>0</v>
          </cell>
          <cell r="K507" t="b">
            <v>0</v>
          </cell>
          <cell r="L507" t="b">
            <v>0</v>
          </cell>
          <cell r="M507" t="b">
            <v>0</v>
          </cell>
          <cell r="N507" t="b">
            <v>0</v>
          </cell>
          <cell r="O507" t="b">
            <v>0</v>
          </cell>
          <cell r="P507" t="b">
            <v>0</v>
          </cell>
          <cell r="Q507" t="b">
            <v>0</v>
          </cell>
          <cell r="R507" t="b">
            <v>0</v>
          </cell>
          <cell r="S507" t="b">
            <v>1</v>
          </cell>
          <cell r="T507" t="b">
            <v>0</v>
          </cell>
          <cell r="U507" t="str">
            <v>NA</v>
          </cell>
          <cell r="V507" t="str">
            <v>Register</v>
          </cell>
          <cell r="W507" t="str">
            <v>GT</v>
          </cell>
          <cell r="X507" t="str">
            <v>General Trading</v>
          </cell>
          <cell r="Y507" t="str">
            <v>Consumables</v>
          </cell>
        </row>
        <row r="508">
          <cell r="B508" t="str">
            <v>Axel Jaya Cakraniaga, PT</v>
          </cell>
          <cell r="C508" t="str">
            <v>ajcakraniaga@gmail.com; sales@ajcakraniaga.com</v>
          </cell>
          <cell r="D508" t="str">
            <v>Aries</v>
          </cell>
          <cell r="E508" t="str">
            <v>08111191991</v>
          </cell>
          <cell r="F508" t="str">
            <v>Jl. A. Yani Kav. 68, RT.002 / RW.007, Cempaka Putih Timur, Cempaka Putih</v>
          </cell>
          <cell r="G508" t="b">
            <v>0</v>
          </cell>
          <cell r="H508" t="b">
            <v>0</v>
          </cell>
          <cell r="I508" t="b">
            <v>0</v>
          </cell>
          <cell r="J508" t="b">
            <v>0</v>
          </cell>
          <cell r="K508" t="b">
            <v>0</v>
          </cell>
          <cell r="L508" t="b">
            <v>0</v>
          </cell>
          <cell r="M508" t="b">
            <v>0</v>
          </cell>
          <cell r="N508" t="b">
            <v>0</v>
          </cell>
          <cell r="O508" t="b">
            <v>0</v>
          </cell>
          <cell r="P508" t="b">
            <v>0</v>
          </cell>
          <cell r="Q508" t="b">
            <v>0</v>
          </cell>
          <cell r="R508" t="b">
            <v>0</v>
          </cell>
          <cell r="S508" t="b">
            <v>1</v>
          </cell>
          <cell r="T508" t="b">
            <v>0</v>
          </cell>
          <cell r="U508" t="str">
            <v>A</v>
          </cell>
          <cell r="V508" t="str">
            <v>Register</v>
          </cell>
          <cell r="W508" t="str">
            <v>GT</v>
          </cell>
          <cell r="X508" t="str">
            <v>General Trading</v>
          </cell>
          <cell r="Y508" t="str">
            <v>General Trading</v>
          </cell>
        </row>
        <row r="509">
          <cell r="B509" t="str">
            <v>Delta Abadi Sentosa, PT</v>
          </cell>
          <cell r="C509" t="str">
            <v>Delta.kaisar@gmail.com</v>
          </cell>
          <cell r="D509" t="str">
            <v>Mashuri</v>
          </cell>
          <cell r="E509" t="str">
            <v>082252993939</v>
          </cell>
          <cell r="F509" t="str">
            <v>JL. A. Yani KM 3,5 NO. 236, Kel. Karang Mekar, Kec. Banjarmasin Timur</v>
          </cell>
          <cell r="G509" t="str">
            <v>□</v>
          </cell>
          <cell r="H509" t="str">
            <v>□</v>
          </cell>
          <cell r="I509" t="str">
            <v>□</v>
          </cell>
          <cell r="J509" t="str">
            <v>□</v>
          </cell>
          <cell r="K509" t="str">
            <v>□</v>
          </cell>
          <cell r="L509" t="str">
            <v>□</v>
          </cell>
          <cell r="M509" t="str">
            <v>□</v>
          </cell>
          <cell r="N509" t="str">
            <v>□</v>
          </cell>
          <cell r="O509" t="str">
            <v>□</v>
          </cell>
          <cell r="P509" t="str">
            <v>□</v>
          </cell>
          <cell r="Q509" t="str">
            <v>□</v>
          </cell>
          <cell r="R509" t="str">
            <v>□</v>
          </cell>
          <cell r="S509" t="str">
            <v>□</v>
          </cell>
          <cell r="T509" t="str">
            <v>□</v>
          </cell>
          <cell r="U509" t="str">
            <v>NA</v>
          </cell>
          <cell r="V509" t="str">
            <v>Register</v>
          </cell>
          <cell r="W509" t="str">
            <v/>
          </cell>
          <cell r="X509" t="str">
            <v>Service Jasa - Maintenance</v>
          </cell>
          <cell r="Y509" t="str">
            <v>Mobil</v>
          </cell>
        </row>
        <row r="510">
          <cell r="B510" t="str">
            <v>Cipta Dua Power Frans Diesel, PT</v>
          </cell>
          <cell r="C510" t="str">
            <v>fdiesel@indo.net.id; franssugandi.johannes@gmail.com; fdiesel.logistic@gmail.com</v>
          </cell>
          <cell r="D510" t="str">
            <v>Rara</v>
          </cell>
          <cell r="E510" t="str">
            <v>08215330844</v>
          </cell>
          <cell r="F510" t="str">
            <v>Jl. MT, Haryono (Depan Giant) No.45, Kel Damai Baru, Kec. Balikpapan Selatan</v>
          </cell>
          <cell r="G510" t="b">
            <v>1</v>
          </cell>
          <cell r="H510" t="b">
            <v>0</v>
          </cell>
          <cell r="I510" t="b">
            <v>0</v>
          </cell>
          <cell r="J510" t="b">
            <v>0</v>
          </cell>
          <cell r="K510" t="b">
            <v>0</v>
          </cell>
          <cell r="L510" t="b">
            <v>0</v>
          </cell>
          <cell r="M510" t="b">
            <v>1</v>
          </cell>
          <cell r="N510" t="b">
            <v>0</v>
          </cell>
          <cell r="O510" t="b">
            <v>0</v>
          </cell>
          <cell r="P510" t="b">
            <v>0</v>
          </cell>
          <cell r="Q510" t="b">
            <v>0</v>
          </cell>
          <cell r="R510" t="b">
            <v>0</v>
          </cell>
          <cell r="S510" t="b">
            <v>1</v>
          </cell>
          <cell r="T510" t="b">
            <v>0</v>
          </cell>
          <cell r="U510" t="str">
            <v>A</v>
          </cell>
          <cell r="V510" t="str">
            <v>Register</v>
          </cell>
          <cell r="W510" t="str">
            <v>GT - ME
GT - SP</v>
          </cell>
          <cell r="X510" t="str">
            <v>General Trading - Mechanical
General Trading - Sparepart</v>
          </cell>
          <cell r="Y510" t="str">
            <v>Genset</v>
          </cell>
        </row>
        <row r="511">
          <cell r="B511" t="str">
            <v>Kharisma Data Technology, PT</v>
          </cell>
          <cell r="C511" t="str">
            <v>selvia@kdt.co.id</v>
          </cell>
          <cell r="D511" t="str">
            <v>Selvia</v>
          </cell>
          <cell r="E511" t="str">
            <v>089646735342</v>
          </cell>
          <cell r="F511" t="str">
            <v>Ruko Daan Mogot Baru, JL. Bedugul 3A No. 11, Kel. Kalideres, Kec. Kalideres,</v>
          </cell>
          <cell r="G511" t="str">
            <v>□</v>
          </cell>
          <cell r="H511" t="str">
            <v>□</v>
          </cell>
          <cell r="I511" t="str">
            <v>□</v>
          </cell>
          <cell r="J511" t="str">
            <v>□</v>
          </cell>
          <cell r="K511" t="str">
            <v>□</v>
          </cell>
          <cell r="L511" t="str">
            <v>□</v>
          </cell>
          <cell r="M511" t="str">
            <v>□</v>
          </cell>
          <cell r="N511" t="str">
            <v>□</v>
          </cell>
          <cell r="O511" t="str">
            <v>□</v>
          </cell>
          <cell r="P511" t="str">
            <v>□</v>
          </cell>
          <cell r="Q511" t="str">
            <v>□</v>
          </cell>
          <cell r="R511" t="str">
            <v>□</v>
          </cell>
          <cell r="S511" t="str">
            <v>□</v>
          </cell>
          <cell r="T511" t="str">
            <v>□</v>
          </cell>
          <cell r="U511" t="str">
            <v>NA</v>
          </cell>
          <cell r="V511" t="str">
            <v>No Register</v>
          </cell>
          <cell r="W511" t="str">
            <v/>
          </cell>
          <cell r="Y511" t="str">
            <v/>
          </cell>
        </row>
        <row r="512">
          <cell r="B512" t="str">
            <v>Duzazys Prima Enjeniring, PT</v>
          </cell>
          <cell r="C512" t="str">
            <v>pipit.fitriah@dpe.co.id; sales@dpe.co.id</v>
          </cell>
          <cell r="F512" t="str">
            <v>STC Senayan Lt.2, Ruang 89, Jl. Asia Afrika Pintu IX, Gelora Senayan, Kel. Gelora, Kec. Tanah Abang</v>
          </cell>
          <cell r="G512" t="str">
            <v>□</v>
          </cell>
          <cell r="H512" t="str">
            <v>□</v>
          </cell>
          <cell r="I512" t="str">
            <v>□</v>
          </cell>
          <cell r="J512" t="str">
            <v>□</v>
          </cell>
          <cell r="K512" t="str">
            <v>□</v>
          </cell>
          <cell r="L512" t="str">
            <v>□</v>
          </cell>
          <cell r="M512" t="str">
            <v>□</v>
          </cell>
          <cell r="N512" t="str">
            <v>□</v>
          </cell>
          <cell r="O512" t="str">
            <v>□</v>
          </cell>
          <cell r="P512" t="str">
            <v>□</v>
          </cell>
          <cell r="Q512" t="str">
            <v>□</v>
          </cell>
          <cell r="R512" t="str">
            <v>□</v>
          </cell>
          <cell r="S512" t="str">
            <v>□</v>
          </cell>
          <cell r="T512" t="str">
            <v>□</v>
          </cell>
          <cell r="U512" t="str">
            <v>NA</v>
          </cell>
          <cell r="V512" t="str">
            <v>No Register</v>
          </cell>
          <cell r="W512" t="str">
            <v/>
          </cell>
          <cell r="Y512" t="str">
            <v/>
          </cell>
        </row>
        <row r="513">
          <cell r="B513" t="str">
            <v>Ellight Prima Indonesia, PT</v>
          </cell>
          <cell r="C513" t="str">
            <v>customer.support@ellight.co.id; cahaya_anugerah_kreasi@yahoo.co.id; tommy.ertanto@ellight.co.id</v>
          </cell>
          <cell r="D513" t="str">
            <v>Sofia Rosi. M</v>
          </cell>
          <cell r="E513" t="str">
            <v>081250583332</v>
          </cell>
          <cell r="F513" t="str">
            <v>Kompleks Balikpapan Baru Blok J2 no 2 Balikpapan, Kel. Damai Baru, Kec. Balikpapan Selatan,</v>
          </cell>
          <cell r="G513" t="b">
            <v>0</v>
          </cell>
          <cell r="H513" t="b">
            <v>0</v>
          </cell>
          <cell r="I513" t="b">
            <v>0</v>
          </cell>
          <cell r="J513" t="b">
            <v>0</v>
          </cell>
          <cell r="K513" t="b">
            <v>0</v>
          </cell>
          <cell r="L513" t="b">
            <v>0</v>
          </cell>
          <cell r="M513" t="b">
            <v>1</v>
          </cell>
          <cell r="N513" t="b">
            <v>0</v>
          </cell>
          <cell r="O513" t="b">
            <v>0</v>
          </cell>
          <cell r="P513" t="b">
            <v>0</v>
          </cell>
          <cell r="Q513" t="b">
            <v>0</v>
          </cell>
          <cell r="R513" t="b">
            <v>0</v>
          </cell>
          <cell r="S513" t="b">
            <v>1</v>
          </cell>
          <cell r="T513" t="b">
            <v>0</v>
          </cell>
          <cell r="U513" t="str">
            <v>NA</v>
          </cell>
          <cell r="V513" t="str">
            <v>No Register</v>
          </cell>
          <cell r="W513" t="str">
            <v/>
          </cell>
          <cell r="X513" t="str">
            <v>General Trading - Elektrical</v>
          </cell>
          <cell r="Y513" t="str">
            <v>Electrical</v>
          </cell>
        </row>
        <row r="514">
          <cell r="B514" t="str">
            <v>Datanet Sistem Integrasi, PT</v>
          </cell>
          <cell r="C514" t="str">
            <v/>
          </cell>
          <cell r="D514" t="str">
            <v/>
          </cell>
          <cell r="E514" t="str">
            <v/>
          </cell>
          <cell r="F514" t="str">
            <v>Komp. Harmoni Plaza Blok. B No.8, Jl Suryopranoto No.2, Petojo Utara, Gambir, Kel. Petojo Utara, Kec. Gambir</v>
          </cell>
          <cell r="G514" t="str">
            <v>□</v>
          </cell>
          <cell r="H514" t="str">
            <v>□</v>
          </cell>
          <cell r="I514" t="str">
            <v>□</v>
          </cell>
          <cell r="J514" t="str">
            <v>□</v>
          </cell>
          <cell r="K514" t="str">
            <v>□</v>
          </cell>
          <cell r="L514" t="str">
            <v>□</v>
          </cell>
          <cell r="M514" t="str">
            <v>□</v>
          </cell>
          <cell r="N514" t="str">
            <v>□</v>
          </cell>
          <cell r="O514" t="str">
            <v>□</v>
          </cell>
          <cell r="P514" t="str">
            <v>□</v>
          </cell>
          <cell r="Q514" t="str">
            <v>□</v>
          </cell>
          <cell r="R514" t="str">
            <v>□</v>
          </cell>
          <cell r="S514" t="str">
            <v>□</v>
          </cell>
          <cell r="T514" t="str">
            <v>□</v>
          </cell>
          <cell r="U514" t="str">
            <v>NA</v>
          </cell>
          <cell r="V514" t="str">
            <v>No Register</v>
          </cell>
          <cell r="W514" t="str">
            <v/>
          </cell>
          <cell r="Y514" t="str">
            <v/>
          </cell>
        </row>
        <row r="515">
          <cell r="B515" t="str">
            <v>Bhakti Ratutama Jaya, PT</v>
          </cell>
          <cell r="C515" t="str">
            <v>bhaktiratutama2005@gmail.com</v>
          </cell>
          <cell r="D515" t="str">
            <v>Syifa</v>
          </cell>
          <cell r="E515" t="str">
            <v>08115041799</v>
          </cell>
          <cell r="F515" t="str">
            <v>Jalan Ahmad Yani Kilometer 6,9, Kel. Kertak Hanyar I, Kec. Kertak Hanyar,</v>
          </cell>
          <cell r="G515" t="b">
            <v>0</v>
          </cell>
          <cell r="H515" t="b">
            <v>0</v>
          </cell>
          <cell r="I515" t="b">
            <v>0</v>
          </cell>
          <cell r="J515" t="b">
            <v>0</v>
          </cell>
          <cell r="K515" t="b">
            <v>1</v>
          </cell>
          <cell r="L515" t="b">
            <v>0</v>
          </cell>
          <cell r="M515" t="b">
            <v>1</v>
          </cell>
          <cell r="N515" t="b">
            <v>0</v>
          </cell>
          <cell r="O515" t="b">
            <v>0</v>
          </cell>
          <cell r="P515" t="b">
            <v>0</v>
          </cell>
          <cell r="Q515" t="b">
            <v>0</v>
          </cell>
          <cell r="R515" t="b">
            <v>0</v>
          </cell>
          <cell r="S515" t="b">
            <v>1</v>
          </cell>
          <cell r="T515" t="b">
            <v>0</v>
          </cell>
          <cell r="U515" t="str">
            <v>A</v>
          </cell>
          <cell r="V515" t="str">
            <v>Register</v>
          </cell>
          <cell r="W515" t="str">
            <v/>
          </cell>
          <cell r="X515" t="str">
            <v>General Trading - HSE</v>
          </cell>
          <cell r="Y515" t="str">
            <v/>
          </cell>
        </row>
        <row r="516">
          <cell r="B516" t="str">
            <v>Lotus Inti Pratama, PT</v>
          </cell>
          <cell r="C516" t="str">
            <v>kirana@lotusinti.com; sales.ptlip@gmail.com</v>
          </cell>
          <cell r="D516" t="str">
            <v>Andri Kirana</v>
          </cell>
          <cell r="E516" t="str">
            <v>081908991688</v>
          </cell>
          <cell r="F516" t="str">
            <v>Beltway Office Park, Tower B LT. 5, JL. TB. Simatupang No. 41, Ragunan</v>
          </cell>
          <cell r="G516" t="b">
            <v>0</v>
          </cell>
          <cell r="H516" t="b">
            <v>0</v>
          </cell>
          <cell r="I516" t="b">
            <v>0</v>
          </cell>
          <cell r="J516" t="b">
            <v>0</v>
          </cell>
          <cell r="K516" t="b">
            <v>0</v>
          </cell>
          <cell r="L516" t="b">
            <v>0</v>
          </cell>
          <cell r="M516" t="b">
            <v>0</v>
          </cell>
          <cell r="N516" t="b">
            <v>0</v>
          </cell>
          <cell r="O516" t="b">
            <v>0</v>
          </cell>
          <cell r="P516" t="b">
            <v>0</v>
          </cell>
          <cell r="Q516" t="b">
            <v>0</v>
          </cell>
          <cell r="R516" t="b">
            <v>0</v>
          </cell>
          <cell r="S516" t="b">
            <v>1</v>
          </cell>
          <cell r="T516" t="b">
            <v>0</v>
          </cell>
          <cell r="U516" t="str">
            <v>A</v>
          </cell>
          <cell r="V516" t="str">
            <v>Register</v>
          </cell>
          <cell r="W516" t="str">
            <v>GT</v>
          </cell>
          <cell r="X516" t="str">
            <v>General Trading</v>
          </cell>
          <cell r="Y516" t="str">
            <v>Trading</v>
          </cell>
        </row>
        <row r="517">
          <cell r="B517" t="str">
            <v>Andalan Gaya Bhakti Pratama, PT</v>
          </cell>
          <cell r="C517" t="str">
            <v>salesinfo@alphagayabhakti.com; salesinfo@andalangroup.id</v>
          </cell>
          <cell r="D517" t="str">
            <v>Yakin Wijaya</v>
          </cell>
          <cell r="E517" t="str">
            <v>081384904031; 081348508918</v>
          </cell>
          <cell r="F517" t="str">
            <v>Jalan Hasanuddin HM Nomor 18-20, Kel. Belitung Utara, Kec. Banjarmasin Barat</v>
          </cell>
          <cell r="G517" t="b">
            <v>1</v>
          </cell>
          <cell r="H517" t="b">
            <v>0</v>
          </cell>
          <cell r="I517" t="b">
            <v>0</v>
          </cell>
          <cell r="J517" t="b">
            <v>0</v>
          </cell>
          <cell r="K517" t="b">
            <v>0</v>
          </cell>
          <cell r="L517" t="b">
            <v>0</v>
          </cell>
          <cell r="M517" t="b">
            <v>1</v>
          </cell>
          <cell r="N517" t="b">
            <v>0</v>
          </cell>
          <cell r="O517" t="b">
            <v>0</v>
          </cell>
          <cell r="P517" t="b">
            <v>0</v>
          </cell>
          <cell r="Q517" t="b">
            <v>0</v>
          </cell>
          <cell r="R517" t="b">
            <v>0</v>
          </cell>
          <cell r="S517" t="b">
            <v>0</v>
          </cell>
          <cell r="T517" t="b">
            <v>0</v>
          </cell>
          <cell r="U517" t="str">
            <v>A</v>
          </cell>
          <cell r="V517" t="str">
            <v>Register</v>
          </cell>
          <cell r="W517" t="str">
            <v/>
          </cell>
          <cell r="X517" t="str">
            <v>Utilities - Lubricant &amp; Industrial Oil</v>
          </cell>
          <cell r="Y517" t="str">
            <v>Mobil oil</v>
          </cell>
        </row>
        <row r="518">
          <cell r="B518" t="str">
            <v>Pacific Tractor Indonesia, PT</v>
          </cell>
          <cell r="C518" t="str">
            <v>tati@pacifictractors.com</v>
          </cell>
          <cell r="D518" t="str">
            <v>Tati</v>
          </cell>
          <cell r="E518" t="str">
            <v>081317578889</v>
          </cell>
          <cell r="F518" t="str">
            <v>Jl. Bungur Besar 17 Blok 17 No.5-B, GN Sahari, Kemayoran</v>
          </cell>
          <cell r="G518" t="b">
            <v>0</v>
          </cell>
          <cell r="H518" t="b">
            <v>0</v>
          </cell>
          <cell r="I518" t="b">
            <v>0</v>
          </cell>
          <cell r="J518" t="b">
            <v>0</v>
          </cell>
          <cell r="K518" t="b">
            <v>0</v>
          </cell>
          <cell r="L518" t="b">
            <v>0</v>
          </cell>
          <cell r="M518" t="b">
            <v>0</v>
          </cell>
          <cell r="N518" t="b">
            <v>0</v>
          </cell>
          <cell r="O518" t="b">
            <v>0</v>
          </cell>
          <cell r="P518" t="b">
            <v>0</v>
          </cell>
          <cell r="Q518" t="b">
            <v>0</v>
          </cell>
          <cell r="R518" t="b">
            <v>0</v>
          </cell>
          <cell r="S518" t="b">
            <v>1</v>
          </cell>
          <cell r="T518" t="b">
            <v>0</v>
          </cell>
          <cell r="U518" t="str">
            <v>A</v>
          </cell>
          <cell r="V518" t="str">
            <v>Register</v>
          </cell>
          <cell r="W518" t="str">
            <v>GT</v>
          </cell>
          <cell r="X518" t="str">
            <v>General Trading</v>
          </cell>
          <cell r="Y518" t="str">
            <v>Heavy Equipment</v>
          </cell>
        </row>
        <row r="519">
          <cell r="B519" t="str">
            <v>Ran Kreasi Mandiri, CV</v>
          </cell>
          <cell r="C519" t="str">
            <v>ran.reklame@gmail.com</v>
          </cell>
          <cell r="D519" t="str">
            <v>Suyanto</v>
          </cell>
          <cell r="E519" t="str">
            <v>081348574244</v>
          </cell>
          <cell r="F519" t="str">
            <v>Jl. Flamboyan A No. 3 RT.009 / RW.000, Pembataan, Murung Pudak</v>
          </cell>
          <cell r="G519" t="b">
            <v>0</v>
          </cell>
          <cell r="H519" t="b">
            <v>0</v>
          </cell>
          <cell r="I519" t="b">
            <v>0</v>
          </cell>
          <cell r="J519" t="b">
            <v>0</v>
          </cell>
          <cell r="K519" t="b">
            <v>0</v>
          </cell>
          <cell r="L519" t="b">
            <v>0</v>
          </cell>
          <cell r="M519" t="b">
            <v>1</v>
          </cell>
          <cell r="N519" t="b">
            <v>0</v>
          </cell>
          <cell r="O519" t="b">
            <v>0</v>
          </cell>
          <cell r="P519" t="b">
            <v>0</v>
          </cell>
          <cell r="Q519" t="b">
            <v>0</v>
          </cell>
          <cell r="R519" t="b">
            <v>0</v>
          </cell>
          <cell r="S519" t="b">
            <v>0</v>
          </cell>
          <cell r="T519" t="b">
            <v>0</v>
          </cell>
          <cell r="U519" t="str">
            <v>NA</v>
          </cell>
          <cell r="V519" t="str">
            <v>Register</v>
          </cell>
          <cell r="W519" t="str">
            <v>GT - OF</v>
          </cell>
          <cell r="X519" t="str">
            <v>General Trading - Office Supplies</v>
          </cell>
          <cell r="Y519" t="str">
            <v>General Consyuumable</v>
          </cell>
        </row>
        <row r="520">
          <cell r="B520" t="str">
            <v>Mitra Energi Abadi, PT</v>
          </cell>
          <cell r="C520" t="str">
            <v>jihdanu@mitraenergi.id; cs@mitraenergi.id; putra@mitraenergi.com</v>
          </cell>
          <cell r="D520" t="str">
            <v>Danu</v>
          </cell>
          <cell r="E520" t="str">
            <v>081288805650</v>
          </cell>
          <cell r="F520" t="str">
            <v>Jl. Fajar I Blok F.V No. 18, Kel. Cipondoh Makmur, Kec. Cipondoh</v>
          </cell>
          <cell r="G520" t="b">
            <v>0</v>
          </cell>
          <cell r="H520" t="b">
            <v>0</v>
          </cell>
          <cell r="I520" t="b">
            <v>0</v>
          </cell>
          <cell r="J520" t="b">
            <v>0</v>
          </cell>
          <cell r="K520" t="b">
            <v>0</v>
          </cell>
          <cell r="L520" t="b">
            <v>0</v>
          </cell>
          <cell r="M520" t="b">
            <v>1</v>
          </cell>
          <cell r="N520" t="b">
            <v>0</v>
          </cell>
          <cell r="O520" t="b">
            <v>0</v>
          </cell>
          <cell r="P520" t="b">
            <v>0</v>
          </cell>
          <cell r="Q520" t="b">
            <v>0</v>
          </cell>
          <cell r="R520" t="b">
            <v>0</v>
          </cell>
          <cell r="S520" t="b">
            <v>1</v>
          </cell>
          <cell r="T520" t="b">
            <v>0</v>
          </cell>
          <cell r="U520" t="str">
            <v>NA</v>
          </cell>
          <cell r="V520" t="str">
            <v>No Register</v>
          </cell>
          <cell r="W520" t="str">
            <v/>
          </cell>
          <cell r="X520" t="str">
            <v>General Trading - Elektrical</v>
          </cell>
          <cell r="Y520" t="str">
            <v>Electrical</v>
          </cell>
        </row>
        <row r="521">
          <cell r="B521" t="str">
            <v>Grama Bazita Maintenance Indonesia, PT</v>
          </cell>
          <cell r="C521" t="str">
            <v>bagus.nugroho@gbmaintenance.id</v>
          </cell>
          <cell r="D521" t="str">
            <v>Bagus</v>
          </cell>
          <cell r="E521" t="str">
            <v>082112898966</v>
          </cell>
          <cell r="F521" t="str">
            <v>Soverign Plaza, Lantai 21, JL. T.B. Simatupang Kav. 36, Desa/Kelurahan Cilandak Barat, Kec. Cilandak</v>
          </cell>
          <cell r="G521" t="str">
            <v>□</v>
          </cell>
          <cell r="H521" t="str">
            <v>□</v>
          </cell>
          <cell r="I521" t="str">
            <v>□</v>
          </cell>
          <cell r="J521" t="str">
            <v>□</v>
          </cell>
          <cell r="K521" t="str">
            <v>□</v>
          </cell>
          <cell r="L521" t="str">
            <v>□</v>
          </cell>
          <cell r="M521" t="str">
            <v>□</v>
          </cell>
          <cell r="N521" t="str">
            <v>□</v>
          </cell>
          <cell r="O521" t="str">
            <v>□</v>
          </cell>
          <cell r="P521" t="str">
            <v>□</v>
          </cell>
          <cell r="Q521" t="str">
            <v>□</v>
          </cell>
          <cell r="R521" t="str">
            <v>□</v>
          </cell>
          <cell r="S521" t="str">
            <v>□</v>
          </cell>
          <cell r="T521" t="str">
            <v>□</v>
          </cell>
          <cell r="U521" t="str">
            <v>NA</v>
          </cell>
          <cell r="V521" t="str">
            <v>Register</v>
          </cell>
          <cell r="W521" t="str">
            <v/>
          </cell>
          <cell r="X521" t="str">
            <v>Service Jasa - Maintenance</v>
          </cell>
          <cell r="Y521" t="str">
            <v/>
          </cell>
        </row>
        <row r="522">
          <cell r="B522" t="str">
            <v>Black Jaguar Corporindo, CV</v>
          </cell>
          <cell r="C522" t="str">
            <v>blackjaguarcorp.indonesia@gmail.com</v>
          </cell>
          <cell r="D522" t="str">
            <v>Edward Sutijadi</v>
          </cell>
          <cell r="E522" t="str">
            <v/>
          </cell>
          <cell r="F522" t="str">
            <v>Jl. A.Yani Km. 7,8 Citraland Ruko I-Walk I No. 41, Kel. Manarap Lama, Kec. Kertak Hanyar</v>
          </cell>
          <cell r="G522" t="b">
            <v>0</v>
          </cell>
          <cell r="H522" t="b">
            <v>0</v>
          </cell>
          <cell r="I522" t="b">
            <v>0</v>
          </cell>
          <cell r="J522" t="b">
            <v>0</v>
          </cell>
          <cell r="K522" t="b">
            <v>1</v>
          </cell>
          <cell r="L522" t="b">
            <v>0</v>
          </cell>
          <cell r="M522" t="b">
            <v>0</v>
          </cell>
          <cell r="N522" t="b">
            <v>0</v>
          </cell>
          <cell r="O522" t="b">
            <v>0</v>
          </cell>
          <cell r="P522" t="b">
            <v>0</v>
          </cell>
          <cell r="Q522" t="b">
            <v>0</v>
          </cell>
          <cell r="R522" t="b">
            <v>1</v>
          </cell>
          <cell r="S522" t="b">
            <v>1</v>
          </cell>
          <cell r="T522" t="b">
            <v>0</v>
          </cell>
          <cell r="U522" t="str">
            <v>NA</v>
          </cell>
          <cell r="V522" t="str">
            <v>Register</v>
          </cell>
          <cell r="W522" t="str">
            <v>SJ - MC
GT - CHE</v>
          </cell>
          <cell r="X522" t="str">
            <v>Service Jasa - Medical Service
General Trading - Chemical</v>
          </cell>
          <cell r="Y522" t="str">
            <v/>
          </cell>
        </row>
        <row r="523">
          <cell r="B523" t="str">
            <v>Binabusana Internusa, PT</v>
          </cell>
          <cell r="C523" t="str">
            <v>sumantri.se68@gmail.com</v>
          </cell>
          <cell r="D523" t="str">
            <v>Sumantri</v>
          </cell>
          <cell r="F523" t="str">
            <v>Jl. Pulo Buaran II Blok Q No.1, Kawasan Industri, Pulogadung, Kel. Jatinegara, Kec. Cakung</v>
          </cell>
          <cell r="G523" t="b">
            <v>0</v>
          </cell>
          <cell r="H523" t="b">
            <v>0</v>
          </cell>
          <cell r="I523" t="b">
            <v>0</v>
          </cell>
          <cell r="J523" t="b">
            <v>0</v>
          </cell>
          <cell r="K523" t="b">
            <v>0</v>
          </cell>
          <cell r="L523" t="b">
            <v>0</v>
          </cell>
          <cell r="M523" t="b">
            <v>1</v>
          </cell>
          <cell r="N523" t="b">
            <v>0</v>
          </cell>
          <cell r="O523" t="b">
            <v>0</v>
          </cell>
          <cell r="P523" t="b">
            <v>0</v>
          </cell>
          <cell r="Q523" t="b">
            <v>0</v>
          </cell>
          <cell r="R523" t="b">
            <v>0</v>
          </cell>
          <cell r="S523" t="b">
            <v>0</v>
          </cell>
          <cell r="T523" t="b">
            <v>0</v>
          </cell>
          <cell r="U523" t="str">
            <v>NA</v>
          </cell>
          <cell r="V523" t="str">
            <v>Register</v>
          </cell>
          <cell r="W523" t="str">
            <v>GT - OF</v>
          </cell>
          <cell r="X523" t="str">
            <v>General Trading - Office Supplies</v>
          </cell>
          <cell r="Y523" t="str">
            <v/>
          </cell>
        </row>
        <row r="524">
          <cell r="B524" t="str">
            <v>Ketel Uap Indonesia, PT</v>
          </cell>
          <cell r="C524" t="str">
            <v>keteluapindonesia.kui@gmail.com</v>
          </cell>
          <cell r="D524" t="str">
            <v>Zainal</v>
          </cell>
          <cell r="E524" t="str">
            <v>082255091110</v>
          </cell>
          <cell r="F524" t="str">
            <v>JL. Sungai Raya Dalam, Komplek KORPRI Blok J No. 158, Kel. Sungairaya Dalam, Kec. Sungai Raya</v>
          </cell>
          <cell r="G524" t="b">
            <v>0</v>
          </cell>
          <cell r="H524" t="b">
            <v>0</v>
          </cell>
          <cell r="I524" t="b">
            <v>0</v>
          </cell>
          <cell r="J524" t="b">
            <v>0</v>
          </cell>
          <cell r="K524" t="b">
            <v>0</v>
          </cell>
          <cell r="L524" t="b">
            <v>0</v>
          </cell>
          <cell r="M524" t="b">
            <v>0</v>
          </cell>
          <cell r="N524" t="b">
            <v>0</v>
          </cell>
          <cell r="O524" t="b">
            <v>1</v>
          </cell>
          <cell r="P524" t="b">
            <v>0</v>
          </cell>
          <cell r="Q524" t="b">
            <v>0</v>
          </cell>
          <cell r="R524" t="b">
            <v>0</v>
          </cell>
          <cell r="S524" t="b">
            <v>0</v>
          </cell>
          <cell r="T524" t="b">
            <v>0</v>
          </cell>
          <cell r="U524" t="str">
            <v>A</v>
          </cell>
          <cell r="V524" t="str">
            <v>No Register</v>
          </cell>
          <cell r="W524" t="str">
            <v>PR - TR</v>
          </cell>
          <cell r="X524" t="str">
            <v>Professional Services - Training</v>
          </cell>
          <cell r="Y524" t="str">
            <v>K3
Pengujian Pesawat Uap dan Bejana Tekan, Bidang Listrik, Penyalur Petir dan Peralatan Elektronik, Instalasi Proteksi Kebakaran, Konstruksi Bangunan, Pesawat Angkat dan Angkut dan Pesawat Tenaga dan Produksi.</v>
          </cell>
        </row>
        <row r="525">
          <cell r="B525" t="str">
            <v>Inti Dharma Global Indo, PT</v>
          </cell>
          <cell r="C525" t="str">
            <v>fiqi.anggraini@intidharma.co.id; wawan.rulianto@intidharma.co.id</v>
          </cell>
          <cell r="D525" t="str">
            <v>Fiqi</v>
          </cell>
          <cell r="E525" t="str">
            <v>08988884350</v>
          </cell>
          <cell r="F525" t="str">
            <v>Gedung Cyber I Lt. 10 , Jl. Kuningan Barat No. 8, Kel. Kuningan Barat, Kec. Mampang Prapatan</v>
          </cell>
          <cell r="G525" t="str">
            <v>□</v>
          </cell>
          <cell r="H525" t="str">
            <v>□</v>
          </cell>
          <cell r="I525" t="str">
            <v>□</v>
          </cell>
          <cell r="J525" t="str">
            <v>□</v>
          </cell>
          <cell r="K525" t="str">
            <v>□</v>
          </cell>
          <cell r="L525" t="str">
            <v>□</v>
          </cell>
          <cell r="M525" t="str">
            <v>□</v>
          </cell>
          <cell r="N525" t="str">
            <v>□</v>
          </cell>
          <cell r="O525" t="str">
            <v>□</v>
          </cell>
          <cell r="P525" t="str">
            <v>□</v>
          </cell>
          <cell r="Q525" t="str">
            <v>□</v>
          </cell>
          <cell r="R525" t="str">
            <v>□</v>
          </cell>
          <cell r="S525" t="str">
            <v>□</v>
          </cell>
          <cell r="T525" t="str">
            <v>□</v>
          </cell>
          <cell r="U525" t="str">
            <v>NA</v>
          </cell>
          <cell r="V525" t="str">
            <v>No Register</v>
          </cell>
          <cell r="W525" t="str">
            <v/>
          </cell>
          <cell r="Y525" t="str">
            <v/>
          </cell>
        </row>
        <row r="526">
          <cell r="B526" t="str">
            <v>Wutama Mitra Niaga, CV</v>
          </cell>
          <cell r="C526" t="str">
            <v>wutamamitraniaga@gmail.com</v>
          </cell>
          <cell r="D526" t="str">
            <v>David</v>
          </cell>
          <cell r="E526" t="str">
            <v>081256888181</v>
          </cell>
          <cell r="F526" t="str">
            <v>Jl. Jati Hop 1 No. 19, Kel. Satimpo, Kec. Bontang Selatan</v>
          </cell>
          <cell r="G526" t="str">
            <v>□</v>
          </cell>
          <cell r="H526" t="str">
            <v>□</v>
          </cell>
          <cell r="I526" t="str">
            <v>□</v>
          </cell>
          <cell r="J526" t="str">
            <v>□</v>
          </cell>
          <cell r="K526" t="str">
            <v>□</v>
          </cell>
          <cell r="L526" t="str">
            <v>□</v>
          </cell>
          <cell r="M526" t="str">
            <v>□</v>
          </cell>
          <cell r="N526" t="str">
            <v>□</v>
          </cell>
          <cell r="O526" t="str">
            <v>□</v>
          </cell>
          <cell r="P526" t="str">
            <v>□</v>
          </cell>
          <cell r="Q526" t="str">
            <v>□</v>
          </cell>
          <cell r="R526" t="str">
            <v>□</v>
          </cell>
          <cell r="S526" t="str">
            <v>□</v>
          </cell>
          <cell r="T526" t="str">
            <v>□</v>
          </cell>
          <cell r="U526" t="str">
            <v>NA</v>
          </cell>
          <cell r="V526" t="str">
            <v>No Register</v>
          </cell>
          <cell r="W526" t="str">
            <v/>
          </cell>
          <cell r="Y526" t="str">
            <v/>
          </cell>
        </row>
        <row r="527">
          <cell r="B527" t="str">
            <v>Louserindo Megah Permai, PT</v>
          </cell>
          <cell r="C527" t="str">
            <v>sales.service@louser.co.id</v>
          </cell>
          <cell r="D527" t="str">
            <v>Iqbal</v>
          </cell>
          <cell r="E527" t="str">
            <v>08996400789</v>
          </cell>
          <cell r="F527" t="str">
            <v>Jl. Raya Kebayoran Lama No. 194-A, Blok B IV-V, Kel. Grogol Selatan, Kec. Kebayoran Lama</v>
          </cell>
          <cell r="G527" t="str">
            <v>□</v>
          </cell>
          <cell r="H527" t="str">
            <v>□</v>
          </cell>
          <cell r="I527" t="str">
            <v>□</v>
          </cell>
          <cell r="J527" t="str">
            <v>□</v>
          </cell>
          <cell r="K527" t="str">
            <v>□</v>
          </cell>
          <cell r="L527" t="str">
            <v>□</v>
          </cell>
          <cell r="M527" t="str">
            <v>□</v>
          </cell>
          <cell r="N527" t="str">
            <v>□</v>
          </cell>
          <cell r="O527" t="str">
            <v>□</v>
          </cell>
          <cell r="P527" t="str">
            <v>□</v>
          </cell>
          <cell r="Q527" t="str">
            <v>□</v>
          </cell>
          <cell r="R527" t="str">
            <v>□</v>
          </cell>
          <cell r="S527" t="str">
            <v>□</v>
          </cell>
          <cell r="T527" t="str">
            <v>□</v>
          </cell>
          <cell r="U527" t="str">
            <v>NA</v>
          </cell>
          <cell r="V527" t="str">
            <v>No Register</v>
          </cell>
          <cell r="W527" t="str">
            <v/>
          </cell>
          <cell r="Y527" t="str">
            <v/>
          </cell>
        </row>
        <row r="528">
          <cell r="B528" t="str">
            <v>Adhikarilab Indonesia, PT</v>
          </cell>
          <cell r="C528" t="str">
            <v>gilang.adhikarilab@gmail.com; marketing@adhikarilab.co.id; info@adhikarilab.co.id</v>
          </cell>
          <cell r="D528" t="str">
            <v>Gilang</v>
          </cell>
          <cell r="E528" t="str">
            <v>081287492544</v>
          </cell>
          <cell r="F528" t="str">
            <v>Ruko Cibubur Indah Blok A No. 16, Kel. Cibubur, Kec. Ciracas</v>
          </cell>
          <cell r="G528" t="b">
            <v>0</v>
          </cell>
          <cell r="H528" t="b">
            <v>0</v>
          </cell>
          <cell r="I528" t="b">
            <v>0</v>
          </cell>
          <cell r="J528" t="b">
            <v>0</v>
          </cell>
          <cell r="K528" t="b">
            <v>0</v>
          </cell>
          <cell r="L528" t="b">
            <v>0</v>
          </cell>
          <cell r="M528" t="b">
            <v>0</v>
          </cell>
          <cell r="N528" t="b">
            <v>0</v>
          </cell>
          <cell r="O528" t="b">
            <v>1</v>
          </cell>
          <cell r="P528" t="b">
            <v>0</v>
          </cell>
          <cell r="Q528" t="b">
            <v>0</v>
          </cell>
          <cell r="R528" t="b">
            <v>0</v>
          </cell>
          <cell r="S528" t="b">
            <v>0</v>
          </cell>
          <cell r="T528" t="b">
            <v>0</v>
          </cell>
          <cell r="U528" t="str">
            <v>A</v>
          </cell>
          <cell r="V528" t="str">
            <v>No Register</v>
          </cell>
          <cell r="W528" t="str">
            <v>ENV - IM</v>
          </cell>
          <cell r="X528" t="str">
            <v>Environment &amp; Compliance - Environmental Impact Monitoring</v>
          </cell>
          <cell r="Y528" t="str">
            <v/>
          </cell>
        </row>
        <row r="529">
          <cell r="B529" t="str">
            <v>Rustan Consulting, PT</v>
          </cell>
          <cell r="C529" t="str">
            <v/>
          </cell>
          <cell r="D529" t="str">
            <v>Rustan</v>
          </cell>
          <cell r="E529" t="str">
            <v/>
          </cell>
          <cell r="F529" t="str">
            <v>Gedung Perkantoran Pakuwon Tower Unit 30 D, Jl. Casablanca Raya Kav. 88, Kel. Menteng Dalam, Kec. Tebet</v>
          </cell>
          <cell r="G529" t="str">
            <v>□</v>
          </cell>
          <cell r="H529" t="str">
            <v>□</v>
          </cell>
          <cell r="I529" t="str">
            <v>□</v>
          </cell>
          <cell r="J529" t="str">
            <v>□</v>
          </cell>
          <cell r="K529" t="str">
            <v>□</v>
          </cell>
          <cell r="L529" t="str">
            <v>□</v>
          </cell>
          <cell r="M529" t="str">
            <v>□</v>
          </cell>
          <cell r="N529" t="str">
            <v>□</v>
          </cell>
          <cell r="O529" t="str">
            <v>□</v>
          </cell>
          <cell r="P529" t="str">
            <v>□</v>
          </cell>
          <cell r="Q529" t="str">
            <v>□</v>
          </cell>
          <cell r="R529" t="str">
            <v>□</v>
          </cell>
          <cell r="S529" t="str">
            <v>□</v>
          </cell>
          <cell r="T529" t="str">
            <v>□</v>
          </cell>
          <cell r="U529" t="str">
            <v>NA</v>
          </cell>
          <cell r="V529" t="str">
            <v>Register</v>
          </cell>
          <cell r="W529" t="str">
            <v>PR - LG</v>
          </cell>
          <cell r="X529" t="str">
            <v>Professional Services - Legal</v>
          </cell>
          <cell r="Y529" t="str">
            <v>K3</v>
          </cell>
        </row>
        <row r="530">
          <cell r="B530" t="str">
            <v>Eshael Indonesia, PT</v>
          </cell>
          <cell r="C530" t="str">
            <v>rezha.pratama@shl.co.id; booking@shl.co.id</v>
          </cell>
          <cell r="D530" t="str">
            <v/>
          </cell>
          <cell r="E530" t="str">
            <v/>
          </cell>
          <cell r="F530" t="str">
            <v>Gedung Bursa Efek Indonesia Tower 2 Lantai 17, Jl. Jend. Sudirman Kav. 52-53, Kel. Senayan, Kec. Kebayoran Baru</v>
          </cell>
          <cell r="G530" t="b">
            <v>0</v>
          </cell>
          <cell r="H530" t="b">
            <v>0</v>
          </cell>
          <cell r="I530" t="b">
            <v>0</v>
          </cell>
          <cell r="J530" t="b">
            <v>0</v>
          </cell>
          <cell r="K530" t="b">
            <v>0</v>
          </cell>
          <cell r="L530" t="b">
            <v>0</v>
          </cell>
          <cell r="M530" t="b">
            <v>0</v>
          </cell>
          <cell r="N530" t="b">
            <v>0</v>
          </cell>
          <cell r="O530" t="b">
            <v>1</v>
          </cell>
          <cell r="P530" t="b">
            <v>0</v>
          </cell>
          <cell r="Q530" t="b">
            <v>0</v>
          </cell>
          <cell r="R530" t="b">
            <v>0</v>
          </cell>
          <cell r="S530" t="b">
            <v>0</v>
          </cell>
          <cell r="T530" t="b">
            <v>0</v>
          </cell>
          <cell r="U530" t="str">
            <v>NA</v>
          </cell>
          <cell r="V530" t="str">
            <v>Register</v>
          </cell>
          <cell r="W530" t="str">
            <v>PR - TR</v>
          </cell>
          <cell r="X530" t="str">
            <v>Professional Services - Training</v>
          </cell>
          <cell r="Y530" t="str">
            <v/>
          </cell>
        </row>
        <row r="531">
          <cell r="B531" t="str">
            <v>Suprima Mitra Adihusada, PT</v>
          </cell>
          <cell r="C531" t="str">
            <v/>
          </cell>
          <cell r="D531" t="str">
            <v/>
          </cell>
          <cell r="E531" t="str">
            <v/>
          </cell>
          <cell r="F531" t="str">
            <v>Bellagio Mall O.G &amp; O.UG, Kawasan Mega Kuningan Barat Kav. E.4.3, Jl. Kuningan Barat Raya , Kel. Kuningan Timur, Kec. Setiabudi</v>
          </cell>
          <cell r="G531" t="b">
            <v>0</v>
          </cell>
          <cell r="H531" t="b">
            <v>0</v>
          </cell>
          <cell r="I531" t="b">
            <v>0</v>
          </cell>
          <cell r="J531" t="b">
            <v>0</v>
          </cell>
          <cell r="K531" t="b">
            <v>0</v>
          </cell>
          <cell r="L531" t="b">
            <v>0</v>
          </cell>
          <cell r="M531" t="b">
            <v>0</v>
          </cell>
          <cell r="N531" t="b">
            <v>0</v>
          </cell>
          <cell r="O531" t="b">
            <v>0</v>
          </cell>
          <cell r="P531" t="b">
            <v>0</v>
          </cell>
          <cell r="Q531" t="b">
            <v>0</v>
          </cell>
          <cell r="R531" t="b">
            <v>1</v>
          </cell>
          <cell r="S531" t="b">
            <v>0</v>
          </cell>
          <cell r="T531" t="b">
            <v>0</v>
          </cell>
          <cell r="U531" t="str">
            <v>NA</v>
          </cell>
          <cell r="V531" t="str">
            <v>Register</v>
          </cell>
          <cell r="W531" t="str">
            <v>SJ - MC</v>
          </cell>
          <cell r="X531" t="str">
            <v>Service Jasa - Medical Service</v>
          </cell>
          <cell r="Y531" t="str">
            <v/>
          </cell>
        </row>
        <row r="532">
          <cell r="B532" t="str">
            <v>Radius Allkindo Electric, PT</v>
          </cell>
          <cell r="U532" t="str">
            <v>NA</v>
          </cell>
          <cell r="V532" t="str">
            <v>No Register</v>
          </cell>
          <cell r="W532" t="str">
            <v/>
          </cell>
        </row>
        <row r="533">
          <cell r="B533" t="str">
            <v>Radius Alkindo Electric, PT</v>
          </cell>
          <cell r="C533" t="str">
            <v>CS@RADIUS.CO.ID; tomy_n@radius.co.id</v>
          </cell>
          <cell r="D533" t="str">
            <v>Tomy</v>
          </cell>
          <cell r="E533" t="str">
            <v>082121985207</v>
          </cell>
          <cell r="F533" t="str">
            <v>Gedung Lindeteves Trade Center, Lt. UG Blok B3 No.3, Jl. Hayam Wuruk No. 127, Kel. Mangga Besar, Kec. Taman Sari</v>
          </cell>
          <cell r="G533" t="b">
            <v>0</v>
          </cell>
          <cell r="H533" t="b">
            <v>0</v>
          </cell>
          <cell r="I533" t="b">
            <v>0</v>
          </cell>
          <cell r="J533" t="b">
            <v>0</v>
          </cell>
          <cell r="K533" t="b">
            <v>0</v>
          </cell>
          <cell r="L533" t="b">
            <v>0</v>
          </cell>
          <cell r="M533" t="b">
            <v>1</v>
          </cell>
          <cell r="N533" t="b">
            <v>0</v>
          </cell>
          <cell r="O533" t="b">
            <v>0</v>
          </cell>
          <cell r="P533" t="b">
            <v>0</v>
          </cell>
          <cell r="Q533" t="b">
            <v>0</v>
          </cell>
          <cell r="R533" t="b">
            <v>0</v>
          </cell>
          <cell r="S533" t="b">
            <v>1</v>
          </cell>
          <cell r="T533" t="b">
            <v>0</v>
          </cell>
          <cell r="U533" t="str">
            <v>NA</v>
          </cell>
          <cell r="V533" t="str">
            <v>Register</v>
          </cell>
          <cell r="W533" t="str">
            <v>GT - ID</v>
          </cell>
          <cell r="X533" t="str">
            <v>General Trading - Industrial Goods</v>
          </cell>
          <cell r="Y533" t="str">
            <v>Tools &amp; Equipment</v>
          </cell>
        </row>
        <row r="534">
          <cell r="B534" t="str">
            <v>Mumpuni Inti Mandiri, PT</v>
          </cell>
          <cell r="C534" t="str">
            <v xml:space="preserve"> ptmumpuni@gmail.com</v>
          </cell>
          <cell r="D534" t="str">
            <v>Agus; Toni</v>
          </cell>
          <cell r="F534" t="str">
            <v>Bekasi Town Square Blok B-09, Jl. Cut Meutia, Desa/Keluarahan Margarahayu, Kec. Bekasi Timur</v>
          </cell>
          <cell r="G534" t="str">
            <v>□</v>
          </cell>
          <cell r="H534" t="str">
            <v>□</v>
          </cell>
          <cell r="I534" t="str">
            <v>□</v>
          </cell>
          <cell r="J534" t="str">
            <v>□</v>
          </cell>
          <cell r="K534" t="str">
            <v>□</v>
          </cell>
          <cell r="L534" t="str">
            <v>□</v>
          </cell>
          <cell r="M534" t="str">
            <v>□</v>
          </cell>
          <cell r="N534" t="str">
            <v>□</v>
          </cell>
          <cell r="O534" t="str">
            <v>□</v>
          </cell>
          <cell r="P534" t="str">
            <v>□</v>
          </cell>
          <cell r="Q534" t="str">
            <v>□</v>
          </cell>
          <cell r="R534" t="str">
            <v>□</v>
          </cell>
          <cell r="S534" t="str">
            <v>□</v>
          </cell>
          <cell r="T534" t="str">
            <v>□</v>
          </cell>
          <cell r="U534" t="str">
            <v>NA</v>
          </cell>
          <cell r="V534" t="str">
            <v>No Register</v>
          </cell>
          <cell r="W534" t="str">
            <v>PR - TR</v>
          </cell>
          <cell r="X534" t="str">
            <v>Professional Services - Training</v>
          </cell>
          <cell r="Y534" t="str">
            <v/>
          </cell>
        </row>
        <row r="535">
          <cell r="B535" t="str">
            <v>Hidup Baru Perdana Abadi, PT</v>
          </cell>
          <cell r="C535" t="str">
            <v>customer.service@hidup-baru.com; widiyanto@hidup-baru.com; ransyah@hidup-baru.com</v>
          </cell>
          <cell r="D535" t="str">
            <v>Hany/Widi</v>
          </cell>
          <cell r="E535" t="str">
            <v>08115429423; 08125483559</v>
          </cell>
          <cell r="F535" t="str">
            <v>JL. Mulawarman N0. 155, Kel. Sepinggan, Kec. Balikpapan Selatan</v>
          </cell>
          <cell r="G535" t="str">
            <v>□</v>
          </cell>
          <cell r="H535" t="str">
            <v>□</v>
          </cell>
          <cell r="I535" t="str">
            <v>□</v>
          </cell>
          <cell r="J535" t="str">
            <v>□</v>
          </cell>
          <cell r="K535" t="str">
            <v>□</v>
          </cell>
          <cell r="L535" t="str">
            <v>□</v>
          </cell>
          <cell r="M535" t="str">
            <v>□</v>
          </cell>
          <cell r="N535" t="str">
            <v>□</v>
          </cell>
          <cell r="O535" t="str">
            <v>□</v>
          </cell>
          <cell r="P535" t="str">
            <v>□</v>
          </cell>
          <cell r="Q535" t="str">
            <v>□</v>
          </cell>
          <cell r="R535" t="str">
            <v>□</v>
          </cell>
          <cell r="S535" t="str">
            <v>□</v>
          </cell>
          <cell r="T535" t="str">
            <v>□</v>
          </cell>
          <cell r="U535" t="str">
            <v>NA</v>
          </cell>
          <cell r="V535" t="str">
            <v>No Register</v>
          </cell>
          <cell r="W535" t="str">
            <v/>
          </cell>
          <cell r="Y535" t="str">
            <v/>
          </cell>
        </row>
        <row r="536">
          <cell r="B536" t="str">
            <v>Invaltech System Indonesia, PT</v>
          </cell>
          <cell r="C536" t="str">
            <v>sales@invaltech.com; sales@invaltech.co.id</v>
          </cell>
          <cell r="D536" t="str">
            <v>Listio</v>
          </cell>
          <cell r="E536" t="str">
            <v>081388883818</v>
          </cell>
          <cell r="F536" t="str">
            <v>Taman Mahkota Blok A2 No.18 RT.0001 / RW.009, Benda</v>
          </cell>
          <cell r="G536" t="b">
            <v>0</v>
          </cell>
          <cell r="H536" t="b">
            <v>0</v>
          </cell>
          <cell r="I536" t="b">
            <v>0</v>
          </cell>
          <cell r="J536" t="b">
            <v>0</v>
          </cell>
          <cell r="K536" t="b">
            <v>0</v>
          </cell>
          <cell r="L536" t="b">
            <v>0</v>
          </cell>
          <cell r="M536" t="b">
            <v>1</v>
          </cell>
          <cell r="N536" t="b">
            <v>0</v>
          </cell>
          <cell r="O536" t="b">
            <v>0</v>
          </cell>
          <cell r="P536" t="b">
            <v>0</v>
          </cell>
          <cell r="Q536" t="b">
            <v>0</v>
          </cell>
          <cell r="R536" t="b">
            <v>0</v>
          </cell>
          <cell r="S536" t="b">
            <v>1</v>
          </cell>
          <cell r="T536" t="b">
            <v>0</v>
          </cell>
          <cell r="U536" t="str">
            <v>A</v>
          </cell>
          <cell r="V536" t="str">
            <v>No Register</v>
          </cell>
          <cell r="W536" t="str">
            <v/>
          </cell>
          <cell r="X536" t="str">
            <v>General Trading - Elektrical</v>
          </cell>
          <cell r="Y536" t="str">
            <v>Festo</v>
          </cell>
        </row>
        <row r="537">
          <cell r="B537" t="str">
            <v>Technical South East Asia, PT</v>
          </cell>
          <cell r="C537" t="str">
            <v>kiki@technicalsoutheastasia.com</v>
          </cell>
          <cell r="D537" t="str">
            <v>Kiki</v>
          </cell>
          <cell r="E537" t="str">
            <v>08119439184 </v>
          </cell>
          <cell r="F537" t="str">
            <v>Taman Tekno BSD Blok J3 NO.8,Setu,Cisauk, Kel. Cisauk, Kec. Cisauk</v>
          </cell>
          <cell r="G537" t="str">
            <v>□</v>
          </cell>
          <cell r="H537" t="str">
            <v>□</v>
          </cell>
          <cell r="I537" t="str">
            <v>□</v>
          </cell>
          <cell r="J537" t="str">
            <v>□</v>
          </cell>
          <cell r="K537" t="str">
            <v>□</v>
          </cell>
          <cell r="L537" t="str">
            <v>□</v>
          </cell>
          <cell r="M537" t="str">
            <v>□</v>
          </cell>
          <cell r="N537" t="str">
            <v>□</v>
          </cell>
          <cell r="O537" t="str">
            <v>□</v>
          </cell>
          <cell r="P537" t="str">
            <v>□</v>
          </cell>
          <cell r="Q537" t="str">
            <v>□</v>
          </cell>
          <cell r="R537" t="str">
            <v>□</v>
          </cell>
          <cell r="S537" t="str">
            <v>□</v>
          </cell>
          <cell r="T537" t="str">
            <v>□</v>
          </cell>
          <cell r="U537" t="str">
            <v>NA</v>
          </cell>
          <cell r="V537" t="str">
            <v>No Register</v>
          </cell>
          <cell r="W537" t="str">
            <v/>
          </cell>
          <cell r="Y537" t="str">
            <v/>
          </cell>
        </row>
        <row r="538">
          <cell r="B538" t="str">
            <v>Citra Tanjung Lestari Indah, PT</v>
          </cell>
          <cell r="C538" t="str">
            <v>yonna.bhaskara@gmail.com</v>
          </cell>
          <cell r="D538" t="str">
            <v>Yona Bhaskara</v>
          </cell>
          <cell r="E538" t="str">
            <v>081348537404; 082153442830</v>
          </cell>
          <cell r="F538" t="str">
            <v>Jl. Jend. A. Yani RT. 003, Kel. Maburai, Kec. Murung Pudak</v>
          </cell>
          <cell r="G538" t="b">
            <v>0</v>
          </cell>
          <cell r="H538" t="b">
            <v>1</v>
          </cell>
          <cell r="I538" t="b">
            <v>0</v>
          </cell>
          <cell r="J538" t="b">
            <v>0</v>
          </cell>
          <cell r="K538" t="b">
            <v>0</v>
          </cell>
          <cell r="L538" t="b">
            <v>0</v>
          </cell>
          <cell r="M538" t="b">
            <v>0</v>
          </cell>
          <cell r="N538" t="b">
            <v>1</v>
          </cell>
          <cell r="O538" t="b">
            <v>0</v>
          </cell>
          <cell r="P538" t="b">
            <v>0</v>
          </cell>
          <cell r="Q538" t="b">
            <v>0</v>
          </cell>
          <cell r="R538" t="b">
            <v>0</v>
          </cell>
          <cell r="S538" t="b">
            <v>0</v>
          </cell>
          <cell r="T538" t="b">
            <v>0</v>
          </cell>
          <cell r="U538" t="str">
            <v>NA</v>
          </cell>
          <cell r="V538" t="str">
            <v>Register</v>
          </cell>
          <cell r="W538" t="str">
            <v/>
          </cell>
          <cell r="X538" t="str">
            <v>Service Jasa - Electrical</v>
          </cell>
        </row>
        <row r="539">
          <cell r="B539" t="str">
            <v>Ganesha Wirya Pratama, PT</v>
          </cell>
          <cell r="C539" t="str">
            <v>ganeshawiryapratama@gmail.com</v>
          </cell>
          <cell r="D539" t="str">
            <v>Ricky</v>
          </cell>
          <cell r="E539" t="str">
            <v>089524875351</v>
          </cell>
          <cell r="F539" t="str">
            <v>JL.H.Mawi No.5, Desa/Kelurahan Bojongsempu, Kec. Parung</v>
          </cell>
          <cell r="G539" t="b">
            <v>0</v>
          </cell>
          <cell r="H539" t="b">
            <v>0</v>
          </cell>
          <cell r="I539" t="b">
            <v>0</v>
          </cell>
          <cell r="J539" t="b">
            <v>0</v>
          </cell>
          <cell r="K539" t="b">
            <v>0</v>
          </cell>
          <cell r="L539" t="b">
            <v>0</v>
          </cell>
          <cell r="M539" t="b">
            <v>1</v>
          </cell>
          <cell r="N539" t="b">
            <v>0</v>
          </cell>
          <cell r="O539" t="b">
            <v>0</v>
          </cell>
          <cell r="P539" t="b">
            <v>0</v>
          </cell>
          <cell r="Q539" t="b">
            <v>0</v>
          </cell>
          <cell r="R539" t="b">
            <v>0</v>
          </cell>
          <cell r="S539" t="b">
            <v>1</v>
          </cell>
          <cell r="T539" t="b">
            <v>0</v>
          </cell>
          <cell r="U539" t="str">
            <v>A</v>
          </cell>
          <cell r="V539" t="str">
            <v>Register</v>
          </cell>
          <cell r="W539" t="str">
            <v/>
          </cell>
          <cell r="X539" t="str">
            <v>General Trading - Elektrical</v>
          </cell>
          <cell r="Y539" t="str">
            <v>Electrical</v>
          </cell>
        </row>
        <row r="540">
          <cell r="B540" t="str">
            <v>Hitachi Sakti Energy Indonesia, PT</v>
          </cell>
          <cell r="C540" t="str">
            <v>bagus.winarto@hitachienergy.com</v>
          </cell>
          <cell r="F540" t="str">
            <v>World Trade Center 3 lt 24, Jalan Jend. Sudirman 29 - 31</v>
          </cell>
          <cell r="G540" t="b">
            <v>0</v>
          </cell>
          <cell r="H540" t="b">
            <v>1</v>
          </cell>
          <cell r="I540" t="b">
            <v>0</v>
          </cell>
          <cell r="J540" t="b">
            <v>0</v>
          </cell>
          <cell r="K540" t="b">
            <v>0</v>
          </cell>
          <cell r="L540" t="b">
            <v>0</v>
          </cell>
          <cell r="M540" t="b">
            <v>0</v>
          </cell>
          <cell r="N540" t="b">
            <v>1</v>
          </cell>
          <cell r="O540" t="b">
            <v>0</v>
          </cell>
          <cell r="P540" t="b">
            <v>0</v>
          </cell>
          <cell r="Q540" t="b">
            <v>0</v>
          </cell>
          <cell r="R540" t="b">
            <v>0</v>
          </cell>
          <cell r="S540" t="b">
            <v>0</v>
          </cell>
          <cell r="T540" t="b">
            <v>0</v>
          </cell>
          <cell r="U540" t="str">
            <v>NA</v>
          </cell>
          <cell r="V540" t="str">
            <v>Register</v>
          </cell>
          <cell r="W540" t="str">
            <v/>
          </cell>
          <cell r="X540" t="str">
            <v>Service Jasa - Instrument</v>
          </cell>
        </row>
        <row r="541">
          <cell r="B541" t="str">
            <v>Wonders Anaqie, CV</v>
          </cell>
          <cell r="C541" t="str">
            <v/>
          </cell>
          <cell r="D541" t="str">
            <v/>
          </cell>
          <cell r="E541" t="str">
            <v/>
          </cell>
          <cell r="F541" t="str">
            <v>Jalan Sultan Adam Komp Mahligai No 60 Rt 12 Rw 2 Kelurahan Sungai Jingah Kecamatan Banjarmasin Utara.</v>
          </cell>
          <cell r="G541" t="str">
            <v>□</v>
          </cell>
          <cell r="H541" t="str">
            <v>□</v>
          </cell>
          <cell r="I541" t="str">
            <v>□</v>
          </cell>
          <cell r="J541" t="str">
            <v>□</v>
          </cell>
          <cell r="K541" t="str">
            <v>□</v>
          </cell>
          <cell r="L541" t="str">
            <v>□</v>
          </cell>
          <cell r="M541" t="str">
            <v>□</v>
          </cell>
          <cell r="N541" t="str">
            <v>□</v>
          </cell>
          <cell r="O541" t="str">
            <v>□</v>
          </cell>
          <cell r="P541" t="str">
            <v>□</v>
          </cell>
          <cell r="Q541" t="str">
            <v>□</v>
          </cell>
          <cell r="R541" t="str">
            <v>□</v>
          </cell>
          <cell r="S541" t="str">
            <v>□</v>
          </cell>
          <cell r="T541" t="str">
            <v>□</v>
          </cell>
          <cell r="U541" t="str">
            <v>NA</v>
          </cell>
          <cell r="V541" t="str">
            <v>No Register</v>
          </cell>
          <cell r="W541" t="str">
            <v/>
          </cell>
          <cell r="Y541" t="str">
            <v/>
          </cell>
        </row>
        <row r="542">
          <cell r="B542" t="str">
            <v>Phoenix Bumiputera, PT</v>
          </cell>
          <cell r="C542" t="str">
            <v>phoenix.bp@phoenixbumiputera.com; aditya.h@phoenixbumiputera.com; marketing1@phoenixbumiputera.com</v>
          </cell>
          <cell r="D542" t="str">
            <v>Aditya; Dedeng</v>
          </cell>
          <cell r="E542" t="str">
            <v>081293759515; 082113565661</v>
          </cell>
          <cell r="F542" t="str">
            <v>Sparindo Alfapersada Lt. 2, Jl. Kramat II No. 27, Kel. Kwitang, Kec. Senen</v>
          </cell>
          <cell r="G542" t="b">
            <v>0</v>
          </cell>
          <cell r="H542" t="b">
            <v>0</v>
          </cell>
          <cell r="I542" t="b">
            <v>0</v>
          </cell>
          <cell r="J542" t="b">
            <v>0</v>
          </cell>
          <cell r="K542" t="b">
            <v>0</v>
          </cell>
          <cell r="L542" t="b">
            <v>0</v>
          </cell>
          <cell r="M542" t="b">
            <v>1</v>
          </cell>
          <cell r="N542" t="b">
            <v>0</v>
          </cell>
          <cell r="O542" t="b">
            <v>0</v>
          </cell>
          <cell r="P542" t="b">
            <v>0</v>
          </cell>
          <cell r="Q542" t="b">
            <v>0</v>
          </cell>
          <cell r="R542" t="b">
            <v>0</v>
          </cell>
          <cell r="S542" t="b">
            <v>1</v>
          </cell>
          <cell r="T542" t="b">
            <v>0</v>
          </cell>
          <cell r="U542" t="str">
            <v>A</v>
          </cell>
          <cell r="V542" t="str">
            <v>Register</v>
          </cell>
          <cell r="W542" t="str">
            <v>GT - IC</v>
          </cell>
          <cell r="X542" t="str">
            <v>General Trading - Elektrical
General Trading - Instrument</v>
          </cell>
          <cell r="Y542" t="str">
            <v>Gardner Denver</v>
          </cell>
        </row>
        <row r="543">
          <cell r="B543" t="str">
            <v>Jaya Induksi Elektrik, PT</v>
          </cell>
          <cell r="C543" t="str">
            <v>jayaindel42@gmail.com; adminjaya@ptjie.co.id</v>
          </cell>
          <cell r="D543" t="str">
            <v>Nugroho</v>
          </cell>
          <cell r="E543" t="str">
            <v>081350139575</v>
          </cell>
          <cell r="F543" t="str">
            <v>Dsn Sukajaya I No.43 RT.011/ RW.006 DS Pinayungan, Kel. Pinayungan, Kec. Teluk Jambe Timur</v>
          </cell>
          <cell r="G543" t="b">
            <v>0</v>
          </cell>
          <cell r="H543" t="b">
            <v>1</v>
          </cell>
          <cell r="I543" t="b">
            <v>1</v>
          </cell>
          <cell r="J543" t="b">
            <v>0</v>
          </cell>
          <cell r="K543" t="b">
            <v>0</v>
          </cell>
          <cell r="L543" t="b">
            <v>0</v>
          </cell>
          <cell r="M543" t="b">
            <v>0</v>
          </cell>
          <cell r="N543" t="b">
            <v>0</v>
          </cell>
          <cell r="O543" t="b">
            <v>0</v>
          </cell>
          <cell r="P543" t="b">
            <v>0</v>
          </cell>
          <cell r="Q543" t="b">
            <v>0</v>
          </cell>
          <cell r="R543" t="b">
            <v>0</v>
          </cell>
          <cell r="S543" t="b">
            <v>0</v>
          </cell>
          <cell r="T543" t="b">
            <v>0</v>
          </cell>
          <cell r="U543" t="str">
            <v>A</v>
          </cell>
          <cell r="V543" t="str">
            <v>Register</v>
          </cell>
          <cell r="W543" t="str">
            <v/>
          </cell>
          <cell r="X543" t="str">
            <v>Service Jasa - Electrical</v>
          </cell>
          <cell r="Y543" t="str">
            <v/>
          </cell>
        </row>
        <row r="544">
          <cell r="B544" t="str">
            <v>Malakoff Technicals Solutions Sdn Bhd</v>
          </cell>
          <cell r="C544" t="str">
            <v/>
          </cell>
          <cell r="D544" t="str">
            <v/>
          </cell>
          <cell r="E544" t="str">
            <v/>
          </cell>
          <cell r="F544" t="str">
            <v>Level 11, Block 4, Plaza Sentral, Jalan Stesen Sentral 5</v>
          </cell>
          <cell r="G544" t="str">
            <v>□</v>
          </cell>
          <cell r="H544" t="str">
            <v>□</v>
          </cell>
          <cell r="I544" t="str">
            <v>□</v>
          </cell>
          <cell r="J544" t="str">
            <v>□</v>
          </cell>
          <cell r="K544" t="str">
            <v>□</v>
          </cell>
          <cell r="L544" t="str">
            <v>□</v>
          </cell>
          <cell r="M544" t="str">
            <v>□</v>
          </cell>
          <cell r="N544" t="str">
            <v>□</v>
          </cell>
          <cell r="O544" t="str">
            <v>□</v>
          </cell>
          <cell r="P544" t="str">
            <v>□</v>
          </cell>
          <cell r="Q544" t="str">
            <v>□</v>
          </cell>
          <cell r="R544" t="str">
            <v>□</v>
          </cell>
          <cell r="S544" t="str">
            <v>□</v>
          </cell>
          <cell r="T544" t="str">
            <v>□</v>
          </cell>
          <cell r="U544" t="str">
            <v>NA</v>
          </cell>
          <cell r="V544" t="str">
            <v>No Register</v>
          </cell>
          <cell r="W544" t="str">
            <v/>
          </cell>
          <cell r="Y544" t="str">
            <v/>
          </cell>
        </row>
        <row r="545">
          <cell r="B545" t="str">
            <v>Sedgwick Adjuster Indonesia, PT</v>
          </cell>
          <cell r="C545" t="str">
            <v/>
          </cell>
          <cell r="D545" t="str">
            <v/>
          </cell>
          <cell r="E545" t="str">
            <v/>
          </cell>
          <cell r="F545" t="str">
            <v>Park View Plaza Lt. 3, Jl. Taman Kemang No. 27, Kel. Bangka, Kec. Mampang Prapatan,</v>
          </cell>
          <cell r="G545" t="str">
            <v>□</v>
          </cell>
          <cell r="H545" t="str">
            <v>□</v>
          </cell>
          <cell r="I545" t="str">
            <v>□</v>
          </cell>
          <cell r="J545" t="str">
            <v>□</v>
          </cell>
          <cell r="K545" t="str">
            <v>□</v>
          </cell>
          <cell r="L545" t="str">
            <v>□</v>
          </cell>
          <cell r="M545" t="str">
            <v>□</v>
          </cell>
          <cell r="N545" t="str">
            <v>□</v>
          </cell>
          <cell r="O545" t="str">
            <v>□</v>
          </cell>
          <cell r="P545" t="str">
            <v>□</v>
          </cell>
          <cell r="Q545" t="str">
            <v>□</v>
          </cell>
          <cell r="R545" t="str">
            <v>□</v>
          </cell>
          <cell r="S545" t="str">
            <v>□</v>
          </cell>
          <cell r="T545" t="str">
            <v>□</v>
          </cell>
          <cell r="U545" t="str">
            <v>NA</v>
          </cell>
          <cell r="V545" t="str">
            <v>No Register</v>
          </cell>
          <cell r="W545" t="str">
            <v/>
          </cell>
          <cell r="Y545" t="str">
            <v/>
          </cell>
        </row>
        <row r="546">
          <cell r="B546" t="str">
            <v>Gamamitra Setia, PT</v>
          </cell>
          <cell r="C546" t="str">
            <v>gamamitra@cbn.net.id</v>
          </cell>
          <cell r="D546" t="str">
            <v>Simon</v>
          </cell>
          <cell r="E546" t="str">
            <v>08164849689</v>
          </cell>
          <cell r="F546" t="str">
            <v>Komplek Ruko Robinson, Jl. Bandengan Selatan Blokk 82 CB. Desa/Kelurahan Pejagalan, Kec. Penjaringan</v>
          </cell>
          <cell r="G546" t="b">
            <v>0</v>
          </cell>
          <cell r="H546" t="b">
            <v>0</v>
          </cell>
          <cell r="I546" t="b">
            <v>0</v>
          </cell>
          <cell r="J546" t="b">
            <v>0</v>
          </cell>
          <cell r="K546" t="b">
            <v>0</v>
          </cell>
          <cell r="L546" t="b">
            <v>0</v>
          </cell>
          <cell r="M546" t="b">
            <v>1</v>
          </cell>
          <cell r="N546" t="b">
            <v>0</v>
          </cell>
          <cell r="O546" t="b">
            <v>0</v>
          </cell>
          <cell r="P546" t="b">
            <v>0</v>
          </cell>
          <cell r="Q546" t="b">
            <v>0</v>
          </cell>
          <cell r="R546" t="b">
            <v>0</v>
          </cell>
          <cell r="S546" t="b">
            <v>1</v>
          </cell>
          <cell r="T546" t="b">
            <v>0</v>
          </cell>
          <cell r="U546" t="str">
            <v>NA</v>
          </cell>
          <cell r="V546" t="str">
            <v>Register</v>
          </cell>
          <cell r="W546" t="str">
            <v>GT - IC</v>
          </cell>
          <cell r="X546" t="str">
            <v>General Trading - Instrument</v>
          </cell>
          <cell r="Y546" t="str">
            <v>D Burket</v>
          </cell>
        </row>
        <row r="547">
          <cell r="B547" t="str">
            <v>Kerta Gaya Pusaka, PT</v>
          </cell>
          <cell r="C547" t="str">
            <v>banuwildan@yahoo.com</v>
          </cell>
          <cell r="D547" t="str">
            <v>Banu</v>
          </cell>
          <cell r="E547" t="str">
            <v>08125650022</v>
          </cell>
          <cell r="F547" t="str">
            <v>JL. MT Haryono Komp. Ruko Sentra Eropa Blok AA2A NO. 03, Balikpapan Baru</v>
          </cell>
          <cell r="G547" t="str">
            <v>□</v>
          </cell>
          <cell r="H547" t="str">
            <v>□</v>
          </cell>
          <cell r="I547" t="str">
            <v>□</v>
          </cell>
          <cell r="J547" t="str">
            <v>□</v>
          </cell>
          <cell r="K547" t="str">
            <v>□</v>
          </cell>
          <cell r="L547" t="str">
            <v>□</v>
          </cell>
          <cell r="M547" t="str">
            <v>□</v>
          </cell>
          <cell r="N547" t="str">
            <v>□</v>
          </cell>
          <cell r="O547" t="str">
            <v>□</v>
          </cell>
          <cell r="P547" t="str">
            <v>□</v>
          </cell>
          <cell r="Q547" t="str">
            <v>□</v>
          </cell>
          <cell r="R547" t="str">
            <v>□</v>
          </cell>
          <cell r="S547" t="str">
            <v>□</v>
          </cell>
          <cell r="T547" t="str">
            <v>□</v>
          </cell>
          <cell r="U547" t="str">
            <v>NA</v>
          </cell>
          <cell r="V547" t="str">
            <v>No Register</v>
          </cell>
          <cell r="W547" t="str">
            <v>LG - TR</v>
          </cell>
          <cell r="X547" t="str">
            <v>Logistics - Trucking</v>
          </cell>
          <cell r="Y547" t="str">
            <v/>
          </cell>
        </row>
        <row r="548">
          <cell r="B548" t="str">
            <v>Kalibrasi Instrumen Bersama, PT</v>
          </cell>
          <cell r="C548" t="str">
            <v>kalibersama@yahoo.com</v>
          </cell>
          <cell r="E548" t="str">
            <v>08129904528</v>
          </cell>
          <cell r="F548" t="str">
            <v>Jalan Utama Komp. Puri Bintaro Hijau Blok B.6 No.15, Rt 011 Rw 012, Kel. Pondok Aren, Kec. Pondok Aren</v>
          </cell>
          <cell r="G548" t="str">
            <v>□</v>
          </cell>
          <cell r="H548" t="str">
            <v>□</v>
          </cell>
          <cell r="I548" t="str">
            <v>□</v>
          </cell>
          <cell r="J548" t="str">
            <v>□</v>
          </cell>
          <cell r="K548" t="str">
            <v>□</v>
          </cell>
          <cell r="L548" t="str">
            <v>□</v>
          </cell>
          <cell r="M548" t="str">
            <v>□</v>
          </cell>
          <cell r="N548" t="str">
            <v>□</v>
          </cell>
          <cell r="O548" t="str">
            <v>□</v>
          </cell>
          <cell r="P548" t="str">
            <v>□</v>
          </cell>
          <cell r="Q548" t="str">
            <v>□</v>
          </cell>
          <cell r="R548" t="str">
            <v>□</v>
          </cell>
          <cell r="S548" t="str">
            <v>□</v>
          </cell>
          <cell r="T548" t="str">
            <v>□</v>
          </cell>
          <cell r="U548" t="str">
            <v>NA</v>
          </cell>
          <cell r="V548" t="str">
            <v>No Register</v>
          </cell>
          <cell r="W548" t="str">
            <v/>
          </cell>
          <cell r="Y548" t="str">
            <v/>
          </cell>
        </row>
        <row r="549">
          <cell r="B549" t="str">
            <v>Andalan Nusantara Teknologi, PT</v>
          </cell>
          <cell r="C549" t="str">
            <v>Vina@ANT.co.id</v>
          </cell>
          <cell r="D549" t="str">
            <v>Vina</v>
          </cell>
          <cell r="E549" t="str">
            <v>0878 73171075</v>
          </cell>
          <cell r="F549" t="str">
            <v>GD. Intiland Tower Lt. 11, Jl. Jend Sudirman Kav.32, Kel. Karet Tengsin, Kec. Tanah Abang</v>
          </cell>
          <cell r="G549" t="b">
            <v>0</v>
          </cell>
          <cell r="H549" t="b">
            <v>0</v>
          </cell>
          <cell r="I549" t="b">
            <v>0</v>
          </cell>
          <cell r="J549" t="b">
            <v>0</v>
          </cell>
          <cell r="K549" t="b">
            <v>0</v>
          </cell>
          <cell r="L549" t="b">
            <v>0</v>
          </cell>
          <cell r="M549" t="b">
            <v>0</v>
          </cell>
          <cell r="N549" t="b">
            <v>0</v>
          </cell>
          <cell r="O549" t="b">
            <v>1</v>
          </cell>
          <cell r="P549" t="b">
            <v>0</v>
          </cell>
          <cell r="Q549" t="b">
            <v>0</v>
          </cell>
          <cell r="R549" t="b">
            <v>0</v>
          </cell>
          <cell r="S549" t="b">
            <v>0</v>
          </cell>
          <cell r="T549" t="b">
            <v>0</v>
          </cell>
          <cell r="U549" t="str">
            <v>NA</v>
          </cell>
          <cell r="V549" t="str">
            <v>Register</v>
          </cell>
          <cell r="W549" t="str">
            <v>IT - SW</v>
          </cell>
          <cell r="X549" t="str">
            <v>IT &amp; System - Software</v>
          </cell>
          <cell r="Y549" t="str">
            <v>Autocad
Adobe</v>
          </cell>
        </row>
        <row r="550">
          <cell r="B550" t="str">
            <v>Afghan Jaya Abadi, PT</v>
          </cell>
          <cell r="C550" t="str">
            <v>renny.puspita78@gmail.com</v>
          </cell>
          <cell r="D550" t="str">
            <v>Renny</v>
          </cell>
          <cell r="E550" t="str">
            <v>085247790000</v>
          </cell>
          <cell r="F550" t="str">
            <v>Komplek Ruko Balikpapan Baru AB 4 No. 022 RT 015 RW.000 Damai Baru Balikpapan Selatan</v>
          </cell>
          <cell r="G550" t="b">
            <v>0</v>
          </cell>
          <cell r="H550" t="b">
            <v>0</v>
          </cell>
          <cell r="I550" t="b">
            <v>0</v>
          </cell>
          <cell r="J550" t="b">
            <v>0</v>
          </cell>
          <cell r="K550" t="b">
            <v>0</v>
          </cell>
          <cell r="L550" t="b">
            <v>0</v>
          </cell>
          <cell r="M550" t="b">
            <v>1</v>
          </cell>
          <cell r="N550" t="b">
            <v>0</v>
          </cell>
          <cell r="O550" t="b">
            <v>0</v>
          </cell>
          <cell r="P550" t="b">
            <v>0</v>
          </cell>
          <cell r="Q550" t="b">
            <v>0</v>
          </cell>
          <cell r="R550" t="b">
            <v>0</v>
          </cell>
          <cell r="S550" t="b">
            <v>1</v>
          </cell>
          <cell r="T550" t="b">
            <v>0</v>
          </cell>
          <cell r="U550" t="str">
            <v>A</v>
          </cell>
          <cell r="V550" t="str">
            <v>Register</v>
          </cell>
          <cell r="W550" t="str">
            <v>GT - ME</v>
          </cell>
          <cell r="X550" t="str">
            <v>General Trading - Mechanical
General Trading - Elektrical</v>
          </cell>
          <cell r="Y550" t="str">
            <v>General Trading</v>
          </cell>
        </row>
        <row r="551">
          <cell r="B551" t="str">
            <v>Padi Hijau Buana, PT</v>
          </cell>
          <cell r="C551" t="str">
            <v>spt.mkt.phb@gmail.com; s.paulina.phb@gmail.com; nt_phb@yahoo.com</v>
          </cell>
          <cell r="D551" t="str">
            <v>Fitri</v>
          </cell>
          <cell r="F551" t="str">
            <v>Thamrin Square Blok C-6, JL. MH Thamrin Lippo Cikarang, Cikarang Selatan</v>
          </cell>
          <cell r="G551" t="b">
            <v>0</v>
          </cell>
          <cell r="H551" t="b">
            <v>0</v>
          </cell>
          <cell r="I551" t="b">
            <v>0</v>
          </cell>
          <cell r="J551" t="b">
            <v>1</v>
          </cell>
          <cell r="K551" t="b">
            <v>0</v>
          </cell>
          <cell r="L551" t="b">
            <v>0</v>
          </cell>
          <cell r="M551" t="b">
            <v>1</v>
          </cell>
          <cell r="N551" t="b">
            <v>0</v>
          </cell>
          <cell r="O551" t="b">
            <v>0</v>
          </cell>
          <cell r="P551" t="b">
            <v>0</v>
          </cell>
          <cell r="Q551" t="b">
            <v>0</v>
          </cell>
          <cell r="R551" t="b">
            <v>0</v>
          </cell>
          <cell r="S551" t="b">
            <v>1</v>
          </cell>
          <cell r="T551" t="b">
            <v>0</v>
          </cell>
          <cell r="U551" t="str">
            <v>NA</v>
          </cell>
          <cell r="V551" t="str">
            <v>Register</v>
          </cell>
          <cell r="W551" t="str">
            <v>GT - CHE</v>
          </cell>
          <cell r="X551" t="str">
            <v>General Trading - Chemical</v>
          </cell>
          <cell r="Y551" t="str">
            <v/>
          </cell>
        </row>
        <row r="552">
          <cell r="B552" t="str">
            <v>Arjuna Mas Abadi, PT</v>
          </cell>
          <cell r="C552" t="str">
            <v>fernandabewatun@gmail.com; fahmi@sinergi-pranata.com; fiona@sinergi-pranata.com; fionaa@cbn.net.id; tita.ersalina@arjunawijaya.com</v>
          </cell>
          <cell r="D552" t="str">
            <v>Maria; Fahmi</v>
          </cell>
          <cell r="E552" t="str">
            <v>082122317789</v>
          </cell>
          <cell r="F552" t="str">
            <v>(KSO PT. Sinergi Indo Pranata - PT. Arjuna Mas Abadi) Jl. Dempo Lingkaran No.306F RT.011 / RW.002 Kel.15 Ilir Ilir Timur Satu</v>
          </cell>
          <cell r="G552" t="str">
            <v>□</v>
          </cell>
          <cell r="H552" t="str">
            <v>□</v>
          </cell>
          <cell r="I552" t="str">
            <v>□</v>
          </cell>
          <cell r="J552" t="str">
            <v>□</v>
          </cell>
          <cell r="K552" t="str">
            <v>□</v>
          </cell>
          <cell r="L552" t="str">
            <v>□</v>
          </cell>
          <cell r="M552" t="str">
            <v>□</v>
          </cell>
          <cell r="N552" t="str">
            <v>□</v>
          </cell>
          <cell r="O552" t="str">
            <v>□</v>
          </cell>
          <cell r="P552" t="str">
            <v>□</v>
          </cell>
          <cell r="Q552" t="str">
            <v>□</v>
          </cell>
          <cell r="R552" t="str">
            <v>□</v>
          </cell>
          <cell r="S552" t="str">
            <v>□</v>
          </cell>
          <cell r="T552" t="str">
            <v>□</v>
          </cell>
          <cell r="U552" t="str">
            <v>NA</v>
          </cell>
          <cell r="V552" t="str">
            <v>Register</v>
          </cell>
          <cell r="W552" t="str">
            <v/>
          </cell>
          <cell r="X552" t="str">
            <v>Service Jasa - Maintenance</v>
          </cell>
          <cell r="Y552" t="str">
            <v>Contractor, KSO</v>
          </cell>
        </row>
        <row r="553">
          <cell r="B553" t="str">
            <v>HOFZ Indonesia, PT</v>
          </cell>
          <cell r="C553" t="str">
            <v/>
          </cell>
          <cell r="D553" t="str">
            <v/>
          </cell>
          <cell r="E553" t="str">
            <v/>
          </cell>
          <cell r="F553" t="str">
            <v>Jl. Cideng Barat No. 23B, Desa/Kelurahan Duri Pulo, Kec. Gambir</v>
          </cell>
          <cell r="G553" t="str">
            <v>□</v>
          </cell>
          <cell r="H553" t="str">
            <v>□</v>
          </cell>
          <cell r="I553" t="str">
            <v>□</v>
          </cell>
          <cell r="J553" t="str">
            <v>□</v>
          </cell>
          <cell r="K553" t="str">
            <v>□</v>
          </cell>
          <cell r="L553" t="str">
            <v>□</v>
          </cell>
          <cell r="M553" t="str">
            <v>□</v>
          </cell>
          <cell r="N553" t="str">
            <v>□</v>
          </cell>
          <cell r="O553" t="str">
            <v>□</v>
          </cell>
          <cell r="P553" t="str">
            <v>□</v>
          </cell>
          <cell r="Q553" t="str">
            <v>□</v>
          </cell>
          <cell r="R553" t="str">
            <v>□</v>
          </cell>
          <cell r="S553" t="str">
            <v>□</v>
          </cell>
          <cell r="T553" t="str">
            <v>□</v>
          </cell>
          <cell r="U553" t="str">
            <v>NA</v>
          </cell>
          <cell r="V553" t="str">
            <v>No Register</v>
          </cell>
          <cell r="W553" t="str">
            <v/>
          </cell>
          <cell r="Y553" t="str">
            <v/>
          </cell>
        </row>
        <row r="554">
          <cell r="B554" t="str">
            <v>Surya Sakti Sukses, PT</v>
          </cell>
          <cell r="C554" t="str">
            <v>rania@suryasaktisukses.co.id; pt.suryasakti76@gmail.com</v>
          </cell>
          <cell r="D554" t="str">
            <v>Ayu</v>
          </cell>
          <cell r="F554" t="str">
            <v>Ruko The Excelis No.18 Lippo Karawaci</v>
          </cell>
          <cell r="G554" t="str">
            <v>□</v>
          </cell>
          <cell r="H554" t="str">
            <v>□</v>
          </cell>
          <cell r="I554" t="str">
            <v>□</v>
          </cell>
          <cell r="J554" t="str">
            <v>□</v>
          </cell>
          <cell r="K554" t="str">
            <v>□</v>
          </cell>
          <cell r="L554" t="str">
            <v>□</v>
          </cell>
          <cell r="M554" t="str">
            <v>□</v>
          </cell>
          <cell r="N554" t="str">
            <v>□</v>
          </cell>
          <cell r="O554" t="str">
            <v>□</v>
          </cell>
          <cell r="P554" t="str">
            <v>□</v>
          </cell>
          <cell r="Q554" t="str">
            <v>□</v>
          </cell>
          <cell r="R554" t="str">
            <v>□</v>
          </cell>
          <cell r="S554" t="str">
            <v>□</v>
          </cell>
          <cell r="T554" t="str">
            <v>□</v>
          </cell>
          <cell r="U554" t="str">
            <v>NA</v>
          </cell>
          <cell r="V554" t="str">
            <v>No Register</v>
          </cell>
          <cell r="W554" t="str">
            <v/>
          </cell>
          <cell r="Y554" t="str">
            <v/>
          </cell>
        </row>
        <row r="555">
          <cell r="B555" t="str">
            <v>Tirta Bhuvana Abadi, PT</v>
          </cell>
          <cell r="C555" t="str">
            <v>pttirtaabadi@gmail.com; info@tirtabhuvanapt.com</v>
          </cell>
          <cell r="D555" t="str">
            <v>yana</v>
          </cell>
          <cell r="E555" t="str">
            <v>081297735638</v>
          </cell>
          <cell r="F555" t="str">
            <v>Komplek Taman Meruya Ilir Blok A No. 8, Desa/Kelurahan Meruya Utara, Kec. Kembangan</v>
          </cell>
          <cell r="G555" t="str">
            <v>□</v>
          </cell>
          <cell r="H555" t="str">
            <v>□</v>
          </cell>
          <cell r="I555" t="str">
            <v>□</v>
          </cell>
          <cell r="J555" t="str">
            <v>□</v>
          </cell>
          <cell r="K555" t="str">
            <v>□</v>
          </cell>
          <cell r="L555" t="str">
            <v>□</v>
          </cell>
          <cell r="M555" t="str">
            <v>□</v>
          </cell>
          <cell r="N555" t="str">
            <v>□</v>
          </cell>
          <cell r="O555" t="str">
            <v>□</v>
          </cell>
          <cell r="P555" t="str">
            <v>□</v>
          </cell>
          <cell r="Q555" t="str">
            <v>□</v>
          </cell>
          <cell r="R555" t="str">
            <v>□</v>
          </cell>
          <cell r="S555" t="str">
            <v>□</v>
          </cell>
          <cell r="T555" t="str">
            <v>□</v>
          </cell>
          <cell r="U555" t="str">
            <v>NA</v>
          </cell>
          <cell r="V555" t="str">
            <v>No Register</v>
          </cell>
          <cell r="W555" t="str">
            <v/>
          </cell>
          <cell r="Y555" t="str">
            <v/>
          </cell>
        </row>
        <row r="556">
          <cell r="B556" t="str">
            <v>Upperwest Nusa Optima, PT</v>
          </cell>
          <cell r="C556" t="str">
            <v>upperwestcreative@gmail.com</v>
          </cell>
          <cell r="D556" t="str">
            <v>Wahyudi</v>
          </cell>
          <cell r="E556" t="str">
            <v>08161800919</v>
          </cell>
          <cell r="F556" t="str">
            <v>Rukan Grand Aries Niaga Blok G1/2D, Jl. Taman Aries,, Desa/Kelurahan Meruya Utara, Kec. Kembangan,</v>
          </cell>
          <cell r="G556" t="str">
            <v>□</v>
          </cell>
          <cell r="H556" t="str">
            <v>□</v>
          </cell>
          <cell r="I556" t="str">
            <v>□</v>
          </cell>
          <cell r="J556" t="str">
            <v>□</v>
          </cell>
          <cell r="K556" t="str">
            <v>□</v>
          </cell>
          <cell r="L556" t="str">
            <v>□</v>
          </cell>
          <cell r="M556" t="str">
            <v>□</v>
          </cell>
          <cell r="N556" t="str">
            <v>□</v>
          </cell>
          <cell r="O556" t="str">
            <v>□</v>
          </cell>
          <cell r="P556" t="str">
            <v>□</v>
          </cell>
          <cell r="Q556" t="str">
            <v>□</v>
          </cell>
          <cell r="R556" t="str">
            <v>□</v>
          </cell>
          <cell r="S556" t="str">
            <v>□</v>
          </cell>
          <cell r="T556" t="str">
            <v>□</v>
          </cell>
          <cell r="U556" t="str">
            <v>NA</v>
          </cell>
          <cell r="V556" t="str">
            <v>No Register</v>
          </cell>
          <cell r="W556" t="str">
            <v/>
          </cell>
          <cell r="Y556" t="str">
            <v/>
          </cell>
        </row>
        <row r="557">
          <cell r="B557" t="str">
            <v>Sakura Elevator Indonesia Corp, PT</v>
          </cell>
          <cell r="C557" t="str">
            <v>indra.d.w.idw@gmail.com; sales1@sakuraelevator.co.id</v>
          </cell>
          <cell r="D557" t="str">
            <v>Indra; Louis</v>
          </cell>
          <cell r="E557" t="str">
            <v>081995081196</v>
          </cell>
          <cell r="F557" t="str">
            <v>Ruko Pasar Modern Paramount Blok C No. 1 Serpong, Kel. Curug Sangereng, Kec. Kelapa Dua</v>
          </cell>
          <cell r="G557" t="b">
            <v>0</v>
          </cell>
          <cell r="H557" t="b">
            <v>0</v>
          </cell>
          <cell r="I557" t="b">
            <v>0</v>
          </cell>
          <cell r="J557" t="b">
            <v>0</v>
          </cell>
          <cell r="K557" t="b">
            <v>0</v>
          </cell>
          <cell r="L557" t="b">
            <v>0</v>
          </cell>
          <cell r="M557" t="b">
            <v>0</v>
          </cell>
          <cell r="N557" t="b">
            <v>0</v>
          </cell>
          <cell r="O557" t="b">
            <v>0</v>
          </cell>
          <cell r="P557" t="b">
            <v>0</v>
          </cell>
          <cell r="Q557" t="b">
            <v>0</v>
          </cell>
          <cell r="R557" t="b">
            <v>0</v>
          </cell>
          <cell r="S557" t="b">
            <v>0</v>
          </cell>
          <cell r="T557" t="b">
            <v>0</v>
          </cell>
          <cell r="U557" t="str">
            <v>NA</v>
          </cell>
          <cell r="V557" t="str">
            <v>Register</v>
          </cell>
          <cell r="W557" t="str">
            <v>GT - EL</v>
          </cell>
          <cell r="X557" t="str">
            <v>General Trading - Electrical</v>
          </cell>
          <cell r="Y557" t="str">
            <v>AD Lift Sakura</v>
          </cell>
        </row>
        <row r="558">
          <cell r="B558" t="str">
            <v>Gunung Moria Mega Prima, PT</v>
          </cell>
          <cell r="C558" t="str">
            <v>admin@gunungmoria.com; katrin_jata@yahoo.co.id; katrin_jata@yahoo.co.id</v>
          </cell>
          <cell r="D558" t="str">
            <v>Katrin / Achmad Julyandri</v>
          </cell>
          <cell r="E558" t="str">
            <v>08170086857; 089505371379</v>
          </cell>
          <cell r="F558" t="str">
            <v>JL. Kembang Kencana Blok A-2 No. 3 A-B, Kel. Meruya Utara, Kec. Kembangan</v>
          </cell>
          <cell r="G558" t="b">
            <v>0</v>
          </cell>
          <cell r="H558" t="b">
            <v>0</v>
          </cell>
          <cell r="I558" t="b">
            <v>0</v>
          </cell>
          <cell r="J558" t="b">
            <v>0</v>
          </cell>
          <cell r="K558" t="b">
            <v>0</v>
          </cell>
          <cell r="L558" t="b">
            <v>0</v>
          </cell>
          <cell r="M558" t="b">
            <v>0</v>
          </cell>
          <cell r="N558" t="b">
            <v>0</v>
          </cell>
          <cell r="O558" t="b">
            <v>0</v>
          </cell>
          <cell r="P558" t="b">
            <v>0</v>
          </cell>
          <cell r="Q558" t="b">
            <v>0</v>
          </cell>
          <cell r="R558" t="b">
            <v>0</v>
          </cell>
          <cell r="S558" t="b">
            <v>0</v>
          </cell>
          <cell r="T558" t="b">
            <v>0</v>
          </cell>
          <cell r="U558" t="str">
            <v>A</v>
          </cell>
          <cell r="V558" t="str">
            <v>No Register</v>
          </cell>
          <cell r="W558" t="str">
            <v/>
          </cell>
          <cell r="Y558" t="str">
            <v/>
          </cell>
        </row>
        <row r="559">
          <cell r="B559" t="str">
            <v>Porti Multi Indonesia, PT</v>
          </cell>
          <cell r="C559" t="str">
            <v>hotsaudara@porti.co.id</v>
          </cell>
          <cell r="D559" t="str">
            <v>Hotsaudara</v>
          </cell>
          <cell r="E559" t="str">
            <v xml:space="preserve">08121085408 </v>
          </cell>
          <cell r="F559" t="str">
            <v>Tanjung Barat Indah, Blok F-11. Jl. TB Simatupang</v>
          </cell>
          <cell r="G559" t="str">
            <v>□</v>
          </cell>
          <cell r="H559" t="str">
            <v>□</v>
          </cell>
          <cell r="I559" t="str">
            <v>□</v>
          </cell>
          <cell r="J559" t="str">
            <v>□</v>
          </cell>
          <cell r="K559" t="str">
            <v>□</v>
          </cell>
          <cell r="L559" t="str">
            <v>□</v>
          </cell>
          <cell r="M559" t="str">
            <v>□</v>
          </cell>
          <cell r="N559" t="str">
            <v>□</v>
          </cell>
          <cell r="O559" t="str">
            <v>□</v>
          </cell>
          <cell r="P559" t="str">
            <v>□</v>
          </cell>
          <cell r="Q559" t="str">
            <v>□</v>
          </cell>
          <cell r="R559" t="str">
            <v>□</v>
          </cell>
          <cell r="S559" t="str">
            <v>□</v>
          </cell>
          <cell r="T559" t="str">
            <v>□</v>
          </cell>
          <cell r="U559" t="str">
            <v>NA</v>
          </cell>
          <cell r="V559" t="str">
            <v>No Register</v>
          </cell>
          <cell r="W559" t="str">
            <v/>
          </cell>
          <cell r="Y559" t="str">
            <v/>
          </cell>
        </row>
        <row r="560">
          <cell r="B560" t="str">
            <v>Sabda Duta Paramitha, PT</v>
          </cell>
          <cell r="C560" t="str">
            <v>sabda_duta@gmail.com</v>
          </cell>
          <cell r="F560" t="str">
            <v>JL.Gayung Kebonsari XI/4, Kel. Ketintang, Kec. Gayungan</v>
          </cell>
          <cell r="G560" t="b">
            <v>0</v>
          </cell>
          <cell r="H560" t="b">
            <v>0</v>
          </cell>
          <cell r="I560" t="b">
            <v>0</v>
          </cell>
          <cell r="J560" t="b">
            <v>0</v>
          </cell>
          <cell r="K560" t="b">
            <v>0</v>
          </cell>
          <cell r="L560" t="b">
            <v>0</v>
          </cell>
          <cell r="M560" t="b">
            <v>0</v>
          </cell>
          <cell r="N560" t="b">
            <v>0</v>
          </cell>
          <cell r="O560" t="b">
            <v>0</v>
          </cell>
          <cell r="P560" t="b">
            <v>0</v>
          </cell>
          <cell r="Q560" t="b">
            <v>0</v>
          </cell>
          <cell r="R560" t="b">
            <v>0</v>
          </cell>
          <cell r="S560" t="b">
            <v>1</v>
          </cell>
          <cell r="T560" t="b">
            <v>0</v>
          </cell>
          <cell r="U560" t="str">
            <v>NA</v>
          </cell>
          <cell r="V560" t="str">
            <v>Register</v>
          </cell>
          <cell r="W560" t="str">
            <v>GT</v>
          </cell>
          <cell r="X560" t="str">
            <v>General Trading</v>
          </cell>
        </row>
        <row r="561">
          <cell r="B561" t="str">
            <v>Magna Sardo, PT</v>
          </cell>
          <cell r="C561" t="str">
            <v>dedi.rahman@sardo.co.id</v>
          </cell>
          <cell r="D561" t="str">
            <v>Dedi</v>
          </cell>
          <cell r="E561" t="str">
            <v>081286070148</v>
          </cell>
          <cell r="F561" t="str">
            <v>JL. Matraman Raya No.17, Kel. Palmeriam, Kec. Matraman</v>
          </cell>
          <cell r="G561" t="b">
            <v>0</v>
          </cell>
          <cell r="H561" t="b">
            <v>0</v>
          </cell>
          <cell r="I561" t="b">
            <v>0</v>
          </cell>
          <cell r="J561" t="b">
            <v>0</v>
          </cell>
          <cell r="K561" t="b">
            <v>0</v>
          </cell>
          <cell r="L561" t="b">
            <v>0</v>
          </cell>
          <cell r="M561" t="b">
            <v>0</v>
          </cell>
          <cell r="N561" t="b">
            <v>0</v>
          </cell>
          <cell r="O561" t="b">
            <v>0</v>
          </cell>
          <cell r="P561" t="b">
            <v>0</v>
          </cell>
          <cell r="Q561" t="b">
            <v>0</v>
          </cell>
          <cell r="R561" t="b">
            <v>0</v>
          </cell>
          <cell r="S561" t="b">
            <v>0</v>
          </cell>
          <cell r="T561" t="b">
            <v>1</v>
          </cell>
          <cell r="U561" t="str">
            <v>A</v>
          </cell>
          <cell r="V561" t="str">
            <v>Register</v>
          </cell>
          <cell r="W561" t="str">
            <v>PR</v>
          </cell>
          <cell r="X561" t="str">
            <v>Professional Services</v>
          </cell>
          <cell r="Y561" t="str">
            <v>Lab Service</v>
          </cell>
        </row>
        <row r="562">
          <cell r="B562" t="str">
            <v>Kalimantan Tehnik Mandiri, PT</v>
          </cell>
          <cell r="C562" t="str">
            <v>kaltekmandiri@yahoo.com</v>
          </cell>
          <cell r="D562" t="str">
            <v>Agus</v>
          </cell>
          <cell r="E562" t="str">
            <v>08115001141</v>
          </cell>
          <cell r="F562" t="str">
            <v>Jl. A Yani RT.001 Maburai, Kec. Murung Pudak</v>
          </cell>
          <cell r="G562" t="b">
            <v>0</v>
          </cell>
          <cell r="H562" t="b">
            <v>0</v>
          </cell>
          <cell r="I562" t="b">
            <v>0</v>
          </cell>
          <cell r="J562" t="b">
            <v>0</v>
          </cell>
          <cell r="K562" t="b">
            <v>0</v>
          </cell>
          <cell r="L562" t="b">
            <v>0</v>
          </cell>
          <cell r="M562" t="b">
            <v>1</v>
          </cell>
          <cell r="N562" t="b">
            <v>0</v>
          </cell>
          <cell r="O562" t="b">
            <v>0</v>
          </cell>
          <cell r="P562" t="b">
            <v>0</v>
          </cell>
          <cell r="Q562" t="b">
            <v>0</v>
          </cell>
          <cell r="R562" t="b">
            <v>0</v>
          </cell>
          <cell r="S562" t="b">
            <v>1</v>
          </cell>
          <cell r="T562" t="b">
            <v>0</v>
          </cell>
          <cell r="U562" t="str">
            <v>NA</v>
          </cell>
          <cell r="V562" t="str">
            <v>Register</v>
          </cell>
          <cell r="W562" t="str">
            <v>GT - ID</v>
          </cell>
          <cell r="X562" t="str">
            <v>General Trading - Industrial Goods</v>
          </cell>
          <cell r="Y562" t="str">
            <v>Saw dust</v>
          </cell>
        </row>
        <row r="563">
          <cell r="B563" t="str">
            <v>Tekno Logika Utama, PT</v>
          </cell>
          <cell r="C563" t="str">
            <v>fredy@teknologika.biz</v>
          </cell>
          <cell r="D563" t="str">
            <v>Feri</v>
          </cell>
          <cell r="E563" t="str">
            <v>089614621360</v>
          </cell>
          <cell r="F563" t="str">
            <v>Jl Tanjung Duren Raya Kav 351B</v>
          </cell>
          <cell r="G563" t="str">
            <v>□</v>
          </cell>
          <cell r="H563" t="str">
            <v>□</v>
          </cell>
          <cell r="I563" t="str">
            <v>□</v>
          </cell>
          <cell r="J563" t="str">
            <v>□</v>
          </cell>
          <cell r="K563" t="str">
            <v>□</v>
          </cell>
          <cell r="L563" t="str">
            <v>□</v>
          </cell>
          <cell r="M563" t="str">
            <v>□</v>
          </cell>
          <cell r="N563" t="str">
            <v>□</v>
          </cell>
          <cell r="O563" t="str">
            <v>□</v>
          </cell>
          <cell r="P563" t="str">
            <v>□</v>
          </cell>
          <cell r="Q563" t="str">
            <v>□</v>
          </cell>
          <cell r="R563" t="str">
            <v>□</v>
          </cell>
          <cell r="S563" t="str">
            <v>□</v>
          </cell>
          <cell r="T563" t="str">
            <v>□</v>
          </cell>
          <cell r="U563" t="str">
            <v>NA</v>
          </cell>
          <cell r="V563" t="str">
            <v>No Register</v>
          </cell>
          <cell r="W563" t="str">
            <v/>
          </cell>
          <cell r="Y563" t="str">
            <v/>
          </cell>
        </row>
        <row r="564">
          <cell r="B564" t="str">
            <v>Petrocom Nusa Synergy, PT</v>
          </cell>
          <cell r="C564" t="str">
            <v>petrocomnusasynergy@gmail.com</v>
          </cell>
          <cell r="D564" t="str">
            <v>Adi</v>
          </cell>
          <cell r="E564" t="str">
            <v>081250246998</v>
          </cell>
          <cell r="F564" t="str">
            <v>Menara Latumanten, Jalan Prof Dr. Latumanten AGF 15</v>
          </cell>
          <cell r="G564" t="b">
            <v>0</v>
          </cell>
          <cell r="H564" t="b">
            <v>0</v>
          </cell>
          <cell r="I564" t="b">
            <v>0</v>
          </cell>
          <cell r="J564" t="b">
            <v>0</v>
          </cell>
          <cell r="K564" t="b">
            <v>0</v>
          </cell>
          <cell r="L564" t="b">
            <v>0</v>
          </cell>
          <cell r="M564" t="b">
            <v>1</v>
          </cell>
          <cell r="N564" t="b">
            <v>0</v>
          </cell>
          <cell r="O564" t="b">
            <v>0</v>
          </cell>
          <cell r="P564" t="b">
            <v>0</v>
          </cell>
          <cell r="Q564" t="b">
            <v>0</v>
          </cell>
          <cell r="R564" t="b">
            <v>0</v>
          </cell>
          <cell r="S564" t="b">
            <v>1</v>
          </cell>
          <cell r="T564" t="b">
            <v>0</v>
          </cell>
          <cell r="U564" t="str">
            <v>A</v>
          </cell>
          <cell r="V564" t="str">
            <v>Register</v>
          </cell>
          <cell r="W564" t="str">
            <v>GT - OF
GT - ME</v>
          </cell>
          <cell r="X564" t="str">
            <v>General Trading - Office Supplies
General Trading - Mechanical
General Trading - Elektrical</v>
          </cell>
          <cell r="Y564" t="str">
            <v>Mechanical</v>
          </cell>
        </row>
        <row r="565">
          <cell r="B565" t="str">
            <v>Kehatilab Indonesia, PT</v>
          </cell>
          <cell r="C565" t="str">
            <v>kehatilab@gmail.com</v>
          </cell>
          <cell r="D565" t="str">
            <v>Shafira Aulia</v>
          </cell>
          <cell r="F565" t="str">
            <v>Jln. Swadaya No. 19, Rawa Mekar Jaya, Serpong,</v>
          </cell>
          <cell r="G565" t="b">
            <v>0</v>
          </cell>
          <cell r="H565" t="b">
            <v>0</v>
          </cell>
          <cell r="I565" t="b">
            <v>0</v>
          </cell>
          <cell r="J565" t="b">
            <v>0</v>
          </cell>
          <cell r="K565" t="b">
            <v>0</v>
          </cell>
          <cell r="L565" t="b">
            <v>0</v>
          </cell>
          <cell r="M565" t="b">
            <v>0</v>
          </cell>
          <cell r="N565" t="b">
            <v>0</v>
          </cell>
          <cell r="O565" t="b">
            <v>1</v>
          </cell>
          <cell r="P565" t="b">
            <v>0</v>
          </cell>
          <cell r="Q565" t="b">
            <v>0</v>
          </cell>
          <cell r="R565" t="b">
            <v>0</v>
          </cell>
          <cell r="S565" t="b">
            <v>0</v>
          </cell>
          <cell r="T565" t="b">
            <v>0</v>
          </cell>
          <cell r="U565" t="str">
            <v>NA</v>
          </cell>
          <cell r="V565" t="str">
            <v>Register</v>
          </cell>
          <cell r="W565" t="str">
            <v>ENV - SL</v>
          </cell>
          <cell r="X565" t="str">
            <v>Environment &amp; Compliance - Sampling &amp; Lab</v>
          </cell>
        </row>
        <row r="566">
          <cell r="B566" t="str">
            <v>Sertifikasi Mandiri Sejahtera, PT</v>
          </cell>
          <cell r="C566" t="str">
            <v>sertifikasi.ptsms@gmail.com</v>
          </cell>
          <cell r="D566" t="str">
            <v>Paingot</v>
          </cell>
          <cell r="F566" t="str">
            <v>Komplek Golden Plaza Fatmawati, JL. RS. Fatmawati No.15, Desa/Keluarahan Gandaria Selatan, KEc. Cilandak</v>
          </cell>
          <cell r="G566" t="b">
            <v>0</v>
          </cell>
          <cell r="H566" t="b">
            <v>0</v>
          </cell>
          <cell r="I566" t="b">
            <v>0</v>
          </cell>
          <cell r="J566" t="b">
            <v>0</v>
          </cell>
          <cell r="K566" t="b">
            <v>0</v>
          </cell>
          <cell r="L566" t="b">
            <v>0</v>
          </cell>
          <cell r="M566" t="b">
            <v>0</v>
          </cell>
          <cell r="N566" t="b">
            <v>0</v>
          </cell>
          <cell r="O566" t="b">
            <v>0</v>
          </cell>
          <cell r="P566" t="b">
            <v>0</v>
          </cell>
          <cell r="Q566" t="b">
            <v>0</v>
          </cell>
          <cell r="R566" t="b">
            <v>0</v>
          </cell>
          <cell r="S566" t="b">
            <v>0</v>
          </cell>
          <cell r="T566" t="b">
            <v>0</v>
          </cell>
          <cell r="U566" t="str">
            <v>NA</v>
          </cell>
          <cell r="V566" t="str">
            <v>Register</v>
          </cell>
          <cell r="W566" t="str">
            <v>PR</v>
          </cell>
          <cell r="X566" t="str">
            <v>Professional Services</v>
          </cell>
          <cell r="Y566" t="str">
            <v>Jasa pelatihan K3, sertifikasi K3, training kompetensi.</v>
          </cell>
        </row>
        <row r="567">
          <cell r="B567" t="str">
            <v>Karya Asri Persada, PT</v>
          </cell>
          <cell r="C567" t="str">
            <v/>
          </cell>
          <cell r="D567" t="str">
            <v/>
          </cell>
          <cell r="E567" t="str">
            <v/>
          </cell>
          <cell r="F567" t="str">
            <v>Kompleks Perkantoran Royal Sunter Blok E NO. 5 JL. Danau Sunter Selatan, Sunter</v>
          </cell>
          <cell r="G567" t="b">
            <v>0</v>
          </cell>
          <cell r="H567" t="b">
            <v>0</v>
          </cell>
          <cell r="I567" t="b">
            <v>0</v>
          </cell>
          <cell r="J567" t="b">
            <v>0</v>
          </cell>
          <cell r="K567" t="b">
            <v>0</v>
          </cell>
          <cell r="L567" t="b">
            <v>0</v>
          </cell>
          <cell r="M567" t="b">
            <v>1</v>
          </cell>
          <cell r="N567" t="b">
            <v>0</v>
          </cell>
          <cell r="O567" t="b">
            <v>0</v>
          </cell>
          <cell r="P567" t="b">
            <v>0</v>
          </cell>
          <cell r="Q567" t="b">
            <v>0</v>
          </cell>
          <cell r="R567" t="b">
            <v>0</v>
          </cell>
          <cell r="S567" t="b">
            <v>1</v>
          </cell>
          <cell r="T567" t="b">
            <v>0</v>
          </cell>
          <cell r="U567" t="str">
            <v>NA</v>
          </cell>
          <cell r="V567" t="str">
            <v>Register</v>
          </cell>
          <cell r="W567" t="str">
            <v>GT - ID</v>
          </cell>
          <cell r="X567" t="str">
            <v>General Trading - Industrial Goods</v>
          </cell>
        </row>
        <row r="568">
          <cell r="B568" t="str">
            <v>Tax Payable art. 22</v>
          </cell>
          <cell r="C568" t="str">
            <v/>
          </cell>
          <cell r="D568" t="str">
            <v/>
          </cell>
          <cell r="E568" t="str">
            <v/>
          </cell>
          <cell r="G568" t="str">
            <v>□</v>
          </cell>
          <cell r="H568" t="str">
            <v>□</v>
          </cell>
          <cell r="I568" t="str">
            <v>□</v>
          </cell>
          <cell r="J568" t="str">
            <v>□</v>
          </cell>
          <cell r="K568" t="str">
            <v>□</v>
          </cell>
          <cell r="L568" t="str">
            <v>□</v>
          </cell>
          <cell r="M568" t="str">
            <v>□</v>
          </cell>
          <cell r="N568" t="str">
            <v>□</v>
          </cell>
          <cell r="O568" t="str">
            <v>□</v>
          </cell>
          <cell r="P568" t="str">
            <v>□</v>
          </cell>
          <cell r="Q568" t="str">
            <v>□</v>
          </cell>
          <cell r="R568" t="str">
            <v>□</v>
          </cell>
          <cell r="S568" t="str">
            <v>□</v>
          </cell>
          <cell r="T568" t="str">
            <v>□</v>
          </cell>
          <cell r="U568" t="str">
            <v>NA</v>
          </cell>
          <cell r="V568" t="str">
            <v>No Register</v>
          </cell>
          <cell r="W568" t="str">
            <v>PR - TX</v>
          </cell>
          <cell r="X568" t="str">
            <v>Professional Services - Tax</v>
          </cell>
        </row>
        <row r="569">
          <cell r="B569" t="str">
            <v>Surya Solusi Sejahtera, PT</v>
          </cell>
          <cell r="C569" t="str">
            <v>ellora@suryasolusi.com</v>
          </cell>
          <cell r="D569" t="str">
            <v>Ellora</v>
          </cell>
          <cell r="E569" t="str">
            <v/>
          </cell>
          <cell r="F569" t="str">
            <v>Gedung 18 Office Park Lantai 25, Suite A2, Jl. TB. Simatupang No. 18, Desa/Kelurahan Kebagusan, Kec. Pasar Minggu</v>
          </cell>
          <cell r="G569" t="b">
            <v>0</v>
          </cell>
          <cell r="H569" t="b">
            <v>0</v>
          </cell>
          <cell r="I569" t="b">
            <v>0</v>
          </cell>
          <cell r="J569" t="b">
            <v>0</v>
          </cell>
          <cell r="K569" t="b">
            <v>0</v>
          </cell>
          <cell r="L569" t="b">
            <v>0</v>
          </cell>
          <cell r="M569" t="b">
            <v>1</v>
          </cell>
          <cell r="N569" t="b">
            <v>0</v>
          </cell>
          <cell r="O569" t="b">
            <v>0</v>
          </cell>
          <cell r="P569" t="b">
            <v>0</v>
          </cell>
          <cell r="Q569" t="b">
            <v>0</v>
          </cell>
          <cell r="R569" t="b">
            <v>0</v>
          </cell>
          <cell r="S569" t="b">
            <v>1</v>
          </cell>
          <cell r="T569" t="b">
            <v>0</v>
          </cell>
          <cell r="U569" t="str">
            <v>NA</v>
          </cell>
          <cell r="V569" t="str">
            <v>Register</v>
          </cell>
          <cell r="W569" t="str">
            <v>GT - ID</v>
          </cell>
          <cell r="X569" t="str">
            <v>General Trading - Industrial Goods</v>
          </cell>
          <cell r="Y569" t="str">
            <v>Solar module</v>
          </cell>
        </row>
        <row r="570">
          <cell r="B570" t="str">
            <v>Mitrasoft Infonet, PT</v>
          </cell>
          <cell r="C570" t="str">
            <v>ferlin@mitrasoft.co.id</v>
          </cell>
          <cell r="D570" t="str">
            <v>Ferlin</v>
          </cell>
          <cell r="F570" t="str">
            <v>Jalan Tanjung Selor Nomor 8 A-D, Kel. Cideng, Kec. Gambir,</v>
          </cell>
          <cell r="G570" t="b">
            <v>0</v>
          </cell>
          <cell r="H570" t="b">
            <v>0</v>
          </cell>
          <cell r="I570" t="b">
            <v>0</v>
          </cell>
          <cell r="J570" t="b">
            <v>0</v>
          </cell>
          <cell r="K570" t="b">
            <v>0</v>
          </cell>
          <cell r="L570" t="b">
            <v>1</v>
          </cell>
          <cell r="M570" t="b">
            <v>0</v>
          </cell>
          <cell r="N570" t="b">
            <v>0</v>
          </cell>
          <cell r="O570" t="b">
            <v>0</v>
          </cell>
          <cell r="P570" t="b">
            <v>0</v>
          </cell>
          <cell r="Q570" t="b">
            <v>0</v>
          </cell>
          <cell r="R570" t="b">
            <v>0</v>
          </cell>
          <cell r="S570" t="b">
            <v>0</v>
          </cell>
          <cell r="T570" t="b">
            <v>0</v>
          </cell>
          <cell r="U570" t="str">
            <v>NA</v>
          </cell>
          <cell r="V570" t="str">
            <v>Register</v>
          </cell>
          <cell r="W570" t="str">
            <v>IT - SW</v>
          </cell>
          <cell r="X570" t="str">
            <v>IT &amp; System - Software</v>
          </cell>
        </row>
        <row r="571">
          <cell r="B571" t="str">
            <v>Carakamas Intialam, PT</v>
          </cell>
          <cell r="C571" t="str">
            <v>auma-jkt@indo.net.id</v>
          </cell>
          <cell r="D571" t="str">
            <v>Lisa</v>
          </cell>
          <cell r="E571" t="str">
            <v>085216888529</v>
          </cell>
          <cell r="F571" t="str">
            <v>Soho Podomoro City 15th FL/No. 1525 JL. LETJEN S. PARMAN KAV. 28, Kel. Tanjung Duren Selatan, Kec. Grogol Petamburan</v>
          </cell>
          <cell r="G571" t="b">
            <v>0</v>
          </cell>
          <cell r="H571" t="b">
            <v>0</v>
          </cell>
          <cell r="I571" t="b">
            <v>0</v>
          </cell>
          <cell r="J571" t="b">
            <v>0</v>
          </cell>
          <cell r="K571" t="b">
            <v>0</v>
          </cell>
          <cell r="L571" t="b">
            <v>0</v>
          </cell>
          <cell r="M571" t="b">
            <v>1</v>
          </cell>
          <cell r="N571" t="b">
            <v>0</v>
          </cell>
          <cell r="O571" t="b">
            <v>0</v>
          </cell>
          <cell r="P571" t="b">
            <v>0</v>
          </cell>
          <cell r="Q571" t="b">
            <v>0</v>
          </cell>
          <cell r="R571" t="b">
            <v>0</v>
          </cell>
          <cell r="S571" t="b">
            <v>1</v>
          </cell>
          <cell r="T571" t="b">
            <v>0</v>
          </cell>
          <cell r="U571" t="str">
            <v>NA</v>
          </cell>
          <cell r="V571" t="str">
            <v>Register</v>
          </cell>
          <cell r="W571" t="str">
            <v>GT - ME
GT - IC</v>
          </cell>
          <cell r="X571" t="str">
            <v>General Trading - Mechanical
General Trading - Instrument</v>
          </cell>
          <cell r="Y571" t="str">
            <v>AUMA valve</v>
          </cell>
        </row>
        <row r="572">
          <cell r="B572" t="str">
            <v>Gaung Umar Energi, PT</v>
          </cell>
          <cell r="C572" t="str">
            <v/>
          </cell>
          <cell r="D572" t="str">
            <v/>
          </cell>
          <cell r="E572" t="str">
            <v/>
          </cell>
          <cell r="F572" t="str">
            <v>Jl. Surapati Banua Jingah Desa Banua Jingah, Kec. Barabai</v>
          </cell>
          <cell r="G572" t="b">
            <v>0</v>
          </cell>
          <cell r="H572" t="b">
            <v>0</v>
          </cell>
          <cell r="I572" t="b">
            <v>1</v>
          </cell>
          <cell r="J572" t="b">
            <v>0</v>
          </cell>
          <cell r="K572" t="b">
            <v>0</v>
          </cell>
          <cell r="L572" t="b">
            <v>0</v>
          </cell>
          <cell r="M572" t="b">
            <v>0</v>
          </cell>
          <cell r="N572" t="b">
            <v>0</v>
          </cell>
          <cell r="O572" t="b">
            <v>0</v>
          </cell>
          <cell r="P572" t="b">
            <v>0</v>
          </cell>
          <cell r="Q572" t="b">
            <v>0</v>
          </cell>
          <cell r="R572" t="b">
            <v>0</v>
          </cell>
          <cell r="S572" t="b">
            <v>0</v>
          </cell>
          <cell r="T572" t="b">
            <v>0</v>
          </cell>
          <cell r="U572" t="str">
            <v>NA</v>
          </cell>
          <cell r="V572" t="str">
            <v>Register</v>
          </cell>
          <cell r="W572" t="str">
            <v/>
          </cell>
          <cell r="X572" t="str">
            <v>Service Jasa - Instrument</v>
          </cell>
        </row>
        <row r="573">
          <cell r="B573" t="str">
            <v>Kajianlogam Persada, PT</v>
          </cell>
          <cell r="C573" t="str">
            <v>henny.rahayu@kaloper-industry.com; info@kaloper-industry.com</v>
          </cell>
          <cell r="D573" t="str">
            <v>Henny</v>
          </cell>
          <cell r="E573" t="str">
            <v>081376217817</v>
          </cell>
          <cell r="F573" t="str">
            <v>JL.Pahlawan Revolusi NO. 22 E, Desa / Kelurahan Pondok Bambu, Kec. Duren Sawit</v>
          </cell>
          <cell r="G573" t="b">
            <v>0</v>
          </cell>
          <cell r="H573" t="b">
            <v>0</v>
          </cell>
          <cell r="I573" t="b">
            <v>0</v>
          </cell>
          <cell r="J573" t="b">
            <v>0</v>
          </cell>
          <cell r="K573" t="b">
            <v>0</v>
          </cell>
          <cell r="L573" t="b">
            <v>0</v>
          </cell>
          <cell r="M573" t="b">
            <v>1</v>
          </cell>
          <cell r="N573" t="b">
            <v>1</v>
          </cell>
          <cell r="O573" t="b">
            <v>0</v>
          </cell>
          <cell r="P573" t="b">
            <v>0</v>
          </cell>
          <cell r="Q573" t="b">
            <v>0</v>
          </cell>
          <cell r="R573" t="b">
            <v>0</v>
          </cell>
          <cell r="S573" t="b">
            <v>1</v>
          </cell>
          <cell r="T573" t="b">
            <v>0</v>
          </cell>
          <cell r="U573" t="str">
            <v>A</v>
          </cell>
          <cell r="V573" t="str">
            <v>Register</v>
          </cell>
          <cell r="W573" t="str">
            <v>GT - ME
MF - ID</v>
          </cell>
          <cell r="X573" t="str">
            <v>General Trading - Mechanical
Manufacturer - Industrial Manufacturer</v>
          </cell>
          <cell r="Y573" t="str">
            <v>Mechanical</v>
          </cell>
        </row>
        <row r="574">
          <cell r="B574" t="str">
            <v>TUV SUD Indonesia, PT</v>
          </cell>
          <cell r="C574" t="str">
            <v>Frieka.NURSARI@tuvsud.com; Siti.JUWARIYAH@tuvsud.com</v>
          </cell>
          <cell r="D574" t="str">
            <v>Frieka, Nursari</v>
          </cell>
          <cell r="F574" t="str">
            <v>Dipo Tower 9th Floor Suit C-D Dipo Business Center, Jalan Gatot Subroto Kav. 51-52, Desa/Kelurahan Petamburan, Kec. Tanah Abang</v>
          </cell>
          <cell r="G574" t="str">
            <v>□</v>
          </cell>
          <cell r="H574" t="str">
            <v>□</v>
          </cell>
          <cell r="I574" t="str">
            <v>□</v>
          </cell>
          <cell r="J574" t="str">
            <v>□</v>
          </cell>
          <cell r="K574" t="str">
            <v>□</v>
          </cell>
          <cell r="L574" t="str">
            <v>□</v>
          </cell>
          <cell r="M574" t="str">
            <v>□</v>
          </cell>
          <cell r="N574" t="str">
            <v>□</v>
          </cell>
          <cell r="O574" t="str">
            <v>□</v>
          </cell>
          <cell r="P574" t="str">
            <v>□</v>
          </cell>
          <cell r="Q574" t="str">
            <v>□</v>
          </cell>
          <cell r="R574" t="str">
            <v>□</v>
          </cell>
          <cell r="S574" t="str">
            <v>□</v>
          </cell>
          <cell r="T574" t="str">
            <v>□</v>
          </cell>
          <cell r="U574" t="str">
            <v>A</v>
          </cell>
          <cell r="V574" t="str">
            <v>Register</v>
          </cell>
          <cell r="W574" t="str">
            <v>PR - TR</v>
          </cell>
          <cell r="X574" t="str">
            <v>Professional Services - Training</v>
          </cell>
          <cell r="Y574" t="str">
            <v>Testing, inspection, certification, audit sistem manajemen ISO, technical inspection, training</v>
          </cell>
        </row>
        <row r="575">
          <cell r="B575" t="str">
            <v>Tanjung Baru 63, PT</v>
          </cell>
          <cell r="C575" t="str">
            <v>renitahestiyanie27@gmail.com; pttanjungbaru63@yahoo.com</v>
          </cell>
          <cell r="D575" t="str">
            <v>Renita H</v>
          </cell>
          <cell r="E575" t="str">
            <v>08214860849</v>
          </cell>
          <cell r="F575" t="str">
            <v>Jl. Jenderal Ahmad Yani No. 46, Desa/Kelurahan Maburai, Kec. Murung Pudak,</v>
          </cell>
          <cell r="G575" t="b">
            <v>0</v>
          </cell>
          <cell r="H575" t="b">
            <v>0</v>
          </cell>
          <cell r="I575" t="b">
            <v>0</v>
          </cell>
          <cell r="J575" t="b">
            <v>0</v>
          </cell>
          <cell r="K575" t="b">
            <v>0</v>
          </cell>
          <cell r="L575" t="b">
            <v>0</v>
          </cell>
          <cell r="M575" t="b">
            <v>0</v>
          </cell>
          <cell r="N575" t="b">
            <v>0</v>
          </cell>
          <cell r="O575" t="b">
            <v>0</v>
          </cell>
          <cell r="P575" t="b">
            <v>0</v>
          </cell>
          <cell r="Q575" t="b">
            <v>0</v>
          </cell>
          <cell r="R575" t="b">
            <v>0</v>
          </cell>
          <cell r="S575" t="b">
            <v>1</v>
          </cell>
          <cell r="T575" t="b">
            <v>0</v>
          </cell>
          <cell r="U575" t="str">
            <v>NA</v>
          </cell>
          <cell r="V575" t="str">
            <v>Register</v>
          </cell>
          <cell r="W575" t="str">
            <v>TR - CR</v>
          </cell>
          <cell r="X575" t="str">
            <v>Transportation - Truck / Alat Berat Rental
Transportation - Car Rental</v>
          </cell>
        </row>
        <row r="576">
          <cell r="B576" t="str">
            <v>Bintang Mandiri, CV</v>
          </cell>
          <cell r="C576" t="str">
            <v/>
          </cell>
          <cell r="D576" t="str">
            <v/>
          </cell>
          <cell r="E576" t="str">
            <v/>
          </cell>
          <cell r="F576" t="str">
            <v>Jalan Insinyur Pangeran Haji Muhammad Noor, Desa/Kelurahan Mabu"un, Kec. Murung Pudak</v>
          </cell>
          <cell r="G576" t="b">
            <v>0</v>
          </cell>
          <cell r="H576" t="b">
            <v>0</v>
          </cell>
          <cell r="I576" t="b">
            <v>0</v>
          </cell>
          <cell r="J576" t="b">
            <v>0</v>
          </cell>
          <cell r="K576" t="b">
            <v>0</v>
          </cell>
          <cell r="L576" t="b">
            <v>0</v>
          </cell>
          <cell r="M576" t="b">
            <v>0</v>
          </cell>
          <cell r="N576" t="b">
            <v>0</v>
          </cell>
          <cell r="O576" t="b">
            <v>0</v>
          </cell>
          <cell r="P576" t="b">
            <v>0</v>
          </cell>
          <cell r="Q576" t="b">
            <v>0</v>
          </cell>
          <cell r="R576" t="b">
            <v>0</v>
          </cell>
          <cell r="S576" t="b">
            <v>1</v>
          </cell>
          <cell r="T576" t="b">
            <v>0</v>
          </cell>
          <cell r="U576" t="str">
            <v>NA</v>
          </cell>
          <cell r="V576" t="str">
            <v>Register</v>
          </cell>
          <cell r="W576" t="str">
            <v/>
          </cell>
          <cell r="X576" t="str">
            <v>Service Jasa - Mechanical</v>
          </cell>
          <cell r="Y576" t="str">
            <v>Fabrikasi</v>
          </cell>
        </row>
        <row r="577">
          <cell r="B577" t="str">
            <v>Thea Theo Stationary, PT</v>
          </cell>
          <cell r="C577" t="str">
            <v>theastationary@cbn.net.id</v>
          </cell>
          <cell r="D577" t="str">
            <v>Aries</v>
          </cell>
          <cell r="F577" t="str">
            <v>Ruko Modernland Cipondoh Blok AR No. 27 Jl. Jend Sudirman KM.10, Desa/Kelurahan Poris Plawad, Kec. Cipondoh</v>
          </cell>
          <cell r="G577" t="b">
            <v>0</v>
          </cell>
          <cell r="H577" t="b">
            <v>0</v>
          </cell>
          <cell r="I577" t="b">
            <v>0</v>
          </cell>
          <cell r="J577" t="b">
            <v>0</v>
          </cell>
          <cell r="K577" t="b">
            <v>0</v>
          </cell>
          <cell r="L577" t="b">
            <v>0</v>
          </cell>
          <cell r="M577" t="b">
            <v>0</v>
          </cell>
          <cell r="N577" t="b">
            <v>0</v>
          </cell>
          <cell r="O577" t="b">
            <v>0</v>
          </cell>
          <cell r="P577" t="b">
            <v>0</v>
          </cell>
          <cell r="Q577" t="b">
            <v>1</v>
          </cell>
          <cell r="R577" t="b">
            <v>0</v>
          </cell>
          <cell r="S577" t="b">
            <v>0</v>
          </cell>
          <cell r="T577" t="b">
            <v>0</v>
          </cell>
          <cell r="U577" t="str">
            <v>NA</v>
          </cell>
          <cell r="V577" t="str">
            <v>Register</v>
          </cell>
          <cell r="W577" t="str">
            <v>GT - OF</v>
          </cell>
          <cell r="X577" t="str">
            <v>General Trading - Office Supplies</v>
          </cell>
          <cell r="Y577" t="str">
            <v/>
          </cell>
        </row>
        <row r="578">
          <cell r="B578" t="str">
            <v>Sentrapart Niaga Utama, PT</v>
          </cell>
          <cell r="C578" t="str">
            <v>sales@sentrapart.com; Novriyanti@sentrapart.com</v>
          </cell>
          <cell r="D578" t="str">
            <v>Anggre</v>
          </cell>
          <cell r="E578" t="str">
            <v>08119189169</v>
          </cell>
          <cell r="F578" t="str">
            <v>The Mansion Kemayoran Tower Bougenville Fontana, Unit: BF31H1, Jalan TrembesiI, Kel. Pademangan Timur, Kec. Pademangan</v>
          </cell>
          <cell r="G578" t="b">
            <v>0</v>
          </cell>
          <cell r="H578" t="b">
            <v>0</v>
          </cell>
          <cell r="I578" t="b">
            <v>0</v>
          </cell>
          <cell r="J578" t="b">
            <v>0</v>
          </cell>
          <cell r="K578" t="b">
            <v>0</v>
          </cell>
          <cell r="L578" t="b">
            <v>0</v>
          </cell>
          <cell r="M578" t="b">
            <v>1</v>
          </cell>
          <cell r="N578" t="b">
            <v>0</v>
          </cell>
          <cell r="O578" t="b">
            <v>0</v>
          </cell>
          <cell r="P578" t="b">
            <v>0</v>
          </cell>
          <cell r="Q578" t="b">
            <v>0</v>
          </cell>
          <cell r="R578" t="b">
            <v>0</v>
          </cell>
          <cell r="S578" t="b">
            <v>1</v>
          </cell>
          <cell r="T578" t="b">
            <v>0</v>
          </cell>
          <cell r="U578" t="str">
            <v>A</v>
          </cell>
          <cell r="V578" t="str">
            <v>Register</v>
          </cell>
          <cell r="W578" t="str">
            <v>GT - ME</v>
          </cell>
          <cell r="X578" t="str">
            <v>General Trading - Mechanical</v>
          </cell>
          <cell r="Y578" t="str">
            <v>Heavy Equipment
Genset sparepart</v>
          </cell>
        </row>
        <row r="579">
          <cell r="B579" t="str">
            <v>Amarta Multi Sinergy, PT</v>
          </cell>
          <cell r="C579" t="str">
            <v/>
          </cell>
          <cell r="D579" t="str">
            <v/>
          </cell>
          <cell r="E579" t="str">
            <v/>
          </cell>
          <cell r="F579" t="str">
            <v>Jl Kayu Putih Selatan 3D No. 52 , Desa/Kelurahan Pulo Gadung, Kec. Pulogadung</v>
          </cell>
          <cell r="G579" t="b">
            <v>0</v>
          </cell>
          <cell r="H579" t="b">
            <v>0</v>
          </cell>
          <cell r="I579" t="b">
            <v>0</v>
          </cell>
          <cell r="J579" t="b">
            <v>0</v>
          </cell>
          <cell r="K579" t="b">
            <v>0</v>
          </cell>
          <cell r="L579" t="b">
            <v>0</v>
          </cell>
          <cell r="M579" t="b">
            <v>0</v>
          </cell>
          <cell r="N579" t="b">
            <v>0</v>
          </cell>
          <cell r="O579" t="b">
            <v>1</v>
          </cell>
          <cell r="P579" t="b">
            <v>0</v>
          </cell>
          <cell r="Q579" t="b">
            <v>0</v>
          </cell>
          <cell r="R579" t="b">
            <v>0</v>
          </cell>
          <cell r="S579" t="b">
            <v>0</v>
          </cell>
          <cell r="T579" t="b">
            <v>0</v>
          </cell>
          <cell r="U579" t="str">
            <v>NA</v>
          </cell>
          <cell r="V579" t="str">
            <v>Register</v>
          </cell>
          <cell r="W579" t="str">
            <v>PR - CS</v>
          </cell>
          <cell r="X579" t="str">
            <v>Professional Services - Consulting</v>
          </cell>
          <cell r="Y579" t="str">
            <v>Konsultan perizinan/legalitas perusahaan, dukungan tender, izin sektor konstruksi, migas, tambang, kelistrikan, supplier</v>
          </cell>
        </row>
        <row r="580">
          <cell r="B580" t="str">
            <v>Norgantara Andalan Mandiri Indonesia, PT</v>
          </cell>
          <cell r="C580" t="str">
            <v>gilang@ptnam.com</v>
          </cell>
          <cell r="D580" t="str">
            <v>Gilang</v>
          </cell>
          <cell r="E580" t="str">
            <v>08126578346</v>
          </cell>
          <cell r="F580" t="str">
            <v>Oregon Square TCR - 52 Kota Wisata, Desa/Kelurahan Ciangsana, Kec. Gunung Putri</v>
          </cell>
          <cell r="G580" t="b">
            <v>0</v>
          </cell>
          <cell r="H580" t="b">
            <v>0</v>
          </cell>
          <cell r="I580" t="b">
            <v>0</v>
          </cell>
          <cell r="J580" t="b">
            <v>0</v>
          </cell>
          <cell r="K580" t="b">
            <v>0</v>
          </cell>
          <cell r="L580" t="b">
            <v>0</v>
          </cell>
          <cell r="M580" t="b">
            <v>1</v>
          </cell>
          <cell r="N580" t="b">
            <v>0</v>
          </cell>
          <cell r="O580" t="b">
            <v>0</v>
          </cell>
          <cell r="P580" t="b">
            <v>0</v>
          </cell>
          <cell r="Q580" t="b">
            <v>0</v>
          </cell>
          <cell r="R580" t="b">
            <v>0</v>
          </cell>
          <cell r="S580" t="b">
            <v>1</v>
          </cell>
          <cell r="T580" t="b">
            <v>0</v>
          </cell>
          <cell r="U580" t="str">
            <v>A</v>
          </cell>
          <cell r="V580" t="str">
            <v>Register</v>
          </cell>
          <cell r="W580" t="str">
            <v>GT - ME
GT - IC</v>
          </cell>
          <cell r="X580" t="str">
            <v>General Trading - Mechanical
General Trading - Elektrical
General Trading - Instrument</v>
          </cell>
          <cell r="Y580" t="str">
            <v>Pneumatic</v>
          </cell>
        </row>
        <row r="581">
          <cell r="B581" t="str">
            <v>Memiontec Indonesia, PT</v>
          </cell>
          <cell r="C581" t="str">
            <v>memiontec@memiontec.co.id; wahyu.kasiyanto@memiontec.co.id</v>
          </cell>
          <cell r="D581" t="str">
            <v>Wahyu/Irawati/Dini</v>
          </cell>
          <cell r="E581" t="str">
            <v>082124234921; 082140882409</v>
          </cell>
          <cell r="F581" t="str">
            <v>Rukan Avenue, Jakarta Garden City Blok F/8 No 136-137, JLN CAKUNG CILINCING, Desa/Kelurahan Cakung Timur, Kec. Cakung</v>
          </cell>
          <cell r="G581" t="b">
            <v>0</v>
          </cell>
          <cell r="H581" t="b">
            <v>0</v>
          </cell>
          <cell r="I581" t="b">
            <v>0</v>
          </cell>
          <cell r="J581" t="b">
            <v>0</v>
          </cell>
          <cell r="K581" t="b">
            <v>0</v>
          </cell>
          <cell r="L581" t="b">
            <v>0</v>
          </cell>
          <cell r="M581" t="b">
            <v>0</v>
          </cell>
          <cell r="N581" t="b">
            <v>1</v>
          </cell>
          <cell r="O581" t="b">
            <v>0</v>
          </cell>
          <cell r="P581" t="b">
            <v>0</v>
          </cell>
          <cell r="Q581" t="b">
            <v>0</v>
          </cell>
          <cell r="R581" t="b">
            <v>0</v>
          </cell>
          <cell r="S581" t="b">
            <v>0</v>
          </cell>
          <cell r="T581" t="b">
            <v>0</v>
          </cell>
          <cell r="U581" t="str">
            <v>NA</v>
          </cell>
          <cell r="V581" t="str">
            <v>Register</v>
          </cell>
          <cell r="W581" t="str">
            <v/>
          </cell>
          <cell r="X581" t="str">
            <v>Service Jasa - Maintenance</v>
          </cell>
        </row>
        <row r="582">
          <cell r="B582" t="str">
            <v>Surya Citra, CV</v>
          </cell>
          <cell r="C582" t="str">
            <v>cv.suryacitra5@gmail.com; sbudisusilo1965@gmail.com</v>
          </cell>
          <cell r="D582" t="str">
            <v>Alexander</v>
          </cell>
          <cell r="E582" t="str">
            <v>081311003069</v>
          </cell>
          <cell r="F582" t="str">
            <v>Komp.Ruko Toho Blok H-2, Jl.Raya Pantai Indah Kapuk No.1</v>
          </cell>
          <cell r="G582" t="b">
            <v>0</v>
          </cell>
          <cell r="H582" t="b">
            <v>0</v>
          </cell>
          <cell r="I582" t="b">
            <v>0</v>
          </cell>
          <cell r="J582" t="b">
            <v>0</v>
          </cell>
          <cell r="K582" t="b">
            <v>0</v>
          </cell>
          <cell r="L582" t="b">
            <v>0</v>
          </cell>
          <cell r="M582" t="b">
            <v>1</v>
          </cell>
          <cell r="N582" t="b">
            <v>0</v>
          </cell>
          <cell r="O582" t="b">
            <v>0</v>
          </cell>
          <cell r="P582" t="b">
            <v>0</v>
          </cell>
          <cell r="Q582" t="b">
            <v>0</v>
          </cell>
          <cell r="R582" t="b">
            <v>0</v>
          </cell>
          <cell r="S582" t="b">
            <v>1</v>
          </cell>
          <cell r="T582" t="b">
            <v>0</v>
          </cell>
          <cell r="U582" t="str">
            <v>A</v>
          </cell>
          <cell r="V582" t="str">
            <v>Register</v>
          </cell>
          <cell r="W582" t="str">
            <v/>
          </cell>
          <cell r="X582" t="str">
            <v>General Trading - Elektrical</v>
          </cell>
          <cell r="Y582" t="str">
            <v/>
          </cell>
        </row>
        <row r="583">
          <cell r="B583" t="str">
            <v>Agri Multi Lestari, PT</v>
          </cell>
          <cell r="C583" t="str">
            <v>nandasetya.kurniawan@adaro.com; novita.rindriyanti@adaro.com</v>
          </cell>
          <cell r="D583" t="str">
            <v>Nanda; Novita</v>
          </cell>
          <cell r="F583" t="str">
            <v>Gedung Menara Karya LT.18, JL. H.R. Rasuna Said Blok X-5, KAV. 1-2, Desa/Kelurahan Kuningan Timur, Kec. Setiabudi</v>
          </cell>
          <cell r="G583" t="b">
            <v>0</v>
          </cell>
          <cell r="H583" t="b">
            <v>0</v>
          </cell>
          <cell r="I583" t="b">
            <v>0</v>
          </cell>
          <cell r="J583" t="b">
            <v>0</v>
          </cell>
          <cell r="K583" t="b">
            <v>0</v>
          </cell>
          <cell r="L583" t="b">
            <v>0</v>
          </cell>
          <cell r="M583" t="b">
            <v>0</v>
          </cell>
          <cell r="N583" t="b">
            <v>0</v>
          </cell>
          <cell r="O583" t="b">
            <v>0</v>
          </cell>
          <cell r="P583" t="b">
            <v>0</v>
          </cell>
          <cell r="Q583" t="b">
            <v>0</v>
          </cell>
          <cell r="R583" t="b">
            <v>0</v>
          </cell>
          <cell r="S583" t="b">
            <v>1</v>
          </cell>
          <cell r="T583" t="b">
            <v>0</v>
          </cell>
          <cell r="U583" t="str">
            <v>NA</v>
          </cell>
          <cell r="V583" t="str">
            <v>Register</v>
          </cell>
          <cell r="W583" t="str">
            <v>SC</v>
          </cell>
          <cell r="X583" t="str">
            <v>Sister Company - Sewa gedung, Service, Consultant</v>
          </cell>
        </row>
        <row r="584">
          <cell r="B584" t="str">
            <v>Puspetindo, PT</v>
          </cell>
          <cell r="C584" t="str">
            <v>mkt@puspetindo.com</v>
          </cell>
          <cell r="D584" t="str">
            <v>Prasetiya: Imam</v>
          </cell>
          <cell r="E584" t="str">
            <v>082140931575; 081330701855</v>
          </cell>
          <cell r="F584" t="str">
            <v>Desa Roomo, Kecamatan Manyar, PO Box 172</v>
          </cell>
          <cell r="G584" t="b">
            <v>0</v>
          </cell>
          <cell r="H584" t="b">
            <v>0</v>
          </cell>
          <cell r="I584" t="b">
            <v>0</v>
          </cell>
          <cell r="J584" t="b">
            <v>0</v>
          </cell>
          <cell r="K584" t="b">
            <v>0</v>
          </cell>
          <cell r="L584" t="b">
            <v>0</v>
          </cell>
          <cell r="M584" t="b">
            <v>0</v>
          </cell>
          <cell r="N584" t="b">
            <v>1</v>
          </cell>
          <cell r="O584" t="b">
            <v>0</v>
          </cell>
          <cell r="P584" t="b">
            <v>0</v>
          </cell>
          <cell r="Q584" t="b">
            <v>0</v>
          </cell>
          <cell r="R584" t="b">
            <v>0</v>
          </cell>
          <cell r="S584" t="b">
            <v>0</v>
          </cell>
          <cell r="T584" t="b">
            <v>0</v>
          </cell>
          <cell r="U584" t="str">
            <v>NA</v>
          </cell>
          <cell r="V584" t="str">
            <v>Register</v>
          </cell>
          <cell r="W584" t="str">
            <v/>
          </cell>
          <cell r="X584" t="str">
            <v>Service Jasa - Maintenance</v>
          </cell>
          <cell r="Y584" t="str">
            <v>Contractor</v>
          </cell>
        </row>
        <row r="585">
          <cell r="B585" t="str">
            <v>Growrich Indonesia, PT</v>
          </cell>
          <cell r="C585" t="str">
            <v>adm_bjm@growrichindo.co.id; w.riswan@growrichindo.co.id; adhitama.yusuf@growrichindo.co.id</v>
          </cell>
          <cell r="D585" t="str">
            <v>Putri Shintia</v>
          </cell>
          <cell r="E585" t="str">
            <v>085705002290</v>
          </cell>
          <cell r="F585" t="str">
            <v>Jl. RE. Martadinata Ruko Mahkota Ancol Blok F No. 20, Pademangan, Desa/Kelurahan Pademangan Barat, Kec. Pademangan</v>
          </cell>
          <cell r="G585" t="b">
            <v>0</v>
          </cell>
          <cell r="H585" t="b">
            <v>0</v>
          </cell>
          <cell r="I585" t="b">
            <v>0</v>
          </cell>
          <cell r="J585" t="b">
            <v>0</v>
          </cell>
          <cell r="K585" t="b">
            <v>1</v>
          </cell>
          <cell r="L585" t="b">
            <v>0</v>
          </cell>
          <cell r="M585" t="b">
            <v>1</v>
          </cell>
          <cell r="N585" t="b">
            <v>0</v>
          </cell>
          <cell r="O585" t="b">
            <v>0</v>
          </cell>
          <cell r="P585" t="b">
            <v>0</v>
          </cell>
          <cell r="Q585" t="b">
            <v>0</v>
          </cell>
          <cell r="R585" t="b">
            <v>0</v>
          </cell>
          <cell r="S585" t="b">
            <v>1</v>
          </cell>
          <cell r="T585" t="b">
            <v>0</v>
          </cell>
          <cell r="U585" t="str">
            <v>NA</v>
          </cell>
          <cell r="V585" t="str">
            <v>Register</v>
          </cell>
          <cell r="W585" t="str">
            <v/>
          </cell>
          <cell r="X585" t="str">
            <v>General Trading - HSE</v>
          </cell>
          <cell r="Y585" t="str">
            <v/>
          </cell>
        </row>
        <row r="586">
          <cell r="B586" t="str">
            <v>Reva Enterprise (HK) CO., LTD</v>
          </cell>
          <cell r="C586" t="str">
            <v/>
          </cell>
          <cell r="D586" t="str">
            <v/>
          </cell>
          <cell r="E586" t="str">
            <v/>
          </cell>
          <cell r="F586" t="str">
            <v>Room 2204, 22/F., Eeasey Commercial Building, 253-261 Hennessy Road</v>
          </cell>
          <cell r="G586" t="b">
            <v>0</v>
          </cell>
          <cell r="H586" t="b">
            <v>0</v>
          </cell>
          <cell r="I586" t="b">
            <v>0</v>
          </cell>
          <cell r="J586" t="b">
            <v>0</v>
          </cell>
          <cell r="K586" t="b">
            <v>0</v>
          </cell>
          <cell r="L586" t="b">
            <v>0</v>
          </cell>
          <cell r="M586" t="b">
            <v>1</v>
          </cell>
          <cell r="N586" t="b">
            <v>0</v>
          </cell>
          <cell r="O586" t="b">
            <v>0</v>
          </cell>
          <cell r="P586" t="b">
            <v>0</v>
          </cell>
          <cell r="Q586" t="b">
            <v>0</v>
          </cell>
          <cell r="R586" t="b">
            <v>0</v>
          </cell>
          <cell r="S586" t="b">
            <v>1</v>
          </cell>
          <cell r="T586" t="b">
            <v>0</v>
          </cell>
          <cell r="U586" t="str">
            <v>NA</v>
          </cell>
          <cell r="V586" t="str">
            <v>Register</v>
          </cell>
          <cell r="W586" t="str">
            <v/>
          </cell>
          <cell r="X586" t="str">
            <v>General Trading - Elektrical</v>
          </cell>
          <cell r="Y586" t="str">
            <v/>
          </cell>
        </row>
        <row r="587">
          <cell r="B587" t="str">
            <v>Mia Tama, CV</v>
          </cell>
          <cell r="C587" t="str">
            <v>mujiono_utomo@yahoo.com</v>
          </cell>
          <cell r="F587" t="str">
            <v>Jalan Ir. P. H. M. Noor , Desa/Kelurahan Pembataan, Kec. Murung Pudak</v>
          </cell>
          <cell r="G587" t="b">
            <v>0</v>
          </cell>
          <cell r="H587" t="b">
            <v>0</v>
          </cell>
          <cell r="I587" t="b">
            <v>0</v>
          </cell>
          <cell r="J587" t="b">
            <v>0</v>
          </cell>
          <cell r="K587" t="b">
            <v>0</v>
          </cell>
          <cell r="L587" t="b">
            <v>0</v>
          </cell>
          <cell r="M587" t="b">
            <v>0</v>
          </cell>
          <cell r="N587" t="b">
            <v>0</v>
          </cell>
          <cell r="O587" t="b">
            <v>0</v>
          </cell>
          <cell r="P587" t="b">
            <v>0</v>
          </cell>
          <cell r="Q587" t="b">
            <v>1</v>
          </cell>
          <cell r="R587" t="b">
            <v>0</v>
          </cell>
          <cell r="S587" t="b">
            <v>0</v>
          </cell>
          <cell r="T587" t="b">
            <v>0</v>
          </cell>
          <cell r="U587" t="str">
            <v>NA</v>
          </cell>
          <cell r="V587" t="str">
            <v>Register</v>
          </cell>
          <cell r="W587" t="str">
            <v>GT - OF</v>
          </cell>
          <cell r="X587" t="str">
            <v>General Trading - Office Supplies</v>
          </cell>
          <cell r="Y587" t="str">
            <v/>
          </cell>
        </row>
        <row r="588">
          <cell r="B588" t="str">
            <v>Transways Expressindo, PT</v>
          </cell>
          <cell r="C588" t="str">
            <v>audy@transwaysindo.com</v>
          </cell>
          <cell r="D588" t="str">
            <v>Audy</v>
          </cell>
          <cell r="E588" t="str">
            <v>082111087532</v>
          </cell>
          <cell r="F588" t="str">
            <v>Kali Besar Barat No 50, Desa/Kelurahan Roa Malaka, Kec. Tambora</v>
          </cell>
          <cell r="G588" t="b">
            <v>0</v>
          </cell>
          <cell r="H588" t="b">
            <v>0</v>
          </cell>
          <cell r="I588" t="b">
            <v>0</v>
          </cell>
          <cell r="J588" t="b">
            <v>0</v>
          </cell>
          <cell r="K588" t="b">
            <v>0</v>
          </cell>
          <cell r="L588" t="b">
            <v>0</v>
          </cell>
          <cell r="M588" t="b">
            <v>0</v>
          </cell>
          <cell r="N588" t="b">
            <v>0</v>
          </cell>
          <cell r="O588" t="b">
            <v>0</v>
          </cell>
          <cell r="P588" t="b">
            <v>0</v>
          </cell>
          <cell r="Q588" t="b">
            <v>0</v>
          </cell>
          <cell r="R588" t="b">
            <v>0</v>
          </cell>
          <cell r="S588" t="b">
            <v>1</v>
          </cell>
          <cell r="T588" t="b">
            <v>0</v>
          </cell>
          <cell r="U588" t="str">
            <v>NA</v>
          </cell>
          <cell r="V588" t="str">
            <v>Register</v>
          </cell>
          <cell r="W588" t="str">
            <v>LG - TR</v>
          </cell>
          <cell r="X588" t="str">
            <v>Transportation - Logistics Transport
Logistics - Trucking</v>
          </cell>
          <cell r="Y588" t="str">
            <v/>
          </cell>
        </row>
        <row r="589">
          <cell r="B589" t="str">
            <v>Triputra Electric Abadi, PT</v>
          </cell>
          <cell r="C589" t="str">
            <v>sales@teatriputra.com; fitri.diharjo@teatriputra.com</v>
          </cell>
          <cell r="F589" t="str">
            <v>Jl. Aria Jaya Santika No. 9, Kel. Bojong, Kec. Cikupa</v>
          </cell>
          <cell r="G589" t="b">
            <v>0</v>
          </cell>
          <cell r="H589" t="b">
            <v>0</v>
          </cell>
          <cell r="I589" t="b">
            <v>0</v>
          </cell>
          <cell r="J589" t="b">
            <v>0</v>
          </cell>
          <cell r="K589" t="b">
            <v>0</v>
          </cell>
          <cell r="L589" t="b">
            <v>0</v>
          </cell>
          <cell r="M589" t="b">
            <v>1</v>
          </cell>
          <cell r="N589" t="b">
            <v>0</v>
          </cell>
          <cell r="O589" t="b">
            <v>0</v>
          </cell>
          <cell r="P589" t="b">
            <v>0</v>
          </cell>
          <cell r="Q589" t="b">
            <v>0</v>
          </cell>
          <cell r="R589" t="b">
            <v>0</v>
          </cell>
          <cell r="S589" t="b">
            <v>1</v>
          </cell>
          <cell r="T589" t="b">
            <v>0</v>
          </cell>
          <cell r="U589" t="str">
            <v>NA</v>
          </cell>
          <cell r="V589" t="str">
            <v>Register</v>
          </cell>
          <cell r="W589" t="str">
            <v/>
          </cell>
          <cell r="X589" t="str">
            <v>General Trading - Elektrical</v>
          </cell>
          <cell r="Y589" t="str">
            <v>Electrical</v>
          </cell>
        </row>
        <row r="590">
          <cell r="B590" t="str">
            <v>Kelompok Swadaya Masyarakat Pengelola TPS 3R</v>
          </cell>
          <cell r="C590" t="str">
            <v/>
          </cell>
          <cell r="D590" t="str">
            <v/>
          </cell>
          <cell r="E590" t="str">
            <v/>
          </cell>
          <cell r="F590" t="str">
            <v>Jl AMD Maluyang RT.013, Tanjung Selatan Mabuun, Kec. murung Pudak</v>
          </cell>
          <cell r="G590" t="str">
            <v>□</v>
          </cell>
          <cell r="H590" t="str">
            <v>□</v>
          </cell>
          <cell r="I590" t="str">
            <v>□</v>
          </cell>
          <cell r="J590" t="str">
            <v>□</v>
          </cell>
          <cell r="K590" t="str">
            <v>□</v>
          </cell>
          <cell r="L590" t="str">
            <v>□</v>
          </cell>
          <cell r="M590" t="str">
            <v>□</v>
          </cell>
          <cell r="N590" t="str">
            <v>□</v>
          </cell>
          <cell r="O590" t="str">
            <v>□</v>
          </cell>
          <cell r="P590" t="str">
            <v>□</v>
          </cell>
          <cell r="Q590" t="str">
            <v>□</v>
          </cell>
          <cell r="R590" t="str">
            <v>□</v>
          </cell>
          <cell r="S590" t="str">
            <v>□</v>
          </cell>
          <cell r="T590" t="str">
            <v>□</v>
          </cell>
          <cell r="U590" t="str">
            <v>NA</v>
          </cell>
          <cell r="V590" t="str">
            <v>No Register</v>
          </cell>
          <cell r="W590" t="str">
            <v/>
          </cell>
          <cell r="Y590" t="str">
            <v/>
          </cell>
        </row>
        <row r="591">
          <cell r="B591" t="str">
            <v>Jembo Cable Company Tbk, PT</v>
          </cell>
          <cell r="C591" t="str">
            <v>tjansufredy@jembo.com</v>
          </cell>
          <cell r="F591" t="str">
            <v>Jl. Pajajaran Kel. gandasaro, Kec Jatiuwung</v>
          </cell>
          <cell r="G591" t="b">
            <v>0</v>
          </cell>
          <cell r="H591" t="b">
            <v>0</v>
          </cell>
          <cell r="I591" t="b">
            <v>0</v>
          </cell>
          <cell r="J591" t="b">
            <v>0</v>
          </cell>
          <cell r="K591" t="b">
            <v>0</v>
          </cell>
          <cell r="L591" t="b">
            <v>0</v>
          </cell>
          <cell r="M591" t="b">
            <v>1</v>
          </cell>
          <cell r="N591" t="b">
            <v>0</v>
          </cell>
          <cell r="O591" t="b">
            <v>0</v>
          </cell>
          <cell r="P591" t="b">
            <v>0</v>
          </cell>
          <cell r="Q591" t="b">
            <v>0</v>
          </cell>
          <cell r="R591" t="b">
            <v>0</v>
          </cell>
          <cell r="S591" t="b">
            <v>1</v>
          </cell>
          <cell r="T591" t="b">
            <v>0</v>
          </cell>
          <cell r="U591" t="str">
            <v>NA</v>
          </cell>
          <cell r="V591" t="str">
            <v>Register</v>
          </cell>
          <cell r="W591" t="str">
            <v/>
          </cell>
          <cell r="X591" t="str">
            <v>General Trading - Elektrical</v>
          </cell>
          <cell r="Y591" t="str">
            <v>Electrical</v>
          </cell>
        </row>
        <row r="592">
          <cell r="B592" t="str">
            <v>Heksa Instrumen Sinergi, PT</v>
          </cell>
          <cell r="C592" t="str">
            <v>heksainstrumen@gmail.com</v>
          </cell>
          <cell r="D592" t="str">
            <v>Mega Raydena</v>
          </cell>
          <cell r="E592" t="str">
            <v>082119541990</v>
          </cell>
          <cell r="F592" t="str">
            <v>Jalan Raya Lingkar Selatan No. 10, Desa/Kelurahan Muncul, Kec. Setu</v>
          </cell>
          <cell r="G592" t="b">
            <v>0</v>
          </cell>
          <cell r="H592" t="b">
            <v>0</v>
          </cell>
          <cell r="I592" t="b">
            <v>0</v>
          </cell>
          <cell r="J592" t="b">
            <v>0</v>
          </cell>
          <cell r="K592" t="b">
            <v>0</v>
          </cell>
          <cell r="L592" t="b">
            <v>0</v>
          </cell>
          <cell r="M592" t="b">
            <v>0</v>
          </cell>
          <cell r="N592" t="b">
            <v>0</v>
          </cell>
          <cell r="O592" t="b">
            <v>0</v>
          </cell>
          <cell r="P592" t="b">
            <v>0</v>
          </cell>
          <cell r="Q592" t="b">
            <v>0</v>
          </cell>
          <cell r="R592" t="b">
            <v>0</v>
          </cell>
          <cell r="S592" t="b">
            <v>0</v>
          </cell>
          <cell r="T592" t="b">
            <v>0</v>
          </cell>
          <cell r="U592" t="str">
            <v>NA</v>
          </cell>
          <cell r="V592" t="str">
            <v>Register</v>
          </cell>
          <cell r="W592" t="str">
            <v/>
          </cell>
          <cell r="X592" t="str">
            <v>Service Jasa - Calibration / Testing</v>
          </cell>
          <cell r="Y592" t="str">
            <v>Fluke; calibration</v>
          </cell>
        </row>
        <row r="593">
          <cell r="B593" t="str">
            <v>Mytech Engineering, PT</v>
          </cell>
          <cell r="C593" t="str">
            <v>sales1@ptmytech-eng.co.id</v>
          </cell>
          <cell r="D593" t="str">
            <v>Meinar</v>
          </cell>
          <cell r="F593" t="str">
            <v>Gedung Eightyeight Kasablanka Office Tower LT 18 Unit A-H JL. Casablanca KAV.88, Kel. Menteng Dalam, Kec. Tebet</v>
          </cell>
          <cell r="G593" t="b">
            <v>1</v>
          </cell>
          <cell r="H593" t="b">
            <v>0</v>
          </cell>
          <cell r="I593" t="b">
            <v>0</v>
          </cell>
          <cell r="J593" t="b">
            <v>0</v>
          </cell>
          <cell r="K593" t="b">
            <v>0</v>
          </cell>
          <cell r="L593" t="b">
            <v>0</v>
          </cell>
          <cell r="M593" t="b">
            <v>0</v>
          </cell>
          <cell r="N593" t="b">
            <v>0</v>
          </cell>
          <cell r="O593" t="b">
            <v>0</v>
          </cell>
          <cell r="P593" t="b">
            <v>0</v>
          </cell>
          <cell r="Q593" t="b">
            <v>0</v>
          </cell>
          <cell r="R593" t="b">
            <v>0</v>
          </cell>
          <cell r="S593" t="b">
            <v>0</v>
          </cell>
          <cell r="T593" t="b">
            <v>0</v>
          </cell>
          <cell r="U593" t="str">
            <v>A</v>
          </cell>
          <cell r="V593" t="str">
            <v>Register</v>
          </cell>
          <cell r="W593" t="str">
            <v/>
          </cell>
          <cell r="X593" t="str">
            <v>Service Jasa - Electrical</v>
          </cell>
          <cell r="Y593" t="str">
            <v>Donalson
HVAC / pollution / pneumatic, bukan feeder LV</v>
          </cell>
        </row>
        <row r="594">
          <cell r="B594" t="str">
            <v>Restu Tanjung Permai Katering Servis, PT</v>
          </cell>
          <cell r="C594" t="str">
            <v>cv.rtp.catt@gmail.com; Henny.r2702@yahoo.com</v>
          </cell>
          <cell r="D594" t="str">
            <v>Risman</v>
          </cell>
          <cell r="E594" t="str">
            <v>08115030493</v>
          </cell>
          <cell r="F594" t="str">
            <v>JL.IR.P.H.M.Noor RT.007, Desa/Kelurahan Pembataan, Kec. Murung Pudak</v>
          </cell>
          <cell r="G594" t="b">
            <v>0</v>
          </cell>
          <cell r="H594" t="b">
            <v>0</v>
          </cell>
          <cell r="I594" t="b">
            <v>0</v>
          </cell>
          <cell r="J594" t="b">
            <v>0</v>
          </cell>
          <cell r="K594" t="b">
            <v>0</v>
          </cell>
          <cell r="L594" t="b">
            <v>0</v>
          </cell>
          <cell r="M594" t="b">
            <v>0</v>
          </cell>
          <cell r="N594" t="b">
            <v>0</v>
          </cell>
          <cell r="O594" t="b">
            <v>0</v>
          </cell>
          <cell r="P594" t="b">
            <v>1</v>
          </cell>
          <cell r="Q594" t="b">
            <v>0</v>
          </cell>
          <cell r="R594" t="b">
            <v>0</v>
          </cell>
          <cell r="S594" t="b">
            <v>0</v>
          </cell>
          <cell r="T594" t="b">
            <v>0</v>
          </cell>
          <cell r="U594" t="str">
            <v>NA</v>
          </cell>
          <cell r="V594" t="str">
            <v>Register</v>
          </cell>
          <cell r="W594" t="str">
            <v>SJ - EV</v>
          </cell>
          <cell r="X594" t="str">
            <v>Service Jasa - Event Organizer / Meal Service</v>
          </cell>
          <cell r="Y594" t="str">
            <v/>
          </cell>
        </row>
        <row r="595">
          <cell r="B595" t="str">
            <v>Adaro Persada Mandiri, PT</v>
          </cell>
          <cell r="C595" t="str">
            <v>noer.ikhsan.firdaus@adaro.com; andi.asnaedi@adaro.com; dwi.sari@adaro.com</v>
          </cell>
          <cell r="D595" t="str">
            <v/>
          </cell>
          <cell r="E595" t="str">
            <v/>
          </cell>
          <cell r="F595" t="str">
            <v>GD. Menara Karya Lt.18, JL. HR Rasuna Said blok X-5, Kav 1-2, Kuningan Timur, Setiabudi</v>
          </cell>
          <cell r="G595" t="b">
            <v>0</v>
          </cell>
          <cell r="H595" t="b">
            <v>0</v>
          </cell>
          <cell r="I595" t="b">
            <v>0</v>
          </cell>
          <cell r="J595" t="b">
            <v>0</v>
          </cell>
          <cell r="K595" t="b">
            <v>0</v>
          </cell>
          <cell r="L595" t="b">
            <v>0</v>
          </cell>
          <cell r="M595" t="b">
            <v>0</v>
          </cell>
          <cell r="N595" t="b">
            <v>0</v>
          </cell>
          <cell r="O595" t="b">
            <v>0</v>
          </cell>
          <cell r="P595" t="b">
            <v>0</v>
          </cell>
          <cell r="Q595" t="b">
            <v>0</v>
          </cell>
          <cell r="R595" t="b">
            <v>0</v>
          </cell>
          <cell r="S595" t="b">
            <v>1</v>
          </cell>
          <cell r="T595" t="b">
            <v>0</v>
          </cell>
          <cell r="U595" t="str">
            <v>NA</v>
          </cell>
          <cell r="V595" t="str">
            <v>Register</v>
          </cell>
          <cell r="W595" t="str">
            <v>SC</v>
          </cell>
          <cell r="X595" t="str">
            <v>Sister Company - Sewa gedung, Service, Consultant</v>
          </cell>
          <cell r="Y595" t="str">
            <v/>
          </cell>
        </row>
        <row r="596">
          <cell r="B596" t="str">
            <v>Altros Teknologi, PT</v>
          </cell>
          <cell r="C596" t="str">
            <v/>
          </cell>
          <cell r="D596" t="str">
            <v/>
          </cell>
          <cell r="E596" t="str">
            <v/>
          </cell>
          <cell r="F596" t="str">
            <v>Jl. Bandengan Selatan No. 43 Komplek Puri Delta Mas Blok I 41 Penjagalan, Penjaringan</v>
          </cell>
          <cell r="G596" t="b">
            <v>0</v>
          </cell>
          <cell r="H596" t="b">
            <v>0</v>
          </cell>
          <cell r="I596" t="b">
            <v>0</v>
          </cell>
          <cell r="J596" t="b">
            <v>0</v>
          </cell>
          <cell r="K596" t="b">
            <v>0</v>
          </cell>
          <cell r="L596" t="b">
            <v>1</v>
          </cell>
          <cell r="M596" t="b">
            <v>0</v>
          </cell>
          <cell r="N596" t="b">
            <v>0</v>
          </cell>
          <cell r="O596" t="b">
            <v>0</v>
          </cell>
          <cell r="P596" t="b">
            <v>0</v>
          </cell>
          <cell r="Q596" t="b">
            <v>0</v>
          </cell>
          <cell r="R596" t="b">
            <v>0</v>
          </cell>
          <cell r="S596" t="b">
            <v>0</v>
          </cell>
          <cell r="T596" t="b">
            <v>0</v>
          </cell>
          <cell r="U596" t="str">
            <v>NA</v>
          </cell>
          <cell r="V596" t="str">
            <v>Register</v>
          </cell>
          <cell r="W596" t="str">
            <v>IT</v>
          </cell>
          <cell r="X596" t="str">
            <v>IT &amp; System</v>
          </cell>
          <cell r="Y596" t="str">
            <v/>
          </cell>
        </row>
        <row r="597">
          <cell r="B597" t="str">
            <v>Password Ritel Sistem Indonesia, PT</v>
          </cell>
          <cell r="C597" t="str">
            <v>jacky.frans@password.co.id</v>
          </cell>
          <cell r="F597" t="str">
            <v>GD. Wisma 77 Lt.15, Jl. Let Jend. S. Parman Kav.77, Desa/Kelurahan Slipi, Kec. Pal Merah</v>
          </cell>
          <cell r="G597" t="b">
            <v>0</v>
          </cell>
          <cell r="H597" t="b">
            <v>0</v>
          </cell>
          <cell r="I597" t="b">
            <v>0</v>
          </cell>
          <cell r="J597" t="b">
            <v>0</v>
          </cell>
          <cell r="K597" t="b">
            <v>0</v>
          </cell>
          <cell r="L597" t="b">
            <v>1</v>
          </cell>
          <cell r="M597" t="b">
            <v>0</v>
          </cell>
          <cell r="N597" t="b">
            <v>0</v>
          </cell>
          <cell r="O597" t="b">
            <v>0</v>
          </cell>
          <cell r="P597" t="b">
            <v>0</v>
          </cell>
          <cell r="Q597" t="b">
            <v>0</v>
          </cell>
          <cell r="R597" t="b">
            <v>0</v>
          </cell>
          <cell r="S597" t="b">
            <v>0</v>
          </cell>
          <cell r="T597" t="b">
            <v>0</v>
          </cell>
          <cell r="U597" t="str">
            <v>NA</v>
          </cell>
          <cell r="V597" t="str">
            <v>Register</v>
          </cell>
          <cell r="W597" t="str">
            <v>IT</v>
          </cell>
          <cell r="X597" t="str">
            <v>IT &amp; System</v>
          </cell>
          <cell r="Y597" t="str">
            <v/>
          </cell>
        </row>
        <row r="598">
          <cell r="B598" t="str">
            <v>Hijau Muda Lestari, CV</v>
          </cell>
          <cell r="C598" t="str">
            <v/>
          </cell>
          <cell r="D598" t="str">
            <v/>
          </cell>
          <cell r="E598" t="str">
            <v/>
          </cell>
          <cell r="F598" t="str">
            <v>Jalan A.Yani Kilometer 35,5 Gang Purnama No.59, Kel. Komet, Kec. Banjarbaru Utara</v>
          </cell>
          <cell r="G598" t="b">
            <v>0</v>
          </cell>
          <cell r="H598" t="b">
            <v>0</v>
          </cell>
          <cell r="I598" t="b">
            <v>0</v>
          </cell>
          <cell r="J598" t="b">
            <v>0</v>
          </cell>
          <cell r="K598" t="b">
            <v>0</v>
          </cell>
          <cell r="L598" t="b">
            <v>0</v>
          </cell>
          <cell r="M598" t="b">
            <v>0</v>
          </cell>
          <cell r="N598" t="b">
            <v>0</v>
          </cell>
          <cell r="O598" t="b">
            <v>1</v>
          </cell>
          <cell r="P598" t="b">
            <v>0</v>
          </cell>
          <cell r="Q598" t="b">
            <v>0</v>
          </cell>
          <cell r="R598" t="b">
            <v>0</v>
          </cell>
          <cell r="S598" t="b">
            <v>0</v>
          </cell>
          <cell r="T598" t="b">
            <v>0</v>
          </cell>
          <cell r="U598" t="str">
            <v>NA</v>
          </cell>
          <cell r="V598" t="str">
            <v>Register</v>
          </cell>
          <cell r="W598" t="str">
            <v>SJ - EV</v>
          </cell>
          <cell r="X598" t="str">
            <v>Service Jasa - Event Organizer / Meal Service</v>
          </cell>
          <cell r="Y598" t="str">
            <v/>
          </cell>
        </row>
        <row r="599">
          <cell r="B599" t="str">
            <v>Sembilan Jaya Abadi Resources, PT</v>
          </cell>
          <cell r="C599" t="str">
            <v>tri.mariono@yahoo.com</v>
          </cell>
          <cell r="D599" t="str">
            <v>Tri</v>
          </cell>
          <cell r="E599" t="str">
            <v>081252414000</v>
          </cell>
          <cell r="F599" t="str">
            <v>JL. Pontianak 1 No. 41 RT. 010/ RW. 010, GKB, Gresik – Jawa Timur - 61151</v>
          </cell>
          <cell r="G599" t="b">
            <v>0</v>
          </cell>
          <cell r="H599" t="b">
            <v>0</v>
          </cell>
          <cell r="I599" t="b">
            <v>0</v>
          </cell>
          <cell r="J599" t="b">
            <v>0</v>
          </cell>
          <cell r="K599" t="b">
            <v>0</v>
          </cell>
          <cell r="L599" t="b">
            <v>0</v>
          </cell>
          <cell r="M599" t="b">
            <v>1</v>
          </cell>
          <cell r="N599" t="b">
            <v>0</v>
          </cell>
          <cell r="O599" t="b">
            <v>0</v>
          </cell>
          <cell r="P599" t="b">
            <v>0</v>
          </cell>
          <cell r="Q599" t="b">
            <v>0</v>
          </cell>
          <cell r="R599" t="b">
            <v>0</v>
          </cell>
          <cell r="S599" t="b">
            <v>1</v>
          </cell>
          <cell r="T599" t="b">
            <v>0</v>
          </cell>
          <cell r="U599" t="str">
            <v>A</v>
          </cell>
          <cell r="V599" t="str">
            <v>Register</v>
          </cell>
          <cell r="W599" t="str">
            <v>GT - ID</v>
          </cell>
          <cell r="X599" t="str">
            <v>General Trading - Industrial Goods</v>
          </cell>
          <cell r="Y599" t="str">
            <v>Limestone
Bed Material</v>
          </cell>
        </row>
        <row r="600">
          <cell r="B600" t="str">
            <v>Supra Surya Indonesia, PT</v>
          </cell>
          <cell r="C600" t="str">
            <v>daniel.ivan@pt-ssi.com</v>
          </cell>
          <cell r="D600" t="str">
            <v/>
          </cell>
          <cell r="E600" t="str">
            <v/>
          </cell>
          <cell r="F600" t="str">
            <v>Jl. Lingkar Timur KM.01, DS. Banjarsari, kec. Buduran</v>
          </cell>
          <cell r="G600" t="b">
            <v>0</v>
          </cell>
          <cell r="H600" t="b">
            <v>0</v>
          </cell>
          <cell r="I600" t="b">
            <v>0</v>
          </cell>
          <cell r="J600" t="b">
            <v>0</v>
          </cell>
          <cell r="K600" t="b">
            <v>0</v>
          </cell>
          <cell r="L600" t="b">
            <v>0</v>
          </cell>
          <cell r="M600" t="b">
            <v>0</v>
          </cell>
          <cell r="N600" t="b">
            <v>0</v>
          </cell>
          <cell r="O600" t="b">
            <v>0</v>
          </cell>
          <cell r="P600" t="b">
            <v>0</v>
          </cell>
          <cell r="Q600" t="b">
            <v>0</v>
          </cell>
          <cell r="R600" t="b">
            <v>0</v>
          </cell>
          <cell r="S600" t="b">
            <v>1</v>
          </cell>
          <cell r="T600" t="b">
            <v>0</v>
          </cell>
          <cell r="U600" t="str">
            <v>NA</v>
          </cell>
          <cell r="V600" t="str">
            <v>Register</v>
          </cell>
          <cell r="W600" t="str">
            <v/>
          </cell>
          <cell r="X600" t="str">
            <v>Transportation - Truck / Alat Berat Rental</v>
          </cell>
          <cell r="Y600" t="str">
            <v/>
          </cell>
        </row>
        <row r="601">
          <cell r="B601" t="str">
            <v>Envilab Indonesia, PT</v>
          </cell>
          <cell r="C601" t="str">
            <v>arini@envilab-id.com; dhifa@envilab-id.com; dian@envilab-id.com</v>
          </cell>
          <cell r="D601" t="str">
            <v>Arini</v>
          </cell>
          <cell r="E601" t="str">
            <v>085649111625; 085707476154</v>
          </cell>
          <cell r="F601" t="str">
            <v>Jalan Raya Manyar KM 11, Desa/Kelurahan Manyarejo, Kec. Manyar</v>
          </cell>
          <cell r="G601" t="b">
            <v>0</v>
          </cell>
          <cell r="H601" t="b">
            <v>0</v>
          </cell>
          <cell r="I601" t="b">
            <v>0</v>
          </cell>
          <cell r="J601" t="b">
            <v>0</v>
          </cell>
          <cell r="K601" t="b">
            <v>0</v>
          </cell>
          <cell r="L601" t="b">
            <v>0</v>
          </cell>
          <cell r="M601" t="b">
            <v>0</v>
          </cell>
          <cell r="N601" t="b">
            <v>0</v>
          </cell>
          <cell r="O601" t="b">
            <v>0</v>
          </cell>
          <cell r="P601" t="b">
            <v>0</v>
          </cell>
          <cell r="Q601" t="b">
            <v>0</v>
          </cell>
          <cell r="R601" t="b">
            <v>0</v>
          </cell>
          <cell r="S601" t="b">
            <v>0</v>
          </cell>
          <cell r="T601" t="b">
            <v>0</v>
          </cell>
          <cell r="U601" t="str">
            <v>NA</v>
          </cell>
          <cell r="V601" t="str">
            <v>Register</v>
          </cell>
          <cell r="W601" t="str">
            <v>ENV - IM</v>
          </cell>
          <cell r="X601" t="str">
            <v>Environment &amp; Compliance - Environmental Impact Monitoring</v>
          </cell>
          <cell r="Y601" t="str">
            <v/>
          </cell>
        </row>
        <row r="602">
          <cell r="B602" t="str">
            <v>Agape Trikarsa Libratama, PT</v>
          </cell>
          <cell r="C602" t="str">
            <v>retta@libratama.com; yandiekob@gmail.com; info@libratama.com</v>
          </cell>
          <cell r="D602" t="str">
            <v>Yandi; Retta</v>
          </cell>
          <cell r="E602" t="str">
            <v/>
          </cell>
          <cell r="F602" t="str">
            <v>JL. Puri Anjasmoro H 5/6, Desa/Kelurahan Tawangsari, Kec. Semarang Barat</v>
          </cell>
          <cell r="G602" t="b">
            <v>0</v>
          </cell>
          <cell r="H602" t="b">
            <v>1</v>
          </cell>
          <cell r="I602" t="b">
            <v>0</v>
          </cell>
          <cell r="J602" t="b">
            <v>0</v>
          </cell>
          <cell r="K602" t="b">
            <v>0</v>
          </cell>
          <cell r="L602" t="b">
            <v>0</v>
          </cell>
          <cell r="M602" t="b">
            <v>0</v>
          </cell>
          <cell r="N602" t="b">
            <v>0</v>
          </cell>
          <cell r="O602" t="b">
            <v>0</v>
          </cell>
          <cell r="P602" t="b">
            <v>0</v>
          </cell>
          <cell r="Q602" t="b">
            <v>0</v>
          </cell>
          <cell r="R602" t="b">
            <v>0</v>
          </cell>
          <cell r="S602" t="b">
            <v>0</v>
          </cell>
          <cell r="T602" t="b">
            <v>0</v>
          </cell>
          <cell r="U602" t="str">
            <v>NA</v>
          </cell>
          <cell r="V602" t="str">
            <v>Register</v>
          </cell>
          <cell r="W602" t="str">
            <v/>
          </cell>
          <cell r="X602" t="str">
            <v>Service Jasa - Mechanical</v>
          </cell>
          <cell r="Y602" t="str">
            <v>Purifikasi</v>
          </cell>
        </row>
        <row r="603">
          <cell r="B603" t="str">
            <v>Total Solusi Instrument, PT</v>
          </cell>
          <cell r="C603" t="str">
            <v>sales@ts-instrument.com; totalsolusi.instrument@gmail.com; william.pttsi@gmail.com; william@ts-instrument.com</v>
          </cell>
          <cell r="D603" t="str">
            <v>William, Herry</v>
          </cell>
          <cell r="E603" t="str">
            <v>081218657585; 081266639791</v>
          </cell>
          <cell r="F603" t="str">
            <v>Jl. Lingkar Timur Km. 4, Area Sawah, Desa/Kelurahan Kemiri, Kec. Sidoarjo</v>
          </cell>
          <cell r="G603" t="b">
            <v>0</v>
          </cell>
          <cell r="H603" t="b">
            <v>0</v>
          </cell>
          <cell r="I603" t="b">
            <v>0</v>
          </cell>
          <cell r="J603" t="b">
            <v>0</v>
          </cell>
          <cell r="K603" t="b">
            <v>0</v>
          </cell>
          <cell r="L603" t="b">
            <v>0</v>
          </cell>
          <cell r="M603" t="b">
            <v>1</v>
          </cell>
          <cell r="N603" t="b">
            <v>1</v>
          </cell>
          <cell r="O603" t="b">
            <v>0</v>
          </cell>
          <cell r="P603" t="b">
            <v>0</v>
          </cell>
          <cell r="Q603" t="b">
            <v>0</v>
          </cell>
          <cell r="R603" t="b">
            <v>0</v>
          </cell>
          <cell r="S603" t="b">
            <v>1</v>
          </cell>
          <cell r="T603" t="b">
            <v>0</v>
          </cell>
          <cell r="U603" t="str">
            <v>A</v>
          </cell>
          <cell r="V603" t="str">
            <v>Register</v>
          </cell>
          <cell r="W603" t="str">
            <v>GT - IC
SJ</v>
          </cell>
          <cell r="X603" t="str">
            <v>General Trading - Instrument
Service Jasa</v>
          </cell>
          <cell r="Y603" t="str">
            <v>Instrumentation, AUMA</v>
          </cell>
        </row>
        <row r="604">
          <cell r="B604" t="str">
            <v>DCN Indonesia, PT</v>
          </cell>
          <cell r="C604" t="str">
            <v>dcn_sda@yahoo.com</v>
          </cell>
          <cell r="D604" t="str">
            <v>Semedi</v>
          </cell>
          <cell r="F604" t="str">
            <v>Ruko Graha Anggrek Mas Blok A 25, Desa/Kelurahan Pagerwojo, Kec. Buduran</v>
          </cell>
          <cell r="G604" t="b">
            <v>0</v>
          </cell>
          <cell r="H604" t="b">
            <v>0</v>
          </cell>
          <cell r="I604" t="b">
            <v>0</v>
          </cell>
          <cell r="J604" t="b">
            <v>0</v>
          </cell>
          <cell r="K604" t="b">
            <v>0</v>
          </cell>
          <cell r="L604" t="b">
            <v>0</v>
          </cell>
          <cell r="M604" t="b">
            <v>1</v>
          </cell>
          <cell r="N604" t="b">
            <v>0</v>
          </cell>
          <cell r="O604" t="b">
            <v>0</v>
          </cell>
          <cell r="P604" t="b">
            <v>0</v>
          </cell>
          <cell r="Q604" t="b">
            <v>0</v>
          </cell>
          <cell r="R604" t="b">
            <v>0</v>
          </cell>
          <cell r="S604" t="b">
            <v>1</v>
          </cell>
          <cell r="T604" t="b">
            <v>0</v>
          </cell>
          <cell r="U604" t="str">
            <v>NA</v>
          </cell>
          <cell r="V604" t="str">
            <v>Register</v>
          </cell>
          <cell r="W604" t="str">
            <v/>
          </cell>
          <cell r="X604" t="str">
            <v>General Trading - Elektrical</v>
          </cell>
          <cell r="Y604" t="str">
            <v/>
          </cell>
        </row>
        <row r="605">
          <cell r="B605" t="str">
            <v>Elang Mas Indoasia, PT</v>
          </cell>
          <cell r="C605" t="str">
            <v>sales@elangmas.com</v>
          </cell>
          <cell r="D605" t="str">
            <v>Yelvia</v>
          </cell>
          <cell r="E605" t="str">
            <v>08111215525</v>
          </cell>
          <cell r="F605" t="str">
            <v>Citra Garden City Citra 6 Rukan Circle West Blok I 01 No.A.15, Kel. Pegadungan, Kec. Kalideres</v>
          </cell>
          <cell r="G605" t="b">
            <v>0</v>
          </cell>
          <cell r="H605" t="b">
            <v>0</v>
          </cell>
          <cell r="I605" t="b">
            <v>0</v>
          </cell>
          <cell r="J605" t="b">
            <v>0</v>
          </cell>
          <cell r="K605" t="b">
            <v>0</v>
          </cell>
          <cell r="L605" t="b">
            <v>0</v>
          </cell>
          <cell r="M605" t="b">
            <v>1</v>
          </cell>
          <cell r="N605" t="b">
            <v>0</v>
          </cell>
          <cell r="O605" t="b">
            <v>0</v>
          </cell>
          <cell r="P605" t="b">
            <v>0</v>
          </cell>
          <cell r="Q605" t="b">
            <v>0</v>
          </cell>
          <cell r="R605" t="b">
            <v>0</v>
          </cell>
          <cell r="S605" t="b">
            <v>1</v>
          </cell>
          <cell r="T605" t="b">
            <v>0</v>
          </cell>
          <cell r="U605" t="str">
            <v>A</v>
          </cell>
          <cell r="V605" t="str">
            <v>Register</v>
          </cell>
          <cell r="W605" t="str">
            <v>GT - IC</v>
          </cell>
          <cell r="X605" t="str">
            <v>General Trading - Elektrical
General Trading - Instrument</v>
          </cell>
          <cell r="Y605" t="str">
            <v/>
          </cell>
        </row>
        <row r="606">
          <cell r="B606" t="str">
            <v>Panca Aneka Niaga, PT</v>
          </cell>
          <cell r="C606" t="str">
            <v>bod@pancaanekaniaga.com</v>
          </cell>
          <cell r="F606" t="str">
            <v>BizpointI Boulecard GG Kav No R2/53, Desa/Kelurahan Sukamulya, Kec. Cikupa,</v>
          </cell>
          <cell r="G606" t="b">
            <v>0</v>
          </cell>
          <cell r="H606" t="b">
            <v>0</v>
          </cell>
          <cell r="I606" t="b">
            <v>0</v>
          </cell>
          <cell r="J606" t="b">
            <v>0</v>
          </cell>
          <cell r="K606" t="b">
            <v>0</v>
          </cell>
          <cell r="L606" t="b">
            <v>0</v>
          </cell>
          <cell r="M606" t="b">
            <v>1</v>
          </cell>
          <cell r="N606" t="b">
            <v>0</v>
          </cell>
          <cell r="O606" t="b">
            <v>0</v>
          </cell>
          <cell r="P606" t="b">
            <v>0</v>
          </cell>
          <cell r="Q606" t="b">
            <v>0</v>
          </cell>
          <cell r="R606" t="b">
            <v>0</v>
          </cell>
          <cell r="S606" t="b">
            <v>1</v>
          </cell>
          <cell r="T606" t="b">
            <v>0</v>
          </cell>
          <cell r="U606" t="str">
            <v>NA</v>
          </cell>
          <cell r="V606" t="str">
            <v>Register</v>
          </cell>
          <cell r="W606" t="str">
            <v>GT - ME</v>
          </cell>
          <cell r="X606" t="str">
            <v>General Trading - Mechanical</v>
          </cell>
          <cell r="Y606" t="str">
            <v>D Nord</v>
          </cell>
        </row>
        <row r="607">
          <cell r="B607" t="str">
            <v>Streamer Electrik Indonesia, PT</v>
          </cell>
          <cell r="C607" t="str">
            <v>office_jkt@streamer-electric.com; tonie.ferara@streamer-electric.com</v>
          </cell>
          <cell r="D607" t="str">
            <v>Tonie</v>
          </cell>
          <cell r="E607" t="str">
            <v>081285656057</v>
          </cell>
          <cell r="F607" t="str">
            <v>JL. Raya Tanjung Barat No. 155, Desa/Kelurahan Tanjung Barat, Kec. Jagakarsa</v>
          </cell>
          <cell r="G607" t="b">
            <v>0</v>
          </cell>
          <cell r="H607" t="b">
            <v>0</v>
          </cell>
          <cell r="I607" t="b">
            <v>0</v>
          </cell>
          <cell r="J607" t="b">
            <v>0</v>
          </cell>
          <cell r="K607" t="b">
            <v>0</v>
          </cell>
          <cell r="L607" t="b">
            <v>0</v>
          </cell>
          <cell r="M607" t="b">
            <v>1</v>
          </cell>
          <cell r="N607" t="b">
            <v>0</v>
          </cell>
          <cell r="O607" t="b">
            <v>0</v>
          </cell>
          <cell r="P607" t="b">
            <v>0</v>
          </cell>
          <cell r="Q607" t="b">
            <v>0</v>
          </cell>
          <cell r="R607" t="b">
            <v>0</v>
          </cell>
          <cell r="S607" t="b">
            <v>1</v>
          </cell>
          <cell r="T607" t="b">
            <v>0</v>
          </cell>
          <cell r="U607" t="str">
            <v>NA</v>
          </cell>
          <cell r="V607" t="str">
            <v>Register</v>
          </cell>
          <cell r="W607" t="str">
            <v>GT - IC</v>
          </cell>
          <cell r="X607" t="str">
            <v>General Trading - Instrument
General Trading - Elektrical</v>
          </cell>
          <cell r="Y607" t="str">
            <v>Electrical
Transec</v>
          </cell>
        </row>
        <row r="608">
          <cell r="B608" t="str">
            <v>Berkat Mandiri Utama Tanjung, PT</v>
          </cell>
          <cell r="C608" t="str">
            <v>berkatmandiriutamatanjung@gmail.com; aliansyahbmu@gmail.com; muhammadfazeri86@gmail.com; Anggriawan025@yahoo.com</v>
          </cell>
          <cell r="D608" t="str">
            <v>Aliansyah</v>
          </cell>
          <cell r="E608" t="str">
            <v>081351192131</v>
          </cell>
          <cell r="F608" t="str">
            <v>JL. IR. PHM NOOR, Desa/Kelurahan Pembataan, Kec. Murung Pudak</v>
          </cell>
          <cell r="G608" t="b">
            <v>0</v>
          </cell>
          <cell r="H608" t="b">
            <v>0</v>
          </cell>
          <cell r="I608" t="b">
            <v>0</v>
          </cell>
          <cell r="J608" t="b">
            <v>0</v>
          </cell>
          <cell r="K608" t="b">
            <v>0</v>
          </cell>
          <cell r="L608" t="b">
            <v>0</v>
          </cell>
          <cell r="M608" t="b">
            <v>0</v>
          </cell>
          <cell r="N608" t="b">
            <v>1</v>
          </cell>
          <cell r="O608" t="b">
            <v>0</v>
          </cell>
          <cell r="P608" t="b">
            <v>0</v>
          </cell>
          <cell r="Q608" t="b">
            <v>0</v>
          </cell>
          <cell r="R608" t="b">
            <v>0</v>
          </cell>
          <cell r="S608" t="b">
            <v>0</v>
          </cell>
          <cell r="T608" t="b">
            <v>0</v>
          </cell>
          <cell r="U608" t="str">
            <v>NA</v>
          </cell>
          <cell r="V608" t="str">
            <v>Register</v>
          </cell>
          <cell r="W608" t="str">
            <v/>
          </cell>
          <cell r="X608" t="str">
            <v>Service Jasa - Electrical
Service Jasa - Maintenance</v>
          </cell>
          <cell r="Y608" t="str">
            <v/>
          </cell>
        </row>
        <row r="609">
          <cell r="B609" t="str">
            <v>Dwi Surya Abadi Kharisma, PT</v>
          </cell>
          <cell r="C609" t="str">
            <v>prominent@ptdsak.com; fiswanto@yahoo.com; mkt_daskprom@cbn.net.id</v>
          </cell>
          <cell r="F609" t="str">
            <v>Jalan Tanah Abang II Nomor 121, Desa/Kelurahan Cideng, Kec. Gambir</v>
          </cell>
          <cell r="G609" t="b">
            <v>0</v>
          </cell>
          <cell r="H609" t="b">
            <v>0</v>
          </cell>
          <cell r="I609" t="b">
            <v>0</v>
          </cell>
          <cell r="J609" t="b">
            <v>0</v>
          </cell>
          <cell r="K609" t="b">
            <v>0</v>
          </cell>
          <cell r="L609" t="b">
            <v>0</v>
          </cell>
          <cell r="M609" t="b">
            <v>1</v>
          </cell>
          <cell r="N609" t="b">
            <v>0</v>
          </cell>
          <cell r="O609" t="b">
            <v>0</v>
          </cell>
          <cell r="P609" t="b">
            <v>0</v>
          </cell>
          <cell r="Q609" t="b">
            <v>0</v>
          </cell>
          <cell r="R609" t="b">
            <v>0</v>
          </cell>
          <cell r="S609" t="b">
            <v>1</v>
          </cell>
          <cell r="T609" t="b">
            <v>0</v>
          </cell>
          <cell r="U609" t="str">
            <v>NA</v>
          </cell>
          <cell r="V609" t="str">
            <v>Register</v>
          </cell>
          <cell r="W609" t="str">
            <v>GT - ME</v>
          </cell>
          <cell r="X609" t="str">
            <v>General Trading - Mechanical</v>
          </cell>
          <cell r="Y609" t="str">
            <v>Prominent</v>
          </cell>
        </row>
        <row r="610">
          <cell r="B610" t="str">
            <v>CBC Indonesia, PT</v>
          </cell>
          <cell r="C610" t="str">
            <v>indosales@cbc-indonesia.com; arfinance@conbear.com; haristiono.sarnadi@conbear.com; muhammad.akbar@conbear.com; muhammad.marwan@conbear.com; sales@conbear.com</v>
          </cell>
          <cell r="F610" t="str">
            <v>Secure Building Blok C - Jalan Raya Protocol Halim Perdana Kusuma, Desa/Kelurahan Halim Perdana Kusuma, Kec. Makasar</v>
          </cell>
          <cell r="G610" t="b">
            <v>0</v>
          </cell>
          <cell r="H610" t="b">
            <v>0</v>
          </cell>
          <cell r="I610" t="b">
            <v>0</v>
          </cell>
          <cell r="J610" t="b">
            <v>0</v>
          </cell>
          <cell r="K610" t="b">
            <v>0</v>
          </cell>
          <cell r="L610" t="b">
            <v>0</v>
          </cell>
          <cell r="M610" t="b">
            <v>1</v>
          </cell>
          <cell r="N610" t="b">
            <v>0</v>
          </cell>
          <cell r="O610" t="b">
            <v>0</v>
          </cell>
          <cell r="P610" t="b">
            <v>0</v>
          </cell>
          <cell r="Q610" t="b">
            <v>0</v>
          </cell>
          <cell r="R610" t="b">
            <v>0</v>
          </cell>
          <cell r="S610" t="b">
            <v>1</v>
          </cell>
          <cell r="T610" t="b">
            <v>0</v>
          </cell>
          <cell r="U610" t="str">
            <v>NA</v>
          </cell>
          <cell r="V610" t="str">
            <v>Register</v>
          </cell>
          <cell r="W610" t="str">
            <v>GT - ME</v>
          </cell>
          <cell r="X610" t="str">
            <v>General Trading - Mechanical</v>
          </cell>
          <cell r="Y610" t="str">
            <v>Coupling
Fenrer Autho</v>
          </cell>
        </row>
        <row r="611">
          <cell r="B611" t="str">
            <v>Artam Borneo Automatika, PT</v>
          </cell>
          <cell r="C611" t="str">
            <v>sales@artam.co.id; arie@artam.co.id; inquiry@artam.co.id; artamborneo@gmail.com; alfian.hambali@artam.co.id; sales.bpn@artam.co.id</v>
          </cell>
          <cell r="D611" t="str">
            <v>Alfian</v>
          </cell>
          <cell r="E611" t="str">
            <v>081145505477</v>
          </cell>
          <cell r="F611" t="str">
            <v>JL. 21 Januari No. 05 RT. 47 Kel. Baru Tengah</v>
          </cell>
          <cell r="G611" t="b">
            <v>0</v>
          </cell>
          <cell r="H611" t="b">
            <v>0</v>
          </cell>
          <cell r="I611" t="b">
            <v>0</v>
          </cell>
          <cell r="J611" t="b">
            <v>0</v>
          </cell>
          <cell r="K611" t="b">
            <v>0</v>
          </cell>
          <cell r="L611" t="b">
            <v>0</v>
          </cell>
          <cell r="M611" t="b">
            <v>1</v>
          </cell>
          <cell r="N611" t="b">
            <v>0</v>
          </cell>
          <cell r="O611" t="b">
            <v>0</v>
          </cell>
          <cell r="P611" t="b">
            <v>0</v>
          </cell>
          <cell r="Q611" t="b">
            <v>0</v>
          </cell>
          <cell r="R611" t="b">
            <v>0</v>
          </cell>
          <cell r="S611" t="b">
            <v>1</v>
          </cell>
          <cell r="T611" t="b">
            <v>0</v>
          </cell>
          <cell r="U611" t="str">
            <v>A</v>
          </cell>
          <cell r="V611" t="str">
            <v>Register</v>
          </cell>
          <cell r="W611" t="str">
            <v>GT - ME
GT - IC</v>
          </cell>
          <cell r="X611" t="str">
            <v>General Trading - Mechanical
General Trading - Instrument</v>
          </cell>
          <cell r="Y611" t="str">
            <v>Mechanical, KSB valve, Procon</v>
          </cell>
        </row>
        <row r="612">
          <cell r="B612" t="str">
            <v>Wiratama Sistem Integrasi, PT</v>
          </cell>
          <cell r="C612" t="str">
            <v>nuii@wsi.co.id; wisnu@wsi.co.id; laili@wsi.co.id</v>
          </cell>
          <cell r="F612" t="str">
            <v>Gedung Cimahi Technopark (BITC) Lt. 2 Ruang 1, Jl. H.M.S Mintaredja No. 78 , Desa/Kelurahan Baros, Kec. Cimahi Tengah</v>
          </cell>
          <cell r="G612" t="b">
            <v>0</v>
          </cell>
          <cell r="H612" t="b">
            <v>1</v>
          </cell>
          <cell r="I612" t="b">
            <v>0</v>
          </cell>
          <cell r="J612" t="b">
            <v>0</v>
          </cell>
          <cell r="K612" t="b">
            <v>0</v>
          </cell>
          <cell r="L612" t="b">
            <v>0</v>
          </cell>
          <cell r="M612" t="b">
            <v>1</v>
          </cell>
          <cell r="N612" t="b">
            <v>1</v>
          </cell>
          <cell r="O612" t="b">
            <v>0</v>
          </cell>
          <cell r="P612" t="b">
            <v>0</v>
          </cell>
          <cell r="Q612" t="b">
            <v>0</v>
          </cell>
          <cell r="R612" t="b">
            <v>0</v>
          </cell>
          <cell r="S612" t="b">
            <v>1</v>
          </cell>
          <cell r="T612" t="b">
            <v>0</v>
          </cell>
          <cell r="U612" t="str">
            <v>NA</v>
          </cell>
          <cell r="V612" t="str">
            <v>No Register</v>
          </cell>
          <cell r="W612" t="str">
            <v>GT - SP</v>
          </cell>
          <cell r="X612" t="str">
            <v>General Trading - Sparepart
Construction - Electrical</v>
          </cell>
          <cell r="Y612" t="str">
            <v/>
          </cell>
        </row>
        <row r="613">
          <cell r="B613" t="str">
            <v>Dankha Dian Kurnia, PT</v>
          </cell>
          <cell r="C613" t="str">
            <v>alzanzea.ysf@gmail.com; dankha.diankurnia@gmail.com; fekawardani999@gmail.com; melindasepti50@gmail.com</v>
          </cell>
          <cell r="D613" t="str">
            <v>Muhammad Yusuf</v>
          </cell>
          <cell r="E613" t="str">
            <v>081347243111; 081340763307</v>
          </cell>
          <cell r="F613" t="str">
            <v>Jl. Rambai Tengah No. 92, Desa/Kelurahan Guntung Paikat, Kec. Banjarbaru Selatan</v>
          </cell>
          <cell r="G613" t="b">
            <v>0</v>
          </cell>
          <cell r="H613" t="b">
            <v>0</v>
          </cell>
          <cell r="I613" t="b">
            <v>0</v>
          </cell>
          <cell r="J613" t="b">
            <v>0</v>
          </cell>
          <cell r="K613" t="b">
            <v>0</v>
          </cell>
          <cell r="L613" t="b">
            <v>0</v>
          </cell>
          <cell r="M613" t="b">
            <v>0</v>
          </cell>
          <cell r="N613" t="b">
            <v>0</v>
          </cell>
          <cell r="O613" t="b">
            <v>0</v>
          </cell>
          <cell r="P613" t="b">
            <v>0</v>
          </cell>
          <cell r="Q613" t="b">
            <v>0</v>
          </cell>
          <cell r="R613" t="b">
            <v>0</v>
          </cell>
          <cell r="S613" t="b">
            <v>0</v>
          </cell>
          <cell r="T613" t="b">
            <v>0</v>
          </cell>
          <cell r="U613" t="str">
            <v>NA</v>
          </cell>
          <cell r="V613" t="str">
            <v>Register</v>
          </cell>
          <cell r="W613" t="str">
            <v/>
          </cell>
          <cell r="X613" t="str">
            <v>Service Jasa - Calibration / Testing</v>
          </cell>
          <cell r="Y613" t="str">
            <v/>
          </cell>
        </row>
        <row r="614">
          <cell r="B614" t="str">
            <v>ITS Science Indonesia, PT</v>
          </cell>
          <cell r="C614" t="str">
            <v>info@its-indonesia.com</v>
          </cell>
          <cell r="F614" t="str">
            <v>JI. Boulevard Artha Gading, Sentra Bisnis Artha Gading Blok A-6A, No. 3 &amp; 5, Kelapa Gading</v>
          </cell>
          <cell r="G614" t="b">
            <v>0</v>
          </cell>
          <cell r="H614" t="b">
            <v>0</v>
          </cell>
          <cell r="I614" t="b">
            <v>0</v>
          </cell>
          <cell r="J614" t="b">
            <v>0</v>
          </cell>
          <cell r="K614" t="b">
            <v>1</v>
          </cell>
          <cell r="L614" t="b">
            <v>0</v>
          </cell>
          <cell r="M614" t="b">
            <v>1</v>
          </cell>
          <cell r="N614" t="b">
            <v>0</v>
          </cell>
          <cell r="O614" t="b">
            <v>0</v>
          </cell>
          <cell r="P614" t="b">
            <v>0</v>
          </cell>
          <cell r="Q614" t="b">
            <v>0</v>
          </cell>
          <cell r="R614" t="b">
            <v>0</v>
          </cell>
          <cell r="S614" t="b">
            <v>1</v>
          </cell>
          <cell r="T614" t="b">
            <v>0</v>
          </cell>
          <cell r="U614" t="str">
            <v>NA</v>
          </cell>
          <cell r="V614" t="str">
            <v>Register</v>
          </cell>
          <cell r="W614" t="str">
            <v>GT - CHE</v>
          </cell>
          <cell r="X614" t="str">
            <v>General Trading - Chemical</v>
          </cell>
          <cell r="Y614" t="str">
            <v/>
          </cell>
        </row>
        <row r="615">
          <cell r="B615" t="str">
            <v>Graha Survei Indonesia, PT</v>
          </cell>
          <cell r="C615" t="str">
            <v>info@grahasurvei.com; leo.mahardhika@grahasurvei.com; andi.sumantri@grahasurvei.com</v>
          </cell>
          <cell r="D615" t="str">
            <v>Leo</v>
          </cell>
          <cell r="E615" t="str">
            <v>087711167836</v>
          </cell>
          <cell r="F615" t="str">
            <v>Ruko Victoria Park Blok A2 No.30, Desa/Kelurahan Bojong Jaya, Kec  Karawaci</v>
          </cell>
          <cell r="G615" t="b">
            <v>0</v>
          </cell>
          <cell r="H615" t="b">
            <v>0</v>
          </cell>
          <cell r="I615" t="b">
            <v>0</v>
          </cell>
          <cell r="J615" t="b">
            <v>0</v>
          </cell>
          <cell r="K615" t="b">
            <v>0</v>
          </cell>
          <cell r="L615" t="b">
            <v>0</v>
          </cell>
          <cell r="M615" t="b">
            <v>0</v>
          </cell>
          <cell r="N615" t="b">
            <v>0</v>
          </cell>
          <cell r="O615" t="b">
            <v>1</v>
          </cell>
          <cell r="P615" t="b">
            <v>0</v>
          </cell>
          <cell r="Q615" t="b">
            <v>0</v>
          </cell>
          <cell r="R615" t="b">
            <v>0</v>
          </cell>
          <cell r="S615" t="b">
            <v>0</v>
          </cell>
          <cell r="T615" t="b">
            <v>0</v>
          </cell>
          <cell r="U615" t="str">
            <v>NA</v>
          </cell>
          <cell r="V615" t="str">
            <v>Register</v>
          </cell>
          <cell r="W615" t="str">
            <v>PR - CS</v>
          </cell>
          <cell r="X615" t="str">
            <v>Professional Services - Consulting</v>
          </cell>
          <cell r="Y615" t="str">
            <v>Structural forensic consultant, pengujian struktur, NDT struktur beton/baja, assessment gedung/jembatan/jetty/fasilitas industri</v>
          </cell>
        </row>
        <row r="616">
          <cell r="B616" t="str">
            <v>Wahana Ciptasinatria, PT</v>
          </cell>
          <cell r="C616" t="str">
            <v>nursugianto@wsc.co.id</v>
          </cell>
          <cell r="D616" t="str">
            <v>Anto</v>
          </cell>
          <cell r="E616" t="str">
            <v>081383270771</v>
          </cell>
          <cell r="F616" t="str">
            <v>Delta Building Blok A 4-9, Jalan Suryopranoto Nomor 1-9 , Kel. Petojo Selatan, Kec. Gambir,</v>
          </cell>
          <cell r="G616" t="b">
            <v>0</v>
          </cell>
          <cell r="H616" t="b">
            <v>0</v>
          </cell>
          <cell r="I616" t="b">
            <v>0</v>
          </cell>
          <cell r="J616" t="b">
            <v>0</v>
          </cell>
          <cell r="K616" t="b">
            <v>0</v>
          </cell>
          <cell r="L616" t="b">
            <v>1</v>
          </cell>
          <cell r="M616" t="b">
            <v>0</v>
          </cell>
          <cell r="N616" t="b">
            <v>0</v>
          </cell>
          <cell r="O616" t="b">
            <v>0</v>
          </cell>
          <cell r="P616" t="b">
            <v>0</v>
          </cell>
          <cell r="Q616" t="b">
            <v>0</v>
          </cell>
          <cell r="R616" t="b">
            <v>0</v>
          </cell>
          <cell r="S616" t="b">
            <v>0</v>
          </cell>
          <cell r="T616" t="b">
            <v>0</v>
          </cell>
          <cell r="U616" t="str">
            <v>NA</v>
          </cell>
          <cell r="V616" t="str">
            <v>Register</v>
          </cell>
          <cell r="W616" t="str">
            <v>IT - HW</v>
          </cell>
          <cell r="X616" t="str">
            <v>IT &amp; System - Hardware</v>
          </cell>
          <cell r="Y616" t="str">
            <v/>
          </cell>
        </row>
        <row r="617">
          <cell r="B617" t="str">
            <v>Riyana Dinamika Mandiri, PT</v>
          </cell>
          <cell r="C617" t="str">
            <v>rifky.ballas@ptriyana.com</v>
          </cell>
          <cell r="D617" t="str">
            <v>Rifky</v>
          </cell>
          <cell r="E617" t="str">
            <v>081133320075</v>
          </cell>
          <cell r="F617" t="str">
            <v>Jl. Ahmad Yani Gang Anggar 6 Nomor 50, RT.009, Desa/Kelurahan Api-api, Kec. Bontang Utara</v>
          </cell>
          <cell r="G617" t="b">
            <v>0</v>
          </cell>
          <cell r="H617" t="b">
            <v>0</v>
          </cell>
          <cell r="I617" t="b">
            <v>0</v>
          </cell>
          <cell r="J617" t="b">
            <v>0</v>
          </cell>
          <cell r="K617" t="b">
            <v>0</v>
          </cell>
          <cell r="L617" t="b">
            <v>0</v>
          </cell>
          <cell r="M617" t="b">
            <v>1</v>
          </cell>
          <cell r="N617" t="b">
            <v>0</v>
          </cell>
          <cell r="O617" t="b">
            <v>0</v>
          </cell>
          <cell r="P617" t="b">
            <v>0</v>
          </cell>
          <cell r="Q617" t="b">
            <v>0</v>
          </cell>
          <cell r="R617" t="b">
            <v>0</v>
          </cell>
          <cell r="S617" t="b">
            <v>1</v>
          </cell>
          <cell r="T617" t="b">
            <v>0</v>
          </cell>
          <cell r="U617" t="str">
            <v>A</v>
          </cell>
          <cell r="V617" t="str">
            <v>Register</v>
          </cell>
          <cell r="W617" t="str">
            <v>GT - IC</v>
          </cell>
          <cell r="X617" t="str">
            <v>General Trading - Instrument
General Trading - Elektrical</v>
          </cell>
          <cell r="Y617" t="str">
            <v/>
          </cell>
        </row>
        <row r="618">
          <cell r="B618" t="str">
            <v>Emkaha, PT</v>
          </cell>
          <cell r="C618" t="str">
            <v>narto.emkaha@gmail.com; Mukhlis.emkaha@gmail.com</v>
          </cell>
          <cell r="D618" t="str">
            <v>Sunarto</v>
          </cell>
          <cell r="E618" t="str">
            <v>081295373198</v>
          </cell>
          <cell r="F618" t="str">
            <v>Ruko Buaran Permai, JL. Puspiptek Raya Kav. 10 Blok A No. 10, Desa/Kelurahan Buaran, Kec. Serpong</v>
          </cell>
          <cell r="G618" t="b">
            <v>1</v>
          </cell>
          <cell r="H618" t="b">
            <v>1</v>
          </cell>
          <cell r="I618" t="b">
            <v>1</v>
          </cell>
          <cell r="J618" t="b">
            <v>0</v>
          </cell>
          <cell r="K618" t="b">
            <v>0</v>
          </cell>
          <cell r="L618" t="b">
            <v>0</v>
          </cell>
          <cell r="M618" t="b">
            <v>0</v>
          </cell>
          <cell r="N618" t="b">
            <v>1</v>
          </cell>
          <cell r="O618" t="b">
            <v>0</v>
          </cell>
          <cell r="P618" t="b">
            <v>0</v>
          </cell>
          <cell r="Q618" t="b">
            <v>0</v>
          </cell>
          <cell r="R618" t="b">
            <v>0</v>
          </cell>
          <cell r="S618" t="b">
            <v>0</v>
          </cell>
          <cell r="T618" t="b">
            <v>0</v>
          </cell>
          <cell r="U618" t="str">
            <v>A</v>
          </cell>
          <cell r="V618" t="str">
            <v>Register</v>
          </cell>
          <cell r="W618" t="str">
            <v/>
          </cell>
          <cell r="X618" t="str">
            <v>Service Jasa - Electrical
Service Jasa - Instrument</v>
          </cell>
          <cell r="Y618" t="str">
            <v>Elec Low Voltage Switchboard
ME Genset
Eng Services</v>
          </cell>
        </row>
        <row r="619">
          <cell r="B619" t="str">
            <v>Triatra Sinergi Pratama, PT</v>
          </cell>
          <cell r="C619" t="str">
            <v>reza.octap@triatra.co.id</v>
          </cell>
          <cell r="D619" t="str">
            <v>Reza Octaprasetya Permadi</v>
          </cell>
          <cell r="E619" t="str">
            <v>082214165958</v>
          </cell>
          <cell r="F619" t="str">
            <v>Gedung United Tractors New Building (UTNB), Lt 3A, Jl Raya Bekasi Km.22, Cakung, Jakarta Timur 13910, Desa/Kelurahan Cakung Barat, Kec. Cakung</v>
          </cell>
          <cell r="G619" t="b">
            <v>0</v>
          </cell>
          <cell r="H619" t="b">
            <v>0</v>
          </cell>
          <cell r="I619" t="b">
            <v>0</v>
          </cell>
          <cell r="J619" t="b">
            <v>0</v>
          </cell>
          <cell r="K619" t="b">
            <v>0</v>
          </cell>
          <cell r="L619" t="b">
            <v>0</v>
          </cell>
          <cell r="M619" t="b">
            <v>1</v>
          </cell>
          <cell r="N619" t="b">
            <v>0</v>
          </cell>
          <cell r="O619" t="b">
            <v>0</v>
          </cell>
          <cell r="P619" t="b">
            <v>0</v>
          </cell>
          <cell r="Q619" t="b">
            <v>0</v>
          </cell>
          <cell r="R619" t="b">
            <v>0</v>
          </cell>
          <cell r="S619" t="b">
            <v>0</v>
          </cell>
          <cell r="T619" t="b">
            <v>0</v>
          </cell>
          <cell r="U619" t="str">
            <v>NA</v>
          </cell>
          <cell r="V619" t="str">
            <v>Register</v>
          </cell>
          <cell r="W619" t="str">
            <v>GT - SP</v>
          </cell>
          <cell r="X619" t="str">
            <v>General Trading - Sparepart</v>
          </cell>
          <cell r="Y619" t="str">
            <v>Heavy Equipment</v>
          </cell>
        </row>
        <row r="620">
          <cell r="B620" t="str">
            <v>Adaro Mining Technologies, PT</v>
          </cell>
          <cell r="C620" t="str">
            <v/>
          </cell>
          <cell r="D620" t="str">
            <v/>
          </cell>
          <cell r="E620" t="str">
            <v/>
          </cell>
          <cell r="F620" t="str">
            <v>Gedung Cyber 2 Tower Lantai 3. JL. HR Rasuna Said Blok X-5 No. 13, Kuningan Timur, Setiabudi</v>
          </cell>
          <cell r="G620" t="b">
            <v>0</v>
          </cell>
          <cell r="H620" t="b">
            <v>0</v>
          </cell>
          <cell r="I620" t="b">
            <v>0</v>
          </cell>
          <cell r="J620" t="b">
            <v>0</v>
          </cell>
          <cell r="K620" t="b">
            <v>0</v>
          </cell>
          <cell r="L620" t="b">
            <v>0</v>
          </cell>
          <cell r="M620" t="b">
            <v>0</v>
          </cell>
          <cell r="N620" t="b">
            <v>0</v>
          </cell>
          <cell r="O620" t="b">
            <v>0</v>
          </cell>
          <cell r="P620" t="b">
            <v>0</v>
          </cell>
          <cell r="Q620" t="b">
            <v>0</v>
          </cell>
          <cell r="R620" t="b">
            <v>0</v>
          </cell>
          <cell r="S620" t="b">
            <v>1</v>
          </cell>
          <cell r="T620" t="b">
            <v>0</v>
          </cell>
          <cell r="U620" t="str">
            <v>NA</v>
          </cell>
          <cell r="V620" t="str">
            <v>Register</v>
          </cell>
          <cell r="W620" t="str">
            <v>SC</v>
          </cell>
          <cell r="X620" t="str">
            <v>Sister Company - Sewa gedung, Service, Consultant</v>
          </cell>
          <cell r="Y620" t="str">
            <v/>
          </cell>
        </row>
        <row r="621">
          <cell r="B621" t="str">
            <v>Eksperta Adi Manusia, PT</v>
          </cell>
          <cell r="C621" t="str">
            <v>info@eksperta.co.id; salwa@eksperta.co.id; salwamalika23@gmail.com</v>
          </cell>
          <cell r="D621" t="str">
            <v>Dela/Salwa</v>
          </cell>
          <cell r="E621" t="str">
            <v>08118876667; 083812699288</v>
          </cell>
          <cell r="F621" t="str">
            <v>Ruko Boulevard Tekno G15 Jl Raya Tekno Widya , Desa/Kelurahan Setu, Kec. Setu</v>
          </cell>
          <cell r="G621" t="b">
            <v>0</v>
          </cell>
          <cell r="H621" t="b">
            <v>0</v>
          </cell>
          <cell r="I621" t="b">
            <v>0</v>
          </cell>
          <cell r="J621" t="b">
            <v>0</v>
          </cell>
          <cell r="K621" t="b">
            <v>0</v>
          </cell>
          <cell r="L621" t="b">
            <v>0</v>
          </cell>
          <cell r="M621" t="b">
            <v>0</v>
          </cell>
          <cell r="N621" t="b">
            <v>0</v>
          </cell>
          <cell r="O621" t="b">
            <v>1</v>
          </cell>
          <cell r="P621" t="b">
            <v>0</v>
          </cell>
          <cell r="Q621" t="b">
            <v>0</v>
          </cell>
          <cell r="R621" t="b">
            <v>0</v>
          </cell>
          <cell r="S621" t="b">
            <v>0</v>
          </cell>
          <cell r="T621" t="b">
            <v>0</v>
          </cell>
          <cell r="U621" t="str">
            <v>NA</v>
          </cell>
          <cell r="V621" t="str">
            <v>No Register</v>
          </cell>
          <cell r="W621" t="str">
            <v/>
          </cell>
          <cell r="Y621" t="str">
            <v>Consult</v>
          </cell>
        </row>
        <row r="622">
          <cell r="B622" t="str">
            <v>Andalan Mutu Energi, PT</v>
          </cell>
          <cell r="C622" t="str">
            <v>teknik@ptame.co.id</v>
          </cell>
          <cell r="F622" t="str">
            <v>JL.Palem Raya No 6-8, Kel. Jatisari, Kec. Buahbatu</v>
          </cell>
          <cell r="G622" t="b">
            <v>0</v>
          </cell>
          <cell r="H622" t="b">
            <v>0</v>
          </cell>
          <cell r="I622" t="b">
            <v>0</v>
          </cell>
          <cell r="J622" t="b">
            <v>0</v>
          </cell>
          <cell r="K622" t="b">
            <v>0</v>
          </cell>
          <cell r="L622" t="b">
            <v>0</v>
          </cell>
          <cell r="M622" t="b">
            <v>0</v>
          </cell>
          <cell r="N622" t="b">
            <v>0</v>
          </cell>
          <cell r="O622" t="b">
            <v>1</v>
          </cell>
          <cell r="P622" t="b">
            <v>0</v>
          </cell>
          <cell r="Q622" t="b">
            <v>0</v>
          </cell>
          <cell r="R622" t="b">
            <v>0</v>
          </cell>
          <cell r="S622" t="b">
            <v>0</v>
          </cell>
          <cell r="T622" t="b">
            <v>0</v>
          </cell>
          <cell r="U622" t="str">
            <v>NA</v>
          </cell>
          <cell r="V622" t="str">
            <v>Register</v>
          </cell>
          <cell r="W622" t="str">
            <v>PR - CS</v>
          </cell>
          <cell r="X622" t="str">
            <v>Professional Services - Consulting</v>
          </cell>
          <cell r="Y622" t="str">
            <v>Lembaga inspeksi teknik ketenagalistrikan, pemeriksaan &amp; pengujian instalasi tenaga listrik, SLO</v>
          </cell>
        </row>
        <row r="623">
          <cell r="B623" t="str">
            <v>ATW Sejahtera, PT</v>
          </cell>
          <cell r="C623" t="str">
            <v>yabes.supit@trinasolar.com; putu.trisna@atw-sejahtera.com</v>
          </cell>
          <cell r="F623" t="str">
            <v>Ruko Dharmawangsa No 31, Jl. Dharmawangsa VI, RT.005/001, Desa/Kelurahan Pulo, Kec. Kebayoran Baru</v>
          </cell>
          <cell r="G623" t="b">
            <v>0</v>
          </cell>
          <cell r="H623" t="b">
            <v>1</v>
          </cell>
          <cell r="I623" t="b">
            <v>0</v>
          </cell>
          <cell r="J623" t="b">
            <v>0</v>
          </cell>
          <cell r="K623" t="b">
            <v>0</v>
          </cell>
          <cell r="L623" t="b">
            <v>0</v>
          </cell>
          <cell r="M623" t="b">
            <v>0</v>
          </cell>
          <cell r="N623" t="b">
            <v>1</v>
          </cell>
          <cell r="O623" t="b">
            <v>0</v>
          </cell>
          <cell r="P623" t="b">
            <v>0</v>
          </cell>
          <cell r="Q623" t="b">
            <v>0</v>
          </cell>
          <cell r="R623" t="b">
            <v>0</v>
          </cell>
          <cell r="S623" t="b">
            <v>0</v>
          </cell>
          <cell r="T623" t="b">
            <v>0</v>
          </cell>
          <cell r="U623" t="str">
            <v>NA</v>
          </cell>
          <cell r="V623" t="str">
            <v>Register</v>
          </cell>
          <cell r="W623" t="str">
            <v/>
          </cell>
          <cell r="X623" t="str">
            <v>Service Jasa - Maintenance</v>
          </cell>
          <cell r="Y623" t="str">
            <v/>
          </cell>
        </row>
        <row r="624">
          <cell r="B624" t="str">
            <v>Teco Multiguna Elektro, PT</v>
          </cell>
          <cell r="C624" t="str">
            <v>helmi@teco.id</v>
          </cell>
          <cell r="D624" t="str">
            <v>Helmi Adma yuwono</v>
          </cell>
          <cell r="E624" t="str">
            <v>081211534761</v>
          </cell>
          <cell r="F624" t="str">
            <v>JL. Bandengan Utara NO. 83/1-2-3, Desa/Kelurahan Penjaringan, Kec. Penjaringan</v>
          </cell>
          <cell r="G624" t="b">
            <v>0</v>
          </cell>
          <cell r="H624" t="b">
            <v>1</v>
          </cell>
          <cell r="I624" t="b">
            <v>0</v>
          </cell>
          <cell r="J624" t="b">
            <v>0</v>
          </cell>
          <cell r="K624" t="b">
            <v>0</v>
          </cell>
          <cell r="L624" t="b">
            <v>0</v>
          </cell>
          <cell r="M624" t="b">
            <v>0</v>
          </cell>
          <cell r="N624" t="b">
            <v>0</v>
          </cell>
          <cell r="O624" t="b">
            <v>0</v>
          </cell>
          <cell r="P624" t="b">
            <v>0</v>
          </cell>
          <cell r="Q624" t="b">
            <v>0</v>
          </cell>
          <cell r="R624" t="b">
            <v>0</v>
          </cell>
          <cell r="S624" t="b">
            <v>0</v>
          </cell>
          <cell r="T624" t="b">
            <v>0</v>
          </cell>
          <cell r="U624" t="str">
            <v>A</v>
          </cell>
          <cell r="V624" t="str">
            <v>Register</v>
          </cell>
          <cell r="W624" t="str">
            <v>GT - ME</v>
          </cell>
          <cell r="X624" t="str">
            <v>General Trading - Mechanical</v>
          </cell>
          <cell r="Y624" t="str">
            <v>Brand TECO</v>
          </cell>
        </row>
        <row r="625">
          <cell r="B625" t="str">
            <v>Interjaya Suryamegah, PT</v>
          </cell>
          <cell r="C625" t="str">
            <v>salesjakarta@interjaya.com</v>
          </cell>
          <cell r="D625" t="str">
            <v>M.Najib</v>
          </cell>
          <cell r="E625" t="str">
            <v>081298396139; 082138715561</v>
          </cell>
          <cell r="F625" t="str">
            <v>JL. Rungkut Industri III/45, Desa/Kelurahan Rungkut Menanggal, Kec. Gunung Anyar</v>
          </cell>
          <cell r="G625" t="b">
            <v>0</v>
          </cell>
          <cell r="H625" t="b">
            <v>0</v>
          </cell>
          <cell r="I625" t="b">
            <v>0</v>
          </cell>
          <cell r="J625" t="b">
            <v>0</v>
          </cell>
          <cell r="K625" t="b">
            <v>0</v>
          </cell>
          <cell r="L625" t="b">
            <v>0</v>
          </cell>
          <cell r="M625" t="b">
            <v>0</v>
          </cell>
          <cell r="N625" t="b">
            <v>0</v>
          </cell>
          <cell r="O625" t="b">
            <v>0</v>
          </cell>
          <cell r="P625" t="b">
            <v>0</v>
          </cell>
          <cell r="Q625" t="b">
            <v>0</v>
          </cell>
          <cell r="R625" t="b">
            <v>0</v>
          </cell>
          <cell r="S625" t="b">
            <v>1</v>
          </cell>
          <cell r="T625" t="b">
            <v>0</v>
          </cell>
          <cell r="U625" t="str">
            <v>NA</v>
          </cell>
          <cell r="V625" t="str">
            <v>Register</v>
          </cell>
          <cell r="W625" t="str">
            <v>GT - ME</v>
          </cell>
          <cell r="X625" t="str">
            <v>General Trading - Mechanical</v>
          </cell>
          <cell r="Y625" t="str">
            <v/>
          </cell>
        </row>
        <row r="626">
          <cell r="B626" t="str">
            <v>Adaro Logistics, PT</v>
          </cell>
          <cell r="C626" t="str">
            <v/>
          </cell>
          <cell r="D626" t="str">
            <v/>
          </cell>
          <cell r="E626" t="str">
            <v/>
          </cell>
          <cell r="F626" t="str">
            <v>Gedung Menara Karya Lt. 23, JL. HR. Rasuna Said Blok X-5, Kav 1-2, Kuningan Timur, Setiabudi</v>
          </cell>
          <cell r="G626" t="b">
            <v>0</v>
          </cell>
          <cell r="H626" t="b">
            <v>0</v>
          </cell>
          <cell r="I626" t="b">
            <v>0</v>
          </cell>
          <cell r="J626" t="b">
            <v>0</v>
          </cell>
          <cell r="K626" t="b">
            <v>0</v>
          </cell>
          <cell r="L626" t="b">
            <v>0</v>
          </cell>
          <cell r="M626" t="b">
            <v>0</v>
          </cell>
          <cell r="N626" t="b">
            <v>0</v>
          </cell>
          <cell r="O626" t="b">
            <v>0</v>
          </cell>
          <cell r="P626" t="b">
            <v>0</v>
          </cell>
          <cell r="Q626" t="b">
            <v>0</v>
          </cell>
          <cell r="R626" t="b">
            <v>0</v>
          </cell>
          <cell r="S626" t="b">
            <v>1</v>
          </cell>
          <cell r="T626" t="b">
            <v>0</v>
          </cell>
          <cell r="U626" t="str">
            <v>NA</v>
          </cell>
          <cell r="V626" t="str">
            <v>Register</v>
          </cell>
          <cell r="W626" t="str">
            <v>SC</v>
          </cell>
          <cell r="X626" t="str">
            <v>Sister Company - Sewa gedung, Service, Consultant</v>
          </cell>
          <cell r="Y626" t="str">
            <v/>
          </cell>
        </row>
        <row r="627">
          <cell r="B627" t="str">
            <v>Harapan Bahtera Internusa, PT</v>
          </cell>
          <cell r="C627" t="str">
            <v/>
          </cell>
          <cell r="D627" t="str">
            <v/>
          </cell>
          <cell r="E627" t="str">
            <v/>
          </cell>
          <cell r="F627" t="str">
            <v>Gedung Menara Karya Lt. 23, JL. HR. Rasuna Said Blok X-5 Kav 1-2, Kuningan Timur, Setiabudi</v>
          </cell>
          <cell r="G627" t="str">
            <v>□</v>
          </cell>
          <cell r="H627" t="str">
            <v>□</v>
          </cell>
          <cell r="I627" t="str">
            <v>□</v>
          </cell>
          <cell r="J627" t="str">
            <v>□</v>
          </cell>
          <cell r="K627" t="str">
            <v>□</v>
          </cell>
          <cell r="L627" t="str">
            <v>□</v>
          </cell>
          <cell r="M627" t="str">
            <v>□</v>
          </cell>
          <cell r="N627" t="str">
            <v>□</v>
          </cell>
          <cell r="O627" t="str">
            <v>□</v>
          </cell>
          <cell r="P627" t="str">
            <v>□</v>
          </cell>
          <cell r="Q627" t="str">
            <v>□</v>
          </cell>
          <cell r="R627" t="str">
            <v>□</v>
          </cell>
          <cell r="S627" t="str">
            <v>□</v>
          </cell>
          <cell r="T627" t="str">
            <v>□</v>
          </cell>
          <cell r="U627" t="str">
            <v>NA</v>
          </cell>
          <cell r="V627" t="str">
            <v>No Register</v>
          </cell>
          <cell r="W627" t="str">
            <v/>
          </cell>
          <cell r="Y627" t="str">
            <v/>
          </cell>
        </row>
        <row r="628">
          <cell r="B628" t="str">
            <v>Properindo Enviro Tech, PT</v>
          </cell>
          <cell r="C628" t="str">
            <v>properindo.projectadm@gmail.com</v>
          </cell>
          <cell r="D628" t="str">
            <v>Lisa</v>
          </cell>
          <cell r="E628" t="str">
            <v>085814031094</v>
          </cell>
          <cell r="F628" t="str">
            <v>Jl. Keputih Tegal Timur II/64, Desa/Kelurahan Keputih, Kec. Sukolilo</v>
          </cell>
          <cell r="G628" t="b">
            <v>0</v>
          </cell>
          <cell r="H628" t="b">
            <v>0</v>
          </cell>
          <cell r="I628" t="b">
            <v>0</v>
          </cell>
          <cell r="J628" t="b">
            <v>0</v>
          </cell>
          <cell r="K628" t="b">
            <v>0</v>
          </cell>
          <cell r="L628" t="b">
            <v>0</v>
          </cell>
          <cell r="M628" t="b">
            <v>0</v>
          </cell>
          <cell r="N628" t="b">
            <v>0</v>
          </cell>
          <cell r="O628" t="b">
            <v>1</v>
          </cell>
          <cell r="P628" t="b">
            <v>0</v>
          </cell>
          <cell r="Q628" t="b">
            <v>0</v>
          </cell>
          <cell r="R628" t="b">
            <v>0</v>
          </cell>
          <cell r="S628" t="b">
            <v>0</v>
          </cell>
          <cell r="T628" t="b">
            <v>0</v>
          </cell>
          <cell r="U628" t="str">
            <v>NA</v>
          </cell>
          <cell r="V628" t="str">
            <v>Register</v>
          </cell>
          <cell r="W628" t="str">
            <v>ENV - IM</v>
          </cell>
          <cell r="X628" t="str">
            <v>Environment &amp; Compliance - Environmental Impact Monitoring</v>
          </cell>
          <cell r="Y628" t="str">
            <v/>
          </cell>
        </row>
        <row r="629">
          <cell r="B629" t="str">
            <v>Results Design Consultant, CV</v>
          </cell>
          <cell r="C629" t="str">
            <v/>
          </cell>
          <cell r="D629" t="str">
            <v/>
          </cell>
          <cell r="E629" t="str">
            <v/>
          </cell>
          <cell r="F629" t="str">
            <v>Jalan Mahrawi Kavlingan Mentari, Desa/Kelurahan Jangkung, Kec. Tanjung</v>
          </cell>
          <cell r="G629" t="str">
            <v>□</v>
          </cell>
          <cell r="H629" t="str">
            <v>□</v>
          </cell>
          <cell r="I629" t="str">
            <v>□</v>
          </cell>
          <cell r="J629" t="str">
            <v>□</v>
          </cell>
          <cell r="K629" t="str">
            <v>□</v>
          </cell>
          <cell r="L629" t="str">
            <v>□</v>
          </cell>
          <cell r="M629" t="str">
            <v>□</v>
          </cell>
          <cell r="N629" t="str">
            <v>□</v>
          </cell>
          <cell r="O629" t="str">
            <v>□</v>
          </cell>
          <cell r="P629" t="str">
            <v>□</v>
          </cell>
          <cell r="Q629" t="str">
            <v>□</v>
          </cell>
          <cell r="R629" t="str">
            <v>□</v>
          </cell>
          <cell r="S629" t="str">
            <v>□</v>
          </cell>
          <cell r="T629" t="str">
            <v>□</v>
          </cell>
          <cell r="U629" t="str">
            <v>NA</v>
          </cell>
          <cell r="V629" t="str">
            <v>No Register</v>
          </cell>
          <cell r="W629" t="str">
            <v/>
          </cell>
          <cell r="Y629" t="str">
            <v/>
          </cell>
        </row>
        <row r="630">
          <cell r="B630" t="str">
            <v>Vanris, CV</v>
          </cell>
          <cell r="C630" t="str">
            <v>vanris.catering@gmail.com</v>
          </cell>
          <cell r="D630" t="str">
            <v>Winarti</v>
          </cell>
          <cell r="E630" t="str">
            <v>085248397977</v>
          </cell>
          <cell r="F630" t="str">
            <v>Jl. Flamboyan 6 No.112 RT.018, Desa/Kelurahan Belimbing Raya, Kec. Murung Pudak</v>
          </cell>
          <cell r="G630" t="str">
            <v>□</v>
          </cell>
          <cell r="H630" t="str">
            <v>□</v>
          </cell>
          <cell r="I630" t="str">
            <v>□</v>
          </cell>
          <cell r="J630" t="str">
            <v>□</v>
          </cell>
          <cell r="K630" t="str">
            <v>□</v>
          </cell>
          <cell r="L630" t="str">
            <v>□</v>
          </cell>
          <cell r="M630" t="str">
            <v>□</v>
          </cell>
          <cell r="N630" t="str">
            <v>□</v>
          </cell>
          <cell r="O630" t="str">
            <v>□</v>
          </cell>
          <cell r="P630" t="str">
            <v>□</v>
          </cell>
          <cell r="Q630" t="str">
            <v>□</v>
          </cell>
          <cell r="R630" t="str">
            <v>□</v>
          </cell>
          <cell r="S630" t="str">
            <v>□</v>
          </cell>
          <cell r="T630" t="str">
            <v>□</v>
          </cell>
          <cell r="U630" t="str">
            <v>NA</v>
          </cell>
          <cell r="V630" t="str">
            <v>Register</v>
          </cell>
          <cell r="W630" t="str">
            <v>SJ - EV</v>
          </cell>
          <cell r="X630" t="str">
            <v>Service Jasa - Event Organizer / Meal Service</v>
          </cell>
          <cell r="Y630" t="str">
            <v/>
          </cell>
        </row>
        <row r="631">
          <cell r="B631" t="str">
            <v>Aka Prima Komputindo, PT</v>
          </cell>
          <cell r="C631" t="str">
            <v>alkoriach@aprikom.com; endah@aprikom.com</v>
          </cell>
          <cell r="D631" t="str">
            <v>Koriach</v>
          </cell>
          <cell r="E631" t="str">
            <v>082312376103</v>
          </cell>
          <cell r="F631" t="str">
            <v>Jalan Pulo Indah Raya Nomor 1B, Desa/Kelurahan Duri Kosambi, Kec. Cengkareng</v>
          </cell>
          <cell r="G631" t="b">
            <v>0</v>
          </cell>
          <cell r="H631" t="b">
            <v>0</v>
          </cell>
          <cell r="I631" t="b">
            <v>0</v>
          </cell>
          <cell r="J631" t="b">
            <v>0</v>
          </cell>
          <cell r="K631" t="b">
            <v>0</v>
          </cell>
          <cell r="L631" t="b">
            <v>1</v>
          </cell>
          <cell r="M631" t="b">
            <v>0</v>
          </cell>
          <cell r="N631" t="b">
            <v>0</v>
          </cell>
          <cell r="O631" t="b">
            <v>0</v>
          </cell>
          <cell r="P631" t="b">
            <v>0</v>
          </cell>
          <cell r="Q631" t="b">
            <v>0</v>
          </cell>
          <cell r="R631" t="b">
            <v>0</v>
          </cell>
          <cell r="S631" t="b">
            <v>0</v>
          </cell>
          <cell r="T631" t="b">
            <v>0</v>
          </cell>
          <cell r="U631" t="str">
            <v>A</v>
          </cell>
          <cell r="V631" t="str">
            <v>Register</v>
          </cell>
          <cell r="W631" t="str">
            <v>IT - HW</v>
          </cell>
          <cell r="X631" t="str">
            <v>IT &amp; System - Hardware</v>
          </cell>
          <cell r="Y631" t="str">
            <v>Peripheral</v>
          </cell>
        </row>
        <row r="632">
          <cell r="B632" t="str">
            <v>Cahaya Mitra Saftindo, PT</v>
          </cell>
          <cell r="C632" t="str">
            <v>Admin02@cahayamitra.co.id</v>
          </cell>
          <cell r="D632" t="str">
            <v>Riyanti</v>
          </cell>
          <cell r="E632" t="str">
            <v>087818003188</v>
          </cell>
          <cell r="F632" t="str">
            <v>Ruko Harmoni Blok HZ 2/ 20, Harapan Indah</v>
          </cell>
          <cell r="G632" t="b">
            <v>0</v>
          </cell>
          <cell r="H632" t="b">
            <v>0</v>
          </cell>
          <cell r="I632" t="b">
            <v>0</v>
          </cell>
          <cell r="J632" t="b">
            <v>0</v>
          </cell>
          <cell r="K632" t="b">
            <v>0</v>
          </cell>
          <cell r="L632" t="b">
            <v>0</v>
          </cell>
          <cell r="M632" t="b">
            <v>1</v>
          </cell>
          <cell r="N632" t="b">
            <v>0</v>
          </cell>
          <cell r="O632" t="b">
            <v>0</v>
          </cell>
          <cell r="P632" t="b">
            <v>0</v>
          </cell>
          <cell r="Q632" t="b">
            <v>0</v>
          </cell>
          <cell r="R632" t="b">
            <v>1</v>
          </cell>
          <cell r="S632" t="b">
            <v>1</v>
          </cell>
          <cell r="T632" t="b">
            <v>0</v>
          </cell>
          <cell r="U632" t="str">
            <v>NA</v>
          </cell>
          <cell r="V632" t="str">
            <v>Register</v>
          </cell>
          <cell r="W632" t="str">
            <v/>
          </cell>
          <cell r="X632" t="str">
            <v>General Trading - HSE</v>
          </cell>
          <cell r="Y632" t="str">
            <v>Safety</v>
          </cell>
        </row>
        <row r="633">
          <cell r="B633" t="str">
            <v>Pandu Equator Prima, PT</v>
          </cell>
          <cell r="C633" t="str">
            <v>edwin@pandu-equator.com ; office@pandu-equator.com</v>
          </cell>
          <cell r="D633" t="str">
            <v>Edwin Budiyanto</v>
          </cell>
          <cell r="E633" t="str">
            <v>08129021330; 08111116066</v>
          </cell>
          <cell r="F633" t="str">
            <v>Jl. Sangata G.10 No. 1 Jatiwaringin Asri , Desa/Kelurahan Jatiwaringin, Kec. Pondokgede</v>
          </cell>
          <cell r="G633" t="b">
            <v>0</v>
          </cell>
          <cell r="H633" t="b">
            <v>0</v>
          </cell>
          <cell r="I633" t="b">
            <v>0</v>
          </cell>
          <cell r="J633" t="b">
            <v>0</v>
          </cell>
          <cell r="K633" t="b">
            <v>0</v>
          </cell>
          <cell r="L633" t="b">
            <v>0</v>
          </cell>
          <cell r="M633" t="b">
            <v>1</v>
          </cell>
          <cell r="N633" t="b">
            <v>0</v>
          </cell>
          <cell r="O633" t="b">
            <v>0</v>
          </cell>
          <cell r="P633" t="b">
            <v>0</v>
          </cell>
          <cell r="Q633" t="b">
            <v>0</v>
          </cell>
          <cell r="R633" t="b">
            <v>0</v>
          </cell>
          <cell r="S633" t="b">
            <v>1</v>
          </cell>
          <cell r="T633" t="b">
            <v>0</v>
          </cell>
          <cell r="U633" t="str">
            <v>NA</v>
          </cell>
          <cell r="V633" t="str">
            <v>Register</v>
          </cell>
          <cell r="W633" t="str">
            <v>GT - ME</v>
          </cell>
          <cell r="X633" t="str">
            <v>General Trading - Mechanical</v>
          </cell>
          <cell r="Y633" t="str">
            <v>Brand Maxmat</v>
          </cell>
        </row>
        <row r="634">
          <cell r="B634" t="str">
            <v>Sutrakabel Intimandiri, PT</v>
          </cell>
          <cell r="C634" t="str">
            <v>admin.sales@sutrakabel.com; giokling@sutrakabel.com; admin.sales3@sutrakabel.com; admin.sales3@sutrakabel.com; gideon@sutrakabel.com</v>
          </cell>
          <cell r="D634" t="str">
            <v>Giok Ling</v>
          </cell>
          <cell r="E634" t="str">
            <v>08158835777</v>
          </cell>
          <cell r="F634" t="str">
            <v>JL. Raya Bogor KM 49, Roda Pembangunan 5, Desa/Kelurahan Cimandala, Kec. Sukaraja</v>
          </cell>
          <cell r="G634" t="b">
            <v>0</v>
          </cell>
          <cell r="H634" t="b">
            <v>0</v>
          </cell>
          <cell r="I634" t="b">
            <v>0</v>
          </cell>
          <cell r="J634" t="b">
            <v>0</v>
          </cell>
          <cell r="K634" t="b">
            <v>0</v>
          </cell>
          <cell r="L634" t="b">
            <v>0</v>
          </cell>
          <cell r="M634" t="b">
            <v>1</v>
          </cell>
          <cell r="N634" t="b">
            <v>0</v>
          </cell>
          <cell r="O634" t="b">
            <v>0</v>
          </cell>
          <cell r="P634" t="b">
            <v>0</v>
          </cell>
          <cell r="Q634" t="b">
            <v>0</v>
          </cell>
          <cell r="R634" t="b">
            <v>0</v>
          </cell>
          <cell r="S634" t="b">
            <v>1</v>
          </cell>
          <cell r="T634" t="b">
            <v>0</v>
          </cell>
          <cell r="U634" t="str">
            <v>A</v>
          </cell>
          <cell r="V634" t="str">
            <v>Register</v>
          </cell>
          <cell r="W634" t="str">
            <v/>
          </cell>
          <cell r="X634" t="str">
            <v>General Trading - Elektrical</v>
          </cell>
          <cell r="Y634" t="str">
            <v>Electrical</v>
          </cell>
        </row>
        <row r="635">
          <cell r="B635" t="str">
            <v>Daha Surya Persada, PT</v>
          </cell>
          <cell r="C635" t="str">
            <v>admin@dahapersada.com; bambang.haryadi@dahapersada.com</v>
          </cell>
          <cell r="D635" t="str">
            <v>Bambang</v>
          </cell>
          <cell r="E635" t="str">
            <v>081346467400</v>
          </cell>
          <cell r="F635" t="str">
            <v>Dusun Banggle, Desa/Kelurahan Banggle, Kec. Ngadiluwih</v>
          </cell>
          <cell r="G635" t="b">
            <v>0</v>
          </cell>
          <cell r="H635" t="b">
            <v>0</v>
          </cell>
          <cell r="I635" t="b">
            <v>0</v>
          </cell>
          <cell r="J635" t="b">
            <v>0</v>
          </cell>
          <cell r="K635" t="b">
            <v>0</v>
          </cell>
          <cell r="L635" t="b">
            <v>0</v>
          </cell>
          <cell r="M635" t="b">
            <v>0</v>
          </cell>
          <cell r="N635" t="b">
            <v>0</v>
          </cell>
          <cell r="O635" t="b">
            <v>0</v>
          </cell>
          <cell r="P635" t="b">
            <v>0</v>
          </cell>
          <cell r="Q635" t="b">
            <v>0</v>
          </cell>
          <cell r="R635" t="b">
            <v>0</v>
          </cell>
          <cell r="S635" t="b">
            <v>0</v>
          </cell>
          <cell r="T635" t="b">
            <v>0</v>
          </cell>
          <cell r="U635" t="str">
            <v>A</v>
          </cell>
          <cell r="V635" t="str">
            <v>Register</v>
          </cell>
          <cell r="W635" t="str">
            <v/>
          </cell>
          <cell r="X635" t="str">
            <v>Service Jasa - Mechanical</v>
          </cell>
          <cell r="Y635" t="str">
            <v>Service Motor</v>
          </cell>
        </row>
        <row r="636">
          <cell r="B636" t="str">
            <v>JJ-LAPP Cable Indonesia, PT</v>
          </cell>
          <cell r="C636" t="str">
            <v>marsya_rahadian@jjsea.com</v>
          </cell>
          <cell r="D636" t="str">
            <v>Marsya</v>
          </cell>
          <cell r="F636" t="str">
            <v>Graha Inti Fauji LT.7, JL.Buncit Raya No.22, Pasar Minggu, Desa/Kelurahan Pejaten Barat, Kec. Pasar Minggu</v>
          </cell>
          <cell r="G636" t="b">
            <v>0</v>
          </cell>
          <cell r="H636" t="b">
            <v>0</v>
          </cell>
          <cell r="I636" t="b">
            <v>0</v>
          </cell>
          <cell r="J636" t="b">
            <v>0</v>
          </cell>
          <cell r="K636" t="b">
            <v>0</v>
          </cell>
          <cell r="L636" t="b">
            <v>0</v>
          </cell>
          <cell r="M636" t="b">
            <v>1</v>
          </cell>
          <cell r="N636" t="b">
            <v>0</v>
          </cell>
          <cell r="O636" t="b">
            <v>0</v>
          </cell>
          <cell r="P636" t="b">
            <v>0</v>
          </cell>
          <cell r="Q636" t="b">
            <v>0</v>
          </cell>
          <cell r="R636" t="b">
            <v>0</v>
          </cell>
          <cell r="S636" t="b">
            <v>1</v>
          </cell>
          <cell r="T636" t="b">
            <v>0</v>
          </cell>
          <cell r="U636" t="str">
            <v>A</v>
          </cell>
          <cell r="V636" t="str">
            <v>Register</v>
          </cell>
          <cell r="W636" t="str">
            <v/>
          </cell>
          <cell r="X636" t="str">
            <v>General Trading - Elektrical</v>
          </cell>
        </row>
        <row r="637">
          <cell r="B637" t="str">
            <v>Proweldindo, PT</v>
          </cell>
          <cell r="C637" t="str">
            <v>support@proweldindo.com</v>
          </cell>
          <cell r="D637" t="str">
            <v xml:space="preserve">Helsa Laudiya </v>
          </cell>
          <cell r="E637" t="str">
            <v>08811830310</v>
          </cell>
          <cell r="F637" t="str">
            <v>Mertilang XXIII Blok KC No. 54, RT.005 / RW.012, Pondok Pucung, Pondok Aren</v>
          </cell>
          <cell r="G637" t="b">
            <v>1</v>
          </cell>
          <cell r="H637" t="b">
            <v>0</v>
          </cell>
          <cell r="I637" t="b">
            <v>0</v>
          </cell>
          <cell r="J637" t="b">
            <v>0</v>
          </cell>
          <cell r="K637" t="b">
            <v>0</v>
          </cell>
          <cell r="L637" t="b">
            <v>0</v>
          </cell>
          <cell r="M637" t="b">
            <v>0</v>
          </cell>
          <cell r="N637" t="b">
            <v>0</v>
          </cell>
          <cell r="O637" t="b">
            <v>0</v>
          </cell>
          <cell r="P637" t="b">
            <v>0</v>
          </cell>
          <cell r="Q637" t="b">
            <v>0</v>
          </cell>
          <cell r="R637" t="b">
            <v>0</v>
          </cell>
          <cell r="S637" t="b">
            <v>0</v>
          </cell>
          <cell r="T637" t="b">
            <v>0</v>
          </cell>
          <cell r="U637" t="str">
            <v>NA</v>
          </cell>
          <cell r="V637" t="str">
            <v>Register</v>
          </cell>
          <cell r="W637" t="str">
            <v>MF - ID</v>
          </cell>
          <cell r="X637" t="str">
            <v>Manufacturer - Industrial Manufacturer</v>
          </cell>
          <cell r="Y637" t="str">
            <v>Spare Part Boiler</v>
          </cell>
        </row>
        <row r="638">
          <cell r="B638" t="str">
            <v>Biro Jasa Ining</v>
          </cell>
          <cell r="C638" t="str">
            <v/>
          </cell>
          <cell r="D638" t="str">
            <v/>
          </cell>
          <cell r="E638" t="str">
            <v/>
          </cell>
          <cell r="F638" t="str">
            <v>Jl. Tanjung Raya No.61, Kel. Pembataan, Kec. Murung Pudak</v>
          </cell>
          <cell r="G638" t="b">
            <v>0</v>
          </cell>
          <cell r="H638" t="b">
            <v>0</v>
          </cell>
          <cell r="I638" t="b">
            <v>0</v>
          </cell>
          <cell r="J638" t="b">
            <v>0</v>
          </cell>
          <cell r="K638" t="b">
            <v>0</v>
          </cell>
          <cell r="L638" t="b">
            <v>0</v>
          </cell>
          <cell r="M638" t="b">
            <v>0</v>
          </cell>
          <cell r="N638" t="b">
            <v>0</v>
          </cell>
          <cell r="O638" t="b">
            <v>1</v>
          </cell>
          <cell r="P638" t="b">
            <v>0</v>
          </cell>
          <cell r="Q638" t="b">
            <v>0</v>
          </cell>
          <cell r="R638" t="b">
            <v>0</v>
          </cell>
          <cell r="S638" t="b">
            <v>0</v>
          </cell>
          <cell r="T638" t="b">
            <v>0</v>
          </cell>
          <cell r="U638" t="str">
            <v>NA</v>
          </cell>
          <cell r="V638" t="str">
            <v>Register</v>
          </cell>
          <cell r="W638" t="str">
            <v>KR - DO</v>
          </cell>
          <cell r="X638" t="str">
            <v>Courier - Document Courier</v>
          </cell>
          <cell r="Y638" t="str">
            <v/>
          </cell>
        </row>
        <row r="639">
          <cell r="B639" t="str">
            <v>Serasi Autoraya, PT</v>
          </cell>
          <cell r="C639" t="str">
            <v>Jesika.pakpahan@trac.astra.co.id</v>
          </cell>
          <cell r="D639" t="str">
            <v>Jessi</v>
          </cell>
          <cell r="E639" t="str">
            <v>085268504022</v>
          </cell>
          <cell r="F639" t="str">
            <v>JL.Mitra Sunter Boulevard Kav.90/C2, Desa/Kelurahan Sunter Jaya, Kec. Tanjung Priok</v>
          </cell>
          <cell r="G639" t="b">
            <v>0</v>
          </cell>
          <cell r="H639" t="b">
            <v>0</v>
          </cell>
          <cell r="I639" t="b">
            <v>0</v>
          </cell>
          <cell r="J639" t="b">
            <v>0</v>
          </cell>
          <cell r="K639" t="b">
            <v>0</v>
          </cell>
          <cell r="L639" t="b">
            <v>0</v>
          </cell>
          <cell r="M639" t="b">
            <v>0</v>
          </cell>
          <cell r="N639" t="b">
            <v>1</v>
          </cell>
          <cell r="O639" t="b">
            <v>0</v>
          </cell>
          <cell r="P639" t="b">
            <v>0</v>
          </cell>
          <cell r="Q639" t="b">
            <v>0</v>
          </cell>
          <cell r="R639" t="b">
            <v>0</v>
          </cell>
          <cell r="S639" t="b">
            <v>0</v>
          </cell>
          <cell r="T639" t="b">
            <v>0</v>
          </cell>
          <cell r="U639" t="str">
            <v>NA</v>
          </cell>
          <cell r="V639" t="str">
            <v>Register</v>
          </cell>
          <cell r="W639" t="str">
            <v>TR - CR</v>
          </cell>
          <cell r="X639" t="str">
            <v>Transportation - Car Rental</v>
          </cell>
          <cell r="Y639" t="str">
            <v/>
          </cell>
        </row>
        <row r="640">
          <cell r="B640" t="str">
            <v>Gapura Kembar Teknindo, PT</v>
          </cell>
          <cell r="C640" t="str">
            <v>info@gekate.com; eva_gkt@yahoo.co.id</v>
          </cell>
          <cell r="D640" t="str">
            <v>Eva</v>
          </cell>
          <cell r="E640" t="str">
            <v>08115494898</v>
          </cell>
          <cell r="F640" t="str">
            <v>Ruko Sentra Eropa Balikpapan Baru Blok AC 06 No.002, Kel. Damai Baru Kec. Balikpapan Selatan</v>
          </cell>
          <cell r="G640" t="b">
            <v>0</v>
          </cell>
          <cell r="H640" t="b">
            <v>0</v>
          </cell>
          <cell r="I640" t="b">
            <v>0</v>
          </cell>
          <cell r="J640" t="b">
            <v>0</v>
          </cell>
          <cell r="K640" t="b">
            <v>0</v>
          </cell>
          <cell r="L640" t="b">
            <v>0</v>
          </cell>
          <cell r="M640" t="b">
            <v>1</v>
          </cell>
          <cell r="N640" t="b">
            <v>0</v>
          </cell>
          <cell r="O640" t="b">
            <v>0</v>
          </cell>
          <cell r="P640" t="b">
            <v>0</v>
          </cell>
          <cell r="Q640" t="b">
            <v>0</v>
          </cell>
          <cell r="R640" t="b">
            <v>0</v>
          </cell>
          <cell r="S640" t="b">
            <v>1</v>
          </cell>
          <cell r="T640" t="b">
            <v>0</v>
          </cell>
          <cell r="U640" t="str">
            <v>NA</v>
          </cell>
          <cell r="V640" t="str">
            <v>Register</v>
          </cell>
          <cell r="W640" t="str">
            <v>GT - ME</v>
          </cell>
          <cell r="X640" t="str">
            <v>General Trading - Mechanical</v>
          </cell>
          <cell r="Y640" t="str">
            <v/>
          </cell>
        </row>
        <row r="641">
          <cell r="B641" t="str">
            <v>Selaras Daya Utama, PT</v>
          </cell>
          <cell r="C641" t="str">
            <v>nynas@sedayu.com</v>
          </cell>
          <cell r="D641" t="str">
            <v>Dede</v>
          </cell>
          <cell r="E641" t="str">
            <v>08119469627</v>
          </cell>
          <cell r="F641" t="str">
            <v>Jalan Raya Kebayoran Lama Nomor 156</v>
          </cell>
          <cell r="G641" t="b">
            <v>0</v>
          </cell>
          <cell r="H641" t="b">
            <v>0</v>
          </cell>
          <cell r="I641" t="b">
            <v>0</v>
          </cell>
          <cell r="J641" t="b">
            <v>0</v>
          </cell>
          <cell r="K641" t="b">
            <v>0</v>
          </cell>
          <cell r="L641" t="b">
            <v>0</v>
          </cell>
          <cell r="M641" t="b">
            <v>1</v>
          </cell>
          <cell r="N641" t="b">
            <v>0</v>
          </cell>
          <cell r="O641" t="b">
            <v>0</v>
          </cell>
          <cell r="P641" t="b">
            <v>0</v>
          </cell>
          <cell r="Q641" t="b">
            <v>0</v>
          </cell>
          <cell r="R641" t="b">
            <v>0</v>
          </cell>
          <cell r="S641" t="b">
            <v>0</v>
          </cell>
          <cell r="T641" t="b">
            <v>1</v>
          </cell>
          <cell r="U641" t="str">
            <v>A</v>
          </cell>
          <cell r="V641" t="str">
            <v>Register</v>
          </cell>
          <cell r="W641" t="str">
            <v>GT - ID</v>
          </cell>
          <cell r="X641" t="str">
            <v>General Trading - Industrial Goods</v>
          </cell>
          <cell r="Y641" t="str">
            <v>AD Nynas</v>
          </cell>
        </row>
        <row r="642">
          <cell r="B642" t="str">
            <v>Mitra Borneo Indah, PT</v>
          </cell>
          <cell r="C642" t="str">
            <v>ryanto.effendi@gmail.com</v>
          </cell>
          <cell r="D642" t="str">
            <v>Rianto</v>
          </cell>
          <cell r="E642" t="str">
            <v>081350010028</v>
          </cell>
          <cell r="F642" t="str">
            <v>Jl. Jenderal Ahmad Yani No.09, Desa/Kelurahan Gunungsari Ulu, Kec balikpapan Tengah</v>
          </cell>
          <cell r="G642" t="b">
            <v>0</v>
          </cell>
          <cell r="H642" t="b">
            <v>0</v>
          </cell>
          <cell r="I642" t="b">
            <v>0</v>
          </cell>
          <cell r="J642" t="b">
            <v>0</v>
          </cell>
          <cell r="K642" t="b">
            <v>0</v>
          </cell>
          <cell r="L642" t="b">
            <v>0</v>
          </cell>
          <cell r="M642" t="b">
            <v>0</v>
          </cell>
          <cell r="N642" t="b">
            <v>0</v>
          </cell>
          <cell r="O642" t="b">
            <v>0</v>
          </cell>
          <cell r="P642" t="b">
            <v>0</v>
          </cell>
          <cell r="Q642" t="b">
            <v>0</v>
          </cell>
          <cell r="R642" t="b">
            <v>0</v>
          </cell>
          <cell r="S642" t="b">
            <v>1</v>
          </cell>
          <cell r="T642" t="b">
            <v>1</v>
          </cell>
          <cell r="U642" t="str">
            <v>NA</v>
          </cell>
          <cell r="V642" t="str">
            <v>Register</v>
          </cell>
          <cell r="W642" t="str">
            <v/>
          </cell>
          <cell r="Y642" t="str">
            <v>Brand MG</v>
          </cell>
        </row>
        <row r="643">
          <cell r="B643" t="str">
            <v>Indomobil Global Transportasi, PT</v>
          </cell>
          <cell r="C643" t="str">
            <v>mario.steaffanus@igtrans.id</v>
          </cell>
          <cell r="D643" t="str">
            <v>Mario</v>
          </cell>
          <cell r="E643" t="str">
            <v>081281611725</v>
          </cell>
          <cell r="F643" t="str">
            <v>Wisma Indomobil 1 Lantai 6, JL. MT Haryono Kav. 8, Desa/Kelurahan Bidara Cina, Kec. Jatinegara</v>
          </cell>
          <cell r="G643" t="b">
            <v>0</v>
          </cell>
          <cell r="H643" t="b">
            <v>0</v>
          </cell>
          <cell r="I643" t="b">
            <v>0</v>
          </cell>
          <cell r="J643" t="b">
            <v>0</v>
          </cell>
          <cell r="K643" t="b">
            <v>0</v>
          </cell>
          <cell r="L643" t="b">
            <v>0</v>
          </cell>
          <cell r="M643" t="b">
            <v>0</v>
          </cell>
          <cell r="N643" t="b">
            <v>0</v>
          </cell>
          <cell r="O643" t="b">
            <v>0</v>
          </cell>
          <cell r="P643" t="b">
            <v>0</v>
          </cell>
          <cell r="Q643" t="b">
            <v>0</v>
          </cell>
          <cell r="R643" t="b">
            <v>0</v>
          </cell>
          <cell r="S643" t="b">
            <v>1</v>
          </cell>
          <cell r="T643" t="b">
            <v>1</v>
          </cell>
          <cell r="U643" t="str">
            <v>NA</v>
          </cell>
          <cell r="V643" t="str">
            <v>Register</v>
          </cell>
          <cell r="W643" t="str">
            <v/>
          </cell>
          <cell r="Y643" t="str">
            <v>Brand Foton</v>
          </cell>
        </row>
        <row r="644">
          <cell r="B644" t="str">
            <v>Aneka Mitra Cipta, PT</v>
          </cell>
          <cell r="C644" t="str">
            <v>krisnaadiputrawijaya164@gmail.com; anekamc@gmail.com</v>
          </cell>
          <cell r="D644" t="str">
            <v>Krisna</v>
          </cell>
          <cell r="E644" t="str">
            <v>081295625395</v>
          </cell>
          <cell r="F644" t="str">
            <v>Dretro Lantai 2 Jl. Bintaro Permai No. 29, Desa/Kelurahan Bintaro, Kec. Pesanggrahan</v>
          </cell>
          <cell r="G644" t="b">
            <v>0</v>
          </cell>
          <cell r="H644" t="b">
            <v>0</v>
          </cell>
          <cell r="I644" t="b">
            <v>0</v>
          </cell>
          <cell r="J644" t="b">
            <v>0</v>
          </cell>
          <cell r="K644" t="b">
            <v>0</v>
          </cell>
          <cell r="L644" t="b">
            <v>0</v>
          </cell>
          <cell r="M644" t="b">
            <v>1</v>
          </cell>
          <cell r="N644" t="b">
            <v>0</v>
          </cell>
          <cell r="O644" t="b">
            <v>0</v>
          </cell>
          <cell r="P644" t="b">
            <v>0</v>
          </cell>
          <cell r="Q644" t="b">
            <v>0</v>
          </cell>
          <cell r="R644" t="b">
            <v>0</v>
          </cell>
          <cell r="S644" t="b">
            <v>0</v>
          </cell>
          <cell r="T644" t="b">
            <v>0</v>
          </cell>
          <cell r="U644" t="str">
            <v>A</v>
          </cell>
          <cell r="V644" t="str">
            <v>Register</v>
          </cell>
          <cell r="W644" t="str">
            <v>GT - SP</v>
          </cell>
          <cell r="X644" t="str">
            <v>General Trading - Sparepart</v>
          </cell>
          <cell r="Y644" t="str">
            <v>Spare Part Heavy Equipment dan Genset Sparepart</v>
          </cell>
        </row>
        <row r="645">
          <cell r="B645" t="str">
            <v>Ranadityo Sukses Makmur, PT</v>
          </cell>
          <cell r="C645" t="str">
            <v>sales@ranadityo.co.id; ranadityo_suksesmakmur@yahoo.com</v>
          </cell>
          <cell r="D645" t="str">
            <v>Zahwa</v>
          </cell>
          <cell r="E645" t="str">
            <v>081288361386</v>
          </cell>
          <cell r="F645" t="str">
            <v>Ruko Cinere Terrace, JC 7, Desa/Kelurahan Pangkalan Jati, Kec. Cinere</v>
          </cell>
          <cell r="G645" t="b">
            <v>0</v>
          </cell>
          <cell r="H645" t="b">
            <v>0</v>
          </cell>
          <cell r="I645" t="b">
            <v>0</v>
          </cell>
          <cell r="J645" t="b">
            <v>0</v>
          </cell>
          <cell r="K645" t="b">
            <v>0</v>
          </cell>
          <cell r="L645" t="b">
            <v>0</v>
          </cell>
          <cell r="M645" t="b">
            <v>1</v>
          </cell>
          <cell r="N645" t="b">
            <v>0</v>
          </cell>
          <cell r="O645" t="b">
            <v>0</v>
          </cell>
          <cell r="P645" t="b">
            <v>0</v>
          </cell>
          <cell r="Q645" t="b">
            <v>0</v>
          </cell>
          <cell r="R645" t="b">
            <v>1</v>
          </cell>
          <cell r="S645" t="b">
            <v>1</v>
          </cell>
          <cell r="T645" t="b">
            <v>0</v>
          </cell>
          <cell r="U645" t="str">
            <v>A</v>
          </cell>
          <cell r="V645" t="str">
            <v>Register</v>
          </cell>
          <cell r="W645" t="str">
            <v>GT - ME</v>
          </cell>
          <cell r="X645" t="str">
            <v>General Trading - HSE
General Trading - Mechanical
Service Jasa - Mechanical</v>
          </cell>
        </row>
        <row r="646">
          <cell r="B646" t="str">
            <v>Total Raya Energi, PT</v>
          </cell>
          <cell r="C646" t="str">
            <v xml:space="preserve">MSaputro@fleetnix.com; rifkiarif@fleetnix.com; marketing@fleetnix.com; erryka@fleetnix.com </v>
          </cell>
          <cell r="D646" t="str">
            <v>Mahardika</v>
          </cell>
          <cell r="E646" t="str">
            <v>085331683399</v>
          </cell>
          <cell r="F646" t="str">
            <v>Perum Diamond Park Residence Blok B 10 No. 30 RT 001 RW 003, Kel. Wedi, Kec. Gedangan</v>
          </cell>
          <cell r="G646" t="b">
            <v>0</v>
          </cell>
          <cell r="H646" t="b">
            <v>0</v>
          </cell>
          <cell r="I646" t="b">
            <v>0</v>
          </cell>
          <cell r="J646" t="b">
            <v>0</v>
          </cell>
          <cell r="K646" t="b">
            <v>0</v>
          </cell>
          <cell r="L646" t="b">
            <v>0</v>
          </cell>
          <cell r="M646" t="b">
            <v>0</v>
          </cell>
          <cell r="N646" t="b">
            <v>0</v>
          </cell>
          <cell r="O646" t="b">
            <v>1</v>
          </cell>
          <cell r="P646" t="b">
            <v>0</v>
          </cell>
          <cell r="Q646" t="b">
            <v>0</v>
          </cell>
          <cell r="R646" t="b">
            <v>0</v>
          </cell>
          <cell r="S646" t="b">
            <v>0</v>
          </cell>
          <cell r="T646" t="b">
            <v>0</v>
          </cell>
          <cell r="U646" t="str">
            <v>NA</v>
          </cell>
          <cell r="V646" t="str">
            <v>Register</v>
          </cell>
          <cell r="W646" t="str">
            <v>PR</v>
          </cell>
          <cell r="X646" t="str">
            <v>Professional Services</v>
          </cell>
          <cell r="Y646" t="str">
            <v>Konsultan K3LH, safety training/consulting, pengembangan kapabilitas K3 &amp; SDM.</v>
          </cell>
        </row>
        <row r="647">
          <cell r="B647" t="str">
            <v>Polydaya Fiberindo Indah, PT</v>
          </cell>
          <cell r="C647" t="str">
            <v>inquiry@polydayafrp.com</v>
          </cell>
          <cell r="F647" t="str">
            <v>Jl. Prepedan III NO.12, Desa / Kelurahan Kamal, Kec. Kalideres</v>
          </cell>
          <cell r="G647" t="b">
            <v>0</v>
          </cell>
          <cell r="H647" t="b">
            <v>0</v>
          </cell>
          <cell r="I647" t="b">
            <v>0</v>
          </cell>
          <cell r="J647" t="b">
            <v>0</v>
          </cell>
          <cell r="K647" t="b">
            <v>0</v>
          </cell>
          <cell r="L647" t="b">
            <v>0</v>
          </cell>
          <cell r="M647" t="b">
            <v>1</v>
          </cell>
          <cell r="N647" t="b">
            <v>0</v>
          </cell>
          <cell r="O647" t="b">
            <v>0</v>
          </cell>
          <cell r="P647" t="b">
            <v>0</v>
          </cell>
          <cell r="Q647" t="b">
            <v>0</v>
          </cell>
          <cell r="R647" t="b">
            <v>1</v>
          </cell>
          <cell r="S647" t="b">
            <v>1</v>
          </cell>
          <cell r="T647" t="b">
            <v>0</v>
          </cell>
          <cell r="U647" t="str">
            <v>NA</v>
          </cell>
          <cell r="V647" t="str">
            <v>Register</v>
          </cell>
          <cell r="W647" t="str">
            <v>GT - CHE</v>
          </cell>
          <cell r="X647" t="str">
            <v>General Trading - Chemical</v>
          </cell>
          <cell r="Y647" t="str">
            <v/>
          </cell>
        </row>
        <row r="648">
          <cell r="B648" t="str">
            <v>Promitra Prima Indonesia, PT</v>
          </cell>
          <cell r="C648" t="str">
            <v>heru@promitra.co.id</v>
          </cell>
          <cell r="D648" t="str">
            <v>Heru</v>
          </cell>
          <cell r="E648" t="str">
            <v>082139144405</v>
          </cell>
          <cell r="F648" t="str">
            <v>Gedung Wisma YAKYF, Jl. Hj. Tutty Alawiyah No. 99, Desa/Kelurahan Kalibata, Kec. Pancoran</v>
          </cell>
          <cell r="G648" t="b">
            <v>0</v>
          </cell>
          <cell r="H648" t="b">
            <v>0</v>
          </cell>
          <cell r="I648" t="b">
            <v>0</v>
          </cell>
          <cell r="J648" t="b">
            <v>0</v>
          </cell>
          <cell r="K648" t="b">
            <v>0</v>
          </cell>
          <cell r="L648" t="b">
            <v>0</v>
          </cell>
          <cell r="M648" t="b">
            <v>1</v>
          </cell>
          <cell r="N648" t="b">
            <v>0</v>
          </cell>
          <cell r="O648" t="b">
            <v>0</v>
          </cell>
          <cell r="P648" t="b">
            <v>0</v>
          </cell>
          <cell r="Q648" t="b">
            <v>0</v>
          </cell>
          <cell r="R648" t="b">
            <v>0</v>
          </cell>
          <cell r="S648" t="b">
            <v>1</v>
          </cell>
          <cell r="T648" t="b">
            <v>0</v>
          </cell>
          <cell r="U648" t="str">
            <v>A</v>
          </cell>
          <cell r="V648" t="str">
            <v>Register</v>
          </cell>
          <cell r="W648" t="str">
            <v>GT - IC</v>
          </cell>
          <cell r="X648" t="str">
            <v>General Trading - Elektrical
General Trading - Instrument
Service Jasa - Maintenance</v>
          </cell>
          <cell r="Y648" t="str">
            <v>ABB</v>
          </cell>
        </row>
        <row r="649">
          <cell r="B649" t="str">
            <v>Westindo Esa Perkasa, PT</v>
          </cell>
          <cell r="C649" t="str">
            <v>serpina@westindo.co.id</v>
          </cell>
          <cell r="D649" t="str">
            <v>Serpina</v>
          </cell>
          <cell r="E649" t="str">
            <v>081311478819</v>
          </cell>
          <cell r="F649" t="str">
            <v>JL. Gaya Motor Raya No. 8 Kav M &amp; N, Desa/Kelurahan Sungai Bambu, Kec. Tanjung Priok</v>
          </cell>
          <cell r="G649" t="b">
            <v>0</v>
          </cell>
          <cell r="H649" t="b">
            <v>0</v>
          </cell>
          <cell r="I649" t="b">
            <v>0</v>
          </cell>
          <cell r="J649" t="b">
            <v>0</v>
          </cell>
          <cell r="K649" t="b">
            <v>0</v>
          </cell>
          <cell r="L649" t="b">
            <v>0</v>
          </cell>
          <cell r="M649" t="b">
            <v>1</v>
          </cell>
          <cell r="N649" t="b">
            <v>0</v>
          </cell>
          <cell r="O649" t="b">
            <v>0</v>
          </cell>
          <cell r="P649" t="b">
            <v>0</v>
          </cell>
          <cell r="Q649" t="b">
            <v>0</v>
          </cell>
          <cell r="R649" t="b">
            <v>0</v>
          </cell>
          <cell r="S649" t="b">
            <v>1</v>
          </cell>
          <cell r="T649" t="b">
            <v>0</v>
          </cell>
          <cell r="U649" t="str">
            <v>A</v>
          </cell>
          <cell r="V649" t="str">
            <v>Register</v>
          </cell>
          <cell r="W649" t="str">
            <v/>
          </cell>
          <cell r="X649" t="str">
            <v>General Trading - Elektrical
Service Jasa - Electrical</v>
          </cell>
          <cell r="Y649" t="str">
            <v>FIAMM</v>
          </cell>
        </row>
        <row r="650">
          <cell r="B650" t="str">
            <v>Indostar Security, PT</v>
          </cell>
          <cell r="C650" t="str">
            <v>linayanti@indostarsecurity.co.id; marketing@indostarsecurity.co.id; tech.support@indostarsecurity.co.id</v>
          </cell>
          <cell r="D650" t="str">
            <v>Lina</v>
          </cell>
          <cell r="E650" t="str">
            <v>08118757580</v>
          </cell>
          <cell r="F650" t="str">
            <v>JL.Boulevard Raya QJ.5 No.10-11, Kelapa Gading Barat, Desa/Kelurahan Kelapa Gading Barat, Kec. Kelapa Gading,</v>
          </cell>
          <cell r="G650" t="b">
            <v>0</v>
          </cell>
          <cell r="H650" t="b">
            <v>0</v>
          </cell>
          <cell r="I650" t="b">
            <v>0</v>
          </cell>
          <cell r="J650" t="b">
            <v>0</v>
          </cell>
          <cell r="K650" t="b">
            <v>0</v>
          </cell>
          <cell r="L650" t="b">
            <v>0</v>
          </cell>
          <cell r="M650" t="b">
            <v>1</v>
          </cell>
          <cell r="N650" t="b">
            <v>0</v>
          </cell>
          <cell r="O650" t="b">
            <v>0</v>
          </cell>
          <cell r="P650" t="b">
            <v>0</v>
          </cell>
          <cell r="Q650" t="b">
            <v>0</v>
          </cell>
          <cell r="R650" t="b">
            <v>0</v>
          </cell>
          <cell r="S650" t="b">
            <v>1</v>
          </cell>
          <cell r="T650" t="b">
            <v>0</v>
          </cell>
          <cell r="U650" t="str">
            <v>A</v>
          </cell>
          <cell r="V650" t="str">
            <v>Register</v>
          </cell>
          <cell r="W650" t="str">
            <v>GT - IC</v>
          </cell>
          <cell r="X650" t="str">
            <v>General Trading - Instrument</v>
          </cell>
          <cell r="Y650" t="str">
            <v/>
          </cell>
        </row>
        <row r="651">
          <cell r="B651" t="str">
            <v>Central Elektrindo Mandiri, PT</v>
          </cell>
          <cell r="C651" t="str">
            <v>sales@cemandiri.com</v>
          </cell>
          <cell r="F651" t="str">
            <v>Rukan Kirana Boutique Office E.3 No. 10 JL. Boulevard Raya, Desa/Kelurahan Kelapa Gading Timur, Kec. Kelapa Gading</v>
          </cell>
          <cell r="G651" t="b">
            <v>0</v>
          </cell>
          <cell r="H651" t="b">
            <v>0</v>
          </cell>
          <cell r="I651" t="b">
            <v>0</v>
          </cell>
          <cell r="J651" t="b">
            <v>0</v>
          </cell>
          <cell r="K651" t="b">
            <v>0</v>
          </cell>
          <cell r="L651" t="b">
            <v>0</v>
          </cell>
          <cell r="M651" t="b">
            <v>1</v>
          </cell>
          <cell r="N651" t="b">
            <v>0</v>
          </cell>
          <cell r="O651" t="b">
            <v>0</v>
          </cell>
          <cell r="P651" t="b">
            <v>0</v>
          </cell>
          <cell r="Q651" t="b">
            <v>0</v>
          </cell>
          <cell r="R651" t="b">
            <v>0</v>
          </cell>
          <cell r="S651" t="b">
            <v>1</v>
          </cell>
          <cell r="T651" t="b">
            <v>0</v>
          </cell>
          <cell r="U651" t="str">
            <v>NA</v>
          </cell>
          <cell r="V651" t="str">
            <v>Register</v>
          </cell>
          <cell r="W651" t="str">
            <v>GT - IC</v>
          </cell>
          <cell r="X651" t="str">
            <v>General Trading - Instrument</v>
          </cell>
          <cell r="Y651" t="str">
            <v>Instrumentation</v>
          </cell>
        </row>
        <row r="652">
          <cell r="B652" t="str">
            <v>Pola Proserve Engineering, PT</v>
          </cell>
          <cell r="C652" t="str">
            <v>proserve@indo.net.id; inez@proserve.co.id; lilis@proserve.co.id; sales@proserve.co.id</v>
          </cell>
          <cell r="D652" t="str">
            <v>Lilis; Inez</v>
          </cell>
          <cell r="E652" t="str">
            <v>081283231312; 083873401708</v>
          </cell>
          <cell r="F652" t="str">
            <v>Taman Tekno Blok E3 No.1 Sektor XI BSD City, Setu</v>
          </cell>
          <cell r="G652" t="b">
            <v>1</v>
          </cell>
          <cell r="H652" t="b">
            <v>1</v>
          </cell>
          <cell r="I652" t="b">
            <v>0</v>
          </cell>
          <cell r="J652" t="b">
            <v>0</v>
          </cell>
          <cell r="K652" t="b">
            <v>0</v>
          </cell>
          <cell r="L652" t="b">
            <v>0</v>
          </cell>
          <cell r="M652" t="b">
            <v>0</v>
          </cell>
          <cell r="N652" t="b">
            <v>1</v>
          </cell>
          <cell r="O652" t="b">
            <v>0</v>
          </cell>
          <cell r="P652" t="b">
            <v>0</v>
          </cell>
          <cell r="Q652" t="b">
            <v>0</v>
          </cell>
          <cell r="R652" t="b">
            <v>0</v>
          </cell>
          <cell r="S652" t="b">
            <v>0</v>
          </cell>
          <cell r="T652" t="b">
            <v>0</v>
          </cell>
          <cell r="U652" t="str">
            <v>A</v>
          </cell>
          <cell r="V652" t="str">
            <v>Register</v>
          </cell>
          <cell r="W652" t="str">
            <v>GT - IC</v>
          </cell>
          <cell r="X652" t="str">
            <v>Service Jasa - Mechanical
Service Jasa - Electrical
General Trading - Instrument</v>
          </cell>
          <cell r="Y652" t="str">
            <v/>
          </cell>
        </row>
        <row r="653">
          <cell r="B653" t="str">
            <v>Prokalindo Global Presisi, PT</v>
          </cell>
          <cell r="C653" t="str">
            <v>marketing@prokalibrasi.com</v>
          </cell>
          <cell r="D653" t="str">
            <v>Juli</v>
          </cell>
          <cell r="E653" t="str">
            <v>08811056987</v>
          </cell>
          <cell r="F653" t="str">
            <v>Jl. Tiparsari, No. 12, Desa/Kelurahan Mekarsari, Kec. Cimanggis</v>
          </cell>
          <cell r="G653" t="b">
            <v>0</v>
          </cell>
          <cell r="H653" t="b">
            <v>0</v>
          </cell>
          <cell r="I653" t="b">
            <v>0</v>
          </cell>
          <cell r="J653" t="b">
            <v>0</v>
          </cell>
          <cell r="K653" t="b">
            <v>0</v>
          </cell>
          <cell r="L653" t="b">
            <v>0</v>
          </cell>
          <cell r="M653" t="b">
            <v>0</v>
          </cell>
          <cell r="N653" t="b">
            <v>1</v>
          </cell>
          <cell r="O653" t="b">
            <v>0</v>
          </cell>
          <cell r="P653" t="b">
            <v>0</v>
          </cell>
          <cell r="Q653" t="b">
            <v>0</v>
          </cell>
          <cell r="R653" t="b">
            <v>0</v>
          </cell>
          <cell r="S653" t="b">
            <v>0</v>
          </cell>
          <cell r="T653" t="b">
            <v>0</v>
          </cell>
          <cell r="U653" t="str">
            <v>A</v>
          </cell>
          <cell r="V653" t="str">
            <v>Register</v>
          </cell>
          <cell r="W653" t="str">
            <v/>
          </cell>
          <cell r="X653" t="str">
            <v>Service Jasa - Calibration / Testing</v>
          </cell>
          <cell r="Y653" t="str">
            <v/>
          </cell>
        </row>
        <row r="654">
          <cell r="B654" t="str">
            <v>Jakarta Prima Cranes, PT</v>
          </cell>
          <cell r="C654" t="str">
            <v>ronaldchrisma@gmail.com; coordinator_asam2@jpcbpn.co.id; marketing_asam2@jpcbpn.co.id</v>
          </cell>
          <cell r="D654" t="str">
            <v>Ronald Chrisma</v>
          </cell>
          <cell r="E654" t="str">
            <v>08125692388</v>
          </cell>
          <cell r="F654" t="str">
            <v>Jl. Mampang Raya No.20 Jakarta Selatan 12760</v>
          </cell>
          <cell r="G654" t="b">
            <v>0</v>
          </cell>
          <cell r="H654" t="b">
            <v>0</v>
          </cell>
          <cell r="I654" t="b">
            <v>0</v>
          </cell>
          <cell r="J654" t="b">
            <v>0</v>
          </cell>
          <cell r="K654" t="b">
            <v>0</v>
          </cell>
          <cell r="L654" t="b">
            <v>0</v>
          </cell>
          <cell r="M654" t="b">
            <v>0</v>
          </cell>
          <cell r="N654" t="b">
            <v>1</v>
          </cell>
          <cell r="O654" t="b">
            <v>0</v>
          </cell>
          <cell r="P654" t="b">
            <v>0</v>
          </cell>
          <cell r="Q654" t="b">
            <v>0</v>
          </cell>
          <cell r="R654" t="b">
            <v>0</v>
          </cell>
          <cell r="S654" t="b">
            <v>0</v>
          </cell>
          <cell r="T654" t="b">
            <v>0</v>
          </cell>
          <cell r="U654" t="str">
            <v>NA</v>
          </cell>
          <cell r="V654" t="str">
            <v>Register</v>
          </cell>
          <cell r="W654" t="str">
            <v/>
          </cell>
          <cell r="X654" t="str">
            <v>Service Jasa - Mechanical</v>
          </cell>
          <cell r="Y654" t="str">
            <v/>
          </cell>
        </row>
        <row r="655">
          <cell r="B655" t="str">
            <v>Lienetic Jaya, PT</v>
          </cell>
          <cell r="C655" t="str">
            <v>inquiry@lieneticjaya.com; Lieneticjaya@cbn.net.id</v>
          </cell>
          <cell r="D655" t="str">
            <v>Erin</v>
          </cell>
          <cell r="E655" t="str">
            <v>081297435955</v>
          </cell>
          <cell r="F655" t="str">
            <v>APL Tower Central Park Lantai 26 Unit T3 Jl. S Parman 28 , Desa/Kelurahan Tanjung Duren Selatan, Kec. Grogol Petamburan</v>
          </cell>
          <cell r="G655" t="b">
            <v>0</v>
          </cell>
          <cell r="H655" t="b">
            <v>0</v>
          </cell>
          <cell r="I655" t="b">
            <v>0</v>
          </cell>
          <cell r="J655" t="b">
            <v>0</v>
          </cell>
          <cell r="K655" t="b">
            <v>0</v>
          </cell>
          <cell r="L655" t="b">
            <v>0</v>
          </cell>
          <cell r="M655" t="b">
            <v>1</v>
          </cell>
          <cell r="N655" t="b">
            <v>0</v>
          </cell>
          <cell r="O655" t="b">
            <v>0</v>
          </cell>
          <cell r="P655" t="b">
            <v>0</v>
          </cell>
          <cell r="Q655" t="b">
            <v>0</v>
          </cell>
          <cell r="R655" t="b">
            <v>0</v>
          </cell>
          <cell r="S655" t="b">
            <v>1</v>
          </cell>
          <cell r="T655" t="b">
            <v>0</v>
          </cell>
          <cell r="U655" t="str">
            <v>A</v>
          </cell>
          <cell r="V655" t="str">
            <v>Register</v>
          </cell>
          <cell r="W655" t="str">
            <v>GT - ME
GT - IC</v>
          </cell>
          <cell r="X655" t="str">
            <v>General Trading - Mechanical
General Trading - Elektrical
General Trading - Instrument</v>
          </cell>
          <cell r="Y655" t="str">
            <v>Mechanical, Yokogawa, Siemens, bradley, Festo, ASCO</v>
          </cell>
        </row>
        <row r="656">
          <cell r="B656" t="str">
            <v>Pansel Multi Indoguna, CV</v>
          </cell>
          <cell r="C656" t="str">
            <v>sinarpansel@gmail.com</v>
          </cell>
          <cell r="E656" t="str">
            <v>081213531718</v>
          </cell>
          <cell r="F656" t="str">
            <v>Jalan Padat Karya Perum Pondok Karet Blok M No. 168, Kel. Tanta Hulu, Kec. Tanta,</v>
          </cell>
          <cell r="G656" t="b">
            <v>0</v>
          </cell>
          <cell r="H656" t="b">
            <v>0</v>
          </cell>
          <cell r="I656" t="b">
            <v>0</v>
          </cell>
          <cell r="J656" t="b">
            <v>0</v>
          </cell>
          <cell r="K656" t="b">
            <v>0</v>
          </cell>
          <cell r="L656" t="b">
            <v>0</v>
          </cell>
          <cell r="M656" t="b">
            <v>0</v>
          </cell>
          <cell r="N656" t="b">
            <v>1</v>
          </cell>
          <cell r="O656" t="b">
            <v>0</v>
          </cell>
          <cell r="P656" t="b">
            <v>0</v>
          </cell>
          <cell r="Q656" t="b">
            <v>0</v>
          </cell>
          <cell r="R656" t="b">
            <v>0</v>
          </cell>
          <cell r="S656" t="b">
            <v>0</v>
          </cell>
          <cell r="T656" t="b">
            <v>0</v>
          </cell>
          <cell r="U656" t="str">
            <v>NA</v>
          </cell>
          <cell r="V656" t="str">
            <v>Register</v>
          </cell>
          <cell r="W656" t="str">
            <v>SJ - HVAC</v>
          </cell>
          <cell r="X656" t="str">
            <v>Service Jasa - HVAC (AC) Service
Service Jasa - Mechanical</v>
          </cell>
          <cell r="Y656" t="str">
            <v/>
          </cell>
        </row>
        <row r="657">
          <cell r="B657" t="str">
            <v>Fahri Bersaudara, CV</v>
          </cell>
          <cell r="C657" t="str">
            <v>fahrianifahmi89@gmail.com</v>
          </cell>
          <cell r="D657" t="str">
            <v>Fahri</v>
          </cell>
          <cell r="E657" t="str">
            <v>085246968459</v>
          </cell>
          <cell r="F657" t="str">
            <v>Jalan Simpang Tiga Tangki Hijau, Desa/Kelurahan Belimbing Raya, Kec. Murung Pudak</v>
          </cell>
          <cell r="G657" t="b">
            <v>0</v>
          </cell>
          <cell r="H657" t="b">
            <v>0</v>
          </cell>
          <cell r="I657" t="b">
            <v>0</v>
          </cell>
          <cell r="J657" t="b">
            <v>0</v>
          </cell>
          <cell r="K657" t="b">
            <v>0</v>
          </cell>
          <cell r="L657" t="b">
            <v>0</v>
          </cell>
          <cell r="M657" t="b">
            <v>1</v>
          </cell>
          <cell r="N657" t="b">
            <v>0</v>
          </cell>
          <cell r="O657" t="b">
            <v>0</v>
          </cell>
          <cell r="P657" t="b">
            <v>0</v>
          </cell>
          <cell r="Q657" t="b">
            <v>0</v>
          </cell>
          <cell r="R657" t="b">
            <v>0</v>
          </cell>
          <cell r="S657" t="b">
            <v>1</v>
          </cell>
          <cell r="T657" t="b">
            <v>0</v>
          </cell>
          <cell r="U657" t="str">
            <v>NA</v>
          </cell>
          <cell r="V657" t="str">
            <v>Register</v>
          </cell>
          <cell r="W657" t="str">
            <v>GT - ID</v>
          </cell>
          <cell r="X657" t="str">
            <v>General Trading - Industrial Goods</v>
          </cell>
          <cell r="Y657" t="str">
            <v>Saw dust</v>
          </cell>
        </row>
        <row r="658">
          <cell r="B658" t="str">
            <v>Rinas Bangun Sejahtera, PT</v>
          </cell>
          <cell r="C658" t="str">
            <v>ptrbs.office@gmail.com; budimaldes2713@gmail.com</v>
          </cell>
          <cell r="D658" t="str">
            <v>Edwin</v>
          </cell>
          <cell r="E658" t="str">
            <v>082251245360</v>
          </cell>
          <cell r="F658" t="str">
            <v>JL. IR.PHM.Noor No.04, Desa/Kelurahan Sulingan, Kec. Murung Pudak</v>
          </cell>
          <cell r="G658" t="b">
            <v>1</v>
          </cell>
          <cell r="H658" t="b">
            <v>1</v>
          </cell>
          <cell r="I658" t="b">
            <v>0</v>
          </cell>
          <cell r="J658" t="b">
            <v>0</v>
          </cell>
          <cell r="K658" t="b">
            <v>0</v>
          </cell>
          <cell r="L658" t="b">
            <v>0</v>
          </cell>
          <cell r="M658" t="b">
            <v>0</v>
          </cell>
          <cell r="N658" t="b">
            <v>1</v>
          </cell>
          <cell r="O658" t="b">
            <v>0</v>
          </cell>
          <cell r="P658" t="b">
            <v>0</v>
          </cell>
          <cell r="Q658" t="b">
            <v>0</v>
          </cell>
          <cell r="R658" t="b">
            <v>0</v>
          </cell>
          <cell r="S658" t="b">
            <v>0</v>
          </cell>
          <cell r="T658" t="b">
            <v>0</v>
          </cell>
          <cell r="U658" t="str">
            <v>A</v>
          </cell>
          <cell r="V658" t="str">
            <v>Register</v>
          </cell>
          <cell r="W658" t="str">
            <v/>
          </cell>
          <cell r="X658" t="str">
            <v>Service Jasa - Electrical
Service Jasa - Instrument
Construction - Electrical</v>
          </cell>
          <cell r="Y658" t="str">
            <v/>
          </cell>
        </row>
        <row r="659">
          <cell r="B659" t="str">
            <v>Kogelahar Borneo, PT</v>
          </cell>
          <cell r="C659" t="str">
            <v>alika@kogelaharborneo.com; heriana@kogelaharborneo.com</v>
          </cell>
          <cell r="D659" t="str">
            <v>Florensia</v>
          </cell>
          <cell r="E659" t="str">
            <v>082352399596</v>
          </cell>
          <cell r="F659" t="str">
            <v>JL. Teuku Umar Komp. Pontianak Mall Blok A No. 9-10, Desa/Kelurahan Daratsekip, Kec. Pontianak Kota</v>
          </cell>
          <cell r="G659" t="b">
            <v>0</v>
          </cell>
          <cell r="H659" t="b">
            <v>0</v>
          </cell>
          <cell r="I659" t="b">
            <v>0</v>
          </cell>
          <cell r="J659" t="b">
            <v>0</v>
          </cell>
          <cell r="K659" t="b">
            <v>0</v>
          </cell>
          <cell r="L659" t="b">
            <v>0</v>
          </cell>
          <cell r="M659" t="b">
            <v>1</v>
          </cell>
          <cell r="N659" t="b">
            <v>0</v>
          </cell>
          <cell r="O659" t="b">
            <v>0</v>
          </cell>
          <cell r="P659" t="b">
            <v>0</v>
          </cell>
          <cell r="Q659" t="b">
            <v>0</v>
          </cell>
          <cell r="R659" t="b">
            <v>0</v>
          </cell>
          <cell r="S659" t="b">
            <v>1</v>
          </cell>
          <cell r="T659" t="b">
            <v>0</v>
          </cell>
          <cell r="U659" t="str">
            <v>A</v>
          </cell>
          <cell r="V659" t="str">
            <v>Register</v>
          </cell>
          <cell r="W659" t="str">
            <v/>
          </cell>
          <cell r="X659" t="str">
            <v>General Trading - Elektrical</v>
          </cell>
          <cell r="Y659" t="str">
            <v/>
          </cell>
        </row>
        <row r="660">
          <cell r="B660" t="str">
            <v>Raihan Teknik Utama, PT</v>
          </cell>
          <cell r="C660" t="str">
            <v>rahmatfinardi@ptrtu.co.id; sales@ptrtu.co.id</v>
          </cell>
          <cell r="D660" t="str">
            <v>Alwi</v>
          </cell>
          <cell r="E660" t="str">
            <v>081281083500</v>
          </cell>
          <cell r="F660" t="str">
            <v>Tempo Scan Tower, Lantai 32, JL. HR. Rasuna Said Kav. 3-4, Desa/Kelurahan Kuningan Timur, Kec. Setiabudi</v>
          </cell>
          <cell r="G660" t="b">
            <v>0</v>
          </cell>
          <cell r="H660" t="b">
            <v>0</v>
          </cell>
          <cell r="I660" t="b">
            <v>0</v>
          </cell>
          <cell r="J660" t="b">
            <v>0</v>
          </cell>
          <cell r="K660" t="b">
            <v>0</v>
          </cell>
          <cell r="L660" t="b">
            <v>0</v>
          </cell>
          <cell r="M660" t="b">
            <v>0</v>
          </cell>
          <cell r="N660" t="b">
            <v>1</v>
          </cell>
          <cell r="O660" t="b">
            <v>1</v>
          </cell>
          <cell r="P660" t="b">
            <v>0</v>
          </cell>
          <cell r="Q660" t="b">
            <v>0</v>
          </cell>
          <cell r="R660" t="b">
            <v>0</v>
          </cell>
          <cell r="S660" t="b">
            <v>0</v>
          </cell>
          <cell r="T660" t="b">
            <v>0</v>
          </cell>
          <cell r="U660" t="str">
            <v>A</v>
          </cell>
          <cell r="V660" t="str">
            <v>Register</v>
          </cell>
          <cell r="W660" t="str">
            <v/>
          </cell>
          <cell r="X660" t="str">
            <v>Service Jasa - Maintenance</v>
          </cell>
          <cell r="Y660" t="str">
            <v/>
          </cell>
        </row>
        <row r="661">
          <cell r="B661" t="str">
            <v>Multi Mas, CV</v>
          </cell>
          <cell r="C661" t="str">
            <v>sianhwa@sby.centrin.net.id</v>
          </cell>
          <cell r="D661" t="str">
            <v>Gilang</v>
          </cell>
          <cell r="E661" t="str">
            <v xml:space="preserve">081217451329 </v>
          </cell>
          <cell r="F661" t="str">
            <v>JL. Kupang Indah II/32, Desa/Kelurahan Sonokwijenan, Kec. Sukomanunggal</v>
          </cell>
          <cell r="G661" t="b">
            <v>0</v>
          </cell>
          <cell r="H661" t="b">
            <v>0</v>
          </cell>
          <cell r="I661" t="b">
            <v>0</v>
          </cell>
          <cell r="J661" t="b">
            <v>0</v>
          </cell>
          <cell r="K661" t="b">
            <v>0</v>
          </cell>
          <cell r="L661" t="b">
            <v>0</v>
          </cell>
          <cell r="M661" t="b">
            <v>1</v>
          </cell>
          <cell r="N661" t="b">
            <v>0</v>
          </cell>
          <cell r="O661" t="b">
            <v>0</v>
          </cell>
          <cell r="P661" t="b">
            <v>0</v>
          </cell>
          <cell r="Q661" t="b">
            <v>0</v>
          </cell>
          <cell r="R661" t="b">
            <v>0</v>
          </cell>
          <cell r="S661" t="b">
            <v>1</v>
          </cell>
          <cell r="T661" t="b">
            <v>0</v>
          </cell>
          <cell r="U661" t="str">
            <v>A</v>
          </cell>
          <cell r="V661" t="str">
            <v>Register</v>
          </cell>
          <cell r="W661" t="str">
            <v/>
          </cell>
          <cell r="X661" t="str">
            <v>General Trading - Elektrical</v>
          </cell>
          <cell r="Y661" t="str">
            <v/>
          </cell>
        </row>
        <row r="662">
          <cell r="B662" t="str">
            <v>Xservice, CV</v>
          </cell>
          <cell r="C662" t="str">
            <v>xservic3@gmail.com</v>
          </cell>
          <cell r="D662" t="str">
            <v>Galih</v>
          </cell>
          <cell r="E662" t="str">
            <v>0811508840</v>
          </cell>
          <cell r="F662" t="str">
            <v>Perumahan pondok Indah 3 Blok K Nomor 9, Desa/Kelurahan Mabu;un, Kec. Murung Pudak</v>
          </cell>
          <cell r="G662" t="b">
            <v>1</v>
          </cell>
          <cell r="H662" t="b">
            <v>1</v>
          </cell>
          <cell r="I662" t="b">
            <v>0</v>
          </cell>
          <cell r="J662" t="b">
            <v>0</v>
          </cell>
          <cell r="K662" t="b">
            <v>0</v>
          </cell>
          <cell r="L662" t="b">
            <v>0</v>
          </cell>
          <cell r="M662" t="b">
            <v>0</v>
          </cell>
          <cell r="N662" t="b">
            <v>0</v>
          </cell>
          <cell r="O662" t="b">
            <v>0</v>
          </cell>
          <cell r="P662" t="b">
            <v>0</v>
          </cell>
          <cell r="Q662" t="b">
            <v>0</v>
          </cell>
          <cell r="R662" t="b">
            <v>0</v>
          </cell>
          <cell r="S662" t="b">
            <v>0</v>
          </cell>
          <cell r="T662" t="b">
            <v>0</v>
          </cell>
          <cell r="U662" t="str">
            <v>A</v>
          </cell>
          <cell r="V662" t="str">
            <v>Register</v>
          </cell>
          <cell r="W662" t="str">
            <v/>
          </cell>
          <cell r="X662" t="str">
            <v>Service Jasa - Maintenance
Service Jasa - Mechanical</v>
          </cell>
          <cell r="Y662" t="str">
            <v/>
          </cell>
        </row>
        <row r="663">
          <cell r="B663" t="str">
            <v>Borneo Energi Sejahtera, CV</v>
          </cell>
          <cell r="C663" t="str">
            <v/>
          </cell>
          <cell r="D663" t="str">
            <v/>
          </cell>
          <cell r="E663" t="str">
            <v/>
          </cell>
          <cell r="F663" t="str">
            <v>Jalan Ir. P. H. M. Noor Gunung Batu, Desa/Kelurahan Mabu"un, Kec. Murung Pudak</v>
          </cell>
          <cell r="G663" t="b">
            <v>0</v>
          </cell>
          <cell r="H663" t="b">
            <v>0</v>
          </cell>
          <cell r="I663" t="b">
            <v>0</v>
          </cell>
          <cell r="J663" t="b">
            <v>0</v>
          </cell>
          <cell r="K663" t="b">
            <v>0</v>
          </cell>
          <cell r="L663" t="b">
            <v>0</v>
          </cell>
          <cell r="M663" t="b">
            <v>0</v>
          </cell>
          <cell r="N663" t="b">
            <v>0</v>
          </cell>
          <cell r="O663" t="b">
            <v>0</v>
          </cell>
          <cell r="P663" t="b">
            <v>0</v>
          </cell>
          <cell r="Q663" t="b">
            <v>0</v>
          </cell>
          <cell r="R663" t="b">
            <v>0</v>
          </cell>
          <cell r="S663" t="b">
            <v>1</v>
          </cell>
          <cell r="T663" t="b">
            <v>0</v>
          </cell>
          <cell r="U663" t="str">
            <v>NA</v>
          </cell>
          <cell r="V663" t="str">
            <v>Register</v>
          </cell>
          <cell r="W663" t="str">
            <v/>
          </cell>
          <cell r="X663" t="str">
            <v>Transportation - Truck / Alat Berat Rental</v>
          </cell>
          <cell r="Y663" t="str">
            <v/>
          </cell>
        </row>
        <row r="664">
          <cell r="B664" t="str">
            <v>Teknik Cahaya Mandiri, CV</v>
          </cell>
          <cell r="C664" t="str">
            <v>cvteknikcahayamandiri@yahoo.com</v>
          </cell>
          <cell r="F664" t="str">
            <v>Desa mampari, Desa/Kelurahan Mampari, Kec. Batu Mandi</v>
          </cell>
          <cell r="G664" t="b">
            <v>0</v>
          </cell>
          <cell r="H664" t="b">
            <v>0</v>
          </cell>
          <cell r="I664" t="b">
            <v>0</v>
          </cell>
          <cell r="J664" t="b">
            <v>0</v>
          </cell>
          <cell r="K664" t="b">
            <v>0</v>
          </cell>
          <cell r="L664" t="b">
            <v>0</v>
          </cell>
          <cell r="M664" t="b">
            <v>0</v>
          </cell>
          <cell r="N664" t="b">
            <v>0</v>
          </cell>
          <cell r="O664" t="b">
            <v>0</v>
          </cell>
          <cell r="P664" t="b">
            <v>0</v>
          </cell>
          <cell r="Q664" t="b">
            <v>0</v>
          </cell>
          <cell r="R664" t="b">
            <v>0</v>
          </cell>
          <cell r="S664" t="b">
            <v>1</v>
          </cell>
          <cell r="T664" t="b">
            <v>0</v>
          </cell>
          <cell r="U664" t="str">
            <v>NA</v>
          </cell>
          <cell r="V664" t="str">
            <v>Register</v>
          </cell>
          <cell r="W664" t="str">
            <v>GT</v>
          </cell>
          <cell r="X664" t="str">
            <v>General Trading</v>
          </cell>
          <cell r="Y664" t="str">
            <v/>
          </cell>
        </row>
        <row r="665">
          <cell r="B665" t="str">
            <v>Taichyun Industries Indonesia, PT</v>
          </cell>
          <cell r="C665" t="str">
            <v>triana.endhy@taichyun.com.tw; taichyun.indonesia@taichyun.com</v>
          </cell>
          <cell r="F665" t="str">
            <v>Unit 615, 6F, Spazio Office Building, Jl. Mayjend Yono Soewoyo Kaveling 3, Graha Famili, Desa/Kelurahan Pradah Kalikendal, Kec. Dukuh Pakis</v>
          </cell>
          <cell r="G665" t="b">
            <v>0</v>
          </cell>
          <cell r="H665" t="b">
            <v>0</v>
          </cell>
          <cell r="I665" t="b">
            <v>0</v>
          </cell>
          <cell r="J665" t="b">
            <v>0</v>
          </cell>
          <cell r="K665" t="b">
            <v>0</v>
          </cell>
          <cell r="L665" t="b">
            <v>0</v>
          </cell>
          <cell r="M665" t="b">
            <v>1</v>
          </cell>
          <cell r="N665" t="b">
            <v>0</v>
          </cell>
          <cell r="O665" t="b">
            <v>0</v>
          </cell>
          <cell r="P665" t="b">
            <v>0</v>
          </cell>
          <cell r="Q665" t="b">
            <v>0</v>
          </cell>
          <cell r="R665" t="b">
            <v>0</v>
          </cell>
          <cell r="S665" t="b">
            <v>1</v>
          </cell>
          <cell r="T665" t="b">
            <v>0</v>
          </cell>
          <cell r="U665" t="str">
            <v>NA</v>
          </cell>
          <cell r="V665" t="str">
            <v>Register</v>
          </cell>
          <cell r="W665" t="str">
            <v>GT - ME</v>
          </cell>
          <cell r="X665" t="str">
            <v>General Trading - Mechanical</v>
          </cell>
          <cell r="Y665" t="str">
            <v/>
          </cell>
        </row>
        <row r="666">
          <cell r="B666" t="str">
            <v>Gamako Ekakarsa, PT</v>
          </cell>
          <cell r="C666" t="str">
            <v>sales@gamako.co.id</v>
          </cell>
          <cell r="D666" t="str">
            <v>Ryan</v>
          </cell>
          <cell r="E666" t="str">
            <v>08118002126</v>
          </cell>
          <cell r="F666" t="str">
            <v>Jl. Pinangsia Timur Nomor 44, Desa/Kelurahan Pinangsia, Kec. Taman Sari</v>
          </cell>
          <cell r="G666" t="b">
            <v>0</v>
          </cell>
          <cell r="H666" t="b">
            <v>0</v>
          </cell>
          <cell r="I666" t="b">
            <v>0</v>
          </cell>
          <cell r="J666" t="b">
            <v>0</v>
          </cell>
          <cell r="K666" t="b">
            <v>0</v>
          </cell>
          <cell r="L666" t="b">
            <v>0</v>
          </cell>
          <cell r="M666" t="b">
            <v>1</v>
          </cell>
          <cell r="N666" t="b">
            <v>0</v>
          </cell>
          <cell r="O666" t="b">
            <v>0</v>
          </cell>
          <cell r="P666" t="b">
            <v>0</v>
          </cell>
          <cell r="Q666" t="b">
            <v>0</v>
          </cell>
          <cell r="R666" t="b">
            <v>0</v>
          </cell>
          <cell r="S666" t="b">
            <v>1</v>
          </cell>
          <cell r="T666" t="b">
            <v>0</v>
          </cell>
          <cell r="U666" t="str">
            <v>A</v>
          </cell>
          <cell r="V666" t="str">
            <v>Register</v>
          </cell>
          <cell r="W666" t="str">
            <v>GT - ME</v>
          </cell>
          <cell r="X666" t="str">
            <v>General Trading - Mechanical</v>
          </cell>
          <cell r="Y666" t="str">
            <v/>
          </cell>
        </row>
        <row r="667">
          <cell r="B667" t="str">
            <v>Vendor dummy for upload beginning balance</v>
          </cell>
          <cell r="C667" t="str">
            <v/>
          </cell>
          <cell r="D667" t="str">
            <v/>
          </cell>
          <cell r="E667" t="str">
            <v/>
          </cell>
          <cell r="G667" t="str">
            <v>□</v>
          </cell>
          <cell r="H667" t="str">
            <v>□</v>
          </cell>
          <cell r="I667" t="str">
            <v>□</v>
          </cell>
          <cell r="J667" t="str">
            <v>□</v>
          </cell>
          <cell r="K667" t="str">
            <v>□</v>
          </cell>
          <cell r="L667" t="str">
            <v>□</v>
          </cell>
          <cell r="M667" t="str">
            <v>□</v>
          </cell>
          <cell r="N667" t="str">
            <v>□</v>
          </cell>
          <cell r="O667" t="str">
            <v>□</v>
          </cell>
          <cell r="P667" t="str">
            <v>□</v>
          </cell>
          <cell r="Q667" t="str">
            <v>□</v>
          </cell>
          <cell r="R667" t="str">
            <v>□</v>
          </cell>
          <cell r="S667" t="str">
            <v>□</v>
          </cell>
          <cell r="T667" t="str">
            <v>□</v>
          </cell>
          <cell r="U667" t="str">
            <v>NA</v>
          </cell>
          <cell r="V667" t="str">
            <v>No Register</v>
          </cell>
          <cell r="W667" t="str">
            <v/>
          </cell>
          <cell r="Y667" t="str">
            <v/>
          </cell>
        </row>
        <row r="668">
          <cell r="B668" t="str">
            <v>IOL Indonesia, PT</v>
          </cell>
          <cell r="C668" t="str">
            <v>iol.indonesia@bureauveritas.com;
tidar.surti@bureauveritas.com</v>
          </cell>
          <cell r="D668" t="str">
            <v>Tidar</v>
          </cell>
          <cell r="E668" t="str">
            <v>081285388349</v>
          </cell>
          <cell r="F668" t="str">
            <v>Wisma 76 Building, 21th Floor JI. Let. Jend. S. Parman Kav. 76  Slipi, Palmerah Jakarta Barat 11410, Indonesia</v>
          </cell>
          <cell r="G668" t="b">
            <v>0</v>
          </cell>
          <cell r="H668" t="b">
            <v>0</v>
          </cell>
          <cell r="I668" t="b">
            <v>0</v>
          </cell>
          <cell r="J668" t="b">
            <v>0</v>
          </cell>
          <cell r="K668" t="b">
            <v>0</v>
          </cell>
          <cell r="L668" t="b">
            <v>0</v>
          </cell>
          <cell r="M668" t="b">
            <v>0</v>
          </cell>
          <cell r="N668" t="b">
            <v>0</v>
          </cell>
          <cell r="O668" t="b">
            <v>1</v>
          </cell>
          <cell r="P668" t="b">
            <v>0</v>
          </cell>
          <cell r="Q668" t="b">
            <v>0</v>
          </cell>
          <cell r="R668" t="b">
            <v>0</v>
          </cell>
          <cell r="S668" t="b">
            <v>0</v>
          </cell>
          <cell r="T668" t="b">
            <v>0</v>
          </cell>
          <cell r="U668" t="str">
            <v>A</v>
          </cell>
          <cell r="V668" t="str">
            <v>Register</v>
          </cell>
          <cell r="W668" t="str">
            <v>PR - CS</v>
          </cell>
          <cell r="X668" t="str">
            <v>Professional Services - Consulting</v>
          </cell>
          <cell r="Y668" t="str">
            <v>Laboratorium/testing &amp; inspection, bagian dari Bureau Veritas; coal lab, agriculture, marine cargo, oil &amp; petrochemical lab.</v>
          </cell>
        </row>
        <row r="669">
          <cell r="B669" t="str">
            <v>Cendekia Muda Sejahtera, CV</v>
          </cell>
          <cell r="C669" t="str">
            <v>bintangara@gmail.com</v>
          </cell>
          <cell r="D669" t="str">
            <v>Lenie Marlinae</v>
          </cell>
          <cell r="E669" t="str">
            <v>082256506508</v>
          </cell>
          <cell r="F669" t="str">
            <v>Chr Office, Gedung Grand Slipi Tower Lt. 9 Unit O, Jalan Letjend S.Parman, Kav 22-24, Desa/Kelurahan Palmerah, Kec. Pal Merah, Kota Adm. Jakarta Barat, Provinsi Dki Jakarta</v>
          </cell>
          <cell r="G669" t="b">
            <v>0</v>
          </cell>
          <cell r="H669" t="b">
            <v>0</v>
          </cell>
          <cell r="I669" t="b">
            <v>0</v>
          </cell>
          <cell r="J669" t="b">
            <v>0</v>
          </cell>
          <cell r="K669" t="b">
            <v>0</v>
          </cell>
          <cell r="L669" t="b">
            <v>0</v>
          </cell>
          <cell r="M669" t="b">
            <v>0</v>
          </cell>
          <cell r="N669" t="b">
            <v>0</v>
          </cell>
          <cell r="O669" t="b">
            <v>1</v>
          </cell>
          <cell r="P669" t="b">
            <v>0</v>
          </cell>
          <cell r="Q669" t="b">
            <v>0</v>
          </cell>
          <cell r="R669" t="b">
            <v>0</v>
          </cell>
          <cell r="S669" t="b">
            <v>0</v>
          </cell>
          <cell r="T669" t="b">
            <v>0</v>
          </cell>
          <cell r="U669" t="str">
            <v>NA</v>
          </cell>
          <cell r="V669" t="str">
            <v>Register</v>
          </cell>
          <cell r="W669" t="str">
            <v>PR - CS</v>
          </cell>
          <cell r="X669" t="str">
            <v>Professional Services - Consulting</v>
          </cell>
          <cell r="Y669" t="str">
            <v/>
          </cell>
        </row>
        <row r="670">
          <cell r="B670" t="str">
            <v>Alpha Bumi Persada, PT</v>
          </cell>
          <cell r="C670" t="str">
            <v>cvalphabumipersada@gmail.com</v>
          </cell>
          <cell r="D670" t="str">
            <v>Tomi</v>
          </cell>
          <cell r="E670" t="str">
            <v>081346459847</v>
          </cell>
          <cell r="F670" t="str">
            <v>Priskila Cengkareng Business City, Lot 5 
Tower P Q R, Ground Floor. Jalan Atang Sanjaya No.21 Benda, Tangerang, Banten 15125, Indonesia</v>
          </cell>
          <cell r="G670" t="str">
            <v>□</v>
          </cell>
          <cell r="H670" t="str">
            <v>□</v>
          </cell>
          <cell r="I670" t="str">
            <v>□</v>
          </cell>
          <cell r="J670" t="str">
            <v>□</v>
          </cell>
          <cell r="K670" t="str">
            <v>□</v>
          </cell>
          <cell r="L670" t="str">
            <v>□</v>
          </cell>
          <cell r="M670" t="str">
            <v>□</v>
          </cell>
          <cell r="N670" t="str">
            <v>□</v>
          </cell>
          <cell r="O670" t="str">
            <v>□</v>
          </cell>
          <cell r="P670" t="str">
            <v>□</v>
          </cell>
          <cell r="Q670" t="str">
            <v>□</v>
          </cell>
          <cell r="R670" t="str">
            <v>□</v>
          </cell>
          <cell r="S670" t="str">
            <v>□</v>
          </cell>
          <cell r="T670" t="str">
            <v>□</v>
          </cell>
          <cell r="U670" t="str">
            <v>A</v>
          </cell>
          <cell r="V670" t="str">
            <v>No Register</v>
          </cell>
          <cell r="W670" t="str">
            <v/>
          </cell>
          <cell r="Y670" t="str">
            <v/>
          </cell>
        </row>
        <row r="671">
          <cell r="B671" t="str">
            <v>Kiko Energy Indonesia, PT</v>
          </cell>
          <cell r="C671" t="str">
            <v>kikoenergy.indonesia@gmail.com</v>
          </cell>
          <cell r="D671" t="str">
            <v>Ayub</v>
          </cell>
          <cell r="E671" t="str">
            <v>082254583266</v>
          </cell>
          <cell r="F671" t="str">
            <v>Jl. Praja Muda 1 No 27 RT 29 Kelurahan Sepinggan Baru. Balikpapan</v>
          </cell>
          <cell r="G671" t="b">
            <v>0</v>
          </cell>
          <cell r="H671" t="b">
            <v>0</v>
          </cell>
          <cell r="I671" t="b">
            <v>0</v>
          </cell>
          <cell r="J671" t="b">
            <v>0</v>
          </cell>
          <cell r="K671" t="b">
            <v>0</v>
          </cell>
          <cell r="L671" t="b">
            <v>0</v>
          </cell>
          <cell r="M671" t="b">
            <v>1</v>
          </cell>
          <cell r="N671" t="b">
            <v>0</v>
          </cell>
          <cell r="O671" t="b">
            <v>0</v>
          </cell>
          <cell r="P671" t="b">
            <v>0</v>
          </cell>
          <cell r="Q671" t="b">
            <v>0</v>
          </cell>
          <cell r="R671" t="b">
            <v>0</v>
          </cell>
          <cell r="S671" t="b">
            <v>1</v>
          </cell>
          <cell r="T671" t="b">
            <v>0</v>
          </cell>
          <cell r="U671" t="str">
            <v>A</v>
          </cell>
          <cell r="V671" t="str">
            <v>No Register</v>
          </cell>
          <cell r="W671" t="str">
            <v>GT - CHE</v>
          </cell>
          <cell r="X671" t="str">
            <v>General Trading - Chemical</v>
          </cell>
          <cell r="Y671" t="str">
            <v>Lime stone</v>
          </cell>
        </row>
        <row r="672">
          <cell r="B672" t="str">
            <v>Bumi Hijau Motor, PT</v>
          </cell>
          <cell r="C672" t="str">
            <v/>
          </cell>
          <cell r="D672" t="str">
            <v/>
          </cell>
          <cell r="E672" t="str">
            <v>081190000197; 0822327622333</v>
          </cell>
          <cell r="F672" t="str">
            <v>Cab. Balikpapan. Jl. Ruhui Rahayu No. 124, Kel. Gunung Bahagia, Kec. Balikpapan Selatan</v>
          </cell>
          <cell r="G672" t="str">
            <v>□</v>
          </cell>
          <cell r="H672" t="str">
            <v>□</v>
          </cell>
          <cell r="I672" t="str">
            <v>□</v>
          </cell>
          <cell r="J672" t="str">
            <v>□</v>
          </cell>
          <cell r="K672" t="str">
            <v>□</v>
          </cell>
          <cell r="L672" t="str">
            <v>□</v>
          </cell>
          <cell r="M672" t="str">
            <v>□</v>
          </cell>
          <cell r="N672" t="str">
            <v>□</v>
          </cell>
          <cell r="O672" t="str">
            <v>□</v>
          </cell>
          <cell r="P672" t="str">
            <v>□</v>
          </cell>
          <cell r="Q672" t="str">
            <v>□</v>
          </cell>
          <cell r="R672" t="str">
            <v>□</v>
          </cell>
          <cell r="S672" t="str">
            <v>□</v>
          </cell>
          <cell r="T672" t="str">
            <v>□</v>
          </cell>
          <cell r="U672" t="str">
            <v>NA</v>
          </cell>
          <cell r="V672" t="str">
            <v>No Register</v>
          </cell>
          <cell r="W672" t="str">
            <v/>
          </cell>
          <cell r="Y672" t="str">
            <v/>
          </cell>
        </row>
        <row r="673">
          <cell r="B673" t="str">
            <v>Hexa Integra Electrica, PT</v>
          </cell>
          <cell r="C673" t="str">
            <v>doddy.hertanto@hire.co.id</v>
          </cell>
          <cell r="E673" t="str">
            <v>08111808063</v>
          </cell>
          <cell r="F673" t="str">
            <v>Komplek Golden Plaza Fatmawati J1-2, Jl.RS.Fatmawati no.15, Desa/Kelurahan Gandaria Selatan, Kec. Cilandak</v>
          </cell>
          <cell r="G673" t="b">
            <v>0</v>
          </cell>
          <cell r="H673" t="b">
            <v>0</v>
          </cell>
          <cell r="I673" t="b">
            <v>0</v>
          </cell>
          <cell r="J673" t="b">
            <v>0</v>
          </cell>
          <cell r="K673" t="b">
            <v>0</v>
          </cell>
          <cell r="L673" t="b">
            <v>0</v>
          </cell>
          <cell r="M673" t="b">
            <v>0</v>
          </cell>
          <cell r="N673" t="b">
            <v>0</v>
          </cell>
          <cell r="O673" t="b">
            <v>1</v>
          </cell>
          <cell r="P673" t="b">
            <v>0</v>
          </cell>
          <cell r="Q673" t="b">
            <v>0</v>
          </cell>
          <cell r="R673" t="b">
            <v>0</v>
          </cell>
          <cell r="S673" t="b">
            <v>0</v>
          </cell>
          <cell r="T673" t="b">
            <v>0</v>
          </cell>
          <cell r="U673" t="str">
            <v>NA</v>
          </cell>
          <cell r="V673" t="str">
            <v>Register</v>
          </cell>
          <cell r="W673" t="str">
            <v>PR - CS</v>
          </cell>
          <cell r="X673" t="str">
            <v>Professional Services - Consulting</v>
          </cell>
          <cell r="Y673" t="str">
            <v>Konsultan/engineering ketenagalistrikan, power plant project development, transmisi, gardu induk, distribusi, electrical system.</v>
          </cell>
        </row>
        <row r="674">
          <cell r="B674" t="str">
            <v>Gema Mandiri Konsultan, CV</v>
          </cell>
          <cell r="C674" t="str">
            <v>admin@gemakonsultan.com</v>
          </cell>
          <cell r="E674" t="str">
            <v>081329186092</v>
          </cell>
          <cell r="F674" t="str">
            <v>Gedung Ascom , Jl. Matraman Raya No. 67, Palmeriam, Matraman</v>
          </cell>
          <cell r="G674" t="b">
            <v>0</v>
          </cell>
          <cell r="H674" t="b">
            <v>0</v>
          </cell>
          <cell r="I674" t="b">
            <v>0</v>
          </cell>
          <cell r="J674" t="b">
            <v>0</v>
          </cell>
          <cell r="K674" t="b">
            <v>0</v>
          </cell>
          <cell r="L674" t="b">
            <v>0</v>
          </cell>
          <cell r="M674" t="b">
            <v>0</v>
          </cell>
          <cell r="N674" t="b">
            <v>0</v>
          </cell>
          <cell r="O674" t="b">
            <v>1</v>
          </cell>
          <cell r="P674" t="b">
            <v>0</v>
          </cell>
          <cell r="Q674" t="b">
            <v>0</v>
          </cell>
          <cell r="R674" t="b">
            <v>0</v>
          </cell>
          <cell r="S674" t="b">
            <v>0</v>
          </cell>
          <cell r="T674" t="b">
            <v>0</v>
          </cell>
          <cell r="U674" t="str">
            <v>NA</v>
          </cell>
          <cell r="V674" t="str">
            <v>Register</v>
          </cell>
          <cell r="W674" t="str">
            <v>PR - CS</v>
          </cell>
          <cell r="X674" t="str">
            <v>Professional Services - Consulting</v>
          </cell>
          <cell r="Y674" t="str">
            <v>Konsultan perizinan/legalitas perusahaan, sertifikasi badan usaha, izin sektor konstruksi, tambang, listrik, migas, perdagangan.</v>
          </cell>
        </row>
        <row r="675">
          <cell r="B675" t="str">
            <v>Mutu Indonesia Gemilang Global, PT</v>
          </cell>
          <cell r="C675" t="str">
            <v>info.miggcertification@gmail.com</v>
          </cell>
          <cell r="E675" t="str">
            <v>082134147000</v>
          </cell>
          <cell r="F675" t="str">
            <v>Perkantoran Ciganjur Express, Jl. M. Kahfi 1 No.90A, Desa/Kelurahan Ciganjur, Kec. Jagakarsa</v>
          </cell>
          <cell r="G675" t="b">
            <v>0</v>
          </cell>
          <cell r="H675" t="b">
            <v>0</v>
          </cell>
          <cell r="I675" t="b">
            <v>0</v>
          </cell>
          <cell r="J675" t="b">
            <v>0</v>
          </cell>
          <cell r="K675" t="b">
            <v>0</v>
          </cell>
          <cell r="L675" t="b">
            <v>0</v>
          </cell>
          <cell r="M675" t="b">
            <v>0</v>
          </cell>
          <cell r="N675" t="b">
            <v>0</v>
          </cell>
          <cell r="O675" t="b">
            <v>1</v>
          </cell>
          <cell r="P675" t="b">
            <v>0</v>
          </cell>
          <cell r="Q675" t="b">
            <v>0</v>
          </cell>
          <cell r="R675" t="b">
            <v>0</v>
          </cell>
          <cell r="S675" t="b">
            <v>0</v>
          </cell>
          <cell r="T675" t="b">
            <v>0</v>
          </cell>
          <cell r="U675" t="str">
            <v>NA</v>
          </cell>
          <cell r="V675" t="str">
            <v>Register</v>
          </cell>
          <cell r="W675" t="str">
            <v>PR - CS</v>
          </cell>
          <cell r="X675" t="str">
            <v>Professional Services - Consulting</v>
          </cell>
          <cell r="Y675" t="str">
            <v>Lembaga auditor SMK3 dan badan sertifikasi.</v>
          </cell>
        </row>
        <row r="676">
          <cell r="B676" t="str">
            <v>Janji Karya Teknik Inspeksi, PT</v>
          </cell>
          <cell r="C676" t="str">
            <v>info@jkti.co.id; marketing@jkti.co.id</v>
          </cell>
          <cell r="E676" t="str">
            <v>082139160187</v>
          </cell>
          <cell r="F676" t="str">
            <v>Simpang Darmo Permai Selatan XV No. 36</v>
          </cell>
          <cell r="G676" t="b">
            <v>0</v>
          </cell>
          <cell r="H676" t="b">
            <v>0</v>
          </cell>
          <cell r="I676" t="b">
            <v>0</v>
          </cell>
          <cell r="J676" t="b">
            <v>0</v>
          </cell>
          <cell r="K676" t="b">
            <v>0</v>
          </cell>
          <cell r="L676" t="b">
            <v>0</v>
          </cell>
          <cell r="M676" t="b">
            <v>0</v>
          </cell>
          <cell r="N676" t="b">
            <v>0</v>
          </cell>
          <cell r="O676" t="b">
            <v>1</v>
          </cell>
          <cell r="P676" t="b">
            <v>0</v>
          </cell>
          <cell r="Q676" t="b">
            <v>0</v>
          </cell>
          <cell r="R676" t="b">
            <v>0</v>
          </cell>
          <cell r="S676" t="b">
            <v>0</v>
          </cell>
          <cell r="T676" t="b">
            <v>0</v>
          </cell>
          <cell r="U676" t="str">
            <v>NA</v>
          </cell>
          <cell r="V676" t="str">
            <v>Register</v>
          </cell>
          <cell r="W676" t="str">
            <v>PR - TR</v>
          </cell>
          <cell r="X676" t="str">
            <v>Professional Services - Training</v>
          </cell>
          <cell r="Y676" t="str">
            <v>Jasa K3, inspeksi teknik, NDT, pemeriksaan/pengujian peralatan, sertifikasi.</v>
          </cell>
        </row>
        <row r="677">
          <cell r="B677" t="str">
            <v>PLN Nusantara Power Services, PT</v>
          </cell>
          <cell r="C677" t="str">
            <v>rendik@pln-npservice.com</v>
          </cell>
          <cell r="E677" t="str">
            <v>082240775506</v>
          </cell>
          <cell r="F677" t="str">
            <v>Jalan Raya Bandara Juanda No.17, Desa/Kelurahan Semambung, Kec. Gedangan</v>
          </cell>
          <cell r="G677" t="b">
            <v>0</v>
          </cell>
          <cell r="H677" t="b">
            <v>0</v>
          </cell>
          <cell r="I677" t="b">
            <v>0</v>
          </cell>
          <cell r="J677" t="b">
            <v>0</v>
          </cell>
          <cell r="K677" t="b">
            <v>0</v>
          </cell>
          <cell r="L677" t="b">
            <v>0</v>
          </cell>
          <cell r="M677" t="b">
            <v>0</v>
          </cell>
          <cell r="N677" t="b">
            <v>1</v>
          </cell>
          <cell r="O677" t="b">
            <v>0</v>
          </cell>
          <cell r="P677" t="b">
            <v>0</v>
          </cell>
          <cell r="Q677" t="b">
            <v>0</v>
          </cell>
          <cell r="R677" t="b">
            <v>0</v>
          </cell>
          <cell r="S677" t="b">
            <v>0</v>
          </cell>
          <cell r="T677" t="b">
            <v>0</v>
          </cell>
          <cell r="U677" t="str">
            <v>NA</v>
          </cell>
          <cell r="V677" t="str">
            <v>Register</v>
          </cell>
          <cell r="W677" t="str">
            <v/>
          </cell>
          <cell r="X677" t="str">
            <v>Service Jasa - Electrical</v>
          </cell>
          <cell r="Y677" t="str">
            <v/>
          </cell>
        </row>
        <row r="678">
          <cell r="B678" t="str">
            <v>Bizar Abdi Prima, PT</v>
          </cell>
          <cell r="C678" t="str">
            <v>izar.fqn@bap.asia; samtari.acp@bap.asia</v>
          </cell>
          <cell r="E678" t="str">
            <v>08567625605</v>
          </cell>
          <cell r="F678" t="str">
            <v>Ruko Fresh Market (FMR) 5/19 Kota Wisata, Desa/Kelurahan Ciangsana, Kec. Gunung Putri</v>
          </cell>
          <cell r="G678" t="b">
            <v>0</v>
          </cell>
          <cell r="H678" t="b">
            <v>0</v>
          </cell>
          <cell r="I678" t="b">
            <v>0</v>
          </cell>
          <cell r="J678" t="b">
            <v>0</v>
          </cell>
          <cell r="K678" t="b">
            <v>0</v>
          </cell>
          <cell r="L678" t="b">
            <v>0</v>
          </cell>
          <cell r="M678" t="b">
            <v>1</v>
          </cell>
          <cell r="N678" t="b">
            <v>0</v>
          </cell>
          <cell r="O678" t="b">
            <v>0</v>
          </cell>
          <cell r="P678" t="b">
            <v>0</v>
          </cell>
          <cell r="Q678" t="b">
            <v>0</v>
          </cell>
          <cell r="R678" t="b">
            <v>0</v>
          </cell>
          <cell r="S678" t="b">
            <v>1</v>
          </cell>
          <cell r="T678" t="b">
            <v>0</v>
          </cell>
          <cell r="U678" t="str">
            <v>A</v>
          </cell>
          <cell r="V678" t="str">
            <v>Register</v>
          </cell>
          <cell r="W678" t="str">
            <v>GT - ME</v>
          </cell>
          <cell r="X678" t="str">
            <v>General Trading - Mechanical
General Trading - Elektrical</v>
          </cell>
          <cell r="Y678" t="str">
            <v>Import</v>
          </cell>
        </row>
        <row r="679">
          <cell r="B679" t="str">
            <v>SMC Automation Indonesia, PT</v>
          </cell>
          <cell r="C679" t="str">
            <v>daniel.tondok@smc.com</v>
          </cell>
          <cell r="D679" t="str">
            <v>Daniel</v>
          </cell>
          <cell r="E679" t="str">
            <v>08151898445</v>
          </cell>
          <cell r="F679" t="str">
            <v>EJIP Industrial Park Plot J6-I, Desa/Kelurahan Sukaresmi, Kec. Cikarang Selatan</v>
          </cell>
          <cell r="G679" t="b">
            <v>0</v>
          </cell>
          <cell r="H679" t="b">
            <v>0</v>
          </cell>
          <cell r="I679" t="b">
            <v>0</v>
          </cell>
          <cell r="J679" t="b">
            <v>0</v>
          </cell>
          <cell r="K679" t="b">
            <v>0</v>
          </cell>
          <cell r="L679" t="b">
            <v>0</v>
          </cell>
          <cell r="M679" t="b">
            <v>1</v>
          </cell>
          <cell r="N679" t="b">
            <v>0</v>
          </cell>
          <cell r="O679" t="b">
            <v>0</v>
          </cell>
          <cell r="P679" t="b">
            <v>0</v>
          </cell>
          <cell r="Q679" t="b">
            <v>0</v>
          </cell>
          <cell r="R679" t="b">
            <v>0</v>
          </cell>
          <cell r="S679" t="b">
            <v>1</v>
          </cell>
          <cell r="T679" t="b">
            <v>0</v>
          </cell>
          <cell r="U679" t="str">
            <v>NA</v>
          </cell>
          <cell r="V679" t="str">
            <v>Register</v>
          </cell>
          <cell r="W679" t="str">
            <v>GT - IC</v>
          </cell>
          <cell r="X679" t="str">
            <v>General Trading - Instrument</v>
          </cell>
          <cell r="Y679" t="str">
            <v/>
          </cell>
        </row>
        <row r="680">
          <cell r="B680" t="str">
            <v>Solusi Cita Mandala, PT</v>
          </cell>
          <cell r="C680" t="str">
            <v>chandra.halim@ptscm.id; sales@ptscm.id; dewi.arya@ptscm.id</v>
          </cell>
          <cell r="D680" t="str">
            <v>Chandra</v>
          </cell>
          <cell r="E680" t="str">
            <v>081910231989</v>
          </cell>
          <cell r="F680" t="str">
            <v>Delta Commercial Park 2, Jl. Kenari Raya Blok D No. 11, Desa/Kelurahan Jayamukti, Kec. Cikarang Pusat</v>
          </cell>
          <cell r="G680" t="b">
            <v>0</v>
          </cell>
          <cell r="H680" t="b">
            <v>0</v>
          </cell>
          <cell r="I680" t="b">
            <v>0</v>
          </cell>
          <cell r="J680" t="b">
            <v>0</v>
          </cell>
          <cell r="K680" t="b">
            <v>0</v>
          </cell>
          <cell r="L680" t="b">
            <v>0</v>
          </cell>
          <cell r="M680" t="b">
            <v>1</v>
          </cell>
          <cell r="N680" t="b">
            <v>0</v>
          </cell>
          <cell r="O680" t="b">
            <v>0</v>
          </cell>
          <cell r="P680" t="b">
            <v>0</v>
          </cell>
          <cell r="Q680" t="b">
            <v>0</v>
          </cell>
          <cell r="R680" t="b">
            <v>0</v>
          </cell>
          <cell r="S680" t="b">
            <v>1</v>
          </cell>
          <cell r="T680" t="b">
            <v>0</v>
          </cell>
          <cell r="U680" t="str">
            <v>A</v>
          </cell>
          <cell r="V680" t="str">
            <v>Register</v>
          </cell>
          <cell r="W680" t="str">
            <v>GT - IC</v>
          </cell>
          <cell r="X680" t="str">
            <v>General Trading - Instrument</v>
          </cell>
          <cell r="Y680" t="str">
            <v/>
          </cell>
        </row>
        <row r="681">
          <cell r="B681" t="str">
            <v>Marmin, PT</v>
          </cell>
          <cell r="C681" t="str">
            <v>mohirsan.barkah@marmin.co.id</v>
          </cell>
          <cell r="D681" t="str">
            <v>Irsan</v>
          </cell>
          <cell r="E681" t="str">
            <v>087786792623</v>
          </cell>
          <cell r="F681" t="str">
            <v>Jl. Agung Niaga IV Blok GS No. 20 Jakarta 14350</v>
          </cell>
          <cell r="G681" t="b">
            <v>0</v>
          </cell>
          <cell r="H681" t="b">
            <v>0</v>
          </cell>
          <cell r="I681" t="b">
            <v>0</v>
          </cell>
          <cell r="J681" t="b">
            <v>0</v>
          </cell>
          <cell r="K681" t="b">
            <v>0</v>
          </cell>
          <cell r="L681" t="b">
            <v>0</v>
          </cell>
          <cell r="M681" t="b">
            <v>1</v>
          </cell>
          <cell r="N681" t="b">
            <v>0</v>
          </cell>
          <cell r="O681" t="b">
            <v>0</v>
          </cell>
          <cell r="P681" t="b">
            <v>0</v>
          </cell>
          <cell r="Q681" t="b">
            <v>0</v>
          </cell>
          <cell r="R681" t="b">
            <v>0</v>
          </cell>
          <cell r="S681" t="b">
            <v>1</v>
          </cell>
          <cell r="T681" t="b">
            <v>0</v>
          </cell>
          <cell r="U681" t="str">
            <v>A</v>
          </cell>
          <cell r="V681" t="str">
            <v>Register</v>
          </cell>
          <cell r="W681" t="str">
            <v>GT - ID
GT - ME</v>
          </cell>
          <cell r="X681" t="str">
            <v>General Trading - Industrial Goods
General Trading - Mechanical</v>
          </cell>
          <cell r="Y681" t="str">
            <v/>
          </cell>
        </row>
        <row r="682">
          <cell r="B682" t="str">
            <v>Gala Jaya (Banjarmasin), PT</v>
          </cell>
          <cell r="C682" t="str">
            <v>donybowo.bjm@galajaya.com; galajayabjm@gmail.com</v>
          </cell>
          <cell r="D682" t="str">
            <v>Dony</v>
          </cell>
          <cell r="E682" t="str">
            <v>082148418747</v>
          </cell>
          <cell r="F682" t="str">
            <v>Jl. Parmuka No 19 Banjarmasin</v>
          </cell>
          <cell r="G682" t="str">
            <v>□</v>
          </cell>
          <cell r="H682" t="str">
            <v>□</v>
          </cell>
          <cell r="I682" t="str">
            <v>□</v>
          </cell>
          <cell r="J682" t="str">
            <v>□</v>
          </cell>
          <cell r="K682" t="str">
            <v>□</v>
          </cell>
          <cell r="L682" t="str">
            <v>□</v>
          </cell>
          <cell r="M682" t="str">
            <v>□</v>
          </cell>
          <cell r="N682" t="str">
            <v>□</v>
          </cell>
          <cell r="O682" t="str">
            <v>□</v>
          </cell>
          <cell r="P682" t="str">
            <v>□</v>
          </cell>
          <cell r="Q682" t="str">
            <v>□</v>
          </cell>
          <cell r="R682" t="str">
            <v>□</v>
          </cell>
          <cell r="S682" t="str">
            <v>□</v>
          </cell>
          <cell r="T682" t="str">
            <v>□</v>
          </cell>
          <cell r="U682" t="str">
            <v>A</v>
          </cell>
          <cell r="V682" t="str">
            <v>No Register</v>
          </cell>
          <cell r="W682" t="str">
            <v/>
          </cell>
          <cell r="X682" t="str">
            <v>Service Jasa - Mechanical</v>
          </cell>
          <cell r="Y682" t="str">
            <v>Genset dan Service</v>
          </cell>
        </row>
        <row r="683">
          <cell r="B683" t="str">
            <v>R</v>
          </cell>
          <cell r="C683" t="str">
            <v>rh.tampubolon@gmail.com</v>
          </cell>
          <cell r="D683" t="str">
            <v>Haposan</v>
          </cell>
          <cell r="E683" t="str">
            <v>081918645406</v>
          </cell>
          <cell r="G683" t="str">
            <v>□</v>
          </cell>
          <cell r="H683" t="str">
            <v>□</v>
          </cell>
          <cell r="I683" t="str">
            <v>□</v>
          </cell>
          <cell r="J683" t="str">
            <v>□</v>
          </cell>
          <cell r="K683" t="str">
            <v>□</v>
          </cell>
          <cell r="L683" t="str">
            <v>□</v>
          </cell>
          <cell r="M683" t="str">
            <v>□</v>
          </cell>
          <cell r="N683" t="str">
            <v>□</v>
          </cell>
          <cell r="O683" t="str">
            <v>□</v>
          </cell>
          <cell r="P683" t="str">
            <v>□</v>
          </cell>
          <cell r="Q683" t="str">
            <v>□</v>
          </cell>
          <cell r="R683" t="str">
            <v>□</v>
          </cell>
          <cell r="S683" t="str">
            <v>□</v>
          </cell>
          <cell r="T683" t="str">
            <v>□</v>
          </cell>
          <cell r="U683" t="str">
            <v>NA</v>
          </cell>
          <cell r="V683" t="str">
            <v>No Register</v>
          </cell>
          <cell r="W683" t="str">
            <v/>
          </cell>
          <cell r="Y683" t="str">
            <v/>
          </cell>
        </row>
        <row r="684">
          <cell r="B684" t="str">
            <v>Hyprowira Adhitama, PT</v>
          </cell>
          <cell r="C684" t="str">
            <v>customer_service@hyprowira.com; sylvana@hyprowira.com</v>
          </cell>
          <cell r="E684" t="str">
            <v>08126833714</v>
          </cell>
          <cell r="F684" t="str">
            <v>Taman Tekno BSD Sektor XI Blok H3 No.28E, Desa/Kelurahan Setu, Kec. Setu</v>
          </cell>
          <cell r="G684" t="b">
            <v>0</v>
          </cell>
          <cell r="H684" t="b">
            <v>0</v>
          </cell>
          <cell r="I684" t="b">
            <v>0</v>
          </cell>
          <cell r="J684" t="b">
            <v>0</v>
          </cell>
          <cell r="K684" t="b">
            <v>0</v>
          </cell>
          <cell r="L684" t="b">
            <v>0</v>
          </cell>
          <cell r="M684" t="b">
            <v>1</v>
          </cell>
          <cell r="N684" t="b">
            <v>0</v>
          </cell>
          <cell r="O684" t="b">
            <v>0</v>
          </cell>
          <cell r="P684" t="b">
            <v>0</v>
          </cell>
          <cell r="Q684" t="b">
            <v>0</v>
          </cell>
          <cell r="R684" t="b">
            <v>0</v>
          </cell>
          <cell r="S684" t="b">
            <v>1</v>
          </cell>
          <cell r="T684" t="b">
            <v>0</v>
          </cell>
          <cell r="U684" t="str">
            <v>NA</v>
          </cell>
          <cell r="V684" t="str">
            <v>Register</v>
          </cell>
          <cell r="W684" t="str">
            <v>GT - ME</v>
          </cell>
          <cell r="X684" t="str">
            <v>General Trading - Mechanical</v>
          </cell>
          <cell r="Y684" t="str">
            <v/>
          </cell>
        </row>
        <row r="685">
          <cell r="B685" t="str">
            <v>Pancamas Putramandiri, PT</v>
          </cell>
          <cell r="C685" t="str">
            <v>angga@mppi.co.id</v>
          </cell>
          <cell r="E685" t="str">
            <v>0811323611</v>
          </cell>
          <cell r="F685" t="str">
            <v>Menara Satu Sentra Kelapa Gading, Lt.7/ Unit 706, Jalan Boulevard Kelapa Gading LA 3 No.1, Kelapa Gading Timur</v>
          </cell>
          <cell r="G685" t="b">
            <v>0</v>
          </cell>
          <cell r="H685" t="b">
            <v>0</v>
          </cell>
          <cell r="I685" t="b">
            <v>0</v>
          </cell>
          <cell r="J685" t="b">
            <v>0</v>
          </cell>
          <cell r="K685" t="b">
            <v>0</v>
          </cell>
          <cell r="L685" t="b">
            <v>0</v>
          </cell>
          <cell r="M685" t="b">
            <v>1</v>
          </cell>
          <cell r="N685" t="b">
            <v>0</v>
          </cell>
          <cell r="O685" t="b">
            <v>0</v>
          </cell>
          <cell r="P685" t="b">
            <v>0</v>
          </cell>
          <cell r="Q685" t="b">
            <v>0</v>
          </cell>
          <cell r="R685" t="b">
            <v>0</v>
          </cell>
          <cell r="S685" t="b">
            <v>1</v>
          </cell>
          <cell r="T685" t="b">
            <v>0</v>
          </cell>
          <cell r="U685" t="str">
            <v>NA</v>
          </cell>
          <cell r="V685" t="str">
            <v>Register</v>
          </cell>
          <cell r="W685" t="str">
            <v>GT - ME</v>
          </cell>
          <cell r="X685" t="str">
            <v>General Trading - Mechanical</v>
          </cell>
          <cell r="Y685" t="str">
            <v/>
          </cell>
        </row>
        <row r="686">
          <cell r="B686" t="str">
            <v>Borneo Energi Harapan, CV</v>
          </cell>
          <cell r="C686" t="str">
            <v>borneoenergyharapan@gmail.com</v>
          </cell>
          <cell r="E686" t="str">
            <v>082151116155</v>
          </cell>
          <cell r="F686" t="str">
            <v>Komplek Ruko Sentra Eropa 3 Blok AC 5 No. 1</v>
          </cell>
          <cell r="G686" t="b">
            <v>0</v>
          </cell>
          <cell r="H686" t="b">
            <v>0</v>
          </cell>
          <cell r="I686" t="b">
            <v>0</v>
          </cell>
          <cell r="J686" t="b">
            <v>0</v>
          </cell>
          <cell r="K686" t="b">
            <v>0</v>
          </cell>
          <cell r="L686" t="b">
            <v>0</v>
          </cell>
          <cell r="M686" t="b">
            <v>0</v>
          </cell>
          <cell r="N686" t="b">
            <v>0</v>
          </cell>
          <cell r="O686" t="b">
            <v>0</v>
          </cell>
          <cell r="P686" t="b">
            <v>0</v>
          </cell>
          <cell r="Q686" t="b">
            <v>0</v>
          </cell>
          <cell r="R686" t="b">
            <v>0</v>
          </cell>
          <cell r="S686" t="b">
            <v>0</v>
          </cell>
          <cell r="T686" t="b">
            <v>0</v>
          </cell>
          <cell r="U686" t="str">
            <v>NA</v>
          </cell>
          <cell r="V686" t="str">
            <v>Register</v>
          </cell>
          <cell r="W686" t="str">
            <v/>
          </cell>
          <cell r="Y686" t="str">
            <v/>
          </cell>
        </row>
        <row r="687">
          <cell r="B687" t="str">
            <v>Control System Arena Para Nusa, PT</v>
          </cell>
          <cell r="C687" t="str">
            <v> SALES@PTCS.CO.ID; 2 SONET.LEMBAYUNG@PTCS.CO.ID</v>
          </cell>
          <cell r="E687" t="str">
            <v>08558555593</v>
          </cell>
          <cell r="F687" t="str">
            <v>Jl. Ampera Raya No. 9-10, Desa/Kelurahan Ragunan, Kec. Pasar Minggu</v>
          </cell>
          <cell r="G687" t="b">
            <v>0</v>
          </cell>
          <cell r="H687" t="b">
            <v>0</v>
          </cell>
          <cell r="I687" t="b">
            <v>0</v>
          </cell>
          <cell r="J687" t="b">
            <v>0</v>
          </cell>
          <cell r="K687" t="b">
            <v>0</v>
          </cell>
          <cell r="L687" t="b">
            <v>0</v>
          </cell>
          <cell r="M687" t="b">
            <v>1</v>
          </cell>
          <cell r="N687" t="b">
            <v>0</v>
          </cell>
          <cell r="O687" t="b">
            <v>0</v>
          </cell>
          <cell r="P687" t="b">
            <v>0</v>
          </cell>
          <cell r="Q687" t="b">
            <v>0</v>
          </cell>
          <cell r="R687" t="b">
            <v>0</v>
          </cell>
          <cell r="S687" t="b">
            <v>1</v>
          </cell>
          <cell r="T687" t="b">
            <v>0</v>
          </cell>
          <cell r="U687" t="str">
            <v>NA</v>
          </cell>
          <cell r="V687" t="str">
            <v>Register</v>
          </cell>
          <cell r="W687" t="str">
            <v>GT - ME</v>
          </cell>
          <cell r="X687" t="str">
            <v>General Trading - Mechanical</v>
          </cell>
          <cell r="Y687" t="str">
            <v/>
          </cell>
        </row>
        <row r="688">
          <cell r="B688" t="str">
            <v>AEG Power Solutions Pte Ltd</v>
          </cell>
          <cell r="C688" t="str">
            <v>deden.sobirin@aegps.com; deden.sobirin@aegps.com</v>
          </cell>
          <cell r="D688" t="str">
            <v>Deden Sobirin</v>
          </cell>
          <cell r="E688" t="str">
            <v>081398782854</v>
          </cell>
          <cell r="G688" t="b">
            <v>0</v>
          </cell>
          <cell r="H688" t="b">
            <v>0</v>
          </cell>
          <cell r="I688" t="b">
            <v>0</v>
          </cell>
          <cell r="J688" t="b">
            <v>0</v>
          </cell>
          <cell r="K688" t="b">
            <v>0</v>
          </cell>
          <cell r="L688" t="b">
            <v>0</v>
          </cell>
          <cell r="M688" t="b">
            <v>0</v>
          </cell>
          <cell r="N688" t="b">
            <v>0</v>
          </cell>
          <cell r="O688" t="b">
            <v>0</v>
          </cell>
          <cell r="P688" t="b">
            <v>0</v>
          </cell>
          <cell r="Q688" t="b">
            <v>0</v>
          </cell>
          <cell r="R688" t="b">
            <v>0</v>
          </cell>
          <cell r="S688" t="b">
            <v>0</v>
          </cell>
          <cell r="T688" t="b">
            <v>0</v>
          </cell>
          <cell r="U688" t="str">
            <v>A</v>
          </cell>
          <cell r="V688" t="str">
            <v>No Register</v>
          </cell>
          <cell r="W688" t="str">
            <v/>
          </cell>
          <cell r="Y688" t="str">
            <v/>
          </cell>
        </row>
        <row r="689">
          <cell r="B689" t="str">
            <v>Alfa Jaya Energy, CV</v>
          </cell>
          <cell r="C689" t="str">
            <v>alfajayaenergy.sales@gmail.com</v>
          </cell>
          <cell r="D689" t="str">
            <v>Arif Suhendro</v>
          </cell>
          <cell r="E689" t="str">
            <v>085324316649</v>
          </cell>
          <cell r="F689" t="str">
            <v/>
          </cell>
          <cell r="G689" t="b">
            <v>0</v>
          </cell>
          <cell r="H689" t="b">
            <v>0</v>
          </cell>
          <cell r="I689" t="b">
            <v>0</v>
          </cell>
          <cell r="J689" t="b">
            <v>0</v>
          </cell>
          <cell r="K689" t="b">
            <v>0</v>
          </cell>
          <cell r="L689" t="b">
            <v>0</v>
          </cell>
          <cell r="M689" t="b">
            <v>0</v>
          </cell>
          <cell r="N689" t="b">
            <v>0</v>
          </cell>
          <cell r="O689" t="b">
            <v>0</v>
          </cell>
          <cell r="P689" t="b">
            <v>0</v>
          </cell>
          <cell r="Q689" t="b">
            <v>0</v>
          </cell>
          <cell r="R689" t="b">
            <v>0</v>
          </cell>
          <cell r="S689" t="b">
            <v>0</v>
          </cell>
          <cell r="T689" t="b">
            <v>0</v>
          </cell>
          <cell r="U689" t="str">
            <v>NA</v>
          </cell>
          <cell r="V689" t="str">
            <v>No Register</v>
          </cell>
          <cell r="W689" t="str">
            <v/>
          </cell>
          <cell r="Y689" t="str">
            <v/>
          </cell>
        </row>
        <row r="690">
          <cell r="B690" t="str">
            <v>Alkabelt Sejahtera Bersama, PT</v>
          </cell>
          <cell r="C690" t="str">
            <v>admin@alkabelt.com; sales@alkabelt.com; ari@@alkabelt.com</v>
          </cell>
          <cell r="D690" t="str">
            <v>Ari Febrianti</v>
          </cell>
          <cell r="E690" t="str">
            <v>08111004348</v>
          </cell>
          <cell r="F690" t="str">
            <v/>
          </cell>
          <cell r="G690" t="b">
            <v>0</v>
          </cell>
          <cell r="H690" t="b">
            <v>0</v>
          </cell>
          <cell r="I690" t="b">
            <v>0</v>
          </cell>
          <cell r="J690" t="b">
            <v>0</v>
          </cell>
          <cell r="K690" t="b">
            <v>0</v>
          </cell>
          <cell r="L690" t="b">
            <v>0</v>
          </cell>
          <cell r="M690" t="b">
            <v>0</v>
          </cell>
          <cell r="N690" t="b">
            <v>0</v>
          </cell>
          <cell r="O690" t="b">
            <v>0</v>
          </cell>
          <cell r="P690" t="b">
            <v>0</v>
          </cell>
          <cell r="Q690" t="b">
            <v>0</v>
          </cell>
          <cell r="R690" t="b">
            <v>0</v>
          </cell>
          <cell r="S690" t="b">
            <v>0</v>
          </cell>
          <cell r="T690" t="b">
            <v>0</v>
          </cell>
          <cell r="U690" t="str">
            <v>NA</v>
          </cell>
          <cell r="V690" t="str">
            <v>No Register</v>
          </cell>
          <cell r="W690" t="str">
            <v/>
          </cell>
          <cell r="Y690" t="str">
            <v/>
          </cell>
        </row>
        <row r="691">
          <cell r="B691" t="str">
            <v>ALS Indonesia, PT</v>
          </cell>
          <cell r="C691" t="str">
            <v>sonya.agung@ALSGlobal.com</v>
          </cell>
          <cell r="D691" t="str">
            <v>Sonya</v>
          </cell>
          <cell r="E691" t="str">
            <v>089698214722</v>
          </cell>
          <cell r="F691" t="str">
            <v/>
          </cell>
          <cell r="G691" t="b">
            <v>0</v>
          </cell>
          <cell r="H691" t="b">
            <v>0</v>
          </cell>
          <cell r="I691" t="b">
            <v>0</v>
          </cell>
          <cell r="J691" t="b">
            <v>0</v>
          </cell>
          <cell r="K691" t="b">
            <v>1</v>
          </cell>
          <cell r="L691" t="b">
            <v>0</v>
          </cell>
          <cell r="M691" t="b">
            <v>0</v>
          </cell>
          <cell r="N691" t="b">
            <v>0</v>
          </cell>
          <cell r="O691" t="b">
            <v>1</v>
          </cell>
          <cell r="P691" t="b">
            <v>0</v>
          </cell>
          <cell r="Q691" t="b">
            <v>0</v>
          </cell>
          <cell r="R691" t="b">
            <v>0</v>
          </cell>
          <cell r="S691" t="b">
            <v>0</v>
          </cell>
          <cell r="T691" t="b">
            <v>0</v>
          </cell>
          <cell r="U691" t="str">
            <v>A</v>
          </cell>
          <cell r="V691" t="str">
            <v>No Register</v>
          </cell>
          <cell r="W691" t="str">
            <v/>
          </cell>
          <cell r="Y691" t="str">
            <v>Analisa Lab</v>
          </cell>
        </row>
        <row r="692">
          <cell r="B692" t="str">
            <v>Amanah Nusantara Sejahtera, PT</v>
          </cell>
          <cell r="C692" t="str">
            <v>amanda.koryesin@valve-ans.com; adrian.yonathan@valve-ans.com; adrian.yonathan@valve-ans.com</v>
          </cell>
          <cell r="D692" t="str">
            <v xml:space="preserve">Amanda Koryesin </v>
          </cell>
          <cell r="E692" t="str">
            <v>081240128534</v>
          </cell>
          <cell r="F692" t="str">
            <v/>
          </cell>
          <cell r="G692" t="b">
            <v>0</v>
          </cell>
          <cell r="H692" t="b">
            <v>0</v>
          </cell>
          <cell r="I692" t="b">
            <v>0</v>
          </cell>
          <cell r="J692" t="b">
            <v>0</v>
          </cell>
          <cell r="K692" t="b">
            <v>0</v>
          </cell>
          <cell r="L692" t="b">
            <v>0</v>
          </cell>
          <cell r="M692" t="b">
            <v>0</v>
          </cell>
          <cell r="N692" t="b">
            <v>0</v>
          </cell>
          <cell r="O692" t="b">
            <v>0</v>
          </cell>
          <cell r="P692" t="b">
            <v>0</v>
          </cell>
          <cell r="Q692" t="b">
            <v>0</v>
          </cell>
          <cell r="R692" t="b">
            <v>0</v>
          </cell>
          <cell r="S692" t="b">
            <v>0</v>
          </cell>
          <cell r="T692" t="b">
            <v>0</v>
          </cell>
          <cell r="U692" t="str">
            <v>NA</v>
          </cell>
          <cell r="V692" t="str">
            <v>No Register</v>
          </cell>
          <cell r="W692" t="str">
            <v/>
          </cell>
          <cell r="Y692" t="str">
            <v/>
          </cell>
        </row>
        <row r="693">
          <cell r="B693" t="str">
            <v>Arisco Mandiri, PT</v>
          </cell>
          <cell r="C693" t="str">
            <v>ariscomandiri@gmail.com</v>
          </cell>
          <cell r="D693" t="str">
            <v>Wawan</v>
          </cell>
          <cell r="E693" t="str">
            <v>087828514000</v>
          </cell>
          <cell r="F693" t="str">
            <v/>
          </cell>
          <cell r="G693" t="b">
            <v>0</v>
          </cell>
          <cell r="H693" t="b">
            <v>0</v>
          </cell>
          <cell r="I693" t="b">
            <v>0</v>
          </cell>
          <cell r="J693" t="b">
            <v>0</v>
          </cell>
          <cell r="K693" t="b">
            <v>0</v>
          </cell>
          <cell r="L693" t="b">
            <v>0</v>
          </cell>
          <cell r="M693" t="b">
            <v>1</v>
          </cell>
          <cell r="N693" t="b">
            <v>0</v>
          </cell>
          <cell r="O693" t="b">
            <v>0</v>
          </cell>
          <cell r="P693" t="b">
            <v>0</v>
          </cell>
          <cell r="Q693" t="b">
            <v>0</v>
          </cell>
          <cell r="R693" t="b">
            <v>0</v>
          </cell>
          <cell r="S693" t="b">
            <v>1</v>
          </cell>
          <cell r="T693" t="b">
            <v>0</v>
          </cell>
          <cell r="U693" t="str">
            <v>NA</v>
          </cell>
          <cell r="V693" t="str">
            <v>No Register</v>
          </cell>
          <cell r="W693" t="str">
            <v>GT - ME</v>
          </cell>
          <cell r="X693" t="str">
            <v>General Trading - Mechanical</v>
          </cell>
          <cell r="Y693" t="str">
            <v>Spare part Heavy</v>
          </cell>
        </row>
        <row r="694">
          <cell r="B694" t="str">
            <v>Arjuna Wijaya Karya, PT</v>
          </cell>
          <cell r="C694" t="str">
            <v>wilfried@arlisco.co.id; arief@arlisco.co.id; unja@arlisco.co.id; salim@arlisco.co.id</v>
          </cell>
          <cell r="D694" t="str">
            <v>Wilfried</v>
          </cell>
          <cell r="E694" t="str">
            <v>081934572725</v>
          </cell>
          <cell r="F694" t="str">
            <v/>
          </cell>
          <cell r="G694" t="b">
            <v>0</v>
          </cell>
          <cell r="H694" t="b">
            <v>1</v>
          </cell>
          <cell r="I694" t="b">
            <v>0</v>
          </cell>
          <cell r="J694" t="b">
            <v>0</v>
          </cell>
          <cell r="K694" t="b">
            <v>0</v>
          </cell>
          <cell r="L694" t="b">
            <v>0</v>
          </cell>
          <cell r="M694" t="b">
            <v>0</v>
          </cell>
          <cell r="N694" t="b">
            <v>0</v>
          </cell>
          <cell r="O694" t="b">
            <v>0</v>
          </cell>
          <cell r="P694" t="b">
            <v>0</v>
          </cell>
          <cell r="Q694" t="b">
            <v>0</v>
          </cell>
          <cell r="R694" t="b">
            <v>0</v>
          </cell>
          <cell r="S694" t="b">
            <v>0</v>
          </cell>
          <cell r="T694" t="b">
            <v>0</v>
          </cell>
          <cell r="U694" t="str">
            <v>NA</v>
          </cell>
          <cell r="V694" t="str">
            <v>No Register</v>
          </cell>
          <cell r="W694" t="str">
            <v/>
          </cell>
          <cell r="X694" t="str">
            <v>Service Jasa - Electrical</v>
          </cell>
          <cell r="Y694" t="str">
            <v>Electrical</v>
          </cell>
        </row>
        <row r="695">
          <cell r="B695" t="str">
            <v>Arlisco Elektrika Perkasa, PT</v>
          </cell>
          <cell r="C695" t="str">
            <v>jovi@asthabumivalve.co.id</v>
          </cell>
          <cell r="D695" t="str">
            <v>Jovi</v>
          </cell>
          <cell r="E695" t="str">
            <v>08117044719</v>
          </cell>
          <cell r="F695" t="str">
            <v/>
          </cell>
          <cell r="G695" t="b">
            <v>0</v>
          </cell>
          <cell r="H695" t="b">
            <v>0</v>
          </cell>
          <cell r="I695" t="b">
            <v>0</v>
          </cell>
          <cell r="J695" t="b">
            <v>0</v>
          </cell>
          <cell r="K695" t="b">
            <v>0</v>
          </cell>
          <cell r="L695" t="b">
            <v>0</v>
          </cell>
          <cell r="M695" t="b">
            <v>0</v>
          </cell>
          <cell r="N695" t="b">
            <v>0</v>
          </cell>
          <cell r="O695" t="b">
            <v>0</v>
          </cell>
          <cell r="P695" t="b">
            <v>0</v>
          </cell>
          <cell r="Q695" t="b">
            <v>0</v>
          </cell>
          <cell r="R695" t="b">
            <v>0</v>
          </cell>
          <cell r="S695" t="b">
            <v>0</v>
          </cell>
          <cell r="T695" t="b">
            <v>0</v>
          </cell>
          <cell r="U695" t="str">
            <v>NA</v>
          </cell>
          <cell r="V695" t="str">
            <v>No Register</v>
          </cell>
          <cell r="W695" t="str">
            <v/>
          </cell>
          <cell r="Y695" t="str">
            <v>Valve</v>
          </cell>
        </row>
        <row r="696">
          <cell r="B696" t="str">
            <v>Astha Bumi Valve, PT</v>
          </cell>
          <cell r="C696" t="str">
            <v>kelvinleo.ptbati@gmail.com; sales.ptbati@gmail.com</v>
          </cell>
          <cell r="D696" t="str">
            <v>Kelvin Leo</v>
          </cell>
          <cell r="E696" t="str">
            <v>08980465482</v>
          </cell>
          <cell r="F696" t="str">
            <v/>
          </cell>
          <cell r="G696" t="b">
            <v>0</v>
          </cell>
          <cell r="H696" t="b">
            <v>0</v>
          </cell>
          <cell r="I696" t="b">
            <v>0</v>
          </cell>
          <cell r="J696" t="b">
            <v>0</v>
          </cell>
          <cell r="K696" t="b">
            <v>0</v>
          </cell>
          <cell r="L696" t="b">
            <v>0</v>
          </cell>
          <cell r="M696" t="b">
            <v>0</v>
          </cell>
          <cell r="N696" t="b">
            <v>0</v>
          </cell>
          <cell r="O696" t="b">
            <v>0</v>
          </cell>
          <cell r="P696" t="b">
            <v>0</v>
          </cell>
          <cell r="Q696" t="b">
            <v>0</v>
          </cell>
          <cell r="R696" t="b">
            <v>0</v>
          </cell>
          <cell r="S696" t="b">
            <v>0</v>
          </cell>
          <cell r="T696" t="b">
            <v>0</v>
          </cell>
          <cell r="U696" t="str">
            <v>A</v>
          </cell>
          <cell r="V696" t="str">
            <v>No Register</v>
          </cell>
          <cell r="W696" t="str">
            <v/>
          </cell>
          <cell r="Y696" t="str">
            <v/>
          </cell>
        </row>
        <row r="697">
          <cell r="B697" t="str">
            <v>Bandar Aneka Teknik Indonesia, PT</v>
          </cell>
          <cell r="C697" t="str">
            <v>intan@banti-indonesia.com;
rooy@banti-indonesia.com</v>
          </cell>
          <cell r="D697" t="str">
            <v>Intan</v>
          </cell>
          <cell r="E697" t="str">
            <v>082157552478</v>
          </cell>
          <cell r="F697" t="str">
            <v/>
          </cell>
          <cell r="G697" t="b">
            <v>1</v>
          </cell>
          <cell r="H697" t="b">
            <v>1</v>
          </cell>
          <cell r="I697" t="b">
            <v>1</v>
          </cell>
          <cell r="J697" t="b">
            <v>0</v>
          </cell>
          <cell r="K697" t="b">
            <v>0</v>
          </cell>
          <cell r="L697" t="b">
            <v>0</v>
          </cell>
          <cell r="M697" t="b">
            <v>0</v>
          </cell>
          <cell r="N697" t="b">
            <v>1</v>
          </cell>
          <cell r="O697" t="b">
            <v>1</v>
          </cell>
          <cell r="P697" t="b">
            <v>0</v>
          </cell>
          <cell r="Q697" t="b">
            <v>0</v>
          </cell>
          <cell r="R697" t="b">
            <v>0</v>
          </cell>
          <cell r="S697" t="b">
            <v>0</v>
          </cell>
          <cell r="T697" t="b">
            <v>0</v>
          </cell>
          <cell r="U697" t="str">
            <v>NA</v>
          </cell>
          <cell r="V697" t="str">
            <v>No Register</v>
          </cell>
          <cell r="W697" t="str">
            <v/>
          </cell>
          <cell r="Y697" t="str">
            <v/>
          </cell>
        </row>
        <row r="698">
          <cell r="B698" t="str">
            <v>Banti Indonesia, PT</v>
          </cell>
          <cell r="C698" t="str">
            <v>okky@barcolnusantara.com; dedeh@barcolnusantara.com</v>
          </cell>
          <cell r="D698" t="str">
            <v>Okki Setiawan</v>
          </cell>
          <cell r="E698" t="str">
            <v>085211714735</v>
          </cell>
          <cell r="F698" t="str">
            <v/>
          </cell>
          <cell r="G698" t="b">
            <v>0</v>
          </cell>
          <cell r="H698" t="b">
            <v>0</v>
          </cell>
          <cell r="I698" t="b">
            <v>0</v>
          </cell>
          <cell r="J698" t="b">
            <v>0</v>
          </cell>
          <cell r="K698" t="b">
            <v>0</v>
          </cell>
          <cell r="L698" t="b">
            <v>0</v>
          </cell>
          <cell r="M698" t="b">
            <v>0</v>
          </cell>
          <cell r="N698" t="b">
            <v>0</v>
          </cell>
          <cell r="O698" t="b">
            <v>0</v>
          </cell>
          <cell r="P698" t="b">
            <v>0</v>
          </cell>
          <cell r="Q698" t="b">
            <v>0</v>
          </cell>
          <cell r="R698" t="b">
            <v>0</v>
          </cell>
          <cell r="S698" t="b">
            <v>0</v>
          </cell>
          <cell r="T698" t="b">
            <v>0</v>
          </cell>
          <cell r="U698" t="str">
            <v>NA</v>
          </cell>
          <cell r="V698" t="str">
            <v>No Register</v>
          </cell>
          <cell r="W698" t="str">
            <v/>
          </cell>
          <cell r="Y698" t="str">
            <v/>
          </cell>
        </row>
        <row r="699">
          <cell r="B699" t="str">
            <v>Barcol Nusantara, PT</v>
          </cell>
          <cell r="C699" t="str">
            <v>benua_kharisma@yahoo.com</v>
          </cell>
          <cell r="D699" t="str">
            <v>Bona Hutapea</v>
          </cell>
          <cell r="E699" t="str">
            <v>081382153944</v>
          </cell>
          <cell r="F699" t="str">
            <v/>
          </cell>
          <cell r="G699" t="b">
            <v>0</v>
          </cell>
          <cell r="H699" t="b">
            <v>0</v>
          </cell>
          <cell r="I699" t="b">
            <v>1</v>
          </cell>
          <cell r="J699" t="b">
            <v>0</v>
          </cell>
          <cell r="K699" t="b">
            <v>0</v>
          </cell>
          <cell r="L699" t="b">
            <v>0</v>
          </cell>
          <cell r="M699" t="b">
            <v>0</v>
          </cell>
          <cell r="N699" t="b">
            <v>0</v>
          </cell>
          <cell r="O699" t="b">
            <v>0</v>
          </cell>
          <cell r="P699" t="b">
            <v>0</v>
          </cell>
          <cell r="Q699" t="b">
            <v>0</v>
          </cell>
          <cell r="R699" t="b">
            <v>0</v>
          </cell>
          <cell r="S699" t="b">
            <v>0</v>
          </cell>
          <cell r="T699" t="b">
            <v>0</v>
          </cell>
          <cell r="U699" t="str">
            <v>NA</v>
          </cell>
          <cell r="V699" t="str">
            <v>No Register</v>
          </cell>
          <cell r="W699" t="str">
            <v/>
          </cell>
          <cell r="Y699" t="str">
            <v>Instrumentation</v>
          </cell>
        </row>
        <row r="700">
          <cell r="B700" t="str">
            <v>Benua Kharisma Instrument, PT</v>
          </cell>
          <cell r="C700" t="str">
            <v>sales@besttoflow.com; nana@besttoflow.com; djanpiter@besttoflow.com; suhendy@besttoflow.com; lia@besttoflow.com</v>
          </cell>
          <cell r="D700" t="str">
            <v xml:space="preserve">Eri Retno </v>
          </cell>
          <cell r="E700" t="str">
            <v>089665090067</v>
          </cell>
          <cell r="F700" t="str">
            <v/>
          </cell>
          <cell r="G700" t="b">
            <v>1</v>
          </cell>
          <cell r="H700" t="b">
            <v>0</v>
          </cell>
          <cell r="I700" t="b">
            <v>0</v>
          </cell>
          <cell r="J700" t="b">
            <v>0</v>
          </cell>
          <cell r="K700" t="b">
            <v>0</v>
          </cell>
          <cell r="L700" t="b">
            <v>0</v>
          </cell>
          <cell r="M700" t="b">
            <v>0</v>
          </cell>
          <cell r="N700" t="b">
            <v>0</v>
          </cell>
          <cell r="O700" t="b">
            <v>0</v>
          </cell>
          <cell r="P700" t="b">
            <v>0</v>
          </cell>
          <cell r="Q700" t="b">
            <v>0</v>
          </cell>
          <cell r="R700" t="b">
            <v>0</v>
          </cell>
          <cell r="S700" t="b">
            <v>0</v>
          </cell>
          <cell r="T700" t="b">
            <v>0</v>
          </cell>
          <cell r="U700" t="str">
            <v>NA</v>
          </cell>
          <cell r="V700" t="str">
            <v>No Register</v>
          </cell>
          <cell r="W700" t="str">
            <v/>
          </cell>
          <cell r="Y700" t="str">
            <v>Mechanical</v>
          </cell>
        </row>
        <row r="701">
          <cell r="B701" t="str">
            <v>Bestflow System, PT</v>
          </cell>
          <cell r="C701" t="str">
            <v>pt.biliton@yahoo.co.id; hasnal_arief@bilitonjayara.com</v>
          </cell>
          <cell r="D701" t="str">
            <v>Muhammad Firdaus</v>
          </cell>
          <cell r="E701" t="str">
            <v/>
          </cell>
          <cell r="F701" t="str">
            <v/>
          </cell>
          <cell r="G701" t="b">
            <v>1</v>
          </cell>
          <cell r="H701" t="b">
            <v>0</v>
          </cell>
          <cell r="I701" t="b">
            <v>0</v>
          </cell>
          <cell r="J701" t="b">
            <v>0</v>
          </cell>
          <cell r="K701" t="b">
            <v>0</v>
          </cell>
          <cell r="L701" t="b">
            <v>0</v>
          </cell>
          <cell r="M701" t="b">
            <v>0</v>
          </cell>
          <cell r="N701" t="b">
            <v>1</v>
          </cell>
          <cell r="O701" t="b">
            <v>0</v>
          </cell>
          <cell r="P701" t="b">
            <v>0</v>
          </cell>
          <cell r="Q701" t="b">
            <v>0</v>
          </cell>
          <cell r="R701" t="b">
            <v>0</v>
          </cell>
          <cell r="S701" t="b">
            <v>0</v>
          </cell>
          <cell r="T701" t="b">
            <v>0</v>
          </cell>
          <cell r="U701" t="str">
            <v>NA</v>
          </cell>
          <cell r="V701" t="str">
            <v>No Register</v>
          </cell>
          <cell r="W701" t="str">
            <v/>
          </cell>
          <cell r="X701" t="str">
            <v>Service Jasa - Mechanical</v>
          </cell>
          <cell r="Y701" t="str">
            <v>Service</v>
          </cell>
        </row>
        <row r="702">
          <cell r="B702" t="str">
            <v>Biliton Jaya Raya, PT</v>
          </cell>
          <cell r="C702" t="str">
            <v>ian.berwick@satnetcom.com; 
indonesia@statewidebearings.com.au</v>
          </cell>
          <cell r="D702" t="str">
            <v>Mochamad  Budiman</v>
          </cell>
          <cell r="E702" t="str">
            <v>08115424548</v>
          </cell>
          <cell r="F702" t="str">
            <v/>
          </cell>
          <cell r="G702" t="b">
            <v>0</v>
          </cell>
          <cell r="H702" t="b">
            <v>0</v>
          </cell>
          <cell r="I702" t="b">
            <v>0</v>
          </cell>
          <cell r="J702" t="b">
            <v>0</v>
          </cell>
          <cell r="K702" t="b">
            <v>0</v>
          </cell>
          <cell r="L702" t="b">
            <v>0</v>
          </cell>
          <cell r="M702" t="b">
            <v>1</v>
          </cell>
          <cell r="N702" t="b">
            <v>0</v>
          </cell>
          <cell r="O702" t="b">
            <v>0</v>
          </cell>
          <cell r="P702" t="b">
            <v>0</v>
          </cell>
          <cell r="Q702" t="b">
            <v>0</v>
          </cell>
          <cell r="R702" t="b">
            <v>0</v>
          </cell>
          <cell r="S702" t="b">
            <v>1</v>
          </cell>
          <cell r="T702" t="b">
            <v>0</v>
          </cell>
          <cell r="U702" t="str">
            <v>NA</v>
          </cell>
          <cell r="V702" t="str">
            <v>No Register</v>
          </cell>
          <cell r="W702" t="str">
            <v>GT - ME</v>
          </cell>
          <cell r="X702" t="str">
            <v>General Trading - Mechanical</v>
          </cell>
          <cell r="Y702" t="str">
            <v>Bearing NSK &amp; FAG
Power Transmission</v>
          </cell>
        </row>
        <row r="703">
          <cell r="B703" t="str">
            <v>Borneo Statewide Bearing, PT</v>
          </cell>
          <cell r="C703" t="str">
            <v>jakarta1@bromindo.com; spv@bromindo.com</v>
          </cell>
          <cell r="D703" t="str">
            <v>Dhevia</v>
          </cell>
          <cell r="E703" t="str">
            <v>08882420888</v>
          </cell>
          <cell r="F703" t="str">
            <v/>
          </cell>
          <cell r="G703" t="b">
            <v>0</v>
          </cell>
          <cell r="H703" t="b">
            <v>0</v>
          </cell>
          <cell r="I703" t="b">
            <v>0</v>
          </cell>
          <cell r="J703" t="b">
            <v>0</v>
          </cell>
          <cell r="K703" t="b">
            <v>1</v>
          </cell>
          <cell r="L703" t="b">
            <v>0</v>
          </cell>
          <cell r="M703" t="b">
            <v>0</v>
          </cell>
          <cell r="N703" t="b">
            <v>0</v>
          </cell>
          <cell r="O703" t="b">
            <v>0</v>
          </cell>
          <cell r="P703" t="b">
            <v>0</v>
          </cell>
          <cell r="Q703" t="b">
            <v>0</v>
          </cell>
          <cell r="R703" t="b">
            <v>0</v>
          </cell>
          <cell r="S703" t="b">
            <v>0</v>
          </cell>
          <cell r="T703" t="b">
            <v>0</v>
          </cell>
          <cell r="U703" t="str">
            <v>NA</v>
          </cell>
          <cell r="V703" t="str">
            <v>No Register</v>
          </cell>
          <cell r="W703" t="str">
            <v/>
          </cell>
          <cell r="Y703" t="str">
            <v>Safety</v>
          </cell>
        </row>
        <row r="704">
          <cell r="B704" t="str">
            <v>Bromindo Mekar Mitra, PT</v>
          </cell>
          <cell r="C704" t="str">
            <v>ifa@buana-ct.co.id</v>
          </cell>
          <cell r="D704" t="str">
            <v>Ifa</v>
          </cell>
          <cell r="E704" t="str">
            <v>081231431953</v>
          </cell>
          <cell r="F704" t="str">
            <v>Vila Bukit Mas RC-12. Surabaya 60225</v>
          </cell>
          <cell r="G704" t="b">
            <v>0</v>
          </cell>
          <cell r="H704" t="b">
            <v>0</v>
          </cell>
          <cell r="I704" t="b">
            <v>0</v>
          </cell>
          <cell r="J704" t="b">
            <v>0</v>
          </cell>
          <cell r="K704" t="b">
            <v>0</v>
          </cell>
          <cell r="L704" t="b">
            <v>0</v>
          </cell>
          <cell r="M704" t="b">
            <v>1</v>
          </cell>
          <cell r="N704" t="b">
            <v>0</v>
          </cell>
          <cell r="O704" t="b">
            <v>0</v>
          </cell>
          <cell r="P704" t="b">
            <v>0</v>
          </cell>
          <cell r="Q704" t="b">
            <v>0</v>
          </cell>
          <cell r="R704" t="b">
            <v>0</v>
          </cell>
          <cell r="S704" t="b">
            <v>1</v>
          </cell>
          <cell r="T704" t="b">
            <v>0</v>
          </cell>
          <cell r="U704" t="str">
            <v>A</v>
          </cell>
          <cell r="V704" t="str">
            <v>Register</v>
          </cell>
          <cell r="W704" t="str">
            <v>GT - IC
SJ</v>
          </cell>
          <cell r="X704" t="str">
            <v>General Trading - Instrument
Service Jasa</v>
          </cell>
          <cell r="Y704" t="str">
            <v>ABB automation</v>
          </cell>
        </row>
        <row r="705">
          <cell r="B705" t="str">
            <v>Buana Cahayatama, PT</v>
          </cell>
          <cell r="C705" t="str">
            <v>alfian@pengajaran.com</v>
          </cell>
          <cell r="D705" t="str">
            <v>Alfian</v>
          </cell>
          <cell r="E705" t="str">
            <v xml:space="preserve">085249137800; 082351539337 </v>
          </cell>
          <cell r="F705" t="str">
            <v/>
          </cell>
          <cell r="G705" t="b">
            <v>1</v>
          </cell>
          <cell r="H705" t="b">
            <v>0</v>
          </cell>
          <cell r="I705" t="b">
            <v>0</v>
          </cell>
          <cell r="J705" t="b">
            <v>0</v>
          </cell>
          <cell r="K705" t="b">
            <v>0</v>
          </cell>
          <cell r="L705" t="b">
            <v>0</v>
          </cell>
          <cell r="M705" t="b">
            <v>1</v>
          </cell>
          <cell r="N705" t="b">
            <v>0</v>
          </cell>
          <cell r="O705" t="b">
            <v>0</v>
          </cell>
          <cell r="P705" t="b">
            <v>0</v>
          </cell>
          <cell r="Q705" t="b">
            <v>0</v>
          </cell>
          <cell r="R705" t="b">
            <v>0</v>
          </cell>
          <cell r="S705" t="b">
            <v>0</v>
          </cell>
          <cell r="T705" t="b">
            <v>0</v>
          </cell>
          <cell r="U705" t="str">
            <v>A</v>
          </cell>
          <cell r="V705" t="str">
            <v>No Register</v>
          </cell>
          <cell r="W705" t="str">
            <v/>
          </cell>
          <cell r="X705" t="str">
            <v>Utilities - Lubricant &amp; Industrial Oil</v>
          </cell>
          <cell r="Y705" t="str">
            <v>D Oil Shell</v>
          </cell>
        </row>
        <row r="706">
          <cell r="B706" t="str">
            <v>Cahaya Pengajaran Abadi, PT</v>
          </cell>
          <cell r="C706" t="str">
            <v>catekjaya.svc@gmail.com; info@catekjaya.com; catekjaya.sc.zai@gmail.com</v>
          </cell>
          <cell r="D706" t="str">
            <v>Zai</v>
          </cell>
          <cell r="E706" t="str">
            <v>082147278623</v>
          </cell>
          <cell r="F706" t="str">
            <v/>
          </cell>
          <cell r="G706" t="b">
            <v>1</v>
          </cell>
          <cell r="H706" t="b">
            <v>1</v>
          </cell>
          <cell r="I706" t="b">
            <v>0</v>
          </cell>
          <cell r="J706" t="b">
            <v>0</v>
          </cell>
          <cell r="K706" t="b">
            <v>0</v>
          </cell>
          <cell r="L706" t="b">
            <v>0</v>
          </cell>
          <cell r="M706" t="b">
            <v>0</v>
          </cell>
          <cell r="N706" t="b">
            <v>1</v>
          </cell>
          <cell r="O706" t="b">
            <v>0</v>
          </cell>
          <cell r="P706" t="b">
            <v>0</v>
          </cell>
          <cell r="Q706" t="b">
            <v>0</v>
          </cell>
          <cell r="R706" t="b">
            <v>0</v>
          </cell>
          <cell r="S706" t="b">
            <v>0</v>
          </cell>
          <cell r="T706" t="b">
            <v>0</v>
          </cell>
          <cell r="U706" t="str">
            <v>A</v>
          </cell>
          <cell r="V706" t="str">
            <v>No Register</v>
          </cell>
          <cell r="W706" t="str">
            <v/>
          </cell>
          <cell r="X706" t="str">
            <v>Service Jasa - Mechanical</v>
          </cell>
          <cell r="Y706" t="str">
            <v>Service Genset</v>
          </cell>
        </row>
        <row r="707">
          <cell r="B707" t="str">
            <v>Catek Jaya, CV</v>
          </cell>
          <cell r="C707" t="str">
            <v>analyst@centraltechnic.com</v>
          </cell>
          <cell r="D707" t="str">
            <v>Siska D</v>
          </cell>
          <cell r="F707" t="str">
            <v/>
          </cell>
          <cell r="G707" t="b">
            <v>0</v>
          </cell>
          <cell r="H707" t="b">
            <v>0</v>
          </cell>
          <cell r="I707" t="b">
            <v>0</v>
          </cell>
          <cell r="J707" t="b">
            <v>0</v>
          </cell>
          <cell r="K707" t="b">
            <v>0</v>
          </cell>
          <cell r="L707" t="b">
            <v>0</v>
          </cell>
          <cell r="M707" t="b">
            <v>0</v>
          </cell>
          <cell r="N707" t="b">
            <v>0</v>
          </cell>
          <cell r="O707" t="b">
            <v>0</v>
          </cell>
          <cell r="P707" t="b">
            <v>0</v>
          </cell>
          <cell r="Q707" t="b">
            <v>0</v>
          </cell>
          <cell r="R707" t="b">
            <v>0</v>
          </cell>
          <cell r="S707" t="b">
            <v>0</v>
          </cell>
          <cell r="T707" t="b">
            <v>0</v>
          </cell>
          <cell r="U707" t="str">
            <v>NA</v>
          </cell>
          <cell r="V707" t="str">
            <v>No Register</v>
          </cell>
          <cell r="W707" t="str">
            <v/>
          </cell>
          <cell r="Y707" t="str">
            <v/>
          </cell>
        </row>
        <row r="708">
          <cell r="B708" t="str">
            <v>Central Teknindo Abadiperkasa, PT</v>
          </cell>
          <cell r="C708" t="str">
            <v>eriansyah@citratelemindo.co.id; info@citratelemindo.co.id; suwarno.hadi@citratelemindo.co.id</v>
          </cell>
          <cell r="D708" t="str">
            <v>Eriansyah</v>
          </cell>
          <cell r="F708" t="str">
            <v/>
          </cell>
          <cell r="G708" t="b">
            <v>0</v>
          </cell>
          <cell r="H708" t="b">
            <v>0</v>
          </cell>
          <cell r="I708" t="b">
            <v>0</v>
          </cell>
          <cell r="J708" t="b">
            <v>0</v>
          </cell>
          <cell r="K708" t="b">
            <v>0</v>
          </cell>
          <cell r="L708" t="b">
            <v>0</v>
          </cell>
          <cell r="M708" t="b">
            <v>0</v>
          </cell>
          <cell r="N708" t="b">
            <v>0</v>
          </cell>
          <cell r="O708" t="b">
            <v>0</v>
          </cell>
          <cell r="P708" t="b">
            <v>0</v>
          </cell>
          <cell r="Q708" t="b">
            <v>0</v>
          </cell>
          <cell r="R708" t="b">
            <v>0</v>
          </cell>
          <cell r="S708" t="b">
            <v>0</v>
          </cell>
          <cell r="T708" t="b">
            <v>0</v>
          </cell>
          <cell r="U708" t="str">
            <v>NA</v>
          </cell>
          <cell r="V708" t="str">
            <v>No Register</v>
          </cell>
          <cell r="W708" t="str">
            <v/>
          </cell>
          <cell r="Y708" t="str">
            <v/>
          </cell>
        </row>
        <row r="709">
          <cell r="B709" t="str">
            <v>Citra Telemindo Perkasa, PT</v>
          </cell>
          <cell r="C709" t="str">
            <v>marketing1@comtech.co.id; am.anf.fauzi@gmail.com</v>
          </cell>
          <cell r="D709" t="str">
            <v>Fauzi</v>
          </cell>
          <cell r="E709" t="str">
            <v>081295612524</v>
          </cell>
          <cell r="F709" t="str">
            <v/>
          </cell>
          <cell r="G709" t="b">
            <v>0</v>
          </cell>
          <cell r="H709" t="b">
            <v>0</v>
          </cell>
          <cell r="I709" t="b">
            <v>1</v>
          </cell>
          <cell r="J709" t="b">
            <v>0</v>
          </cell>
          <cell r="K709" t="b">
            <v>0</v>
          </cell>
          <cell r="L709" t="b">
            <v>0</v>
          </cell>
          <cell r="M709" t="b">
            <v>1</v>
          </cell>
          <cell r="N709" t="b">
            <v>0</v>
          </cell>
          <cell r="O709" t="b">
            <v>0</v>
          </cell>
          <cell r="P709" t="b">
            <v>0</v>
          </cell>
          <cell r="Q709" t="b">
            <v>0</v>
          </cell>
          <cell r="R709" t="b">
            <v>0</v>
          </cell>
          <cell r="S709" t="b">
            <v>0</v>
          </cell>
          <cell r="T709" t="b">
            <v>0</v>
          </cell>
          <cell r="U709" t="str">
            <v>A</v>
          </cell>
          <cell r="V709" t="str">
            <v>No Register</v>
          </cell>
          <cell r="W709" t="str">
            <v>IT - NT</v>
          </cell>
          <cell r="X709" t="str">
            <v>IT &amp; System - Network &amp; Infrastructure</v>
          </cell>
          <cell r="Y709" t="str">
            <v/>
          </cell>
        </row>
        <row r="710">
          <cell r="B710" t="str">
            <v>Comtech Global Indonesia, PT</v>
          </cell>
          <cell r="C710" t="str">
            <v>ecosindo.marketing@gmail.com</v>
          </cell>
          <cell r="D710" t="str">
            <v>Aditya</v>
          </cell>
          <cell r="E710" t="str">
            <v>088808996190</v>
          </cell>
          <cell r="F710" t="str">
            <v/>
          </cell>
          <cell r="G710" t="b">
            <v>0</v>
          </cell>
          <cell r="H710" t="b">
            <v>0</v>
          </cell>
          <cell r="I710" t="b">
            <v>0</v>
          </cell>
          <cell r="J710" t="b">
            <v>0</v>
          </cell>
          <cell r="K710" t="b">
            <v>0</v>
          </cell>
          <cell r="L710" t="b">
            <v>0</v>
          </cell>
          <cell r="M710" t="b">
            <v>0</v>
          </cell>
          <cell r="N710" t="b">
            <v>0</v>
          </cell>
          <cell r="O710" t="b">
            <v>0</v>
          </cell>
          <cell r="P710" t="b">
            <v>0</v>
          </cell>
          <cell r="Q710" t="b">
            <v>0</v>
          </cell>
          <cell r="R710" t="b">
            <v>0</v>
          </cell>
          <cell r="S710" t="b">
            <v>0</v>
          </cell>
          <cell r="T710" t="b">
            <v>0</v>
          </cell>
          <cell r="U710" t="str">
            <v>NA</v>
          </cell>
          <cell r="V710" t="str">
            <v>No Register</v>
          </cell>
          <cell r="W710" t="str">
            <v/>
          </cell>
          <cell r="Y710" t="str">
            <v/>
          </cell>
        </row>
        <row r="711">
          <cell r="B711" t="str">
            <v>Ecosindo Laboranusa, PT</v>
          </cell>
          <cell r="C711" t="str">
            <v>fir@elangfleksindo.co.id</v>
          </cell>
          <cell r="D711" t="str">
            <v>Firdaus Limanto</v>
          </cell>
          <cell r="E711" t="str">
            <v>08117788555</v>
          </cell>
          <cell r="F711" t="str">
            <v/>
          </cell>
          <cell r="G711" t="b">
            <v>0</v>
          </cell>
          <cell r="H711" t="b">
            <v>0</v>
          </cell>
          <cell r="I711" t="b">
            <v>0</v>
          </cell>
          <cell r="J711" t="b">
            <v>0</v>
          </cell>
          <cell r="K711" t="b">
            <v>0</v>
          </cell>
          <cell r="L711" t="b">
            <v>0</v>
          </cell>
          <cell r="M711" t="b">
            <v>0</v>
          </cell>
          <cell r="N711" t="b">
            <v>0</v>
          </cell>
          <cell r="O711" t="b">
            <v>0</v>
          </cell>
          <cell r="P711" t="b">
            <v>0</v>
          </cell>
          <cell r="Q711" t="b">
            <v>0</v>
          </cell>
          <cell r="R711" t="b">
            <v>0</v>
          </cell>
          <cell r="S711" t="b">
            <v>1</v>
          </cell>
          <cell r="T711" t="b">
            <v>0</v>
          </cell>
          <cell r="U711" t="str">
            <v>NA</v>
          </cell>
          <cell r="V711" t="str">
            <v>No Register</v>
          </cell>
          <cell r="W711" t="str">
            <v/>
          </cell>
          <cell r="Y711" t="str">
            <v>Trading</v>
          </cell>
        </row>
        <row r="712">
          <cell r="B712" t="str">
            <v>Elang Dwi Mitra, PT</v>
          </cell>
          <cell r="C712" t="str">
            <v>sales3@elmecon-mk.com</v>
          </cell>
          <cell r="D712" t="str">
            <v>Nadia</v>
          </cell>
          <cell r="F712" t="str">
            <v/>
          </cell>
          <cell r="G712" t="b">
            <v>0</v>
          </cell>
          <cell r="H712" t="b">
            <v>0</v>
          </cell>
          <cell r="I712" t="b">
            <v>0</v>
          </cell>
          <cell r="J712" t="b">
            <v>0</v>
          </cell>
          <cell r="K712" t="b">
            <v>0</v>
          </cell>
          <cell r="L712" t="b">
            <v>0</v>
          </cell>
          <cell r="M712" t="b">
            <v>1</v>
          </cell>
          <cell r="N712" t="b">
            <v>0</v>
          </cell>
          <cell r="O712" t="b">
            <v>0</v>
          </cell>
          <cell r="P712" t="b">
            <v>0</v>
          </cell>
          <cell r="Q712" t="b">
            <v>0</v>
          </cell>
          <cell r="R712" t="b">
            <v>0</v>
          </cell>
          <cell r="S712" t="b">
            <v>1</v>
          </cell>
          <cell r="T712" t="b">
            <v>0</v>
          </cell>
          <cell r="U712" t="str">
            <v>NA</v>
          </cell>
          <cell r="V712" t="str">
            <v>No Register</v>
          </cell>
          <cell r="W712" t="str">
            <v>GT - IC</v>
          </cell>
          <cell r="X712" t="str">
            <v>General Trading - Instrument</v>
          </cell>
          <cell r="Y712" t="str">
            <v>Instrumentation</v>
          </cell>
        </row>
        <row r="713">
          <cell r="B713" t="str">
            <v>Elmecon Multikencana, PT</v>
          </cell>
          <cell r="C713" t="str">
            <v xml:space="preserve"> bety.rahmawati@hakit.org; enexde.hakit@gmail.com</v>
          </cell>
          <cell r="D713" t="str">
            <v>Bety Rahmawati</v>
          </cell>
          <cell r="E713" t="str">
            <v>081314938373</v>
          </cell>
          <cell r="F713" t="str">
            <v/>
          </cell>
          <cell r="G713" t="b">
            <v>0</v>
          </cell>
          <cell r="H713" t="b">
            <v>0</v>
          </cell>
          <cell r="I713" t="b">
            <v>0</v>
          </cell>
          <cell r="J713" t="b">
            <v>0</v>
          </cell>
          <cell r="K713" t="b">
            <v>1</v>
          </cell>
          <cell r="L713" t="b">
            <v>0</v>
          </cell>
          <cell r="M713" t="b">
            <v>0</v>
          </cell>
          <cell r="N713" t="b">
            <v>0</v>
          </cell>
          <cell r="O713" t="b">
            <v>1</v>
          </cell>
          <cell r="P713" t="b">
            <v>0</v>
          </cell>
          <cell r="Q713" t="b">
            <v>0</v>
          </cell>
          <cell r="R713" t="b">
            <v>0</v>
          </cell>
          <cell r="S713" t="b">
            <v>0</v>
          </cell>
          <cell r="T713" t="b">
            <v>0</v>
          </cell>
          <cell r="U713" t="str">
            <v>A</v>
          </cell>
          <cell r="V713" t="str">
            <v>No Register</v>
          </cell>
          <cell r="W713" t="str">
            <v/>
          </cell>
          <cell r="Y713" t="str">
            <v/>
          </cell>
        </row>
        <row r="714">
          <cell r="B714" t="str">
            <v>Enexde Hakit, PT</v>
          </cell>
          <cell r="C714" t="str">
            <v>hello@eticon.co.id</v>
          </cell>
          <cell r="D714" t="str">
            <v>Gerda Eka</v>
          </cell>
          <cell r="E714" t="str">
            <v>P :  (0274) 737 4220
      (021) 8274 3132
M : +62 877 3899 5805 (Ady)
      +62 811 878 5020 (Aldi)</v>
          </cell>
          <cell r="F714" t="str">
            <v/>
          </cell>
          <cell r="G714" t="b">
            <v>0</v>
          </cell>
          <cell r="H714" t="b">
            <v>0</v>
          </cell>
          <cell r="I714" t="b">
            <v>0</v>
          </cell>
          <cell r="J714" t="b">
            <v>0</v>
          </cell>
          <cell r="K714" t="b">
            <v>0</v>
          </cell>
          <cell r="L714" t="b">
            <v>0</v>
          </cell>
          <cell r="M714" t="b">
            <v>0</v>
          </cell>
          <cell r="N714" t="b">
            <v>0</v>
          </cell>
          <cell r="O714" t="b">
            <v>0</v>
          </cell>
          <cell r="P714" t="b">
            <v>0</v>
          </cell>
          <cell r="Q714" t="b">
            <v>0</v>
          </cell>
          <cell r="R714" t="b">
            <v>0</v>
          </cell>
          <cell r="S714" t="b">
            <v>0</v>
          </cell>
          <cell r="T714" t="b">
            <v>0</v>
          </cell>
          <cell r="U714" t="str">
            <v>NA</v>
          </cell>
          <cell r="V714" t="str">
            <v>No Register</v>
          </cell>
          <cell r="W714" t="str">
            <v/>
          </cell>
          <cell r="Y714" t="str">
            <v/>
          </cell>
        </row>
        <row r="715">
          <cell r="B715" t="str">
            <v>Eticon Rekayasa Teknik, PT</v>
          </cell>
          <cell r="C715" t="str">
            <v>danan@fajarbenua.co.id; agustina@fajarbenua.co.id</v>
          </cell>
          <cell r="D715" t="str">
            <v>Danan P</v>
          </cell>
          <cell r="E715" t="str">
            <v>Phone  : +62 21 8791 8838  ext : 313
Fax       : +62 21 8791 8841/ 42
Hp        : 0857 29042999 (WA)/ 0812 84842414</v>
          </cell>
          <cell r="F715" t="str">
            <v/>
          </cell>
          <cell r="G715" t="b">
            <v>1</v>
          </cell>
          <cell r="H715" t="b">
            <v>0</v>
          </cell>
          <cell r="I715" t="b">
            <v>0</v>
          </cell>
          <cell r="J715" t="b">
            <v>0</v>
          </cell>
          <cell r="K715" t="b">
            <v>0</v>
          </cell>
          <cell r="L715" t="b">
            <v>0</v>
          </cell>
          <cell r="M715" t="b">
            <v>0</v>
          </cell>
          <cell r="N715" t="b">
            <v>0</v>
          </cell>
          <cell r="O715" t="b">
            <v>0</v>
          </cell>
          <cell r="P715" t="b">
            <v>0</v>
          </cell>
          <cell r="Q715" t="b">
            <v>0</v>
          </cell>
          <cell r="R715" t="b">
            <v>0</v>
          </cell>
          <cell r="S715" t="b">
            <v>0</v>
          </cell>
          <cell r="T715" t="b">
            <v>0</v>
          </cell>
          <cell r="U715" t="str">
            <v>NA</v>
          </cell>
          <cell r="V715" t="str">
            <v>No Register</v>
          </cell>
          <cell r="W715" t="str">
            <v/>
          </cell>
          <cell r="Y715" t="str">
            <v>Mechanical</v>
          </cell>
        </row>
        <row r="716">
          <cell r="B716" t="str">
            <v>Fajar Benua Indopack, PT</v>
          </cell>
          <cell r="C716" t="str">
            <v>dian1@firetech.co.id</v>
          </cell>
          <cell r="D716" t="str">
            <v>Dian</v>
          </cell>
          <cell r="E716" t="str">
            <v>081388842051</v>
          </cell>
          <cell r="F716" t="str">
            <v/>
          </cell>
          <cell r="G716" t="b">
            <v>0</v>
          </cell>
          <cell r="H716" t="b">
            <v>0</v>
          </cell>
          <cell r="I716" t="b">
            <v>0</v>
          </cell>
          <cell r="J716" t="b">
            <v>0</v>
          </cell>
          <cell r="K716" t="b">
            <v>0</v>
          </cell>
          <cell r="L716" t="b">
            <v>0</v>
          </cell>
          <cell r="M716" t="b">
            <v>1</v>
          </cell>
          <cell r="N716" t="b">
            <v>0</v>
          </cell>
          <cell r="O716" t="b">
            <v>0</v>
          </cell>
          <cell r="P716" t="b">
            <v>0</v>
          </cell>
          <cell r="Q716" t="b">
            <v>0</v>
          </cell>
          <cell r="R716" t="b">
            <v>1</v>
          </cell>
          <cell r="S716" t="b">
            <v>1</v>
          </cell>
          <cell r="T716" t="b">
            <v>0</v>
          </cell>
          <cell r="U716" t="str">
            <v>NA</v>
          </cell>
          <cell r="V716" t="str">
            <v>No Register</v>
          </cell>
          <cell r="W716" t="str">
            <v/>
          </cell>
          <cell r="X716" t="str">
            <v>General Trading - HSE</v>
          </cell>
          <cell r="Y716" t="str">
            <v>Service</v>
          </cell>
        </row>
        <row r="717">
          <cell r="B717" t="str">
            <v>Firetech Perkasa, PT</v>
          </cell>
          <cell r="C717" t="str">
            <v>mchakraborty@forbesmarshall.com; afirstyan@forbesmarshall.com; admin@forbesmarshall.com</v>
          </cell>
          <cell r="D717" t="str">
            <v>Ageng</v>
          </cell>
          <cell r="E717" t="str">
            <v>08112330114</v>
          </cell>
          <cell r="F717" t="str">
            <v>Millenium Centennial Center 6th Floor Unit G, Jl. Jend Sudirman, Kav. 25, Karet, Setiabudi, Kota Jakarta Selatan, DKI Jakarta</v>
          </cell>
          <cell r="G717" t="b">
            <v>0</v>
          </cell>
          <cell r="H717" t="b">
            <v>0</v>
          </cell>
          <cell r="I717" t="b">
            <v>0</v>
          </cell>
          <cell r="J717" t="b">
            <v>0</v>
          </cell>
          <cell r="K717" t="b">
            <v>0</v>
          </cell>
          <cell r="L717" t="b">
            <v>0</v>
          </cell>
          <cell r="M717" t="b">
            <v>0</v>
          </cell>
          <cell r="N717" t="b">
            <v>0</v>
          </cell>
          <cell r="O717" t="b">
            <v>0</v>
          </cell>
          <cell r="P717" t="b">
            <v>0</v>
          </cell>
          <cell r="Q717" t="b">
            <v>0</v>
          </cell>
          <cell r="R717" t="b">
            <v>0</v>
          </cell>
          <cell r="S717" t="b">
            <v>0</v>
          </cell>
          <cell r="T717" t="b">
            <v>1</v>
          </cell>
          <cell r="U717" t="str">
            <v>A</v>
          </cell>
          <cell r="V717" t="str">
            <v>Register</v>
          </cell>
          <cell r="W717" t="str">
            <v>GT - ME</v>
          </cell>
          <cell r="X717" t="str">
            <v>General Trading - Mechanical</v>
          </cell>
          <cell r="Y717" t="str">
            <v>AD Forbes</v>
          </cell>
        </row>
        <row r="718">
          <cell r="B718" t="str">
            <v>Forbes Marshall Indonesia, PT</v>
          </cell>
          <cell r="C718" t="str">
            <v>sales@fortuna-anekamulti.co.id; nita@fortuna-anekamulti.co.id</v>
          </cell>
          <cell r="D718" t="str">
            <v>Nita Aprina</v>
          </cell>
          <cell r="E718" t="str">
            <v>Telp  : +62 21 659 1959 ( Hunting ); 628 9269-70</v>
          </cell>
          <cell r="F718" t="str">
            <v/>
          </cell>
          <cell r="G718" t="b">
            <v>0</v>
          </cell>
          <cell r="H718" t="b">
            <v>0</v>
          </cell>
          <cell r="I718" t="b">
            <v>0</v>
          </cell>
          <cell r="J718" t="b">
            <v>0</v>
          </cell>
          <cell r="K718" t="b">
            <v>0</v>
          </cell>
          <cell r="L718" t="b">
            <v>0</v>
          </cell>
          <cell r="M718" t="b">
            <v>1</v>
          </cell>
          <cell r="N718" t="b">
            <v>0</v>
          </cell>
          <cell r="O718" t="b">
            <v>0</v>
          </cell>
          <cell r="P718" t="b">
            <v>0</v>
          </cell>
          <cell r="Q718" t="b">
            <v>0</v>
          </cell>
          <cell r="R718" t="b">
            <v>0</v>
          </cell>
          <cell r="S718" t="b">
            <v>1</v>
          </cell>
          <cell r="T718" t="b">
            <v>0</v>
          </cell>
          <cell r="U718" t="str">
            <v>NA</v>
          </cell>
          <cell r="V718" t="str">
            <v>No Register</v>
          </cell>
          <cell r="W718" t="str">
            <v>GT - ME</v>
          </cell>
          <cell r="X718" t="str">
            <v>General Trading - Mechanical</v>
          </cell>
          <cell r="Y718" t="str">
            <v>Bearing SKF dan FAG</v>
          </cell>
        </row>
        <row r="719">
          <cell r="B719" t="str">
            <v>Fortuna Aneka Gemilang, PT</v>
          </cell>
          <cell r="C719" t="str">
            <v>fuadmfb@gmail.com</v>
          </cell>
          <cell r="D719" t="str">
            <v>Muhammad Fuad Bawazier</v>
          </cell>
          <cell r="E719" t="str">
            <v/>
          </cell>
          <cell r="F719" t="str">
            <v/>
          </cell>
          <cell r="G719" t="b">
            <v>0</v>
          </cell>
          <cell r="H719" t="b">
            <v>0</v>
          </cell>
          <cell r="I719" t="b">
            <v>0</v>
          </cell>
          <cell r="J719" t="b">
            <v>0</v>
          </cell>
          <cell r="K719" t="b">
            <v>0</v>
          </cell>
          <cell r="L719" t="b">
            <v>0</v>
          </cell>
          <cell r="M719" t="b">
            <v>0</v>
          </cell>
          <cell r="N719" t="b">
            <v>0</v>
          </cell>
          <cell r="O719" t="b">
            <v>0</v>
          </cell>
          <cell r="P719" t="b">
            <v>0</v>
          </cell>
          <cell r="Q719" t="b">
            <v>0</v>
          </cell>
          <cell r="R719" t="b">
            <v>0</v>
          </cell>
          <cell r="S719" t="b">
            <v>0</v>
          </cell>
          <cell r="T719" t="b">
            <v>0</v>
          </cell>
          <cell r="U719" t="str">
            <v>NA</v>
          </cell>
          <cell r="V719" t="str">
            <v>No Register</v>
          </cell>
          <cell r="W719" t="str">
            <v/>
          </cell>
          <cell r="Y719" t="str">
            <v/>
          </cell>
        </row>
        <row r="720">
          <cell r="B720" t="str">
            <v>Gamuk Gajendra Group, PT</v>
          </cell>
          <cell r="C720" t="str">
            <v>ptgarudateknikasia@gmail.com</v>
          </cell>
          <cell r="D720" t="str">
            <v>Moch Fachri Haikal</v>
          </cell>
          <cell r="E720" t="str">
            <v>0813 2117 0477 / 081390031004</v>
          </cell>
          <cell r="F720" t="str">
            <v/>
          </cell>
          <cell r="G720" t="b">
            <v>0</v>
          </cell>
          <cell r="H720" t="b">
            <v>0</v>
          </cell>
          <cell r="I720" t="b">
            <v>0</v>
          </cell>
          <cell r="J720" t="b">
            <v>0</v>
          </cell>
          <cell r="K720" t="b">
            <v>0</v>
          </cell>
          <cell r="L720" t="b">
            <v>0</v>
          </cell>
          <cell r="M720" t="b">
            <v>0</v>
          </cell>
          <cell r="N720" t="b">
            <v>0</v>
          </cell>
          <cell r="O720" t="b">
            <v>0</v>
          </cell>
          <cell r="P720" t="b">
            <v>0</v>
          </cell>
          <cell r="Q720" t="b">
            <v>0</v>
          </cell>
          <cell r="R720" t="b">
            <v>0</v>
          </cell>
          <cell r="S720" t="b">
            <v>0</v>
          </cell>
          <cell r="T720" t="b">
            <v>0</v>
          </cell>
          <cell r="U720" t="str">
            <v>NA</v>
          </cell>
          <cell r="V720" t="str">
            <v>No Register</v>
          </cell>
          <cell r="W720" t="str">
            <v/>
          </cell>
          <cell r="Y720" t="str">
            <v>Tools &amp; Equipment</v>
          </cell>
        </row>
        <row r="721">
          <cell r="B721" t="str">
            <v>Garuda Teknik Asia, PT</v>
          </cell>
          <cell r="C721" t="str">
            <v>office@geomaxreka.co.id</v>
          </cell>
          <cell r="D721" t="str">
            <v>Galang</v>
          </cell>
          <cell r="E721" t="str">
            <v>T. [021] 8550 6652 | 8550 66795
HP. 0813 1447 0896</v>
          </cell>
          <cell r="F721" t="str">
            <v/>
          </cell>
          <cell r="G721" t="b">
            <v>0</v>
          </cell>
          <cell r="H721" t="b">
            <v>0</v>
          </cell>
          <cell r="I721" t="b">
            <v>0</v>
          </cell>
          <cell r="J721" t="b">
            <v>0</v>
          </cell>
          <cell r="K721" t="b">
            <v>0</v>
          </cell>
          <cell r="L721" t="b">
            <v>0</v>
          </cell>
          <cell r="M721" t="b">
            <v>0</v>
          </cell>
          <cell r="N721" t="b">
            <v>0</v>
          </cell>
          <cell r="O721" t="b">
            <v>0</v>
          </cell>
          <cell r="P721" t="b">
            <v>0</v>
          </cell>
          <cell r="Q721" t="b">
            <v>0</v>
          </cell>
          <cell r="R721" t="b">
            <v>0</v>
          </cell>
          <cell r="S721" t="b">
            <v>0</v>
          </cell>
          <cell r="T721" t="b">
            <v>0</v>
          </cell>
          <cell r="U721" t="str">
            <v>A</v>
          </cell>
          <cell r="V721" t="str">
            <v>No Register</v>
          </cell>
          <cell r="W721" t="str">
            <v/>
          </cell>
          <cell r="Y721" t="str">
            <v/>
          </cell>
        </row>
        <row r="722">
          <cell r="B722" t="str">
            <v>Geomax Reka Optima, PT</v>
          </cell>
          <cell r="C722" t="str">
            <v>sales@glory.co.id</v>
          </cell>
          <cell r="D722" t="str">
            <v>Maria</v>
          </cell>
          <cell r="E722" t="str">
            <v>031-7880088/80</v>
          </cell>
          <cell r="F722" t="str">
            <v/>
          </cell>
          <cell r="G722" t="b">
            <v>0</v>
          </cell>
          <cell r="H722" t="b">
            <v>0</v>
          </cell>
          <cell r="I722" t="b">
            <v>0</v>
          </cell>
          <cell r="J722" t="b">
            <v>0</v>
          </cell>
          <cell r="K722" t="b">
            <v>0</v>
          </cell>
          <cell r="L722" t="b">
            <v>0</v>
          </cell>
          <cell r="M722" t="b">
            <v>0</v>
          </cell>
          <cell r="N722" t="b">
            <v>0</v>
          </cell>
          <cell r="O722" t="b">
            <v>0</v>
          </cell>
          <cell r="P722" t="b">
            <v>0</v>
          </cell>
          <cell r="Q722" t="b">
            <v>0</v>
          </cell>
          <cell r="R722" t="b">
            <v>0</v>
          </cell>
          <cell r="S722" t="b">
            <v>0</v>
          </cell>
          <cell r="T722" t="b">
            <v>0</v>
          </cell>
          <cell r="U722" t="str">
            <v>NA</v>
          </cell>
          <cell r="V722" t="str">
            <v>No Register</v>
          </cell>
          <cell r="W722" t="str">
            <v/>
          </cell>
          <cell r="Y722" t="str">
            <v/>
          </cell>
        </row>
        <row r="723">
          <cell r="B723" t="str">
            <v>Glory Elektrik Indonesia, PT</v>
          </cell>
          <cell r="C723" t="str">
            <v>dodo.supriatna@goltens.com; dodo.supriatna@goltens.com; erlita.nurfitri@goltens.com</v>
          </cell>
          <cell r="D723" t="str">
            <v>Dodo Supriatna</v>
          </cell>
          <cell r="E723" t="str">
            <v>Tel          : +62 21 6408091
Mobile  : +62 81 1980500
Fax         : +62 21 6401150</v>
          </cell>
          <cell r="F723" t="str">
            <v/>
          </cell>
          <cell r="G723" t="b">
            <v>1</v>
          </cell>
          <cell r="H723" t="b">
            <v>0</v>
          </cell>
          <cell r="I723" t="b">
            <v>0</v>
          </cell>
          <cell r="J723" t="b">
            <v>0</v>
          </cell>
          <cell r="K723" t="b">
            <v>0</v>
          </cell>
          <cell r="L723" t="b">
            <v>0</v>
          </cell>
          <cell r="M723" t="b">
            <v>0</v>
          </cell>
          <cell r="N723" t="b">
            <v>0</v>
          </cell>
          <cell r="O723" t="b">
            <v>0</v>
          </cell>
          <cell r="P723" t="b">
            <v>0</v>
          </cell>
          <cell r="Q723" t="b">
            <v>0</v>
          </cell>
          <cell r="R723" t="b">
            <v>0</v>
          </cell>
          <cell r="S723" t="b">
            <v>0</v>
          </cell>
          <cell r="T723" t="b">
            <v>0</v>
          </cell>
          <cell r="U723" t="str">
            <v>NA</v>
          </cell>
          <cell r="V723" t="str">
            <v>No Register</v>
          </cell>
          <cell r="W723" t="str">
            <v/>
          </cell>
          <cell r="Y723" t="str">
            <v>Mechanical</v>
          </cell>
        </row>
        <row r="724">
          <cell r="B724" t="str">
            <v>Goltens Indonesia, PT</v>
          </cell>
          <cell r="C724" t="str">
            <v>burhan.persadalab@gmail.com; luluk.persadalab@gmail.com; rijal.persadalab@gmail.com</v>
          </cell>
          <cell r="D724" t="str">
            <v>M. Burhan Wikayasyah</v>
          </cell>
          <cell r="E724" t="str">
            <v>082131818049</v>
          </cell>
          <cell r="F724" t="str">
            <v/>
          </cell>
          <cell r="G724" t="b">
            <v>0</v>
          </cell>
          <cell r="H724" t="b">
            <v>0</v>
          </cell>
          <cell r="I724" t="b">
            <v>0</v>
          </cell>
          <cell r="J724" t="b">
            <v>0</v>
          </cell>
          <cell r="K724" t="b">
            <v>0</v>
          </cell>
          <cell r="L724" t="b">
            <v>0</v>
          </cell>
          <cell r="M724" t="b">
            <v>0</v>
          </cell>
          <cell r="N724" t="b">
            <v>0</v>
          </cell>
          <cell r="O724" t="b">
            <v>0</v>
          </cell>
          <cell r="P724" t="b">
            <v>0</v>
          </cell>
          <cell r="Q724" t="b">
            <v>0</v>
          </cell>
          <cell r="R724" t="b">
            <v>0</v>
          </cell>
          <cell r="S724" t="b">
            <v>0</v>
          </cell>
          <cell r="T724" t="b">
            <v>0</v>
          </cell>
          <cell r="U724" t="str">
            <v>NA</v>
          </cell>
          <cell r="V724" t="str">
            <v>No Register</v>
          </cell>
          <cell r="W724" t="str">
            <v/>
          </cell>
          <cell r="Y724" t="str">
            <v/>
          </cell>
        </row>
        <row r="725">
          <cell r="B725" t="str">
            <v>Graha Mutu Persada, PT</v>
          </cell>
          <cell r="C725" t="str">
            <v>sales@gresindomu.com</v>
          </cell>
          <cell r="D725" t="str">
            <v>Jevri Wins</v>
          </cell>
          <cell r="E725" t="str">
            <v>Telp : +62 21-84341913
Mobile : +62 812 8066 0061</v>
          </cell>
          <cell r="F725" t="str">
            <v/>
          </cell>
          <cell r="G725" t="b">
            <v>0</v>
          </cell>
          <cell r="H725" t="b">
            <v>0</v>
          </cell>
          <cell r="I725" t="b">
            <v>0</v>
          </cell>
          <cell r="J725" t="b">
            <v>0</v>
          </cell>
          <cell r="K725" t="b">
            <v>0</v>
          </cell>
          <cell r="L725" t="b">
            <v>0</v>
          </cell>
          <cell r="M725" t="b">
            <v>0</v>
          </cell>
          <cell r="N725" t="b">
            <v>0</v>
          </cell>
          <cell r="O725" t="b">
            <v>0</v>
          </cell>
          <cell r="P725" t="b">
            <v>0</v>
          </cell>
          <cell r="Q725" t="b">
            <v>0</v>
          </cell>
          <cell r="R725" t="b">
            <v>0</v>
          </cell>
          <cell r="S725" t="b">
            <v>0</v>
          </cell>
          <cell r="T725" t="b">
            <v>0</v>
          </cell>
          <cell r="U725" t="str">
            <v>NA</v>
          </cell>
          <cell r="V725" t="str">
            <v>No Register</v>
          </cell>
          <cell r="W725" t="str">
            <v/>
          </cell>
          <cell r="Y725" t="str">
            <v/>
          </cell>
        </row>
        <row r="726">
          <cell r="B726" t="str">
            <v>Gresindo Mandiri Utama, PT</v>
          </cell>
          <cell r="C726" t="str">
            <v>: sales@haitek.co.id</v>
          </cell>
          <cell r="D726" t="str">
            <v>Firmansyah</v>
          </cell>
          <cell r="E726" t="str">
            <v>Mobile   : +6281 110 0685
Telp : 021-85507056</v>
          </cell>
          <cell r="F726" t="str">
            <v/>
          </cell>
          <cell r="G726" t="b">
            <v>0</v>
          </cell>
          <cell r="H726" t="b">
            <v>0</v>
          </cell>
          <cell r="I726" t="b">
            <v>0</v>
          </cell>
          <cell r="J726" t="b">
            <v>0</v>
          </cell>
          <cell r="K726" t="b">
            <v>0</v>
          </cell>
          <cell r="L726" t="b">
            <v>0</v>
          </cell>
          <cell r="M726" t="b">
            <v>0</v>
          </cell>
          <cell r="N726" t="b">
            <v>0</v>
          </cell>
          <cell r="O726" t="b">
            <v>0</v>
          </cell>
          <cell r="P726" t="b">
            <v>0</v>
          </cell>
          <cell r="Q726" t="b">
            <v>0</v>
          </cell>
          <cell r="R726" t="b">
            <v>0</v>
          </cell>
          <cell r="S726" t="b">
            <v>0</v>
          </cell>
          <cell r="T726" t="b">
            <v>0</v>
          </cell>
          <cell r="U726" t="str">
            <v>A</v>
          </cell>
          <cell r="V726" t="str">
            <v>No Register</v>
          </cell>
          <cell r="W726" t="str">
            <v/>
          </cell>
          <cell r="Y726" t="str">
            <v/>
          </cell>
        </row>
        <row r="727">
          <cell r="B727" t="str">
            <v>Haitek Cipta Berlian, PT</v>
          </cell>
          <cell r="C727" t="str">
            <v>custservice@hartechindonesia.co.id</v>
          </cell>
          <cell r="D727" t="str">
            <v>Angi Pertiwi</v>
          </cell>
          <cell r="E727" t="str">
            <v>Phone: 0821 2740 8291
Office: (021)7994307</v>
          </cell>
          <cell r="F727" t="str">
            <v/>
          </cell>
          <cell r="G727" t="b">
            <v>0</v>
          </cell>
          <cell r="H727" t="b">
            <v>0</v>
          </cell>
          <cell r="I727" t="b">
            <v>0</v>
          </cell>
          <cell r="J727" t="b">
            <v>0</v>
          </cell>
          <cell r="K727" t="b">
            <v>0</v>
          </cell>
          <cell r="L727" t="b">
            <v>0</v>
          </cell>
          <cell r="M727" t="b">
            <v>0</v>
          </cell>
          <cell r="N727" t="b">
            <v>1</v>
          </cell>
          <cell r="O727" t="b">
            <v>0</v>
          </cell>
          <cell r="P727" t="b">
            <v>0</v>
          </cell>
          <cell r="Q727" t="b">
            <v>0</v>
          </cell>
          <cell r="R727" t="b">
            <v>1</v>
          </cell>
          <cell r="S727" t="b">
            <v>1</v>
          </cell>
          <cell r="T727" t="b">
            <v>0</v>
          </cell>
          <cell r="U727" t="str">
            <v>A</v>
          </cell>
          <cell r="V727" t="str">
            <v>No Register</v>
          </cell>
          <cell r="W727" t="str">
            <v>GT - CHE</v>
          </cell>
          <cell r="X727" t="str">
            <v>Service Jasa - Chemical
General Trading - Chemical</v>
          </cell>
          <cell r="Y727" t="str">
            <v>Laboratory Product</v>
          </cell>
        </row>
        <row r="728">
          <cell r="B728" t="str">
            <v>Hartech Indonesia, PT</v>
          </cell>
          <cell r="C728" t="str">
            <v>sales.gensetyanmar@gmail.com; ferdian.sales@hartech.co.id</v>
          </cell>
          <cell r="D728" t="str">
            <v>Ferdian</v>
          </cell>
          <cell r="E728" t="str">
            <v>0811956729</v>
          </cell>
          <cell r="F728" t="str">
            <v/>
          </cell>
          <cell r="G728" t="b">
            <v>0</v>
          </cell>
          <cell r="H728" t="b">
            <v>0</v>
          </cell>
          <cell r="I728" t="b">
            <v>0</v>
          </cell>
          <cell r="J728" t="b">
            <v>0</v>
          </cell>
          <cell r="K728" t="b">
            <v>0</v>
          </cell>
          <cell r="L728" t="b">
            <v>0</v>
          </cell>
          <cell r="M728" t="b">
            <v>0</v>
          </cell>
          <cell r="N728" t="b">
            <v>1</v>
          </cell>
          <cell r="O728" t="b">
            <v>0</v>
          </cell>
          <cell r="P728" t="b">
            <v>0</v>
          </cell>
          <cell r="Q728" t="b">
            <v>0</v>
          </cell>
          <cell r="R728" t="b">
            <v>0</v>
          </cell>
          <cell r="S728" t="b">
            <v>1</v>
          </cell>
          <cell r="T728" t="b">
            <v>0</v>
          </cell>
          <cell r="U728" t="str">
            <v>A</v>
          </cell>
          <cell r="V728" t="str">
            <v>No Register</v>
          </cell>
          <cell r="W728" t="str">
            <v>GT - ME</v>
          </cell>
          <cell r="X728" t="str">
            <v>General Trading - Mechanical
Service Jasa - Mechanical</v>
          </cell>
          <cell r="Y728" t="str">
            <v>Supplier Genset Brand Hartech
Service Genset</v>
          </cell>
        </row>
        <row r="729">
          <cell r="B729" t="str">
            <v>Hartekprima Listrindo, PT</v>
          </cell>
          <cell r="C729" t="str">
            <v>indobase@dnet.net.id</v>
          </cell>
          <cell r="D729" t="str">
            <v>Amelia</v>
          </cell>
          <cell r="E729" t="str">
            <v>021-53167044</v>
          </cell>
          <cell r="F729" t="str">
            <v/>
          </cell>
          <cell r="G729" t="b">
            <v>0</v>
          </cell>
          <cell r="H729" t="b">
            <v>0</v>
          </cell>
          <cell r="I729" t="b">
            <v>0</v>
          </cell>
          <cell r="J729" t="b">
            <v>0</v>
          </cell>
          <cell r="K729" t="b">
            <v>0</v>
          </cell>
          <cell r="L729" t="b">
            <v>0</v>
          </cell>
          <cell r="M729" t="b">
            <v>0</v>
          </cell>
          <cell r="N729" t="b">
            <v>0</v>
          </cell>
          <cell r="O729" t="b">
            <v>0</v>
          </cell>
          <cell r="P729" t="b">
            <v>0</v>
          </cell>
          <cell r="Q729" t="b">
            <v>0</v>
          </cell>
          <cell r="R729" t="b">
            <v>1</v>
          </cell>
          <cell r="S729" t="b">
            <v>1</v>
          </cell>
          <cell r="T729" t="b">
            <v>0</v>
          </cell>
          <cell r="U729" t="str">
            <v>NA</v>
          </cell>
          <cell r="V729" t="str">
            <v>No Register</v>
          </cell>
          <cell r="W729" t="str">
            <v/>
          </cell>
          <cell r="X729" t="str">
            <v>General Trading - HSE</v>
          </cell>
          <cell r="Y729" t="str">
            <v>Supply isi ulang gas</v>
          </cell>
        </row>
        <row r="730">
          <cell r="B730" t="str">
            <v>Indo Base Harapan, PT</v>
          </cell>
          <cell r="C730" t="str">
            <v>sales@indomultimeter.com</v>
          </cell>
          <cell r="D730" t="str">
            <v>Tia Puspita Sari</v>
          </cell>
          <cell r="E730" t="str">
            <v/>
          </cell>
          <cell r="F730" t="str">
            <v/>
          </cell>
          <cell r="G730" t="b">
            <v>0</v>
          </cell>
          <cell r="H730" t="b">
            <v>0</v>
          </cell>
          <cell r="I730" t="b">
            <v>0</v>
          </cell>
          <cell r="J730" t="b">
            <v>0</v>
          </cell>
          <cell r="K730" t="b">
            <v>0</v>
          </cell>
          <cell r="L730" t="b">
            <v>0</v>
          </cell>
          <cell r="M730" t="b">
            <v>0</v>
          </cell>
          <cell r="N730" t="b">
            <v>0</v>
          </cell>
          <cell r="O730" t="b">
            <v>0</v>
          </cell>
          <cell r="P730" t="b">
            <v>0</v>
          </cell>
          <cell r="Q730" t="b">
            <v>0</v>
          </cell>
          <cell r="R730" t="b">
            <v>0</v>
          </cell>
          <cell r="S730" t="b">
            <v>1</v>
          </cell>
          <cell r="T730" t="b">
            <v>0</v>
          </cell>
          <cell r="U730" t="str">
            <v>NA</v>
          </cell>
          <cell r="V730" t="str">
            <v>No Register</v>
          </cell>
          <cell r="W730" t="str">
            <v>GT - IC</v>
          </cell>
          <cell r="X730" t="str">
            <v>General Trading - Instrument</v>
          </cell>
          <cell r="Y730" t="str">
            <v>Instrumentation</v>
          </cell>
        </row>
        <row r="731">
          <cell r="B731" t="str">
            <v>Indomultimeter Test Instruments, PT</v>
          </cell>
          <cell r="C731" t="str">
            <v>ivan@inara.co.id</v>
          </cell>
          <cell r="D731" t="str">
            <v>S. Ivan Tambunan</v>
          </cell>
          <cell r="E731" t="str">
            <v>0812-8358-5766</v>
          </cell>
          <cell r="F731" t="str">
            <v/>
          </cell>
          <cell r="G731" t="b">
            <v>1</v>
          </cell>
          <cell r="H731" t="b">
            <v>0</v>
          </cell>
          <cell r="I731" t="b">
            <v>0</v>
          </cell>
          <cell r="J731" t="b">
            <v>0</v>
          </cell>
          <cell r="K731" t="b">
            <v>0</v>
          </cell>
          <cell r="L731" t="b">
            <v>0</v>
          </cell>
          <cell r="M731" t="b">
            <v>0</v>
          </cell>
          <cell r="N731" t="b">
            <v>0</v>
          </cell>
          <cell r="O731" t="b">
            <v>0</v>
          </cell>
          <cell r="P731" t="b">
            <v>0</v>
          </cell>
          <cell r="Q731" t="b">
            <v>0</v>
          </cell>
          <cell r="R731" t="b">
            <v>0</v>
          </cell>
          <cell r="S731" t="b">
            <v>0</v>
          </cell>
          <cell r="T731" t="b">
            <v>0</v>
          </cell>
          <cell r="U731" t="str">
            <v>NA</v>
          </cell>
          <cell r="V731" t="str">
            <v>No Register</v>
          </cell>
          <cell r="W731" t="str">
            <v/>
          </cell>
          <cell r="Y731" t="str">
            <v>Mechanical</v>
          </cell>
        </row>
        <row r="732">
          <cell r="B732" t="str">
            <v>Indoparta Nusantara, PT</v>
          </cell>
          <cell r="C732" t="str">
            <v>bagusrwibowo68@gmail.com; intanglobalsinergi@gmail.com</v>
          </cell>
          <cell r="D732" t="str">
            <v>Fudomas Istiqo Riyan</v>
          </cell>
          <cell r="E732" t="str">
            <v>081252606958</v>
          </cell>
          <cell r="F732" t="str">
            <v/>
          </cell>
          <cell r="G732" t="b">
            <v>0</v>
          </cell>
          <cell r="H732" t="b">
            <v>0</v>
          </cell>
          <cell r="I732" t="b">
            <v>0</v>
          </cell>
          <cell r="J732" t="b">
            <v>0</v>
          </cell>
          <cell r="K732" t="b">
            <v>0</v>
          </cell>
          <cell r="L732" t="b">
            <v>0</v>
          </cell>
          <cell r="M732" t="b">
            <v>0</v>
          </cell>
          <cell r="N732" t="b">
            <v>0</v>
          </cell>
          <cell r="O732" t="b">
            <v>0</v>
          </cell>
          <cell r="P732" t="b">
            <v>0</v>
          </cell>
          <cell r="Q732" t="b">
            <v>0</v>
          </cell>
          <cell r="R732" t="b">
            <v>0</v>
          </cell>
          <cell r="S732" t="b">
            <v>0</v>
          </cell>
          <cell r="T732" t="b">
            <v>0</v>
          </cell>
          <cell r="U732" t="str">
            <v>NA</v>
          </cell>
          <cell r="V732" t="str">
            <v>No Register</v>
          </cell>
          <cell r="W732" t="str">
            <v/>
          </cell>
          <cell r="Y732" t="str">
            <v/>
          </cell>
        </row>
        <row r="733">
          <cell r="B733" t="str">
            <v>Intan Global Sinergi, PT</v>
          </cell>
          <cell r="C733" t="str">
            <v>darmawan.samiaji@intertek.com; dyah.pawestri@intertek.com</v>
          </cell>
          <cell r="D733" t="str">
            <v>Darmawan</v>
          </cell>
          <cell r="E733" t="str">
            <v>08176783644</v>
          </cell>
          <cell r="F733" t="str">
            <v/>
          </cell>
          <cell r="G733" t="b">
            <v>0</v>
          </cell>
          <cell r="H733" t="b">
            <v>0</v>
          </cell>
          <cell r="I733" t="b">
            <v>0</v>
          </cell>
          <cell r="J733" t="b">
            <v>0</v>
          </cell>
          <cell r="K733" t="b">
            <v>0</v>
          </cell>
          <cell r="L733" t="b">
            <v>0</v>
          </cell>
          <cell r="M733" t="b">
            <v>0</v>
          </cell>
          <cell r="N733" t="b">
            <v>0</v>
          </cell>
          <cell r="O733" t="b">
            <v>0</v>
          </cell>
          <cell r="P733" t="b">
            <v>0</v>
          </cell>
          <cell r="Q733" t="b">
            <v>0</v>
          </cell>
          <cell r="R733" t="b">
            <v>0</v>
          </cell>
          <cell r="S733" t="b">
            <v>0</v>
          </cell>
          <cell r="T733" t="b">
            <v>0</v>
          </cell>
          <cell r="U733" t="str">
            <v>A</v>
          </cell>
          <cell r="V733" t="str">
            <v>No Register</v>
          </cell>
          <cell r="W733" t="str">
            <v>PR - CS</v>
          </cell>
          <cell r="X733" t="str">
            <v>Professional Services - Consulting</v>
          </cell>
          <cell r="Y733" t="str">
            <v/>
          </cell>
        </row>
        <row r="734">
          <cell r="B734" t="str">
            <v>Intertek Utama Services, PT</v>
          </cell>
          <cell r="C734" t="str">
            <v>contact@intilab.com; sales@intilab.com; sales02@intilab.com</v>
          </cell>
          <cell r="D734" t="str">
            <v>Nova</v>
          </cell>
          <cell r="E734" t="str">
            <v>082281286286</v>
          </cell>
          <cell r="F734" t="str">
            <v/>
          </cell>
          <cell r="G734" t="b">
            <v>0</v>
          </cell>
          <cell r="H734" t="b">
            <v>0</v>
          </cell>
          <cell r="I734" t="b">
            <v>0</v>
          </cell>
          <cell r="J734" t="b">
            <v>0</v>
          </cell>
          <cell r="K734" t="b">
            <v>0</v>
          </cell>
          <cell r="L734" t="b">
            <v>0</v>
          </cell>
          <cell r="M734" t="b">
            <v>0</v>
          </cell>
          <cell r="N734" t="b">
            <v>0</v>
          </cell>
          <cell r="O734" t="b">
            <v>1</v>
          </cell>
          <cell r="P734" t="b">
            <v>0</v>
          </cell>
          <cell r="Q734" t="b">
            <v>0</v>
          </cell>
          <cell r="R734" t="b">
            <v>0</v>
          </cell>
          <cell r="S734" t="b">
            <v>0</v>
          </cell>
          <cell r="T734" t="b">
            <v>0</v>
          </cell>
          <cell r="U734" t="str">
            <v>A</v>
          </cell>
          <cell r="V734" t="str">
            <v>No Register</v>
          </cell>
          <cell r="W734" t="str">
            <v>ENV - IM</v>
          </cell>
          <cell r="X734" t="str">
            <v>Environment &amp; Compliance - Environmental Impact Monitoring</v>
          </cell>
          <cell r="Y734" t="str">
            <v>Lab Service</v>
          </cell>
        </row>
        <row r="735">
          <cell r="B735" t="str">
            <v>Inti Surya Laboratorium, PT</v>
          </cell>
          <cell r="C735" t="str">
            <v>sales@joelcods.com; steven@joelcods.com</v>
          </cell>
          <cell r="D735" t="str">
            <v>Irawan Joe</v>
          </cell>
          <cell r="E735" t="str">
            <v>08118480771</v>
          </cell>
          <cell r="F735" t="str">
            <v/>
          </cell>
          <cell r="G735" t="b">
            <v>0</v>
          </cell>
          <cell r="H735" t="b">
            <v>0</v>
          </cell>
          <cell r="I735" t="b">
            <v>1</v>
          </cell>
          <cell r="J735" t="b">
            <v>0</v>
          </cell>
          <cell r="K735" t="b">
            <v>0</v>
          </cell>
          <cell r="L735" t="b">
            <v>0</v>
          </cell>
          <cell r="M735" t="b">
            <v>0</v>
          </cell>
          <cell r="N735" t="b">
            <v>0</v>
          </cell>
          <cell r="O735" t="b">
            <v>0</v>
          </cell>
          <cell r="P735" t="b">
            <v>0</v>
          </cell>
          <cell r="Q735" t="b">
            <v>0</v>
          </cell>
          <cell r="R735" t="b">
            <v>0</v>
          </cell>
          <cell r="S735" t="b">
            <v>0</v>
          </cell>
          <cell r="T735" t="b">
            <v>0</v>
          </cell>
          <cell r="U735" t="str">
            <v>A</v>
          </cell>
          <cell r="V735" t="str">
            <v>No Register</v>
          </cell>
          <cell r="W735" t="str">
            <v/>
          </cell>
          <cell r="Y735" t="str">
            <v/>
          </cell>
        </row>
        <row r="736">
          <cell r="B736" t="str">
            <v>Joelco Dunamos Solusindo, PT</v>
          </cell>
          <cell r="C736" t="str">
            <v>sales@kabelindo.co.id; bayusekha@kabelindo.co.id</v>
          </cell>
          <cell r="D736" t="str">
            <v xml:space="preserve">Bayu Sekha </v>
          </cell>
          <cell r="E736" t="str">
            <v xml:space="preserve">P : +62 21 460 9065 / 460 9550 ext 220 I  F : +62 21 460 9064 / 460 4271  </v>
          </cell>
          <cell r="F736" t="str">
            <v/>
          </cell>
          <cell r="G736" t="b">
            <v>0</v>
          </cell>
          <cell r="H736" t="b">
            <v>1</v>
          </cell>
          <cell r="I736" t="b">
            <v>0</v>
          </cell>
          <cell r="J736" t="b">
            <v>0</v>
          </cell>
          <cell r="K736" t="b">
            <v>0</v>
          </cell>
          <cell r="L736" t="b">
            <v>0</v>
          </cell>
          <cell r="M736" t="b">
            <v>0</v>
          </cell>
          <cell r="N736" t="b">
            <v>0</v>
          </cell>
          <cell r="O736" t="b">
            <v>0</v>
          </cell>
          <cell r="P736" t="b">
            <v>0</v>
          </cell>
          <cell r="Q736" t="b">
            <v>0</v>
          </cell>
          <cell r="R736" t="b">
            <v>0</v>
          </cell>
          <cell r="S736" t="b">
            <v>0</v>
          </cell>
          <cell r="T736" t="b">
            <v>0</v>
          </cell>
          <cell r="U736" t="str">
            <v>NA</v>
          </cell>
          <cell r="V736" t="str">
            <v>No Register</v>
          </cell>
          <cell r="W736" t="str">
            <v/>
          </cell>
          <cell r="Y736" t="str">
            <v>Electrical</v>
          </cell>
        </row>
        <row r="737">
          <cell r="B737" t="str">
            <v>Kabelindo, PT</v>
          </cell>
          <cell r="C737" t="str">
            <v>info.kaliman@yahoo.co.id</v>
          </cell>
          <cell r="D737" t="str">
            <v>A. Fuad Kamil</v>
          </cell>
          <cell r="E737" t="str">
            <v>Tlp          : 021 – 5577 4155
Fax         : 021 – 5575 5584 
Mobile   : 0811.1521.032 ( WA )</v>
          </cell>
          <cell r="F737" t="str">
            <v/>
          </cell>
          <cell r="G737" t="b">
            <v>0</v>
          </cell>
          <cell r="H737" t="b">
            <v>0</v>
          </cell>
          <cell r="I737" t="b">
            <v>0</v>
          </cell>
          <cell r="J737" t="b">
            <v>0</v>
          </cell>
          <cell r="K737" t="b">
            <v>0</v>
          </cell>
          <cell r="L737" t="b">
            <v>0</v>
          </cell>
          <cell r="M737" t="b">
            <v>0</v>
          </cell>
          <cell r="N737" t="b">
            <v>0</v>
          </cell>
          <cell r="O737" t="b">
            <v>0</v>
          </cell>
          <cell r="P737" t="b">
            <v>0</v>
          </cell>
          <cell r="Q737" t="b">
            <v>0</v>
          </cell>
          <cell r="R737" t="b">
            <v>0</v>
          </cell>
          <cell r="S737" t="b">
            <v>0</v>
          </cell>
          <cell r="T737" t="b">
            <v>0</v>
          </cell>
          <cell r="U737" t="str">
            <v>NA</v>
          </cell>
          <cell r="V737" t="str">
            <v>No Register</v>
          </cell>
          <cell r="W737" t="str">
            <v/>
          </cell>
          <cell r="Y737" t="str">
            <v/>
          </cell>
        </row>
        <row r="738">
          <cell r="B738" t="str">
            <v>Kaliman, PT</v>
          </cell>
          <cell r="C738" t="str">
            <v>ptkalmersm@gmail.com</v>
          </cell>
          <cell r="D738" t="str">
            <v>Sardly</v>
          </cell>
          <cell r="E738" t="str">
            <v>081282094772</v>
          </cell>
          <cell r="F738" t="str">
            <v/>
          </cell>
          <cell r="G738" t="b">
            <v>0</v>
          </cell>
          <cell r="H738" t="b">
            <v>1</v>
          </cell>
          <cell r="I738" t="b">
            <v>0</v>
          </cell>
          <cell r="J738" t="b">
            <v>0</v>
          </cell>
          <cell r="K738" t="b">
            <v>0</v>
          </cell>
          <cell r="L738" t="b">
            <v>0</v>
          </cell>
          <cell r="M738" t="b">
            <v>0</v>
          </cell>
          <cell r="N738" t="b">
            <v>1</v>
          </cell>
          <cell r="O738" t="b">
            <v>0</v>
          </cell>
          <cell r="P738" t="b">
            <v>0</v>
          </cell>
          <cell r="Q738" t="b">
            <v>0</v>
          </cell>
          <cell r="R738" t="b">
            <v>0</v>
          </cell>
          <cell r="S738" t="b">
            <v>0</v>
          </cell>
          <cell r="T738" t="b">
            <v>0</v>
          </cell>
          <cell r="U738" t="str">
            <v>A</v>
          </cell>
          <cell r="V738" t="str">
            <v>No Register</v>
          </cell>
          <cell r="W738" t="str">
            <v/>
          </cell>
          <cell r="Y738" t="str">
            <v>Service</v>
          </cell>
        </row>
        <row r="739">
          <cell r="B739" t="str">
            <v>Kalmer Siloam Mahakam, PT</v>
          </cell>
          <cell r="C739" t="str">
            <v>support@kalsatriapsara.com; nurjayadi@kalsatriapsara.com</v>
          </cell>
          <cell r="D739" t="str">
            <v>Warja Wira</v>
          </cell>
          <cell r="E739" t="str">
            <v>Phone   : (021) 8494 1148
Fax        : (021) 8494 1148</v>
          </cell>
          <cell r="F739" t="str">
            <v/>
          </cell>
          <cell r="G739" t="b">
            <v>0</v>
          </cell>
          <cell r="H739" t="b">
            <v>0</v>
          </cell>
          <cell r="I739" t="b">
            <v>0</v>
          </cell>
          <cell r="J739" t="b">
            <v>0</v>
          </cell>
          <cell r="K739" t="b">
            <v>0</v>
          </cell>
          <cell r="L739" t="b">
            <v>0</v>
          </cell>
          <cell r="M739" t="b">
            <v>0</v>
          </cell>
          <cell r="N739" t="b">
            <v>0</v>
          </cell>
          <cell r="O739" t="b">
            <v>0</v>
          </cell>
          <cell r="P739" t="b">
            <v>0</v>
          </cell>
          <cell r="Q739" t="b">
            <v>0</v>
          </cell>
          <cell r="R739" t="b">
            <v>0</v>
          </cell>
          <cell r="S739" t="b">
            <v>0</v>
          </cell>
          <cell r="T739" t="b">
            <v>0</v>
          </cell>
          <cell r="U739" t="str">
            <v>NA</v>
          </cell>
          <cell r="V739" t="str">
            <v>No Register</v>
          </cell>
          <cell r="W739" t="str">
            <v/>
          </cell>
          <cell r="Y739" t="str">
            <v/>
          </cell>
        </row>
        <row r="740">
          <cell r="B740" t="str">
            <v>Kalsa Triapsara Utama, PT</v>
          </cell>
          <cell r="C740" t="str">
            <v>info@karyabersatulestari.co.id</v>
          </cell>
          <cell r="D740" t="str">
            <v>Tri Adi Prasetyo</v>
          </cell>
          <cell r="E740" t="str">
            <v xml:space="preserve">T +62 21 42900251 - 52 
F +62 21 42900250 </v>
          </cell>
          <cell r="F740" t="str">
            <v/>
          </cell>
          <cell r="G740" t="b">
            <v>0</v>
          </cell>
          <cell r="H740" t="b">
            <v>0</v>
          </cell>
          <cell r="I740" t="b">
            <v>0</v>
          </cell>
          <cell r="J740" t="b">
            <v>0</v>
          </cell>
          <cell r="K740" t="b">
            <v>0</v>
          </cell>
          <cell r="L740" t="b">
            <v>0</v>
          </cell>
          <cell r="M740" t="b">
            <v>0</v>
          </cell>
          <cell r="N740" t="b">
            <v>0</v>
          </cell>
          <cell r="O740" t="b">
            <v>0</v>
          </cell>
          <cell r="P740" t="b">
            <v>0</v>
          </cell>
          <cell r="Q740" t="b">
            <v>0</v>
          </cell>
          <cell r="R740" t="b">
            <v>0</v>
          </cell>
          <cell r="S740" t="b">
            <v>0</v>
          </cell>
          <cell r="T740" t="b">
            <v>0</v>
          </cell>
          <cell r="U740" t="str">
            <v>NA</v>
          </cell>
          <cell r="V740" t="str">
            <v>No Register</v>
          </cell>
          <cell r="W740" t="str">
            <v/>
          </cell>
          <cell r="Y740" t="str">
            <v/>
          </cell>
        </row>
        <row r="741">
          <cell r="B741" t="str">
            <v>Karya Bersatu Lestari, PT</v>
          </cell>
          <cell r="C741" t="str">
            <v>kesawasupreme1@gmail.com</v>
          </cell>
          <cell r="D741" t="str">
            <v>Ir. Ketut S Astawa, MSc</v>
          </cell>
          <cell r="E741" t="str">
            <v>0811-361-617, 0817 004 0711, 0877 6549 0749 (WA)</v>
          </cell>
          <cell r="F741" t="str">
            <v/>
          </cell>
          <cell r="G741" t="b">
            <v>0</v>
          </cell>
          <cell r="H741" t="b">
            <v>0</v>
          </cell>
          <cell r="I741" t="b">
            <v>0</v>
          </cell>
          <cell r="J741" t="b">
            <v>0</v>
          </cell>
          <cell r="K741" t="b">
            <v>0</v>
          </cell>
          <cell r="L741" t="b">
            <v>0</v>
          </cell>
          <cell r="M741" t="b">
            <v>0</v>
          </cell>
          <cell r="N741" t="b">
            <v>0</v>
          </cell>
          <cell r="O741" t="b">
            <v>0</v>
          </cell>
          <cell r="P741" t="b">
            <v>0</v>
          </cell>
          <cell r="Q741" t="b">
            <v>0</v>
          </cell>
          <cell r="R741" t="b">
            <v>0</v>
          </cell>
          <cell r="S741" t="b">
            <v>0</v>
          </cell>
          <cell r="T741" t="b">
            <v>0</v>
          </cell>
          <cell r="U741" t="str">
            <v>NA</v>
          </cell>
          <cell r="V741" t="str">
            <v>No Register</v>
          </cell>
          <cell r="W741" t="str">
            <v/>
          </cell>
          <cell r="Y741" t="str">
            <v/>
          </cell>
        </row>
        <row r="742">
          <cell r="B742" t="str">
            <v>Kesawa Citra Integra , PT</v>
          </cell>
          <cell r="C742" t="str">
            <v>endah@kum.co.id; sales@kum.co.id</v>
          </cell>
          <cell r="D742" t="str">
            <v>Endah (Ms)</v>
          </cell>
          <cell r="E742" t="str">
            <v>Phone (Call) : 021-30339015 / 021-30339017 / 021-29380767
Hotline Sales (Call/WA) : +62-897-123-3000 / 0899-897-3000 / 0895-1568-3000 / 0852-1925-3000
Hotline Adm &amp; Finance (Call/WA) : +62-897-200-3000 / 0815-3222-3000 / 0898-628-3000
Hotline Technical(Call/WA) : 0898-170-3000 /  0896-8667-3000</v>
          </cell>
          <cell r="F742" t="str">
            <v/>
          </cell>
          <cell r="G742" t="b">
            <v>0</v>
          </cell>
          <cell r="H742" t="b">
            <v>0</v>
          </cell>
          <cell r="I742" t="b">
            <v>0</v>
          </cell>
          <cell r="J742" t="b">
            <v>0</v>
          </cell>
          <cell r="K742" t="b">
            <v>0</v>
          </cell>
          <cell r="L742" t="b">
            <v>0</v>
          </cell>
          <cell r="M742" t="b">
            <v>0</v>
          </cell>
          <cell r="N742" t="b">
            <v>0</v>
          </cell>
          <cell r="O742" t="b">
            <v>0</v>
          </cell>
          <cell r="P742" t="b">
            <v>0</v>
          </cell>
          <cell r="Q742" t="b">
            <v>0</v>
          </cell>
          <cell r="R742" t="b">
            <v>0</v>
          </cell>
          <cell r="S742" t="b">
            <v>0</v>
          </cell>
          <cell r="T742" t="b">
            <v>0</v>
          </cell>
          <cell r="U742" t="str">
            <v>NA</v>
          </cell>
          <cell r="V742" t="str">
            <v>No Register</v>
          </cell>
          <cell r="W742" t="str">
            <v/>
          </cell>
          <cell r="Y742" t="str">
            <v/>
          </cell>
        </row>
        <row r="743">
          <cell r="B743" t="str">
            <v>Kreasi Utama Mandiri, PT</v>
          </cell>
          <cell r="C743" t="str">
            <v>cso6@kurniasafety.com; cso3@kurniasafety.com; dihya@kurniasafety.com; dihya@kurniasafety.com</v>
          </cell>
          <cell r="D743" t="str">
            <v>Litta</v>
          </cell>
          <cell r="E743" t="str">
            <v xml:space="preserve">Phone  : +62-542 8519 888 | Fax : +62-21 658 38 222 </v>
          </cell>
          <cell r="F743" t="str">
            <v/>
          </cell>
          <cell r="G743" t="b">
            <v>0</v>
          </cell>
          <cell r="H743" t="b">
            <v>0</v>
          </cell>
          <cell r="I743" t="b">
            <v>0</v>
          </cell>
          <cell r="J743" t="b">
            <v>0</v>
          </cell>
          <cell r="K743" t="b">
            <v>0</v>
          </cell>
          <cell r="L743" t="b">
            <v>0</v>
          </cell>
          <cell r="M743" t="b">
            <v>1</v>
          </cell>
          <cell r="N743" t="b">
            <v>0</v>
          </cell>
          <cell r="O743" t="b">
            <v>0</v>
          </cell>
          <cell r="P743" t="b">
            <v>0</v>
          </cell>
          <cell r="Q743" t="b">
            <v>0</v>
          </cell>
          <cell r="R743" t="b">
            <v>1</v>
          </cell>
          <cell r="S743" t="b">
            <v>1</v>
          </cell>
          <cell r="T743" t="b">
            <v>0</v>
          </cell>
          <cell r="U743" t="str">
            <v>NA</v>
          </cell>
          <cell r="V743" t="str">
            <v>No Register</v>
          </cell>
          <cell r="W743" t="str">
            <v/>
          </cell>
          <cell r="X743" t="str">
            <v>General Trading - HSE</v>
          </cell>
          <cell r="Y743" t="str">
            <v>Safety</v>
          </cell>
        </row>
        <row r="744">
          <cell r="B744" t="str">
            <v>Kurnia Safety Supplies, PT</v>
          </cell>
          <cell r="C744" t="str">
            <v>yuni@libratama.com; info@libratama.com; yandiekob@gmail.com; tulodo@libratama.com</v>
          </cell>
          <cell r="D744" t="str">
            <v xml:space="preserve">Rony Irawan </v>
          </cell>
          <cell r="E744" t="str">
            <v>Ph: +62-24-7601234</v>
          </cell>
          <cell r="F744" t="str">
            <v/>
          </cell>
          <cell r="G744" t="b">
            <v>0</v>
          </cell>
          <cell r="H744" t="b">
            <v>1</v>
          </cell>
          <cell r="I744" t="b">
            <v>0</v>
          </cell>
          <cell r="J744" t="b">
            <v>0</v>
          </cell>
          <cell r="K744" t="b">
            <v>0</v>
          </cell>
          <cell r="L744" t="b">
            <v>0</v>
          </cell>
          <cell r="M744" t="b">
            <v>0</v>
          </cell>
          <cell r="N744" t="b">
            <v>0</v>
          </cell>
          <cell r="O744" t="b">
            <v>0</v>
          </cell>
          <cell r="P744" t="b">
            <v>0</v>
          </cell>
          <cell r="Q744" t="b">
            <v>0</v>
          </cell>
          <cell r="R744" t="b">
            <v>0</v>
          </cell>
          <cell r="S744" t="b">
            <v>0</v>
          </cell>
          <cell r="T744" t="b">
            <v>0</v>
          </cell>
          <cell r="U744" t="str">
            <v>NA</v>
          </cell>
          <cell r="V744" t="str">
            <v>No Register</v>
          </cell>
          <cell r="W744" t="str">
            <v/>
          </cell>
          <cell r="Y744" t="str">
            <v>Service</v>
          </cell>
        </row>
        <row r="745">
          <cell r="B745" t="str">
            <v>Libratama, PT</v>
          </cell>
          <cell r="C745" t="str">
            <v>admin@lifecycleindonesia.com</v>
          </cell>
          <cell r="D745" t="str">
            <v>David</v>
          </cell>
          <cell r="E745" t="str">
            <v>08999000055</v>
          </cell>
          <cell r="F745" t="str">
            <v/>
          </cell>
          <cell r="G745" t="b">
            <v>0</v>
          </cell>
          <cell r="H745" t="b">
            <v>0</v>
          </cell>
          <cell r="I745" t="b">
            <v>0</v>
          </cell>
          <cell r="J745" t="b">
            <v>0</v>
          </cell>
          <cell r="K745" t="b">
            <v>1</v>
          </cell>
          <cell r="L745" t="b">
            <v>0</v>
          </cell>
          <cell r="M745" t="b">
            <v>0</v>
          </cell>
          <cell r="N745" t="b">
            <v>0</v>
          </cell>
          <cell r="O745" t="b">
            <v>1</v>
          </cell>
          <cell r="P745" t="b">
            <v>0</v>
          </cell>
          <cell r="Q745" t="b">
            <v>0</v>
          </cell>
          <cell r="R745" t="b">
            <v>0</v>
          </cell>
          <cell r="S745" t="b">
            <v>0</v>
          </cell>
          <cell r="T745" t="b">
            <v>0</v>
          </cell>
          <cell r="U745" t="str">
            <v>A</v>
          </cell>
          <cell r="V745" t="str">
            <v>No Register</v>
          </cell>
          <cell r="W745" t="str">
            <v/>
          </cell>
          <cell r="Y745" t="str">
            <v>Lab Service</v>
          </cell>
        </row>
        <row r="746">
          <cell r="B746" t="str">
            <v>Life Cycle Indonesia, PT</v>
          </cell>
          <cell r="C746" t="str">
            <v>sales@limamakmurjaya.co.id; kaltim@limamakmurjaya.co.id</v>
          </cell>
          <cell r="D746" t="str">
            <v>David</v>
          </cell>
          <cell r="E746" t="str">
            <v>081256888181; 081313515128</v>
          </cell>
          <cell r="F746" t="str">
            <v/>
          </cell>
          <cell r="G746" t="b">
            <v>0</v>
          </cell>
          <cell r="H746" t="b">
            <v>0</v>
          </cell>
          <cell r="I746" t="b">
            <v>0</v>
          </cell>
          <cell r="J746" t="b">
            <v>0</v>
          </cell>
          <cell r="K746" t="b">
            <v>0</v>
          </cell>
          <cell r="L746" t="b">
            <v>0</v>
          </cell>
          <cell r="M746" t="b">
            <v>0</v>
          </cell>
          <cell r="N746" t="b">
            <v>0</v>
          </cell>
          <cell r="O746" t="b">
            <v>0</v>
          </cell>
          <cell r="P746" t="b">
            <v>0</v>
          </cell>
          <cell r="Q746" t="b">
            <v>0</v>
          </cell>
          <cell r="R746" t="b">
            <v>0</v>
          </cell>
          <cell r="S746" t="b">
            <v>1</v>
          </cell>
          <cell r="T746" t="b">
            <v>0</v>
          </cell>
          <cell r="U746" t="str">
            <v>A</v>
          </cell>
          <cell r="V746" t="str">
            <v>No Register</v>
          </cell>
          <cell r="W746" t="str">
            <v>GT</v>
          </cell>
          <cell r="X746" t="str">
            <v>General Trading</v>
          </cell>
          <cell r="Y746" t="str">
            <v/>
          </cell>
        </row>
        <row r="747">
          <cell r="B747" t="str">
            <v>Lima Makmur Jaya, PT</v>
          </cell>
          <cell r="C747" t="str">
            <v>andi.hermawan@mdsolusi.com</v>
          </cell>
          <cell r="D747" t="str">
            <v>Andi Hermawan</v>
          </cell>
          <cell r="E747" t="str">
            <v xml:space="preserve">Telp: 021 - 27936139 Fax: 021 - 27936209 </v>
          </cell>
          <cell r="F747" t="str">
            <v/>
          </cell>
          <cell r="G747" t="b">
            <v>0</v>
          </cell>
          <cell r="H747" t="b">
            <v>0</v>
          </cell>
          <cell r="I747" t="b">
            <v>0</v>
          </cell>
          <cell r="J747" t="b">
            <v>0</v>
          </cell>
          <cell r="K747" t="b">
            <v>0</v>
          </cell>
          <cell r="L747" t="b">
            <v>0</v>
          </cell>
          <cell r="M747" t="b">
            <v>0</v>
          </cell>
          <cell r="N747" t="b">
            <v>0</v>
          </cell>
          <cell r="O747" t="b">
            <v>0</v>
          </cell>
          <cell r="P747" t="b">
            <v>0</v>
          </cell>
          <cell r="Q747" t="b">
            <v>0</v>
          </cell>
          <cell r="R747" t="b">
            <v>0</v>
          </cell>
          <cell r="S747" t="b">
            <v>0</v>
          </cell>
          <cell r="T747" t="b">
            <v>0</v>
          </cell>
          <cell r="U747" t="str">
            <v>NA</v>
          </cell>
          <cell r="V747" t="str">
            <v>No Register</v>
          </cell>
          <cell r="W747" t="str">
            <v/>
          </cell>
          <cell r="Y747" t="str">
            <v/>
          </cell>
        </row>
        <row r="748">
          <cell r="B748" t="str">
            <v>Maha Data Solusi, PT</v>
          </cell>
          <cell r="C748" t="str">
            <v>sales@majasakti.com; ferizky@majasakti.com; d.widi@outlook.com; yusep.biantoro@ptmma.co.id</v>
          </cell>
          <cell r="D748" t="str">
            <v>Ferizky Vembrie</v>
          </cell>
          <cell r="E748" t="str">
            <v>Phone: 031-9905-8989  Mobile: 0822-3668-8589</v>
          </cell>
          <cell r="F748" t="str">
            <v/>
          </cell>
          <cell r="G748" t="b">
            <v>0</v>
          </cell>
          <cell r="H748" t="b">
            <v>0</v>
          </cell>
          <cell r="I748" t="b">
            <v>0</v>
          </cell>
          <cell r="J748" t="b">
            <v>0</v>
          </cell>
          <cell r="K748" t="b">
            <v>0</v>
          </cell>
          <cell r="L748" t="b">
            <v>0</v>
          </cell>
          <cell r="M748" t="b">
            <v>0</v>
          </cell>
          <cell r="N748" t="b">
            <v>0</v>
          </cell>
          <cell r="O748" t="b">
            <v>0</v>
          </cell>
          <cell r="P748" t="b">
            <v>0</v>
          </cell>
          <cell r="Q748" t="b">
            <v>0</v>
          </cell>
          <cell r="R748" t="b">
            <v>0</v>
          </cell>
          <cell r="S748" t="b">
            <v>0</v>
          </cell>
          <cell r="T748" t="b">
            <v>0</v>
          </cell>
          <cell r="U748" t="str">
            <v>A</v>
          </cell>
          <cell r="V748" t="str">
            <v>No Register</v>
          </cell>
          <cell r="W748" t="str">
            <v/>
          </cell>
          <cell r="Y748" t="str">
            <v/>
          </cell>
        </row>
        <row r="749">
          <cell r="B749" t="str">
            <v>Majasakti Teknik, PT</v>
          </cell>
          <cell r="C749" t="str">
            <v>info@industryshop.id</v>
          </cell>
          <cell r="D749" t="str">
            <v>Erna</v>
          </cell>
          <cell r="E749" t="str">
            <v xml:space="preserve"> 0812-2883-9907</v>
          </cell>
          <cell r="F749" t="str">
            <v/>
          </cell>
          <cell r="G749" t="b">
            <v>0</v>
          </cell>
          <cell r="H749" t="b">
            <v>0</v>
          </cell>
          <cell r="I749" t="b">
            <v>0</v>
          </cell>
          <cell r="J749" t="b">
            <v>0</v>
          </cell>
          <cell r="K749" t="b">
            <v>0</v>
          </cell>
          <cell r="L749" t="b">
            <v>0</v>
          </cell>
          <cell r="M749" t="b">
            <v>0</v>
          </cell>
          <cell r="N749" t="b">
            <v>0</v>
          </cell>
          <cell r="O749" t="b">
            <v>0</v>
          </cell>
          <cell r="P749" t="b">
            <v>0</v>
          </cell>
          <cell r="Q749" t="b">
            <v>0</v>
          </cell>
          <cell r="R749" t="b">
            <v>0</v>
          </cell>
          <cell r="S749" t="b">
            <v>0</v>
          </cell>
          <cell r="T749" t="b">
            <v>0</v>
          </cell>
          <cell r="U749" t="str">
            <v>NA</v>
          </cell>
          <cell r="V749" t="str">
            <v>No Register</v>
          </cell>
          <cell r="W749" t="str">
            <v/>
          </cell>
          <cell r="Y749" t="str">
            <v/>
          </cell>
        </row>
        <row r="750">
          <cell r="B750" t="str">
            <v>Menara Sinar Agung, CV</v>
          </cell>
          <cell r="C750" t="str">
            <v>cs@misumi.co.id; tech-support.fv@misumi.co.id</v>
          </cell>
          <cell r="D750" t="str">
            <v/>
          </cell>
          <cell r="E750" t="str">
            <v xml:space="preserve">Telephone : 021-29182911 | 021-29182991 | 021-29182997 | 021-29182998 | 021-89840008
Fax: 021-89840007 </v>
          </cell>
          <cell r="F750" t="str">
            <v/>
          </cell>
          <cell r="G750" t="b">
            <v>0</v>
          </cell>
          <cell r="H750" t="b">
            <v>0</v>
          </cell>
          <cell r="I750" t="b">
            <v>0</v>
          </cell>
          <cell r="J750" t="b">
            <v>0</v>
          </cell>
          <cell r="K750" t="b">
            <v>0</v>
          </cell>
          <cell r="L750" t="b">
            <v>0</v>
          </cell>
          <cell r="M750" t="b">
            <v>0</v>
          </cell>
          <cell r="N750" t="b">
            <v>0</v>
          </cell>
          <cell r="O750" t="b">
            <v>0</v>
          </cell>
          <cell r="P750" t="b">
            <v>0</v>
          </cell>
          <cell r="Q750" t="b">
            <v>0</v>
          </cell>
          <cell r="R750" t="b">
            <v>0</v>
          </cell>
          <cell r="S750" t="b">
            <v>0</v>
          </cell>
          <cell r="T750" t="b">
            <v>0</v>
          </cell>
          <cell r="U750" t="str">
            <v>NA</v>
          </cell>
          <cell r="V750" t="str">
            <v>No Register</v>
          </cell>
          <cell r="W750" t="str">
            <v/>
          </cell>
          <cell r="Y750" t="str">
            <v/>
          </cell>
        </row>
        <row r="751">
          <cell r="B751" t="str">
            <v>Misumi Indonesia, PT</v>
          </cell>
          <cell r="C751" t="str">
            <v>abdullah.syarif@mbjaya.com; amin@mbjaya.com; arvin@mbjaya.com</v>
          </cell>
          <cell r="D751" t="str">
            <v>Syarif Abdullah</v>
          </cell>
          <cell r="E751" t="str">
            <v>HP/WA: 0811-1180-1504
P : (021) 2213 5522
F : (021) 2213 5522</v>
          </cell>
          <cell r="F751" t="str">
            <v/>
          </cell>
          <cell r="G751" t="b">
            <v>0</v>
          </cell>
          <cell r="H751" t="b">
            <v>0</v>
          </cell>
          <cell r="I751" t="b">
            <v>0</v>
          </cell>
          <cell r="J751" t="b">
            <v>0</v>
          </cell>
          <cell r="K751" t="b">
            <v>0</v>
          </cell>
          <cell r="L751" t="b">
            <v>0</v>
          </cell>
          <cell r="M751" t="b">
            <v>1</v>
          </cell>
          <cell r="N751" t="b">
            <v>0</v>
          </cell>
          <cell r="O751" t="b">
            <v>0</v>
          </cell>
          <cell r="P751" t="b">
            <v>0</v>
          </cell>
          <cell r="Q751" t="b">
            <v>0</v>
          </cell>
          <cell r="R751" t="b">
            <v>0</v>
          </cell>
          <cell r="S751" t="b">
            <v>1</v>
          </cell>
          <cell r="T751" t="b">
            <v>0</v>
          </cell>
          <cell r="U751" t="str">
            <v>NA</v>
          </cell>
          <cell r="V751" t="str">
            <v>No Register</v>
          </cell>
          <cell r="W751" t="str">
            <v>GT - ME</v>
          </cell>
          <cell r="X751" t="str">
            <v>General Trading - Mechanical</v>
          </cell>
          <cell r="Y751" t="str">
            <v>Conveyor System</v>
          </cell>
        </row>
        <row r="752">
          <cell r="B752" t="str">
            <v>Mitra Beltindo Jaya, PT</v>
          </cell>
          <cell r="C752" t="str">
            <v>jufriandi@mitrakeluargasehat.com; erma.mulia@mitrakeluargasehat.com; maulana@mitrakeluargasehat.com; mitrakeluargasehat@indo.net.id; marketing@mitrakeluargasehat.com</v>
          </cell>
          <cell r="D752" t="str">
            <v xml:space="preserve"> Jufriandi</v>
          </cell>
          <cell r="E752" t="str">
            <v>Telp: 0511-6743945 / 0511 - 6744608
HP:   089665418700 (WA)</v>
          </cell>
          <cell r="F752" t="str">
            <v/>
          </cell>
          <cell r="G752" t="b">
            <v>0</v>
          </cell>
          <cell r="H752" t="b">
            <v>0</v>
          </cell>
          <cell r="I752" t="b">
            <v>0</v>
          </cell>
          <cell r="J752" t="b">
            <v>0</v>
          </cell>
          <cell r="K752" t="b">
            <v>0</v>
          </cell>
          <cell r="L752" t="b">
            <v>0</v>
          </cell>
          <cell r="M752" t="b">
            <v>0</v>
          </cell>
          <cell r="N752" t="b">
            <v>0</v>
          </cell>
          <cell r="O752" t="b">
            <v>0</v>
          </cell>
          <cell r="P752" t="b">
            <v>0</v>
          </cell>
          <cell r="Q752" t="b">
            <v>0</v>
          </cell>
          <cell r="R752" t="b">
            <v>0</v>
          </cell>
          <cell r="S752" t="b">
            <v>0</v>
          </cell>
          <cell r="T752" t="b">
            <v>0</v>
          </cell>
          <cell r="U752" t="str">
            <v>NA</v>
          </cell>
          <cell r="V752" t="str">
            <v>No Register</v>
          </cell>
          <cell r="W752" t="str">
            <v/>
          </cell>
          <cell r="Y752" t="str">
            <v/>
          </cell>
        </row>
        <row r="753">
          <cell r="B753" t="str">
            <v>Mitra Keluarga Sehati, CV</v>
          </cell>
          <cell r="C753" t="str">
            <v>camera.cpsl@gmail.com</v>
          </cell>
          <cell r="D753" t="str">
            <v>Floren</v>
          </cell>
          <cell r="E753" t="str">
            <v>Phone : (+6221) 6399410, 6591243, 6007206</v>
          </cell>
          <cell r="F753" t="str">
            <v/>
          </cell>
          <cell r="G753" t="b">
            <v>0</v>
          </cell>
          <cell r="H753" t="b">
            <v>0</v>
          </cell>
          <cell r="I753" t="b">
            <v>0</v>
          </cell>
          <cell r="J753" t="b">
            <v>0</v>
          </cell>
          <cell r="K753" t="b">
            <v>0</v>
          </cell>
          <cell r="L753" t="b">
            <v>0</v>
          </cell>
          <cell r="M753" t="b">
            <v>0</v>
          </cell>
          <cell r="N753" t="b">
            <v>0</v>
          </cell>
          <cell r="O753" t="b">
            <v>0</v>
          </cell>
          <cell r="P753" t="b">
            <v>0</v>
          </cell>
          <cell r="Q753" t="b">
            <v>0</v>
          </cell>
          <cell r="R753" t="b">
            <v>0</v>
          </cell>
          <cell r="S753" t="b">
            <v>0</v>
          </cell>
          <cell r="T753" t="b">
            <v>0</v>
          </cell>
          <cell r="U753" t="str">
            <v>NA</v>
          </cell>
          <cell r="V753" t="str">
            <v>No Register</v>
          </cell>
          <cell r="W753" t="str">
            <v/>
          </cell>
          <cell r="Y753" t="str">
            <v/>
          </cell>
        </row>
        <row r="754">
          <cell r="B754" t="str">
            <v>Mitra Raharjatama, PT</v>
          </cell>
          <cell r="C754" t="str">
            <v>Sayutirahman90@yahoo.co.id; Sayutir105@gmail.com</v>
          </cell>
          <cell r="D754" t="str">
            <v>Sayuti</v>
          </cell>
          <cell r="E754" t="str">
            <v>085288713576</v>
          </cell>
          <cell r="F754" t="str">
            <v/>
          </cell>
          <cell r="G754" t="b">
            <v>1</v>
          </cell>
          <cell r="H754" t="b">
            <v>0</v>
          </cell>
          <cell r="I754" t="b">
            <v>0</v>
          </cell>
          <cell r="J754" t="b">
            <v>0</v>
          </cell>
          <cell r="K754" t="b">
            <v>0</v>
          </cell>
          <cell r="L754" t="b">
            <v>0</v>
          </cell>
          <cell r="M754" t="b">
            <v>0</v>
          </cell>
          <cell r="N754" t="b">
            <v>1</v>
          </cell>
          <cell r="O754" t="b">
            <v>0</v>
          </cell>
          <cell r="P754" t="b">
            <v>0</v>
          </cell>
          <cell r="Q754" t="b">
            <v>0</v>
          </cell>
          <cell r="R754" t="b">
            <v>0</v>
          </cell>
          <cell r="S754" t="b">
            <v>0</v>
          </cell>
          <cell r="T754" t="b">
            <v>0</v>
          </cell>
          <cell r="U754" t="str">
            <v>A</v>
          </cell>
          <cell r="V754" t="str">
            <v>No Register</v>
          </cell>
          <cell r="W754" t="str">
            <v/>
          </cell>
          <cell r="X754" t="str">
            <v>Service Jasa - Maintenance
Service Jasa - Mechanical</v>
          </cell>
          <cell r="Y754" t="str">
            <v>Service Genset</v>
          </cell>
        </row>
        <row r="755">
          <cell r="B755" t="str">
            <v>Mitra Safa Senusantara, CV</v>
          </cell>
          <cell r="C755" t="str">
            <v>cs@monotaro.id; cs-support@monotaro.id</v>
          </cell>
          <cell r="D755" t="str">
            <v/>
          </cell>
          <cell r="E755" t="str">
            <v xml:space="preserve">Phone 021 3110 6990 | Mobile 0855 7467 8400 </v>
          </cell>
          <cell r="F755" t="str">
            <v/>
          </cell>
          <cell r="G755" t="b">
            <v>1</v>
          </cell>
          <cell r="H755" t="b">
            <v>1</v>
          </cell>
          <cell r="I755" t="b">
            <v>1</v>
          </cell>
          <cell r="J755" t="b">
            <v>0</v>
          </cell>
          <cell r="K755" t="b">
            <v>0</v>
          </cell>
          <cell r="L755" t="b">
            <v>0</v>
          </cell>
          <cell r="M755" t="b">
            <v>0</v>
          </cell>
          <cell r="N755" t="b">
            <v>0</v>
          </cell>
          <cell r="O755" t="b">
            <v>0</v>
          </cell>
          <cell r="P755" t="b">
            <v>0</v>
          </cell>
          <cell r="Q755" t="b">
            <v>0</v>
          </cell>
          <cell r="R755" t="b">
            <v>0</v>
          </cell>
          <cell r="S755" t="b">
            <v>1</v>
          </cell>
          <cell r="T755" t="b">
            <v>0</v>
          </cell>
          <cell r="U755" t="str">
            <v>A</v>
          </cell>
          <cell r="V755" t="str">
            <v>No Register</v>
          </cell>
          <cell r="W755" t="str">
            <v/>
          </cell>
          <cell r="Y755" t="str">
            <v/>
          </cell>
        </row>
        <row r="756">
          <cell r="B756" t="str">
            <v>Monotaro Indonesia, PT</v>
          </cell>
          <cell r="C756" t="str">
            <v>sales@multicakra.com</v>
          </cell>
          <cell r="D756" t="str">
            <v>Sherly</v>
          </cell>
          <cell r="E756" t="str">
            <v>Phone 021-80669614  Mobile 0877 8475 7291</v>
          </cell>
          <cell r="F756" t="str">
            <v/>
          </cell>
          <cell r="G756" t="b">
            <v>0</v>
          </cell>
          <cell r="H756" t="b">
            <v>0</v>
          </cell>
          <cell r="I756" t="b">
            <v>0</v>
          </cell>
          <cell r="J756" t="b">
            <v>0</v>
          </cell>
          <cell r="K756" t="b">
            <v>0</v>
          </cell>
          <cell r="L756" t="b">
            <v>0</v>
          </cell>
          <cell r="M756" t="b">
            <v>0</v>
          </cell>
          <cell r="N756" t="b">
            <v>0</v>
          </cell>
          <cell r="O756" t="b">
            <v>0</v>
          </cell>
          <cell r="P756" t="b">
            <v>0</v>
          </cell>
          <cell r="Q756" t="b">
            <v>0</v>
          </cell>
          <cell r="R756" t="b">
            <v>0</v>
          </cell>
          <cell r="S756" t="b">
            <v>0</v>
          </cell>
          <cell r="T756" t="b">
            <v>0</v>
          </cell>
          <cell r="U756" t="str">
            <v>NA</v>
          </cell>
          <cell r="V756" t="str">
            <v>No Register</v>
          </cell>
          <cell r="W756" t="str">
            <v/>
          </cell>
          <cell r="Y756" t="str">
            <v/>
          </cell>
        </row>
        <row r="757">
          <cell r="B757" t="str">
            <v>Multi Cakra Pratama, PT</v>
          </cell>
          <cell r="C757" t="str">
            <v>multijaya.mesindotama@gmail.com</v>
          </cell>
          <cell r="D757" t="str">
            <v>Chandra</v>
          </cell>
          <cell r="E757" t="str">
            <v>087809093535</v>
          </cell>
          <cell r="F757" t="str">
            <v>Jl. Dipatiunus No 99, Cibodas, Tangerang</v>
          </cell>
          <cell r="G757" t="b">
            <v>0</v>
          </cell>
          <cell r="H757" t="b">
            <v>0</v>
          </cell>
          <cell r="I757" t="b">
            <v>0</v>
          </cell>
          <cell r="J757" t="b">
            <v>0</v>
          </cell>
          <cell r="K757" t="b">
            <v>0</v>
          </cell>
          <cell r="L757" t="b">
            <v>0</v>
          </cell>
          <cell r="M757" t="b">
            <v>0</v>
          </cell>
          <cell r="N757" t="b">
            <v>0</v>
          </cell>
          <cell r="O757" t="b">
            <v>0</v>
          </cell>
          <cell r="P757" t="b">
            <v>0</v>
          </cell>
          <cell r="Q757" t="b">
            <v>0</v>
          </cell>
          <cell r="R757" t="b">
            <v>0</v>
          </cell>
          <cell r="S757" t="b">
            <v>0</v>
          </cell>
          <cell r="T757" t="b">
            <v>0</v>
          </cell>
          <cell r="U757" t="str">
            <v>NA</v>
          </cell>
          <cell r="V757" t="str">
            <v>No Register</v>
          </cell>
          <cell r="W757" t="str">
            <v/>
          </cell>
          <cell r="X757" t="str">
            <v>Service Jasa - Calibration / Testing</v>
          </cell>
          <cell r="Y757" t="str">
            <v>Rewinding</v>
          </cell>
        </row>
        <row r="758">
          <cell r="B758" t="str">
            <v>Multi Jaya Mesindotama, PT</v>
          </cell>
          <cell r="C758" t="str">
            <v>pss.sby@meid.multicoasia.com</v>
          </cell>
          <cell r="D758" t="str">
            <v>Dhika</v>
          </cell>
          <cell r="E758" t="str">
            <v>082264812757</v>
          </cell>
          <cell r="F758" t="str">
            <v/>
          </cell>
          <cell r="G758" t="b">
            <v>0</v>
          </cell>
          <cell r="H758" t="b">
            <v>0</v>
          </cell>
          <cell r="I758" t="b">
            <v>0</v>
          </cell>
          <cell r="J758" t="b">
            <v>0</v>
          </cell>
          <cell r="K758" t="b">
            <v>0</v>
          </cell>
          <cell r="L758" t="b">
            <v>0</v>
          </cell>
          <cell r="M758" t="b">
            <v>1</v>
          </cell>
          <cell r="N758" t="b">
            <v>0</v>
          </cell>
          <cell r="O758" t="b">
            <v>0</v>
          </cell>
          <cell r="P758" t="b">
            <v>0</v>
          </cell>
          <cell r="Q758" t="b">
            <v>0</v>
          </cell>
          <cell r="R758" t="b">
            <v>0</v>
          </cell>
          <cell r="S758" t="b">
            <v>1</v>
          </cell>
          <cell r="T758" t="b">
            <v>0</v>
          </cell>
          <cell r="U758" t="str">
            <v>NA</v>
          </cell>
          <cell r="V758" t="str">
            <v>No Register</v>
          </cell>
          <cell r="W758" t="str">
            <v>GT - ME</v>
          </cell>
          <cell r="X758" t="str">
            <v>General Trading - Mechanical</v>
          </cell>
          <cell r="Y758" t="str">
            <v>D Bobcat</v>
          </cell>
        </row>
        <row r="759">
          <cell r="B759" t="str">
            <v>Multico Equipment Indonesia, PT</v>
          </cell>
          <cell r="C759" t="str">
            <v>info@multidayaprima.com</v>
          </cell>
          <cell r="D759" t="str">
            <v>Trisna</v>
          </cell>
          <cell r="E759" t="str">
            <v>Office:(62)22273508
Phone or WA:(62)08111509790</v>
          </cell>
          <cell r="F759" t="str">
            <v/>
          </cell>
          <cell r="G759" t="b">
            <v>0</v>
          </cell>
          <cell r="H759" t="b">
            <v>0</v>
          </cell>
          <cell r="I759" t="b">
            <v>0</v>
          </cell>
          <cell r="J759" t="b">
            <v>0</v>
          </cell>
          <cell r="K759" t="b">
            <v>0</v>
          </cell>
          <cell r="L759" t="b">
            <v>0</v>
          </cell>
          <cell r="M759" t="b">
            <v>0</v>
          </cell>
          <cell r="N759" t="b">
            <v>0</v>
          </cell>
          <cell r="O759" t="b">
            <v>0</v>
          </cell>
          <cell r="P759" t="b">
            <v>0</v>
          </cell>
          <cell r="Q759" t="b">
            <v>0</v>
          </cell>
          <cell r="R759" t="b">
            <v>0</v>
          </cell>
          <cell r="S759" t="b">
            <v>0</v>
          </cell>
          <cell r="T759" t="b">
            <v>0</v>
          </cell>
          <cell r="U759" t="str">
            <v>A</v>
          </cell>
          <cell r="V759" t="str">
            <v>No Register</v>
          </cell>
          <cell r="W759" t="str">
            <v/>
          </cell>
          <cell r="Y759" t="str">
            <v/>
          </cell>
        </row>
        <row r="760">
          <cell r="B760" t="str">
            <v>Multidaya Prima Lestari, PT</v>
          </cell>
          <cell r="C760" t="str">
            <v>maekel.hakim@mkapr.co.id</v>
          </cell>
          <cell r="D760" t="str">
            <v>Maekel A. Hakim</v>
          </cell>
          <cell r="E760" t="str">
            <v>Phone : 021-50845500
Fax : 021-27871226 / 27871686</v>
          </cell>
          <cell r="F760" t="str">
            <v/>
          </cell>
          <cell r="G760" t="b">
            <v>0</v>
          </cell>
          <cell r="H760" t="b">
            <v>0</v>
          </cell>
          <cell r="I760" t="b">
            <v>0</v>
          </cell>
          <cell r="J760" t="b">
            <v>0</v>
          </cell>
          <cell r="K760" t="b">
            <v>0</v>
          </cell>
          <cell r="L760" t="b">
            <v>0</v>
          </cell>
          <cell r="M760" t="b">
            <v>0</v>
          </cell>
          <cell r="N760" t="b">
            <v>0</v>
          </cell>
          <cell r="O760" t="b">
            <v>0</v>
          </cell>
          <cell r="P760" t="b">
            <v>0</v>
          </cell>
          <cell r="Q760" t="b">
            <v>0</v>
          </cell>
          <cell r="R760" t="b">
            <v>0</v>
          </cell>
          <cell r="S760" t="b">
            <v>0</v>
          </cell>
          <cell r="T760" t="b">
            <v>0</v>
          </cell>
          <cell r="U760" t="str">
            <v>A</v>
          </cell>
          <cell r="V760" t="str">
            <v>No Register</v>
          </cell>
          <cell r="W760" t="str">
            <v/>
          </cell>
          <cell r="X760" t="str">
            <v>Service Jasa - Maintenance</v>
          </cell>
          <cell r="Y760" t="str">
            <v/>
          </cell>
        </row>
        <row r="761">
          <cell r="B761" t="str">
            <v>Multikarya Asia Pasifik Raya, PT</v>
          </cell>
          <cell r="C761" t="str">
            <v>hoge@mdk.co.id; retno@mdk.co.id</v>
          </cell>
          <cell r="D761" t="str">
            <v>Hoge Suwanto</v>
          </cell>
          <cell r="E761" t="str">
            <v>Tel:  (+62) (21) 4683 3636
Mobile: +62 812 8848 0303
               +62 815 923 1999</v>
          </cell>
          <cell r="F761" t="str">
            <v/>
          </cell>
          <cell r="G761" t="b">
            <v>0</v>
          </cell>
          <cell r="H761" t="b">
            <v>0</v>
          </cell>
          <cell r="I761" t="b">
            <v>0</v>
          </cell>
          <cell r="J761" t="b">
            <v>0</v>
          </cell>
          <cell r="K761" t="b">
            <v>0</v>
          </cell>
          <cell r="L761" t="b">
            <v>0</v>
          </cell>
          <cell r="M761" t="b">
            <v>0</v>
          </cell>
          <cell r="N761" t="b">
            <v>0</v>
          </cell>
          <cell r="O761" t="b">
            <v>0</v>
          </cell>
          <cell r="P761" t="b">
            <v>0</v>
          </cell>
          <cell r="Q761" t="b">
            <v>0</v>
          </cell>
          <cell r="R761" t="b">
            <v>0</v>
          </cell>
          <cell r="S761" t="b">
            <v>0</v>
          </cell>
          <cell r="T761" t="b">
            <v>0</v>
          </cell>
          <cell r="U761" t="str">
            <v>NA</v>
          </cell>
          <cell r="V761" t="str">
            <v>No Register</v>
          </cell>
          <cell r="W761" t="str">
            <v/>
          </cell>
          <cell r="Y761" t="str">
            <v/>
          </cell>
        </row>
        <row r="762">
          <cell r="B762" t="str">
            <v>Murni Dharma Karya, PT</v>
          </cell>
          <cell r="C762" t="str">
            <v>mustikajayatractor@gmail.com; fajarakbar96@gmail.com</v>
          </cell>
          <cell r="D762" t="str">
            <v>Ahmad; Fajar</v>
          </cell>
          <cell r="E762" t="str">
            <v>081381115645; 08127739145</v>
          </cell>
          <cell r="F762" t="str">
            <v/>
          </cell>
          <cell r="G762" t="b">
            <v>1</v>
          </cell>
          <cell r="H762" t="b">
            <v>0</v>
          </cell>
          <cell r="I762" t="b">
            <v>0</v>
          </cell>
          <cell r="J762" t="b">
            <v>0</v>
          </cell>
          <cell r="K762" t="b">
            <v>0</v>
          </cell>
          <cell r="L762" t="b">
            <v>0</v>
          </cell>
          <cell r="M762" t="b">
            <v>0</v>
          </cell>
          <cell r="N762" t="b">
            <v>0</v>
          </cell>
          <cell r="O762" t="b">
            <v>0</v>
          </cell>
          <cell r="P762" t="b">
            <v>0</v>
          </cell>
          <cell r="Q762" t="b">
            <v>0</v>
          </cell>
          <cell r="R762" t="b">
            <v>0</v>
          </cell>
          <cell r="S762" t="b">
            <v>0</v>
          </cell>
          <cell r="T762" t="b">
            <v>0</v>
          </cell>
          <cell r="U762" t="str">
            <v>A</v>
          </cell>
          <cell r="V762" t="str">
            <v>No Register</v>
          </cell>
          <cell r="W762" t="str">
            <v/>
          </cell>
          <cell r="Y762" t="str">
            <v/>
          </cell>
        </row>
        <row r="763">
          <cell r="B763" t="str">
            <v>Mustika Jaya Tracktor, PT</v>
          </cell>
          <cell r="C763" t="str">
            <v>saldiansyah@ngltech.co.id</v>
          </cell>
          <cell r="D763" t="str">
            <v xml:space="preserve">Saldiansyah </v>
          </cell>
          <cell r="E763" t="str">
            <v>Phone: +622287308690 
WA +6281394384775
      +6282118262523</v>
          </cell>
          <cell r="F763" t="str">
            <v/>
          </cell>
          <cell r="G763" t="b">
            <v>0</v>
          </cell>
          <cell r="H763" t="b">
            <v>0</v>
          </cell>
          <cell r="I763" t="b">
            <v>0</v>
          </cell>
          <cell r="J763" t="b">
            <v>0</v>
          </cell>
          <cell r="K763" t="b">
            <v>0</v>
          </cell>
          <cell r="L763" t="b">
            <v>0</v>
          </cell>
          <cell r="M763" t="b">
            <v>0</v>
          </cell>
          <cell r="N763" t="b">
            <v>0</v>
          </cell>
          <cell r="O763" t="b">
            <v>0</v>
          </cell>
          <cell r="P763" t="b">
            <v>0</v>
          </cell>
          <cell r="Q763" t="b">
            <v>0</v>
          </cell>
          <cell r="R763" t="b">
            <v>0</v>
          </cell>
          <cell r="S763" t="b">
            <v>0</v>
          </cell>
          <cell r="T763" t="b">
            <v>0</v>
          </cell>
          <cell r="U763" t="str">
            <v>NA</v>
          </cell>
          <cell r="V763" t="str">
            <v>No Register</v>
          </cell>
          <cell r="W763" t="str">
            <v/>
          </cell>
          <cell r="Y763" t="str">
            <v/>
          </cell>
        </row>
        <row r="764">
          <cell r="B764" t="str">
            <v>National Global Technology, PT</v>
          </cell>
          <cell r="C764" t="str">
            <v>cs@praktika.co.id</v>
          </cell>
          <cell r="D764" t="str">
            <v>Yuli</v>
          </cell>
          <cell r="E764" t="str">
            <v>08123532500</v>
          </cell>
          <cell r="F764" t="str">
            <v/>
          </cell>
          <cell r="G764" t="b">
            <v>0</v>
          </cell>
          <cell r="H764" t="b">
            <v>0</v>
          </cell>
          <cell r="I764" t="b">
            <v>0</v>
          </cell>
          <cell r="J764" t="b">
            <v>0</v>
          </cell>
          <cell r="K764" t="b">
            <v>0</v>
          </cell>
          <cell r="L764" t="b">
            <v>0</v>
          </cell>
          <cell r="M764" t="b">
            <v>0</v>
          </cell>
          <cell r="N764" t="b">
            <v>0</v>
          </cell>
          <cell r="O764" t="b">
            <v>0</v>
          </cell>
          <cell r="P764" t="b">
            <v>0</v>
          </cell>
          <cell r="Q764" t="b">
            <v>0</v>
          </cell>
          <cell r="R764" t="b">
            <v>1</v>
          </cell>
          <cell r="S764" t="b">
            <v>1</v>
          </cell>
          <cell r="T764" t="b">
            <v>0</v>
          </cell>
          <cell r="U764" t="str">
            <v>A</v>
          </cell>
          <cell r="V764" t="str">
            <v>No Register</v>
          </cell>
          <cell r="W764" t="str">
            <v>GT - CHE</v>
          </cell>
          <cell r="X764" t="str">
            <v>Service Jasa - Chemical
General Trading - Chemical</v>
          </cell>
          <cell r="Y764" t="str">
            <v>Reagent</v>
          </cell>
        </row>
        <row r="765">
          <cell r="B765" t="str">
            <v>New Praktika Alkesindo, PT</v>
          </cell>
          <cell r="C765" t="str">
            <v>niaga_ge@yahoo.com</v>
          </cell>
          <cell r="D765" t="str">
            <v>Fendi</v>
          </cell>
          <cell r="E765" t="str">
            <v>Telp. 021- 2937 6319,  Fax.   021 -  2937 6320</v>
          </cell>
          <cell r="F765" t="str">
            <v/>
          </cell>
          <cell r="G765" t="b">
            <v>0</v>
          </cell>
          <cell r="H765" t="b">
            <v>0</v>
          </cell>
          <cell r="I765" t="b">
            <v>0</v>
          </cell>
          <cell r="J765" t="b">
            <v>0</v>
          </cell>
          <cell r="K765" t="b">
            <v>0</v>
          </cell>
          <cell r="L765" t="b">
            <v>0</v>
          </cell>
          <cell r="M765" t="b">
            <v>0</v>
          </cell>
          <cell r="N765" t="b">
            <v>0</v>
          </cell>
          <cell r="O765" t="b">
            <v>0</v>
          </cell>
          <cell r="P765" t="b">
            <v>0</v>
          </cell>
          <cell r="Q765" t="b">
            <v>0</v>
          </cell>
          <cell r="R765" t="b">
            <v>0</v>
          </cell>
          <cell r="S765" t="b">
            <v>0</v>
          </cell>
          <cell r="T765" t="b">
            <v>0</v>
          </cell>
          <cell r="U765" t="str">
            <v>NA</v>
          </cell>
          <cell r="V765" t="str">
            <v>No Register</v>
          </cell>
          <cell r="W765" t="str">
            <v/>
          </cell>
          <cell r="Y765" t="str">
            <v/>
          </cell>
        </row>
        <row r="766">
          <cell r="B766" t="str">
            <v>Niaga Global Internusa, PT</v>
          </cell>
          <cell r="C766" t="str">
            <v>boilers2@oas.co.id; aditedja@oas.co.id</v>
          </cell>
          <cell r="D766" t="str">
            <v xml:space="preserve">Dwi Bayu Nursalim </v>
          </cell>
          <cell r="E766" t="str">
            <v>Mobile         :   0856-4129-2455
Telepon        :   (+62-21) 619 6166, 619 6388 (hunting)
Facsimile      :   (+62-21) 619 3447; 619 1763</v>
          </cell>
          <cell r="F766" t="str">
            <v/>
          </cell>
          <cell r="G766" t="b">
            <v>0</v>
          </cell>
          <cell r="H766" t="b">
            <v>0</v>
          </cell>
          <cell r="I766" t="b">
            <v>0</v>
          </cell>
          <cell r="J766" t="b">
            <v>0</v>
          </cell>
          <cell r="K766" t="b">
            <v>0</v>
          </cell>
          <cell r="L766" t="b">
            <v>0</v>
          </cell>
          <cell r="M766" t="b">
            <v>0</v>
          </cell>
          <cell r="N766" t="b">
            <v>0</v>
          </cell>
          <cell r="O766" t="b">
            <v>0</v>
          </cell>
          <cell r="P766" t="b">
            <v>0</v>
          </cell>
          <cell r="Q766" t="b">
            <v>0</v>
          </cell>
          <cell r="R766" t="b">
            <v>0</v>
          </cell>
          <cell r="S766" t="b">
            <v>0</v>
          </cell>
          <cell r="T766" t="b">
            <v>0</v>
          </cell>
          <cell r="U766" t="str">
            <v>NA</v>
          </cell>
          <cell r="V766" t="str">
            <v>No Register</v>
          </cell>
          <cell r="W766" t="str">
            <v/>
          </cell>
          <cell r="Y766" t="str">
            <v/>
          </cell>
        </row>
        <row r="767">
          <cell r="B767" t="str">
            <v>Ometracto Arya Samanta, PT</v>
          </cell>
          <cell r="C767" t="str">
            <v>paducandi.lestari@gmail.com</v>
          </cell>
          <cell r="D767" t="str">
            <v>Yosua</v>
          </cell>
          <cell r="E767" t="str">
            <v>Telp/Fax : (+62-21) 6451506, 6451507 / (+62-21) 6458841.
WA : (+62) 811 979 1507</v>
          </cell>
          <cell r="F767" t="str">
            <v/>
          </cell>
          <cell r="G767" t="b">
            <v>0</v>
          </cell>
          <cell r="H767" t="b">
            <v>0</v>
          </cell>
          <cell r="I767" t="b">
            <v>0</v>
          </cell>
          <cell r="J767" t="b">
            <v>0</v>
          </cell>
          <cell r="K767" t="b">
            <v>0</v>
          </cell>
          <cell r="L767" t="b">
            <v>0</v>
          </cell>
          <cell r="M767" t="b">
            <v>0</v>
          </cell>
          <cell r="N767" t="b">
            <v>0</v>
          </cell>
          <cell r="O767" t="b">
            <v>0</v>
          </cell>
          <cell r="P767" t="b">
            <v>0</v>
          </cell>
          <cell r="Q767" t="b">
            <v>0</v>
          </cell>
          <cell r="R767" t="b">
            <v>0</v>
          </cell>
          <cell r="S767" t="b">
            <v>0</v>
          </cell>
          <cell r="T767" t="b">
            <v>0</v>
          </cell>
          <cell r="U767" t="str">
            <v>NA</v>
          </cell>
          <cell r="V767" t="str">
            <v>No Register</v>
          </cell>
          <cell r="W767" t="str">
            <v/>
          </cell>
          <cell r="Y767" t="str">
            <v/>
          </cell>
        </row>
        <row r="768">
          <cell r="B768" t="str">
            <v>Paducandi Lestari, PT</v>
          </cell>
          <cell r="C768" t="str">
            <v>sales1@pandateknik.co.id; sales2@pandateknik.co.id</v>
          </cell>
          <cell r="D768" t="str">
            <v>Budi Buzen</v>
          </cell>
          <cell r="E768" t="str">
            <v>Phone        +62-21-56944910; WeChat     +6285718480080
Whatsapp +6285772054112</v>
          </cell>
          <cell r="F768" t="str">
            <v/>
          </cell>
          <cell r="G768" t="b">
            <v>0</v>
          </cell>
          <cell r="H768" t="b">
            <v>0</v>
          </cell>
          <cell r="I768" t="b">
            <v>1</v>
          </cell>
          <cell r="J768" t="b">
            <v>0</v>
          </cell>
          <cell r="K768" t="b">
            <v>0</v>
          </cell>
          <cell r="L768" t="b">
            <v>0</v>
          </cell>
          <cell r="M768" t="b">
            <v>0</v>
          </cell>
          <cell r="N768" t="b">
            <v>0</v>
          </cell>
          <cell r="O768" t="b">
            <v>0</v>
          </cell>
          <cell r="P768" t="b">
            <v>0</v>
          </cell>
          <cell r="Q768" t="b">
            <v>0</v>
          </cell>
          <cell r="R768" t="b">
            <v>0</v>
          </cell>
          <cell r="S768" t="b">
            <v>0</v>
          </cell>
          <cell r="T768" t="b">
            <v>0</v>
          </cell>
          <cell r="U768" t="str">
            <v>NA</v>
          </cell>
          <cell r="V768" t="str">
            <v>No Register</v>
          </cell>
          <cell r="W768" t="str">
            <v/>
          </cell>
          <cell r="Y768" t="str">
            <v/>
          </cell>
        </row>
        <row r="769">
          <cell r="B769" t="str">
            <v>Panda Tehnik, PT</v>
          </cell>
          <cell r="C769" t="str">
            <v>tjp.perumda@yahoo.com; erverafa@yahoo.co.id</v>
          </cell>
          <cell r="D769" t="str">
            <v>Ainuddin</v>
          </cell>
          <cell r="E769" t="str">
            <v>0526-2721715</v>
          </cell>
          <cell r="F769" t="str">
            <v/>
          </cell>
          <cell r="G769" t="b">
            <v>0</v>
          </cell>
          <cell r="H769" t="b">
            <v>0</v>
          </cell>
          <cell r="I769" t="b">
            <v>0</v>
          </cell>
          <cell r="J769" t="b">
            <v>0</v>
          </cell>
          <cell r="K769" t="b">
            <v>0</v>
          </cell>
          <cell r="L769" t="b">
            <v>0</v>
          </cell>
          <cell r="M769" t="b">
            <v>0</v>
          </cell>
          <cell r="N769" t="b">
            <v>0</v>
          </cell>
          <cell r="O769" t="b">
            <v>0</v>
          </cell>
          <cell r="P769" t="b">
            <v>0</v>
          </cell>
          <cell r="Q769" t="b">
            <v>0</v>
          </cell>
          <cell r="R769" t="b">
            <v>0</v>
          </cell>
          <cell r="S769" t="b">
            <v>0</v>
          </cell>
          <cell r="T769" t="b">
            <v>0</v>
          </cell>
          <cell r="U769" t="str">
            <v>NA</v>
          </cell>
          <cell r="V769" t="str">
            <v>No Register</v>
          </cell>
          <cell r="W769" t="str">
            <v/>
          </cell>
          <cell r="Y769" t="str">
            <v/>
          </cell>
        </row>
        <row r="770">
          <cell r="B770" t="str">
            <v>Perumda Tabalong Jaya Persada</v>
          </cell>
          <cell r="C770" t="str">
            <v>herlie@piranusa.com</v>
          </cell>
          <cell r="D770" t="str">
            <v xml:space="preserve">Herlie Arifebriawan </v>
          </cell>
          <cell r="E770" t="str">
            <v>M: +62856 9768 6148</v>
          </cell>
          <cell r="F770" t="str">
            <v/>
          </cell>
          <cell r="G770" t="b">
            <v>0</v>
          </cell>
          <cell r="H770" t="b">
            <v>0</v>
          </cell>
          <cell r="I770" t="b">
            <v>0</v>
          </cell>
          <cell r="J770" t="b">
            <v>0</v>
          </cell>
          <cell r="K770" t="b">
            <v>0</v>
          </cell>
          <cell r="L770" t="b">
            <v>0</v>
          </cell>
          <cell r="M770" t="b">
            <v>0</v>
          </cell>
          <cell r="N770" t="b">
            <v>0</v>
          </cell>
          <cell r="O770" t="b">
            <v>0</v>
          </cell>
          <cell r="P770" t="b">
            <v>0</v>
          </cell>
          <cell r="Q770" t="b">
            <v>0</v>
          </cell>
          <cell r="R770" t="b">
            <v>0</v>
          </cell>
          <cell r="S770" t="b">
            <v>0</v>
          </cell>
          <cell r="T770" t="b">
            <v>0</v>
          </cell>
          <cell r="U770" t="str">
            <v>NA</v>
          </cell>
          <cell r="V770" t="str">
            <v>No Register</v>
          </cell>
          <cell r="W770" t="str">
            <v/>
          </cell>
          <cell r="Y770" t="str">
            <v/>
          </cell>
        </row>
        <row r="771">
          <cell r="B771" t="str">
            <v>Piranti Nusantara Teknologi, PT</v>
          </cell>
          <cell r="C771" t="str">
            <v xml:space="preserve">zen@platinum-computer.com </v>
          </cell>
          <cell r="D771" t="str">
            <v>Zen Muhammad</v>
          </cell>
          <cell r="E771" t="str">
            <v>Cell : 0813 1567 0325 | Phone : (021) 612 3131</v>
          </cell>
          <cell r="F771" t="str">
            <v/>
          </cell>
          <cell r="G771" t="b">
            <v>0</v>
          </cell>
          <cell r="H771" t="b">
            <v>0</v>
          </cell>
          <cell r="I771" t="b">
            <v>0</v>
          </cell>
          <cell r="J771" t="b">
            <v>0</v>
          </cell>
          <cell r="K771" t="b">
            <v>0</v>
          </cell>
          <cell r="L771" t="b">
            <v>0</v>
          </cell>
          <cell r="M771" t="b">
            <v>0</v>
          </cell>
          <cell r="N771" t="b">
            <v>0</v>
          </cell>
          <cell r="O771" t="b">
            <v>0</v>
          </cell>
          <cell r="P771" t="b">
            <v>0</v>
          </cell>
          <cell r="Q771" t="b">
            <v>0</v>
          </cell>
          <cell r="R771" t="b">
            <v>0</v>
          </cell>
          <cell r="S771" t="b">
            <v>0</v>
          </cell>
          <cell r="T771" t="b">
            <v>0</v>
          </cell>
          <cell r="U771" t="str">
            <v>NA</v>
          </cell>
          <cell r="V771" t="str">
            <v>No Register</v>
          </cell>
          <cell r="W771" t="str">
            <v/>
          </cell>
          <cell r="Y771" t="str">
            <v/>
          </cell>
        </row>
        <row r="772">
          <cell r="B772" t="str">
            <v>Platindo Karya Prima, PT</v>
          </cell>
          <cell r="C772" t="str">
            <v>junita@pmcontrol.co.id; rani@pmcontrol.co.id; sales@pmcontrol.co.id</v>
          </cell>
          <cell r="D772" t="str">
            <v xml:space="preserve">Junita </v>
          </cell>
          <cell r="E772" t="str">
            <v/>
          </cell>
          <cell r="F772" t="str">
            <v/>
          </cell>
          <cell r="G772" t="b">
            <v>0</v>
          </cell>
          <cell r="H772" t="b">
            <v>0</v>
          </cell>
          <cell r="I772" t="b">
            <v>0</v>
          </cell>
          <cell r="J772" t="b">
            <v>0</v>
          </cell>
          <cell r="K772" t="b">
            <v>0</v>
          </cell>
          <cell r="L772" t="b">
            <v>0</v>
          </cell>
          <cell r="M772" t="b">
            <v>0</v>
          </cell>
          <cell r="N772" t="b">
            <v>0</v>
          </cell>
          <cell r="O772" t="b">
            <v>0</v>
          </cell>
          <cell r="P772" t="b">
            <v>0</v>
          </cell>
          <cell r="Q772" t="b">
            <v>0</v>
          </cell>
          <cell r="R772" t="b">
            <v>0</v>
          </cell>
          <cell r="S772" t="b">
            <v>0</v>
          </cell>
          <cell r="T772" t="b">
            <v>0</v>
          </cell>
          <cell r="U772" t="str">
            <v>A</v>
          </cell>
          <cell r="V772" t="str">
            <v>No Register</v>
          </cell>
          <cell r="W772" t="str">
            <v/>
          </cell>
          <cell r="X772" t="str">
            <v>Service Jasa - Instrument</v>
          </cell>
          <cell r="Y772" t="str">
            <v/>
          </cell>
        </row>
        <row r="773">
          <cell r="B773" t="str">
            <v>PM Control System, PT</v>
          </cell>
          <cell r="C773" t="str">
            <v>gomuliae@polydayafrp.com</v>
          </cell>
          <cell r="D773" t="str">
            <v>Alexander G</v>
          </cell>
          <cell r="E773" t="str">
            <v>T: 021 - 5552403 / 5552453 / 5552454</v>
          </cell>
          <cell r="F773" t="str">
            <v/>
          </cell>
          <cell r="G773" t="b">
            <v>0</v>
          </cell>
          <cell r="H773" t="b">
            <v>0</v>
          </cell>
          <cell r="I773" t="b">
            <v>0</v>
          </cell>
          <cell r="J773" t="b">
            <v>0</v>
          </cell>
          <cell r="K773" t="b">
            <v>0</v>
          </cell>
          <cell r="L773" t="b">
            <v>0</v>
          </cell>
          <cell r="M773" t="b">
            <v>0</v>
          </cell>
          <cell r="N773" t="b">
            <v>0</v>
          </cell>
          <cell r="O773" t="b">
            <v>0</v>
          </cell>
          <cell r="P773" t="b">
            <v>0</v>
          </cell>
          <cell r="Q773" t="b">
            <v>0</v>
          </cell>
          <cell r="R773" t="b">
            <v>0</v>
          </cell>
          <cell r="S773" t="b">
            <v>0</v>
          </cell>
          <cell r="T773" t="b">
            <v>0</v>
          </cell>
          <cell r="U773" t="str">
            <v>NA</v>
          </cell>
          <cell r="V773" t="str">
            <v>No Register</v>
          </cell>
          <cell r="W773" t="str">
            <v/>
          </cell>
          <cell r="Y773" t="str">
            <v/>
          </cell>
        </row>
        <row r="774">
          <cell r="B774" t="str">
            <v>Polydaya Fiberindo Indah, PT</v>
          </cell>
          <cell r="C774" t="str">
            <v>info@primaakurasisolusindo.com</v>
          </cell>
          <cell r="D774" t="str">
            <v>Regita</v>
          </cell>
          <cell r="E774" t="str">
            <v>089505799628</v>
          </cell>
          <cell r="F774" t="str">
            <v/>
          </cell>
          <cell r="G774" t="b">
            <v>0</v>
          </cell>
          <cell r="H774" t="b">
            <v>0</v>
          </cell>
          <cell r="I774" t="b">
            <v>0</v>
          </cell>
          <cell r="J774" t="b">
            <v>0</v>
          </cell>
          <cell r="K774" t="b">
            <v>0</v>
          </cell>
          <cell r="L774" t="b">
            <v>0</v>
          </cell>
          <cell r="M774" t="b">
            <v>0</v>
          </cell>
          <cell r="N774" t="b">
            <v>0</v>
          </cell>
          <cell r="O774" t="b">
            <v>0</v>
          </cell>
          <cell r="P774" t="b">
            <v>0</v>
          </cell>
          <cell r="Q774" t="b">
            <v>0</v>
          </cell>
          <cell r="R774" t="b">
            <v>0</v>
          </cell>
          <cell r="S774" t="b">
            <v>0</v>
          </cell>
          <cell r="T774" t="b">
            <v>0</v>
          </cell>
          <cell r="U774" t="str">
            <v>NA</v>
          </cell>
          <cell r="V774" t="str">
            <v>No Register</v>
          </cell>
          <cell r="W774" t="str">
            <v/>
          </cell>
          <cell r="Y774" t="str">
            <v/>
          </cell>
        </row>
        <row r="775">
          <cell r="B775" t="str">
            <v>Prima Akurasi Solusindo, PT</v>
          </cell>
          <cell r="C775" t="str">
            <v>maulidy@peu.co.id; kaf@peu.co.id</v>
          </cell>
          <cell r="D775" t="str">
            <v>Firman Syah Maulidy</v>
          </cell>
          <cell r="E775" t="str">
            <v>t: +62 21 89383685
m: +62 858 81333285</v>
          </cell>
          <cell r="F775" t="str">
            <v/>
          </cell>
          <cell r="G775" t="b">
            <v>0</v>
          </cell>
          <cell r="H775" t="b">
            <v>0</v>
          </cell>
          <cell r="I775" t="b">
            <v>0</v>
          </cell>
          <cell r="J775" t="b">
            <v>0</v>
          </cell>
          <cell r="K775" t="b">
            <v>0</v>
          </cell>
          <cell r="L775" t="b">
            <v>0</v>
          </cell>
          <cell r="M775" t="b">
            <v>0</v>
          </cell>
          <cell r="N775" t="b">
            <v>0</v>
          </cell>
          <cell r="O775" t="b">
            <v>0</v>
          </cell>
          <cell r="P775" t="b">
            <v>0</v>
          </cell>
          <cell r="Q775" t="b">
            <v>0</v>
          </cell>
          <cell r="R775" t="b">
            <v>0</v>
          </cell>
          <cell r="S775" t="b">
            <v>0</v>
          </cell>
          <cell r="T775" t="b">
            <v>0</v>
          </cell>
          <cell r="U775" t="str">
            <v>NA</v>
          </cell>
          <cell r="V775" t="str">
            <v>No Register</v>
          </cell>
          <cell r="W775" t="str">
            <v/>
          </cell>
          <cell r="Y775" t="str">
            <v/>
          </cell>
        </row>
        <row r="776">
          <cell r="B776" t="str">
            <v>Pro Engineering Utama, PT</v>
          </cell>
          <cell r="C776" t="str">
            <v>ran.reklame@gmail.com</v>
          </cell>
          <cell r="D776" t="str">
            <v>Suryanto</v>
          </cell>
          <cell r="E776" t="str">
            <v>085245004003</v>
          </cell>
          <cell r="F776" t="str">
            <v/>
          </cell>
          <cell r="G776" t="b">
            <v>0</v>
          </cell>
          <cell r="H776" t="b">
            <v>0</v>
          </cell>
          <cell r="I776" t="b">
            <v>0</v>
          </cell>
          <cell r="J776" t="b">
            <v>0</v>
          </cell>
          <cell r="K776" t="b">
            <v>0</v>
          </cell>
          <cell r="L776" t="b">
            <v>0</v>
          </cell>
          <cell r="M776" t="b">
            <v>0</v>
          </cell>
          <cell r="N776" t="b">
            <v>0</v>
          </cell>
          <cell r="O776" t="b">
            <v>0</v>
          </cell>
          <cell r="P776" t="b">
            <v>0</v>
          </cell>
          <cell r="Q776" t="b">
            <v>0</v>
          </cell>
          <cell r="R776" t="b">
            <v>0</v>
          </cell>
          <cell r="S776" t="b">
            <v>0</v>
          </cell>
          <cell r="T776" t="b">
            <v>0</v>
          </cell>
          <cell r="U776" t="str">
            <v>NA</v>
          </cell>
          <cell r="V776" t="str">
            <v>No Register</v>
          </cell>
          <cell r="W776" t="str">
            <v/>
          </cell>
          <cell r="Y776" t="str">
            <v/>
          </cell>
        </row>
        <row r="777">
          <cell r="B777" t="str">
            <v>Ran Reklame, CV</v>
          </cell>
          <cell r="C777" t="str">
            <v>support@reftech.id; arief@reftech.id; irene@reftech.id</v>
          </cell>
          <cell r="D777" t="str">
            <v>Yolan</v>
          </cell>
          <cell r="E777" t="str">
            <v>081210007431</v>
          </cell>
          <cell r="F777" t="str">
            <v/>
          </cell>
          <cell r="G777" t="b">
            <v>0</v>
          </cell>
          <cell r="H777" t="b">
            <v>0</v>
          </cell>
          <cell r="I777" t="b">
            <v>0</v>
          </cell>
          <cell r="J777" t="b">
            <v>0</v>
          </cell>
          <cell r="K777" t="b">
            <v>0</v>
          </cell>
          <cell r="L777" t="b">
            <v>0</v>
          </cell>
          <cell r="M777" t="b">
            <v>0</v>
          </cell>
          <cell r="N777" t="b">
            <v>0</v>
          </cell>
          <cell r="O777" t="b">
            <v>0</v>
          </cell>
          <cell r="P777" t="b">
            <v>0</v>
          </cell>
          <cell r="Q777" t="b">
            <v>0</v>
          </cell>
          <cell r="R777" t="b">
            <v>0</v>
          </cell>
          <cell r="S777" t="b">
            <v>1</v>
          </cell>
          <cell r="T777" t="b">
            <v>0</v>
          </cell>
          <cell r="U777" t="str">
            <v>A</v>
          </cell>
          <cell r="V777" t="str">
            <v>No Register</v>
          </cell>
          <cell r="W777" t="str">
            <v>GT - ME</v>
          </cell>
          <cell r="X777" t="str">
            <v>General Trading - Mechanical</v>
          </cell>
          <cell r="Y777" t="str">
            <v>D Elgi</v>
          </cell>
        </row>
        <row r="778">
          <cell r="B778" t="str">
            <v>Reftech Jaya Optima, PT</v>
          </cell>
          <cell r="C778" t="str">
            <v>bayu@sep-santi.com</v>
          </cell>
          <cell r="D778" t="str">
            <v>Bayu</v>
          </cell>
          <cell r="E778" t="str">
            <v>081282791618</v>
          </cell>
          <cell r="F778" t="str">
            <v/>
          </cell>
          <cell r="G778" t="b">
            <v>0</v>
          </cell>
          <cell r="H778" t="b">
            <v>1</v>
          </cell>
          <cell r="I778" t="b">
            <v>1</v>
          </cell>
          <cell r="J778" t="b">
            <v>0</v>
          </cell>
          <cell r="K778" t="b">
            <v>0</v>
          </cell>
          <cell r="L778" t="b">
            <v>0</v>
          </cell>
          <cell r="M778" t="b">
            <v>0</v>
          </cell>
          <cell r="N778" t="b">
            <v>0</v>
          </cell>
          <cell r="O778" t="b">
            <v>1</v>
          </cell>
          <cell r="P778" t="b">
            <v>0</v>
          </cell>
          <cell r="Q778" t="b">
            <v>0</v>
          </cell>
          <cell r="R778" t="b">
            <v>0</v>
          </cell>
          <cell r="S778" t="b">
            <v>0</v>
          </cell>
          <cell r="T778" t="b">
            <v>0</v>
          </cell>
          <cell r="U778" t="str">
            <v>A</v>
          </cell>
          <cell r="V778" t="str">
            <v>No Register</v>
          </cell>
          <cell r="W778" t="str">
            <v/>
          </cell>
          <cell r="Y778" t="str">
            <v>Service and supply IC and EL</v>
          </cell>
        </row>
        <row r="779">
          <cell r="B779" t="str">
            <v>Sahabat Energi Persada, PT</v>
          </cell>
          <cell r="C779" t="str">
            <v>admin@sampulu.co.id</v>
          </cell>
          <cell r="D779" t="str">
            <v>Nila</v>
          </cell>
          <cell r="E779" t="str">
            <v>021-50101636</v>
          </cell>
          <cell r="F779" t="str">
            <v/>
          </cell>
          <cell r="G779" t="b">
            <v>0</v>
          </cell>
          <cell r="H779" t="b">
            <v>0</v>
          </cell>
          <cell r="I779" t="b">
            <v>0</v>
          </cell>
          <cell r="J779" t="b">
            <v>0</v>
          </cell>
          <cell r="K779" t="b">
            <v>0</v>
          </cell>
          <cell r="L779" t="b">
            <v>0</v>
          </cell>
          <cell r="M779" t="b">
            <v>0</v>
          </cell>
          <cell r="N779" t="b">
            <v>0</v>
          </cell>
          <cell r="O779" t="b">
            <v>0</v>
          </cell>
          <cell r="P779" t="b">
            <v>0</v>
          </cell>
          <cell r="Q779" t="b">
            <v>0</v>
          </cell>
          <cell r="R779" t="b">
            <v>0</v>
          </cell>
          <cell r="S779" t="b">
            <v>0</v>
          </cell>
          <cell r="T779" t="b">
            <v>0</v>
          </cell>
          <cell r="U779" t="str">
            <v>NA</v>
          </cell>
          <cell r="V779" t="str">
            <v>No Register</v>
          </cell>
          <cell r="W779" t="str">
            <v/>
          </cell>
          <cell r="Y779" t="str">
            <v/>
          </cell>
        </row>
        <row r="780">
          <cell r="B780" t="str">
            <v>Sampulu Adi Jaya Perkasa, PT</v>
          </cell>
          <cell r="C780" t="str">
            <v>saranateknik@cbn.net.id; saranagroup@cbn.net.id</v>
          </cell>
          <cell r="D780" t="str">
            <v>Indra Dhama Wijaya</v>
          </cell>
          <cell r="E780" t="str">
            <v>TELP 021-6519582 (Hunting)
Fax: 021-65305868</v>
          </cell>
          <cell r="F780" t="str">
            <v/>
          </cell>
          <cell r="G780" t="b">
            <v>0</v>
          </cell>
          <cell r="H780" t="b">
            <v>0</v>
          </cell>
          <cell r="I780" t="b">
            <v>0</v>
          </cell>
          <cell r="J780" t="b">
            <v>0</v>
          </cell>
          <cell r="K780" t="b">
            <v>0</v>
          </cell>
          <cell r="L780" t="b">
            <v>0</v>
          </cell>
          <cell r="M780" t="b">
            <v>0</v>
          </cell>
          <cell r="N780" t="b">
            <v>0</v>
          </cell>
          <cell r="O780" t="b">
            <v>0</v>
          </cell>
          <cell r="P780" t="b">
            <v>0</v>
          </cell>
          <cell r="Q780" t="b">
            <v>0</v>
          </cell>
          <cell r="R780" t="b">
            <v>0</v>
          </cell>
          <cell r="S780" t="b">
            <v>0</v>
          </cell>
          <cell r="T780" t="b">
            <v>0</v>
          </cell>
          <cell r="U780" t="str">
            <v>NA</v>
          </cell>
          <cell r="V780" t="str">
            <v>No Register</v>
          </cell>
          <cell r="W780" t="str">
            <v/>
          </cell>
          <cell r="Y780" t="str">
            <v/>
          </cell>
        </row>
        <row r="781">
          <cell r="B781" t="str">
            <v>Sarana Teknik Mekanika, PT</v>
          </cell>
          <cell r="C781" t="str">
            <v>inquiry@satuanekabering.com</v>
          </cell>
          <cell r="D781" t="str">
            <v>Rusman</v>
          </cell>
          <cell r="E781" t="str">
            <v>Phone: (+62) 21 6245 122, (+62) 21 6499 455</v>
          </cell>
          <cell r="F781" t="str">
            <v/>
          </cell>
          <cell r="G781" t="b">
            <v>0</v>
          </cell>
          <cell r="H781" t="b">
            <v>0</v>
          </cell>
          <cell r="I781" t="b">
            <v>0</v>
          </cell>
          <cell r="J781" t="b">
            <v>0</v>
          </cell>
          <cell r="K781" t="b">
            <v>0</v>
          </cell>
          <cell r="L781" t="b">
            <v>0</v>
          </cell>
          <cell r="M781" t="b">
            <v>0</v>
          </cell>
          <cell r="N781" t="b">
            <v>0</v>
          </cell>
          <cell r="O781" t="b">
            <v>0</v>
          </cell>
          <cell r="P781" t="b">
            <v>0</v>
          </cell>
          <cell r="Q781" t="b">
            <v>0</v>
          </cell>
          <cell r="R781" t="b">
            <v>0</v>
          </cell>
          <cell r="S781" t="b">
            <v>0</v>
          </cell>
          <cell r="T781" t="b">
            <v>0</v>
          </cell>
          <cell r="U781" t="str">
            <v>NA</v>
          </cell>
          <cell r="V781" t="str">
            <v>No Register</v>
          </cell>
          <cell r="W781" t="str">
            <v/>
          </cell>
          <cell r="Y781" t="str">
            <v/>
          </cell>
        </row>
        <row r="782">
          <cell r="B782" t="str">
            <v>Satu Aneka Bearing, PT</v>
          </cell>
          <cell r="C782" t="str">
            <v>marketing@Satupowerindonesia.com</v>
          </cell>
          <cell r="D782" t="str">
            <v/>
          </cell>
          <cell r="E782" t="str">
            <v>Phone: (021) 6624079</v>
          </cell>
          <cell r="F782" t="str">
            <v/>
          </cell>
          <cell r="G782" t="b">
            <v>0</v>
          </cell>
          <cell r="H782" t="b">
            <v>0</v>
          </cell>
          <cell r="I782" t="b">
            <v>0</v>
          </cell>
          <cell r="J782" t="b">
            <v>0</v>
          </cell>
          <cell r="K782" t="b">
            <v>0</v>
          </cell>
          <cell r="L782" t="b">
            <v>0</v>
          </cell>
          <cell r="M782" t="b">
            <v>0</v>
          </cell>
          <cell r="N782" t="b">
            <v>0</v>
          </cell>
          <cell r="O782" t="b">
            <v>0</v>
          </cell>
          <cell r="P782" t="b">
            <v>0</v>
          </cell>
          <cell r="Q782" t="b">
            <v>0</v>
          </cell>
          <cell r="R782" t="b">
            <v>0</v>
          </cell>
          <cell r="S782" t="b">
            <v>0</v>
          </cell>
          <cell r="T782" t="b">
            <v>0</v>
          </cell>
          <cell r="U782" t="str">
            <v>A</v>
          </cell>
          <cell r="V782" t="str">
            <v>No Register</v>
          </cell>
          <cell r="W782" t="str">
            <v/>
          </cell>
          <cell r="Y782" t="str">
            <v/>
          </cell>
        </row>
        <row r="783">
          <cell r="B783" t="str">
            <v>Satu Power Indonesia, PT</v>
          </cell>
          <cell r="C783" t="str">
            <v>info@ptsedaya.com</v>
          </cell>
          <cell r="D783" t="str">
            <v>Ayu</v>
          </cell>
          <cell r="E783" t="str">
            <v>Call Center:(62-21) 5694-6288 / 2257-1898.
WA: 0856-9822-188 / 0856 8068 188.</v>
          </cell>
          <cell r="F783" t="str">
            <v/>
          </cell>
          <cell r="G783" t="b">
            <v>0</v>
          </cell>
          <cell r="H783" t="b">
            <v>0</v>
          </cell>
          <cell r="I783" t="b">
            <v>0</v>
          </cell>
          <cell r="J783" t="b">
            <v>0</v>
          </cell>
          <cell r="K783" t="b">
            <v>0</v>
          </cell>
          <cell r="L783" t="b">
            <v>0</v>
          </cell>
          <cell r="M783" t="b">
            <v>0</v>
          </cell>
          <cell r="N783" t="b">
            <v>0</v>
          </cell>
          <cell r="O783" t="b">
            <v>0</v>
          </cell>
          <cell r="P783" t="b">
            <v>0</v>
          </cell>
          <cell r="Q783" t="b">
            <v>0</v>
          </cell>
          <cell r="R783" t="b">
            <v>0</v>
          </cell>
          <cell r="S783" t="b">
            <v>0</v>
          </cell>
          <cell r="T783" t="b">
            <v>0</v>
          </cell>
          <cell r="U783" t="str">
            <v>NA</v>
          </cell>
          <cell r="V783" t="str">
            <v>No Register</v>
          </cell>
          <cell r="W783" t="str">
            <v/>
          </cell>
          <cell r="Y783" t="str">
            <v/>
          </cell>
        </row>
        <row r="784">
          <cell r="B784" t="str">
            <v>Sedaya Mitra Sejahtera, PT</v>
          </cell>
          <cell r="C784" t="str">
            <v>marketing@sejahteraoil.co.id; marketing.sejahteraoil@gmail.com</v>
          </cell>
          <cell r="D784" t="str">
            <v>Bernard Siagian</v>
          </cell>
          <cell r="E784" t="str">
            <v>081318828619</v>
          </cell>
          <cell r="F784" t="str">
            <v/>
          </cell>
          <cell r="G784" t="b">
            <v>0</v>
          </cell>
          <cell r="H784" t="b">
            <v>0</v>
          </cell>
          <cell r="I784" t="b">
            <v>0</v>
          </cell>
          <cell r="J784" t="b">
            <v>0</v>
          </cell>
          <cell r="K784" t="b">
            <v>0</v>
          </cell>
          <cell r="L784" t="b">
            <v>0</v>
          </cell>
          <cell r="M784" t="b">
            <v>1</v>
          </cell>
          <cell r="N784" t="b">
            <v>0</v>
          </cell>
          <cell r="O784" t="b">
            <v>0</v>
          </cell>
          <cell r="P784" t="b">
            <v>0</v>
          </cell>
          <cell r="Q784" t="b">
            <v>0</v>
          </cell>
          <cell r="R784" t="b">
            <v>0</v>
          </cell>
          <cell r="S784" t="b">
            <v>0</v>
          </cell>
          <cell r="T784" t="b">
            <v>0</v>
          </cell>
          <cell r="U784" t="str">
            <v>NA</v>
          </cell>
          <cell r="V784" t="str">
            <v>No Register</v>
          </cell>
          <cell r="W784" t="str">
            <v/>
          </cell>
          <cell r="X784" t="str">
            <v>Utilities - Lubricant &amp; Industrial Oil</v>
          </cell>
          <cell r="Y784" t="str">
            <v>D Oil Shell</v>
          </cell>
        </row>
        <row r="785">
          <cell r="B785" t="str">
            <v>Sejahtera Oli Internasional, PT</v>
          </cell>
          <cell r="C785" t="str">
            <v>admbpn@sentratek.co.id, salesbpn@sentratek.co.id</v>
          </cell>
          <cell r="D785" t="str">
            <v xml:space="preserve">Apris Yenni K </v>
          </cell>
          <cell r="E785" t="str">
            <v xml:space="preserve">Phone: 0542-8530130, 0542-8530131 </v>
          </cell>
          <cell r="F785" t="str">
            <v/>
          </cell>
          <cell r="G785" t="b">
            <v>0</v>
          </cell>
          <cell r="H785" t="b">
            <v>0</v>
          </cell>
          <cell r="I785" t="b">
            <v>0</v>
          </cell>
          <cell r="J785" t="b">
            <v>0</v>
          </cell>
          <cell r="K785" t="b">
            <v>0</v>
          </cell>
          <cell r="L785" t="b">
            <v>0</v>
          </cell>
          <cell r="M785" t="b">
            <v>0</v>
          </cell>
          <cell r="N785" t="b">
            <v>0</v>
          </cell>
          <cell r="O785" t="b">
            <v>0</v>
          </cell>
          <cell r="P785" t="b">
            <v>0</v>
          </cell>
          <cell r="Q785" t="b">
            <v>0</v>
          </cell>
          <cell r="R785" t="b">
            <v>0</v>
          </cell>
          <cell r="S785" t="b">
            <v>0</v>
          </cell>
          <cell r="T785" t="b">
            <v>0</v>
          </cell>
          <cell r="U785" t="str">
            <v>NA</v>
          </cell>
          <cell r="V785" t="str">
            <v>No Register</v>
          </cell>
          <cell r="W785" t="str">
            <v/>
          </cell>
          <cell r="Y785" t="str">
            <v/>
          </cell>
        </row>
        <row r="786">
          <cell r="B786" t="str">
            <v>Sentratek Adiprestasi, PT</v>
          </cell>
          <cell r="C786" t="str">
            <v>mario.christian@sgs.com; roselina.tri@sgs.com</v>
          </cell>
          <cell r="D786" t="str">
            <v>Mario; Roselina</v>
          </cell>
          <cell r="E786" t="str">
            <v>08118403634; 081196906964</v>
          </cell>
          <cell r="F786" t="str">
            <v/>
          </cell>
          <cell r="G786" t="b">
            <v>0</v>
          </cell>
          <cell r="H786" t="b">
            <v>0</v>
          </cell>
          <cell r="I786" t="b">
            <v>0</v>
          </cell>
          <cell r="J786" t="b">
            <v>0</v>
          </cell>
          <cell r="K786" t="b">
            <v>0</v>
          </cell>
          <cell r="L786" t="b">
            <v>0</v>
          </cell>
          <cell r="M786" t="b">
            <v>0</v>
          </cell>
          <cell r="N786" t="b">
            <v>0</v>
          </cell>
          <cell r="O786" t="b">
            <v>1</v>
          </cell>
          <cell r="P786" t="b">
            <v>0</v>
          </cell>
          <cell r="Q786" t="b">
            <v>0</v>
          </cell>
          <cell r="R786" t="b">
            <v>0</v>
          </cell>
          <cell r="S786" t="b">
            <v>0</v>
          </cell>
          <cell r="T786" t="b">
            <v>0</v>
          </cell>
          <cell r="U786" t="str">
            <v>A</v>
          </cell>
          <cell r="V786" t="str">
            <v>No Register</v>
          </cell>
          <cell r="W786" t="str">
            <v>PR - TR</v>
          </cell>
          <cell r="X786" t="str">
            <v>Professional Services - Training</v>
          </cell>
          <cell r="Y786" t="str">
            <v>Consult</v>
          </cell>
        </row>
        <row r="787">
          <cell r="B787" t="str">
            <v>SGS Indonesia, PT</v>
          </cell>
          <cell r="C787" t="str">
            <v>sibarabestariindonesia@gmail.com</v>
          </cell>
          <cell r="D787" t="str">
            <v>Irsyad</v>
          </cell>
          <cell r="E787" t="str">
            <v>082219741469</v>
          </cell>
          <cell r="F787" t="str">
            <v/>
          </cell>
          <cell r="G787" t="b">
            <v>0</v>
          </cell>
          <cell r="H787" t="b">
            <v>0</v>
          </cell>
          <cell r="I787" t="b">
            <v>0</v>
          </cell>
          <cell r="J787" t="b">
            <v>0</v>
          </cell>
          <cell r="K787" t="b">
            <v>0</v>
          </cell>
          <cell r="L787" t="b">
            <v>0</v>
          </cell>
          <cell r="M787" t="b">
            <v>1</v>
          </cell>
          <cell r="N787" t="b">
            <v>0</v>
          </cell>
          <cell r="O787" t="b">
            <v>0</v>
          </cell>
          <cell r="P787" t="b">
            <v>0</v>
          </cell>
          <cell r="Q787" t="b">
            <v>0</v>
          </cell>
          <cell r="R787" t="b">
            <v>0</v>
          </cell>
          <cell r="S787" t="b">
            <v>0</v>
          </cell>
          <cell r="T787" t="b">
            <v>0</v>
          </cell>
          <cell r="U787" t="str">
            <v>A</v>
          </cell>
          <cell r="V787" t="str">
            <v>No Register</v>
          </cell>
          <cell r="W787" t="str">
            <v>ENV - EM</v>
          </cell>
          <cell r="X787" t="str">
            <v>Environment &amp; Compliance - Emission Monitoring (CEMS)</v>
          </cell>
          <cell r="Y787" t="str">
            <v>Pasir Silika</v>
          </cell>
        </row>
        <row r="788">
          <cell r="B788" t="str">
            <v>Sibara Bestari Indonesia, PT</v>
          </cell>
          <cell r="C788" t="str">
            <v>rizkiwahidin195@gmail.com; sanusiu53@gmail.com</v>
          </cell>
          <cell r="D788" t="str">
            <v>Rizki</v>
          </cell>
          <cell r="E788" t="str">
            <v>0231-8830436</v>
          </cell>
          <cell r="F788" t="str">
            <v/>
          </cell>
          <cell r="G788" t="b">
            <v>0</v>
          </cell>
          <cell r="H788" t="b">
            <v>0</v>
          </cell>
          <cell r="I788" t="b">
            <v>0</v>
          </cell>
          <cell r="J788" t="b">
            <v>0</v>
          </cell>
          <cell r="K788" t="b">
            <v>0</v>
          </cell>
          <cell r="L788" t="b">
            <v>0</v>
          </cell>
          <cell r="M788" t="b">
            <v>0</v>
          </cell>
          <cell r="N788" t="b">
            <v>0</v>
          </cell>
          <cell r="O788" t="b">
            <v>0</v>
          </cell>
          <cell r="P788" t="b">
            <v>0</v>
          </cell>
          <cell r="Q788" t="b">
            <v>0</v>
          </cell>
          <cell r="R788" t="b">
            <v>0</v>
          </cell>
          <cell r="S788" t="b">
            <v>0</v>
          </cell>
          <cell r="T788" t="b">
            <v>0</v>
          </cell>
          <cell r="U788" t="str">
            <v>A</v>
          </cell>
          <cell r="V788" t="str">
            <v>No Register</v>
          </cell>
          <cell r="W788" t="str">
            <v/>
          </cell>
          <cell r="Y788" t="str">
            <v/>
          </cell>
        </row>
        <row r="789">
          <cell r="B789" t="str">
            <v>Sagempal Pasir Emas, PT</v>
          </cell>
          <cell r="C789" t="str">
            <v>gerard@sinarelectricjaya.com; sales@sinarelectricjaya.com; pondaga.sadikin@gmail.com</v>
          </cell>
          <cell r="D789" t="str">
            <v>Gerard Junius</v>
          </cell>
          <cell r="E789" t="str">
            <v>P   (021) 5835 6026</v>
          </cell>
          <cell r="F789" t="str">
            <v/>
          </cell>
          <cell r="G789" t="b">
            <v>0</v>
          </cell>
          <cell r="H789" t="b">
            <v>0</v>
          </cell>
          <cell r="I789" t="b">
            <v>0</v>
          </cell>
          <cell r="J789" t="b">
            <v>0</v>
          </cell>
          <cell r="K789" t="b">
            <v>0</v>
          </cell>
          <cell r="L789" t="b">
            <v>0</v>
          </cell>
          <cell r="M789" t="b">
            <v>0</v>
          </cell>
          <cell r="N789" t="b">
            <v>0</v>
          </cell>
          <cell r="O789" t="b">
            <v>0</v>
          </cell>
          <cell r="P789" t="b">
            <v>0</v>
          </cell>
          <cell r="Q789" t="b">
            <v>0</v>
          </cell>
          <cell r="R789" t="b">
            <v>0</v>
          </cell>
          <cell r="S789" t="b">
            <v>0</v>
          </cell>
          <cell r="T789" t="b">
            <v>0</v>
          </cell>
          <cell r="U789" t="str">
            <v>NA</v>
          </cell>
          <cell r="V789" t="str">
            <v>No Register</v>
          </cell>
          <cell r="W789" t="str">
            <v/>
          </cell>
          <cell r="Y789" t="str">
            <v/>
          </cell>
        </row>
        <row r="790">
          <cell r="B790" t="str">
            <v>Sinar Electric Jaya, PT</v>
          </cell>
          <cell r="C790" t="str">
            <v>fernandabewatun@gmail.com</v>
          </cell>
          <cell r="D790" t="str">
            <v>Maria</v>
          </cell>
          <cell r="E790" t="str">
            <v>082122317789</v>
          </cell>
          <cell r="F790" t="str">
            <v/>
          </cell>
          <cell r="G790" t="b">
            <v>0</v>
          </cell>
          <cell r="H790" t="b">
            <v>1</v>
          </cell>
          <cell r="I790" t="b">
            <v>0</v>
          </cell>
          <cell r="J790" t="b">
            <v>0</v>
          </cell>
          <cell r="K790" t="b">
            <v>0</v>
          </cell>
          <cell r="L790" t="b">
            <v>0</v>
          </cell>
          <cell r="M790" t="b">
            <v>0</v>
          </cell>
          <cell r="N790" t="b">
            <v>1</v>
          </cell>
          <cell r="O790" t="b">
            <v>0</v>
          </cell>
          <cell r="P790" t="b">
            <v>0</v>
          </cell>
          <cell r="Q790" t="b">
            <v>0</v>
          </cell>
          <cell r="R790" t="b">
            <v>0</v>
          </cell>
          <cell r="S790" t="b">
            <v>0</v>
          </cell>
          <cell r="T790" t="b">
            <v>0</v>
          </cell>
          <cell r="U790" t="str">
            <v>NA</v>
          </cell>
          <cell r="V790" t="str">
            <v>Register</v>
          </cell>
          <cell r="W790" t="str">
            <v/>
          </cell>
          <cell r="X790" t="str">
            <v>Service Jasa - Electrical</v>
          </cell>
          <cell r="Y790" t="str">
            <v>Service</v>
          </cell>
        </row>
        <row r="791">
          <cell r="B791" t="str">
            <v>Sinergi Indo Pranata, PT</v>
          </cell>
          <cell r="C791" t="str">
            <v>zafira.khoirunnisa@sky-energy.co.id; marketing@sky-energy.co.id</v>
          </cell>
          <cell r="D791" t="str">
            <v xml:space="preserve">Zafira Khoirunnisa </v>
          </cell>
          <cell r="E791" t="str">
            <v>021-86650100</v>
          </cell>
          <cell r="F791" t="str">
            <v/>
          </cell>
          <cell r="G791" t="b">
            <v>0</v>
          </cell>
          <cell r="H791" t="b">
            <v>1</v>
          </cell>
          <cell r="I791" t="b">
            <v>0</v>
          </cell>
          <cell r="J791" t="b">
            <v>0</v>
          </cell>
          <cell r="K791" t="b">
            <v>0</v>
          </cell>
          <cell r="L791" t="b">
            <v>0</v>
          </cell>
          <cell r="M791" t="b">
            <v>0</v>
          </cell>
          <cell r="N791" t="b">
            <v>0</v>
          </cell>
          <cell r="O791" t="b">
            <v>0</v>
          </cell>
          <cell r="P791" t="b">
            <v>0</v>
          </cell>
          <cell r="Q791" t="b">
            <v>0</v>
          </cell>
          <cell r="R791" t="b">
            <v>0</v>
          </cell>
          <cell r="S791" t="b">
            <v>0</v>
          </cell>
          <cell r="T791" t="b">
            <v>0</v>
          </cell>
          <cell r="U791" t="str">
            <v>NA</v>
          </cell>
          <cell r="V791" t="str">
            <v>No Register</v>
          </cell>
          <cell r="W791" t="str">
            <v/>
          </cell>
          <cell r="Y791" t="str">
            <v>Electrical</v>
          </cell>
        </row>
        <row r="792">
          <cell r="B792" t="str">
            <v>Sky Energi Indonesia Tbk, PT</v>
          </cell>
          <cell r="C792" t="str">
            <v>adm.sricahaya@gmail.com</v>
          </cell>
          <cell r="D792" t="str">
            <v>Citra</v>
          </cell>
          <cell r="E792" t="str">
            <v>081389602025</v>
          </cell>
          <cell r="F792" t="str">
            <v/>
          </cell>
          <cell r="G792" t="b">
            <v>0</v>
          </cell>
          <cell r="H792" t="b">
            <v>0</v>
          </cell>
          <cell r="I792" t="b">
            <v>0</v>
          </cell>
          <cell r="J792" t="b">
            <v>0</v>
          </cell>
          <cell r="K792" t="b">
            <v>0</v>
          </cell>
          <cell r="L792" t="b">
            <v>0</v>
          </cell>
          <cell r="M792" t="b">
            <v>0</v>
          </cell>
          <cell r="N792" t="b">
            <v>0</v>
          </cell>
          <cell r="O792" t="b">
            <v>0</v>
          </cell>
          <cell r="P792" t="b">
            <v>0</v>
          </cell>
          <cell r="Q792" t="b">
            <v>0</v>
          </cell>
          <cell r="R792" t="b">
            <v>0</v>
          </cell>
          <cell r="S792" t="b">
            <v>1</v>
          </cell>
          <cell r="T792" t="b">
            <v>0</v>
          </cell>
          <cell r="U792" t="str">
            <v>NA</v>
          </cell>
          <cell r="V792" t="str">
            <v>No Register</v>
          </cell>
          <cell r="W792" t="str">
            <v>GT - ME</v>
          </cell>
          <cell r="X792" t="str">
            <v>General Trading - Mechanical</v>
          </cell>
          <cell r="Y792" t="str">
            <v>Spare Part DT</v>
          </cell>
        </row>
        <row r="793">
          <cell r="B793" t="str">
            <v>Sri Cahaya Manunggal, PT</v>
          </cell>
          <cell r="C793" t="str">
            <v>salesproject@sucaco.com</v>
          </cell>
          <cell r="D793" t="str">
            <v>Nicolen Sylvia</v>
          </cell>
          <cell r="E793" t="str">
            <v>(+62) 895 - 3052 - 7576 / ext. 146</v>
          </cell>
          <cell r="F793" t="str">
            <v/>
          </cell>
          <cell r="G793" t="b">
            <v>0</v>
          </cell>
          <cell r="H793" t="b">
            <v>0</v>
          </cell>
          <cell r="I793" t="b">
            <v>0</v>
          </cell>
          <cell r="J793" t="b">
            <v>0</v>
          </cell>
          <cell r="K793" t="b">
            <v>0</v>
          </cell>
          <cell r="L793" t="b">
            <v>0</v>
          </cell>
          <cell r="M793" t="b">
            <v>0</v>
          </cell>
          <cell r="N793" t="b">
            <v>0</v>
          </cell>
          <cell r="O793" t="b">
            <v>0</v>
          </cell>
          <cell r="P793" t="b">
            <v>0</v>
          </cell>
          <cell r="Q793" t="b">
            <v>0</v>
          </cell>
          <cell r="R793" t="b">
            <v>0</v>
          </cell>
          <cell r="S793" t="b">
            <v>0</v>
          </cell>
          <cell r="T793" t="b">
            <v>0</v>
          </cell>
          <cell r="U793" t="str">
            <v>NA</v>
          </cell>
          <cell r="V793" t="str">
            <v>No Register</v>
          </cell>
          <cell r="W793" t="str">
            <v/>
          </cell>
          <cell r="Y793" t="str">
            <v/>
          </cell>
        </row>
        <row r="794">
          <cell r="B794" t="str">
            <v>Sucaco, PT (Supreme Cable)</v>
          </cell>
          <cell r="C794" t="str">
            <v>admin@suksesmuliaraya.com; csk2004.smr@gmail.com; csk@suksesmuliaraya.com; adit.salesengineer@suksesmuliaraya.com; nenny.sales@suksesmuliaraya.com</v>
          </cell>
          <cell r="D794" t="str">
            <v>Fauziyah</v>
          </cell>
          <cell r="E794" t="str">
            <v/>
          </cell>
          <cell r="F794" t="str">
            <v/>
          </cell>
          <cell r="G794" t="b">
            <v>0</v>
          </cell>
          <cell r="H794" t="b">
            <v>0</v>
          </cell>
          <cell r="I794" t="b">
            <v>0</v>
          </cell>
          <cell r="J794" t="b">
            <v>0</v>
          </cell>
          <cell r="K794" t="b">
            <v>0</v>
          </cell>
          <cell r="L794" t="b">
            <v>0</v>
          </cell>
          <cell r="M794" t="b">
            <v>0</v>
          </cell>
          <cell r="N794" t="b">
            <v>0</v>
          </cell>
          <cell r="O794" t="b">
            <v>0</v>
          </cell>
          <cell r="P794" t="b">
            <v>0</v>
          </cell>
          <cell r="Q794" t="b">
            <v>0</v>
          </cell>
          <cell r="R794" t="b">
            <v>0</v>
          </cell>
          <cell r="S794" t="b">
            <v>0</v>
          </cell>
          <cell r="T794" t="b">
            <v>0</v>
          </cell>
          <cell r="U794" t="str">
            <v>NA</v>
          </cell>
          <cell r="V794" t="str">
            <v>No Register</v>
          </cell>
          <cell r="W794" t="str">
            <v/>
          </cell>
          <cell r="Y794" t="str">
            <v/>
          </cell>
        </row>
        <row r="795">
          <cell r="B795" t="str">
            <v>Sukses Mulia Raya, PT</v>
          </cell>
          <cell r="C795" t="str">
            <v>sales@summitsolartech.net</v>
          </cell>
          <cell r="D795" t="str">
            <v>Xiao Benyi</v>
          </cell>
          <cell r="E795" t="str">
            <v/>
          </cell>
          <cell r="F795" t="str">
            <v/>
          </cell>
          <cell r="G795" t="b">
            <v>0</v>
          </cell>
          <cell r="H795" t="b">
            <v>1</v>
          </cell>
          <cell r="I795" t="b">
            <v>0</v>
          </cell>
          <cell r="J795" t="b">
            <v>0</v>
          </cell>
          <cell r="K795" t="b">
            <v>0</v>
          </cell>
          <cell r="L795" t="b">
            <v>0</v>
          </cell>
          <cell r="M795" t="b">
            <v>0</v>
          </cell>
          <cell r="N795" t="b">
            <v>0</v>
          </cell>
          <cell r="O795" t="b">
            <v>0</v>
          </cell>
          <cell r="P795" t="b">
            <v>0</v>
          </cell>
          <cell r="Q795" t="b">
            <v>0</v>
          </cell>
          <cell r="R795" t="b">
            <v>0</v>
          </cell>
          <cell r="S795" t="b">
            <v>0</v>
          </cell>
          <cell r="T795" t="b">
            <v>0</v>
          </cell>
          <cell r="U795" t="str">
            <v>NA</v>
          </cell>
          <cell r="V795" t="str">
            <v>No Register</v>
          </cell>
          <cell r="W795" t="str">
            <v/>
          </cell>
          <cell r="Y795" t="str">
            <v>Electrical</v>
          </cell>
        </row>
        <row r="796">
          <cell r="B796" t="str">
            <v>Summit Solar Tech, PT</v>
          </cell>
          <cell r="C796" t="str">
            <v>syn.inti.utama@gmail.com; alzanzea.ysf@gmail.com</v>
          </cell>
          <cell r="D796" t="str">
            <v>Rahadyan</v>
          </cell>
          <cell r="E796" t="str">
            <v>081216888207</v>
          </cell>
          <cell r="F796" t="str">
            <v/>
          </cell>
          <cell r="G796" t="b">
            <v>0</v>
          </cell>
          <cell r="H796" t="b">
            <v>0</v>
          </cell>
          <cell r="I796" t="b">
            <v>0</v>
          </cell>
          <cell r="J796" t="b">
            <v>0</v>
          </cell>
          <cell r="K796" t="b">
            <v>0</v>
          </cell>
          <cell r="L796" t="b">
            <v>0</v>
          </cell>
          <cell r="M796" t="b">
            <v>0</v>
          </cell>
          <cell r="N796" t="b">
            <v>0</v>
          </cell>
          <cell r="O796" t="b">
            <v>1</v>
          </cell>
          <cell r="P796" t="b">
            <v>0</v>
          </cell>
          <cell r="Q796" t="b">
            <v>0</v>
          </cell>
          <cell r="R796" t="b">
            <v>0</v>
          </cell>
          <cell r="S796" t="b">
            <v>0</v>
          </cell>
          <cell r="T796" t="b">
            <v>0</v>
          </cell>
          <cell r="U796" t="str">
            <v>A</v>
          </cell>
          <cell r="V796" t="str">
            <v>No Register</v>
          </cell>
          <cell r="W796" t="str">
            <v/>
          </cell>
          <cell r="Y796" t="str">
            <v>Service &amp; Consult Genset</v>
          </cell>
        </row>
        <row r="797">
          <cell r="B797" t="str">
            <v>Synergi Inti Utama, PT</v>
          </cell>
          <cell r="C797" t="str">
            <v>renitahestiyanie27@gmail.com; pttanjungbaru63@yahoo.com</v>
          </cell>
          <cell r="D797" t="str">
            <v>Renita H</v>
          </cell>
          <cell r="E797" t="str">
            <v>08214860849</v>
          </cell>
          <cell r="F797" t="str">
            <v/>
          </cell>
          <cell r="G797" t="b">
            <v>1</v>
          </cell>
          <cell r="H797" t="b">
            <v>0</v>
          </cell>
          <cell r="I797" t="b">
            <v>0</v>
          </cell>
          <cell r="J797" t="b">
            <v>0</v>
          </cell>
          <cell r="K797" t="b">
            <v>0</v>
          </cell>
          <cell r="L797" t="b">
            <v>0</v>
          </cell>
          <cell r="M797" t="b">
            <v>0</v>
          </cell>
          <cell r="N797" t="b">
            <v>1</v>
          </cell>
          <cell r="O797" t="b">
            <v>1</v>
          </cell>
          <cell r="P797" t="b">
            <v>0</v>
          </cell>
          <cell r="Q797" t="b">
            <v>0</v>
          </cell>
          <cell r="R797" t="b">
            <v>0</v>
          </cell>
          <cell r="S797" t="b">
            <v>0</v>
          </cell>
          <cell r="T797" t="b">
            <v>0</v>
          </cell>
          <cell r="U797" t="str">
            <v>NA</v>
          </cell>
          <cell r="V797" t="str">
            <v>No Register</v>
          </cell>
          <cell r="W797" t="str">
            <v/>
          </cell>
          <cell r="Y797" t="str">
            <v xml:space="preserve">Service </v>
          </cell>
        </row>
        <row r="798">
          <cell r="B798" t="str">
            <v>Tanjung Baru 63, PT</v>
          </cell>
          <cell r="C798" t="str">
            <v>boy.bakamaro@torako.co.id</v>
          </cell>
          <cell r="D798" t="str">
            <v>Boy</v>
          </cell>
          <cell r="E798" t="str">
            <v>081361684556</v>
          </cell>
          <cell r="F798" t="str">
            <v/>
          </cell>
          <cell r="G798" t="b">
            <v>1</v>
          </cell>
          <cell r="H798" t="b">
            <v>0</v>
          </cell>
          <cell r="I798" t="b">
            <v>0</v>
          </cell>
          <cell r="J798" t="b">
            <v>0</v>
          </cell>
          <cell r="K798" t="b">
            <v>0</v>
          </cell>
          <cell r="L798" t="b">
            <v>0</v>
          </cell>
          <cell r="M798" t="b">
            <v>0</v>
          </cell>
          <cell r="N798" t="b">
            <v>0</v>
          </cell>
          <cell r="O798" t="b">
            <v>0</v>
          </cell>
          <cell r="P798" t="b">
            <v>0</v>
          </cell>
          <cell r="Q798" t="b">
            <v>0</v>
          </cell>
          <cell r="R798" t="b">
            <v>0</v>
          </cell>
          <cell r="S798" t="b">
            <v>0</v>
          </cell>
          <cell r="T798" t="b">
            <v>1</v>
          </cell>
          <cell r="U798" t="str">
            <v>NA</v>
          </cell>
          <cell r="V798" t="str">
            <v>No Register</v>
          </cell>
          <cell r="W798" t="str">
            <v/>
          </cell>
          <cell r="Y798" t="str">
            <v>AD CUMI Valve</v>
          </cell>
        </row>
        <row r="799">
          <cell r="B799" t="str">
            <v>Torako, PT</v>
          </cell>
          <cell r="C799" t="str">
            <v>susan@totalfire.co.id; muliawan@totalfire.co.id; info@totalfire.co.id</v>
          </cell>
          <cell r="D799" t="str">
            <v>Susan</v>
          </cell>
          <cell r="E799" t="str">
            <v>021-30052533</v>
          </cell>
          <cell r="F799" t="str">
            <v/>
          </cell>
          <cell r="G799" t="b">
            <v>0</v>
          </cell>
          <cell r="H799" t="b">
            <v>0</v>
          </cell>
          <cell r="I799" t="b">
            <v>0</v>
          </cell>
          <cell r="J799" t="b">
            <v>0</v>
          </cell>
          <cell r="K799" t="b">
            <v>0</v>
          </cell>
          <cell r="L799" t="b">
            <v>0</v>
          </cell>
          <cell r="M799" t="b">
            <v>0</v>
          </cell>
          <cell r="N799" t="b">
            <v>0</v>
          </cell>
          <cell r="O799" t="b">
            <v>0</v>
          </cell>
          <cell r="P799" t="b">
            <v>0</v>
          </cell>
          <cell r="Q799" t="b">
            <v>0</v>
          </cell>
          <cell r="R799" t="b">
            <v>0</v>
          </cell>
          <cell r="S799" t="b">
            <v>0</v>
          </cell>
          <cell r="T799" t="b">
            <v>0</v>
          </cell>
          <cell r="U799" t="str">
            <v>NA</v>
          </cell>
          <cell r="V799" t="str">
            <v>No Register</v>
          </cell>
          <cell r="W799" t="str">
            <v/>
          </cell>
          <cell r="Y799" t="str">
            <v/>
          </cell>
        </row>
        <row r="800">
          <cell r="B800" t="str">
            <v>Totalfire Indonesia, PT</v>
          </cell>
          <cell r="C800" t="str">
            <v>sigit.marwanto@pt-tse.com; pt.tse@yahoo.com; admin@pt-tse.com; agung.sulistriawan@pt-tse.com</v>
          </cell>
          <cell r="D800" t="str">
            <v>Sigit Marwanto</v>
          </cell>
          <cell r="E800" t="str">
            <v>08158050244</v>
          </cell>
          <cell r="F800" t="str">
            <v/>
          </cell>
          <cell r="G800" t="b">
            <v>0</v>
          </cell>
          <cell r="H800" t="b">
            <v>0</v>
          </cell>
          <cell r="I800" t="b">
            <v>0</v>
          </cell>
          <cell r="J800" t="b">
            <v>0</v>
          </cell>
          <cell r="K800" t="b">
            <v>0</v>
          </cell>
          <cell r="L800" t="b">
            <v>0</v>
          </cell>
          <cell r="M800" t="b">
            <v>0</v>
          </cell>
          <cell r="N800" t="b">
            <v>0</v>
          </cell>
          <cell r="O800" t="b">
            <v>0</v>
          </cell>
          <cell r="P800" t="b">
            <v>0</v>
          </cell>
          <cell r="Q800" t="b">
            <v>0</v>
          </cell>
          <cell r="R800" t="b">
            <v>0</v>
          </cell>
          <cell r="S800" t="b">
            <v>0</v>
          </cell>
          <cell r="T800" t="b">
            <v>0</v>
          </cell>
          <cell r="U800" t="str">
            <v>NA</v>
          </cell>
          <cell r="V800" t="str">
            <v>No Register</v>
          </cell>
          <cell r="W800" t="str">
            <v/>
          </cell>
          <cell r="Y800" t="str">
            <v/>
          </cell>
        </row>
        <row r="801">
          <cell r="B801" t="str">
            <v>Trafo Solusi Engineering, PT</v>
          </cell>
          <cell r="C801" t="str">
            <v>m.ariq@trafoindonesia.com; service@trafoindonesia.com; purnomosidhi@trafoindonesia.com; elsaf.mandake@trafoindonesia.com</v>
          </cell>
          <cell r="D801" t="str">
            <v>Ariq; Raja; Ajeng</v>
          </cell>
          <cell r="E801" t="str">
            <v>081586715406; 081510465573; 081519537042</v>
          </cell>
          <cell r="F801" t="str">
            <v>JI. Hayam Wuruk No. 4 FX, Kel. Kebon Kelapa, Kee. Gambir, Jakarta Pusat , 10120. Phone : (62-21) 385 0703, 386 1865, 345 1384, WA Hotline : 0815 1729 0000.</v>
          </cell>
          <cell r="G801" t="b">
            <v>0</v>
          </cell>
          <cell r="H801" t="b">
            <v>1</v>
          </cell>
          <cell r="I801" t="b">
            <v>0</v>
          </cell>
          <cell r="J801" t="b">
            <v>0</v>
          </cell>
          <cell r="K801" t="b">
            <v>0</v>
          </cell>
          <cell r="L801" t="b">
            <v>0</v>
          </cell>
          <cell r="M801" t="b">
            <v>0</v>
          </cell>
          <cell r="N801" t="b">
            <v>0</v>
          </cell>
          <cell r="O801" t="b">
            <v>0</v>
          </cell>
          <cell r="P801" t="b">
            <v>0</v>
          </cell>
          <cell r="Q801" t="b">
            <v>0</v>
          </cell>
          <cell r="R801" t="b">
            <v>0</v>
          </cell>
          <cell r="S801" t="b">
            <v>0</v>
          </cell>
          <cell r="T801" t="b">
            <v>0</v>
          </cell>
          <cell r="U801" t="str">
            <v>NA</v>
          </cell>
          <cell r="V801" t="str">
            <v>No Register</v>
          </cell>
          <cell r="W801" t="str">
            <v>MF - EL</v>
          </cell>
          <cell r="X801" t="str">
            <v>Manufacturer - Electrical Manufacturer</v>
          </cell>
          <cell r="Y801" t="str">
            <v>Trafo</v>
          </cell>
        </row>
        <row r="802">
          <cell r="B802" t="str">
            <v>Trafoindo Prima Perkasa, PT</v>
          </cell>
          <cell r="C802" t="str">
            <v>bayu.triargakencana@gmail.com</v>
          </cell>
          <cell r="D802" t="str">
            <v>Bayu</v>
          </cell>
          <cell r="E802" t="str">
            <v>081904445454</v>
          </cell>
          <cell r="F802" t="str">
            <v/>
          </cell>
          <cell r="G802" t="b">
            <v>1</v>
          </cell>
          <cell r="H802" t="b">
            <v>0</v>
          </cell>
          <cell r="I802" t="b">
            <v>0</v>
          </cell>
          <cell r="J802" t="b">
            <v>0</v>
          </cell>
          <cell r="K802" t="b">
            <v>0</v>
          </cell>
          <cell r="L802" t="b">
            <v>0</v>
          </cell>
          <cell r="M802" t="b">
            <v>0</v>
          </cell>
          <cell r="N802" t="b">
            <v>1</v>
          </cell>
          <cell r="O802" t="b">
            <v>0</v>
          </cell>
          <cell r="P802" t="b">
            <v>0</v>
          </cell>
          <cell r="Q802" t="b">
            <v>0</v>
          </cell>
          <cell r="R802" t="b">
            <v>0</v>
          </cell>
          <cell r="S802" t="b">
            <v>0</v>
          </cell>
          <cell r="T802" t="b">
            <v>0</v>
          </cell>
          <cell r="U802" t="str">
            <v>NA</v>
          </cell>
          <cell r="V802" t="str">
            <v>No Register</v>
          </cell>
          <cell r="W802" t="str">
            <v/>
          </cell>
          <cell r="X802" t="str">
            <v>Service Jasa - Mechanical</v>
          </cell>
          <cell r="Y802" t="str">
            <v>Service Genset</v>
          </cell>
        </row>
        <row r="803">
          <cell r="B803" t="str">
            <v>Tri Arga Kencana, PT</v>
          </cell>
          <cell r="C803" t="str">
            <v>marketing@tribhakti.com; admin02.marketing@tribhakti.com; galih.adiwisma@tribhakti.com</v>
          </cell>
          <cell r="D803" t="str">
            <v>Eka</v>
          </cell>
          <cell r="E803" t="str">
            <v>082293777333</v>
          </cell>
          <cell r="F803" t="str">
            <v/>
          </cell>
          <cell r="G803" t="b">
            <v>0</v>
          </cell>
          <cell r="H803" t="b">
            <v>0</v>
          </cell>
          <cell r="I803" t="b">
            <v>0</v>
          </cell>
          <cell r="J803" t="b">
            <v>0</v>
          </cell>
          <cell r="K803" t="b">
            <v>0</v>
          </cell>
          <cell r="L803" t="b">
            <v>0</v>
          </cell>
          <cell r="M803" t="b">
            <v>0</v>
          </cell>
          <cell r="N803" t="b">
            <v>0</v>
          </cell>
          <cell r="O803" t="b">
            <v>0</v>
          </cell>
          <cell r="P803" t="b">
            <v>0</v>
          </cell>
          <cell r="Q803" t="b">
            <v>0</v>
          </cell>
          <cell r="R803" t="b">
            <v>0</v>
          </cell>
          <cell r="S803" t="b">
            <v>0</v>
          </cell>
          <cell r="T803" t="b">
            <v>0</v>
          </cell>
          <cell r="U803" t="str">
            <v>A</v>
          </cell>
          <cell r="V803" t="str">
            <v>No Register</v>
          </cell>
          <cell r="W803" t="str">
            <v/>
          </cell>
          <cell r="Y803" t="str">
            <v>Service Lab</v>
          </cell>
        </row>
        <row r="804">
          <cell r="B804" t="str">
            <v>Tribhakti Inspektama, PT</v>
          </cell>
          <cell r="C804" t="str">
            <v>Sales.trilistrindo@gmail.com; trilistrindo@cbn.net.id</v>
          </cell>
          <cell r="D804" t="str">
            <v>Natan</v>
          </cell>
          <cell r="E804" t="str">
            <v>Tlp. 021-65303736 / Fax. 6516010</v>
          </cell>
          <cell r="F804" t="str">
            <v/>
          </cell>
          <cell r="G804" t="b">
            <v>0</v>
          </cell>
          <cell r="H804" t="b">
            <v>0</v>
          </cell>
          <cell r="I804" t="b">
            <v>0</v>
          </cell>
          <cell r="J804" t="b">
            <v>0</v>
          </cell>
          <cell r="K804" t="b">
            <v>0</v>
          </cell>
          <cell r="L804" t="b">
            <v>0</v>
          </cell>
          <cell r="M804" t="b">
            <v>1</v>
          </cell>
          <cell r="N804" t="b">
            <v>0</v>
          </cell>
          <cell r="O804" t="b">
            <v>0</v>
          </cell>
          <cell r="P804" t="b">
            <v>0</v>
          </cell>
          <cell r="Q804" t="b">
            <v>0</v>
          </cell>
          <cell r="R804" t="b">
            <v>0</v>
          </cell>
          <cell r="S804" t="b">
            <v>1</v>
          </cell>
          <cell r="T804" t="b">
            <v>0</v>
          </cell>
          <cell r="U804" t="str">
            <v>NA</v>
          </cell>
          <cell r="V804" t="str">
            <v>No Register</v>
          </cell>
          <cell r="W804" t="str">
            <v/>
          </cell>
          <cell r="X804" t="str">
            <v>General Trading - Elektrical</v>
          </cell>
          <cell r="Y804" t="str">
            <v>D Raychem</v>
          </cell>
        </row>
        <row r="805">
          <cell r="B805" t="str">
            <v>Trilistrindo Pratama, PT</v>
          </cell>
          <cell r="C805" t="str">
            <v>hardy@trikarta.com; jessie@trikarta.com; andrian@trikarta.com</v>
          </cell>
          <cell r="D805" t="str">
            <v>Jessie Tan</v>
          </cell>
          <cell r="E805" t="str">
            <v>Phone:62-2175900759 Fax:62-2175912875</v>
          </cell>
          <cell r="F805" t="str">
            <v/>
          </cell>
          <cell r="G805" t="b">
            <v>0</v>
          </cell>
          <cell r="H805" t="b">
            <v>0</v>
          </cell>
          <cell r="I805" t="b">
            <v>0</v>
          </cell>
          <cell r="J805" t="b">
            <v>0</v>
          </cell>
          <cell r="K805" t="b">
            <v>0</v>
          </cell>
          <cell r="L805" t="b">
            <v>0</v>
          </cell>
          <cell r="M805" t="b">
            <v>1</v>
          </cell>
          <cell r="N805" t="b">
            <v>0</v>
          </cell>
          <cell r="O805" t="b">
            <v>0</v>
          </cell>
          <cell r="P805" t="b">
            <v>0</v>
          </cell>
          <cell r="Q805" t="b">
            <v>0</v>
          </cell>
          <cell r="R805" t="b">
            <v>0</v>
          </cell>
          <cell r="S805" t="b">
            <v>1</v>
          </cell>
          <cell r="T805" t="b">
            <v>0</v>
          </cell>
          <cell r="U805" t="str">
            <v>NA</v>
          </cell>
          <cell r="V805" t="str">
            <v>No Register</v>
          </cell>
          <cell r="W805" t="str">
            <v>GT - IC</v>
          </cell>
          <cell r="X805" t="str">
            <v>General Trading - Instrument</v>
          </cell>
          <cell r="Y805" t="str">
            <v>spare part IC</v>
          </cell>
        </row>
        <row r="806">
          <cell r="B806" t="str">
            <v xml:space="preserve">Trimitra Karya Cipta, PT </v>
          </cell>
          <cell r="C806" t="str">
            <v>sahar@trusur.com</v>
          </cell>
          <cell r="D806" t="str">
            <v>Andi Saharuddin</v>
          </cell>
          <cell r="E806" t="str">
            <v>Phone: +62.21.2962.7001 - 03
Fax: +62. 21.2962.7005
HP/WA 0811555671</v>
          </cell>
          <cell r="F806" t="str">
            <v/>
          </cell>
          <cell r="G806" t="b">
            <v>0</v>
          </cell>
          <cell r="H806" t="b">
            <v>0</v>
          </cell>
          <cell r="I806" t="b">
            <v>0</v>
          </cell>
          <cell r="J806" t="b">
            <v>0</v>
          </cell>
          <cell r="K806" t="b">
            <v>0</v>
          </cell>
          <cell r="L806" t="b">
            <v>0</v>
          </cell>
          <cell r="M806" t="b">
            <v>0</v>
          </cell>
          <cell r="N806" t="b">
            <v>0</v>
          </cell>
          <cell r="O806" t="b">
            <v>0</v>
          </cell>
          <cell r="P806" t="b">
            <v>0</v>
          </cell>
          <cell r="Q806" t="b">
            <v>0</v>
          </cell>
          <cell r="R806" t="b">
            <v>0</v>
          </cell>
          <cell r="S806" t="b">
            <v>0</v>
          </cell>
          <cell r="T806" t="b">
            <v>0</v>
          </cell>
          <cell r="U806" t="str">
            <v>A</v>
          </cell>
          <cell r="V806" t="str">
            <v>Register</v>
          </cell>
          <cell r="W806" t="str">
            <v/>
          </cell>
          <cell r="Y806" t="str">
            <v/>
          </cell>
        </row>
        <row r="807">
          <cell r="B807" t="str">
            <v>Trusur Unggul Teknusa, PT</v>
          </cell>
          <cell r="C807" t="str">
            <v>hafidh@tsurumipump.co.id</v>
          </cell>
          <cell r="D807" t="str">
            <v>Hafidh Satriawan</v>
          </cell>
          <cell r="E807" t="str">
            <v>Phone : +6221-6599749
Mobile : +6281212112347</v>
          </cell>
          <cell r="F807" t="str">
            <v/>
          </cell>
          <cell r="G807" t="b">
            <v>1</v>
          </cell>
          <cell r="H807" t="b">
            <v>0</v>
          </cell>
          <cell r="I807" t="b">
            <v>0</v>
          </cell>
          <cell r="J807" t="b">
            <v>0</v>
          </cell>
          <cell r="K807" t="b">
            <v>0</v>
          </cell>
          <cell r="L807" t="b">
            <v>0</v>
          </cell>
          <cell r="M807" t="b">
            <v>0</v>
          </cell>
          <cell r="N807" t="b">
            <v>0</v>
          </cell>
          <cell r="O807" t="b">
            <v>0</v>
          </cell>
          <cell r="P807" t="b">
            <v>0</v>
          </cell>
          <cell r="Q807" t="b">
            <v>0</v>
          </cell>
          <cell r="R807" t="b">
            <v>0</v>
          </cell>
          <cell r="S807" t="b">
            <v>0</v>
          </cell>
          <cell r="T807" t="b">
            <v>0</v>
          </cell>
          <cell r="U807" t="str">
            <v>NA</v>
          </cell>
          <cell r="V807" t="str">
            <v>No Register</v>
          </cell>
          <cell r="W807" t="str">
            <v/>
          </cell>
          <cell r="Y807" t="str">
            <v>Pompa Tsurumi</v>
          </cell>
        </row>
        <row r="808">
          <cell r="B808" t="str">
            <v>Tsurumi Pompa Indonesia, PT</v>
          </cell>
          <cell r="C808" t="str">
            <v>frida@vpe-id.com; yogidp@vpe-id.com; ignreno@vpe-id.com; yogidp@vpe-id.com; ignreno@vpe-id.com</v>
          </cell>
          <cell r="D808" t="str">
            <v>Frida</v>
          </cell>
          <cell r="E808" t="str">
            <v>Tel. : +62-217987309
Mobile : +62 878 4734 4339</v>
          </cell>
          <cell r="F808" t="str">
            <v/>
          </cell>
          <cell r="G808" t="b">
            <v>0</v>
          </cell>
          <cell r="H808" t="b">
            <v>0</v>
          </cell>
          <cell r="I808" t="b">
            <v>0</v>
          </cell>
          <cell r="J808" t="b">
            <v>0</v>
          </cell>
          <cell r="K808" t="b">
            <v>0</v>
          </cell>
          <cell r="L808" t="b">
            <v>0</v>
          </cell>
          <cell r="M808" t="b">
            <v>0</v>
          </cell>
          <cell r="N808" t="b">
            <v>0</v>
          </cell>
          <cell r="O808" t="b">
            <v>0</v>
          </cell>
          <cell r="P808" t="b">
            <v>0</v>
          </cell>
          <cell r="Q808" t="b">
            <v>0</v>
          </cell>
          <cell r="R808" t="b">
            <v>0</v>
          </cell>
          <cell r="S808" t="b">
            <v>0</v>
          </cell>
          <cell r="T808" t="b">
            <v>0</v>
          </cell>
          <cell r="U808" t="str">
            <v>NA</v>
          </cell>
          <cell r="V808" t="str">
            <v>No Register</v>
          </cell>
          <cell r="W808" t="str">
            <v/>
          </cell>
          <cell r="Y808" t="str">
            <v/>
          </cell>
        </row>
        <row r="809">
          <cell r="B809" t="str">
            <v>Valui Persada Engineering, PT</v>
          </cell>
          <cell r="C809" t="str">
            <v>venturershinta@gmail.com; commarketing@ptvenss.com; marketing@ptvenss.com</v>
          </cell>
          <cell r="D809" t="str">
            <v>Hana</v>
          </cell>
          <cell r="E809" t="str">
            <v>081313493498</v>
          </cell>
          <cell r="F809" t="str">
            <v/>
          </cell>
          <cell r="G809" t="b">
            <v>1</v>
          </cell>
          <cell r="H809" t="b">
            <v>0</v>
          </cell>
          <cell r="I809" t="b">
            <v>0</v>
          </cell>
          <cell r="J809" t="b">
            <v>0</v>
          </cell>
          <cell r="K809" t="b">
            <v>0</v>
          </cell>
          <cell r="L809" t="b">
            <v>0</v>
          </cell>
          <cell r="M809" t="b">
            <v>0</v>
          </cell>
          <cell r="N809" t="b">
            <v>0</v>
          </cell>
          <cell r="O809" t="b">
            <v>0</v>
          </cell>
          <cell r="P809" t="b">
            <v>0</v>
          </cell>
          <cell r="Q809" t="b">
            <v>0</v>
          </cell>
          <cell r="R809" t="b">
            <v>0</v>
          </cell>
          <cell r="S809" t="b">
            <v>0</v>
          </cell>
          <cell r="T809" t="b">
            <v>0</v>
          </cell>
          <cell r="U809" t="str">
            <v>A</v>
          </cell>
          <cell r="V809" t="str">
            <v>No Register</v>
          </cell>
          <cell r="W809" t="str">
            <v/>
          </cell>
          <cell r="Y809" t="str">
            <v>Belt Conveyor</v>
          </cell>
        </row>
        <row r="810">
          <cell r="B810" t="str">
            <v>Venturer Shinta Success, PT</v>
          </cell>
          <cell r="C810" t="str">
            <v>sumardin@victorindogroup.co.id</v>
          </cell>
          <cell r="D810" t="str">
            <v>Sumardin Beha</v>
          </cell>
          <cell r="E810" t="str">
            <v>Phone : (+62 61) 8880 9911 (Hunting); Fax : (+62 61) 8880 9996</v>
          </cell>
          <cell r="F810" t="str">
            <v/>
          </cell>
          <cell r="G810" t="b">
            <v>0</v>
          </cell>
          <cell r="H810" t="b">
            <v>0</v>
          </cell>
          <cell r="I810" t="b">
            <v>0</v>
          </cell>
          <cell r="J810" t="b">
            <v>0</v>
          </cell>
          <cell r="K810" t="b">
            <v>0</v>
          </cell>
          <cell r="L810" t="b">
            <v>0</v>
          </cell>
          <cell r="M810" t="b">
            <v>0</v>
          </cell>
          <cell r="N810" t="b">
            <v>0</v>
          </cell>
          <cell r="O810" t="b">
            <v>0</v>
          </cell>
          <cell r="P810" t="b">
            <v>0</v>
          </cell>
          <cell r="Q810" t="b">
            <v>0</v>
          </cell>
          <cell r="R810" t="b">
            <v>0</v>
          </cell>
          <cell r="S810" t="b">
            <v>0</v>
          </cell>
          <cell r="T810" t="b">
            <v>0</v>
          </cell>
          <cell r="U810" t="str">
            <v>NA</v>
          </cell>
          <cell r="V810" t="str">
            <v>No Register</v>
          </cell>
          <cell r="W810" t="str">
            <v/>
          </cell>
          <cell r="Y810" t="str">
            <v/>
          </cell>
        </row>
        <row r="811">
          <cell r="B811" t="str">
            <v>Victorindo Pratama Mandiri, PT</v>
          </cell>
          <cell r="C811" t="str">
            <v>wangunsaripra1ama@gmail.com; wangunsaripratama@gmail.com</v>
          </cell>
          <cell r="D811" t="str">
            <v>Pramudita C.F</v>
          </cell>
          <cell r="E811" t="str">
            <v xml:space="preserve"> 082119442627 </v>
          </cell>
          <cell r="F811" t="str">
            <v/>
          </cell>
          <cell r="G811" t="b">
            <v>0</v>
          </cell>
          <cell r="H811" t="b">
            <v>0</v>
          </cell>
          <cell r="I811" t="b">
            <v>0</v>
          </cell>
          <cell r="J811" t="b">
            <v>0</v>
          </cell>
          <cell r="K811" t="b">
            <v>0</v>
          </cell>
          <cell r="L811" t="b">
            <v>0</v>
          </cell>
          <cell r="M811" t="b">
            <v>0</v>
          </cell>
          <cell r="N811" t="b">
            <v>0</v>
          </cell>
          <cell r="O811" t="b">
            <v>0</v>
          </cell>
          <cell r="P811" t="b">
            <v>0</v>
          </cell>
          <cell r="Q811" t="b">
            <v>0</v>
          </cell>
          <cell r="R811" t="b">
            <v>0</v>
          </cell>
          <cell r="S811" t="b">
            <v>0</v>
          </cell>
          <cell r="T811" t="b">
            <v>0</v>
          </cell>
          <cell r="U811" t="str">
            <v>NA</v>
          </cell>
          <cell r="V811" t="str">
            <v>No Register</v>
          </cell>
          <cell r="W811" t="str">
            <v/>
          </cell>
          <cell r="Y811" t="str">
            <v/>
          </cell>
        </row>
        <row r="812">
          <cell r="B812" t="str">
            <v>Wangun Sari Pratama, PT</v>
          </cell>
          <cell r="C812" t="str">
            <v>engwtu.01@gmail.com</v>
          </cell>
          <cell r="D812" t="str">
            <v>Alvi</v>
          </cell>
          <cell r="E812" t="str">
            <v>082213609618</v>
          </cell>
          <cell r="F812" t="str">
            <v/>
          </cell>
          <cell r="G812" t="b">
            <v>0</v>
          </cell>
          <cell r="H812" t="b">
            <v>0</v>
          </cell>
          <cell r="I812" t="b">
            <v>0</v>
          </cell>
          <cell r="J812" t="b">
            <v>0</v>
          </cell>
          <cell r="K812" t="b">
            <v>1</v>
          </cell>
          <cell r="L812" t="b">
            <v>0</v>
          </cell>
          <cell r="M812" t="b">
            <v>0</v>
          </cell>
          <cell r="N812" t="b">
            <v>1</v>
          </cell>
          <cell r="O812" t="b">
            <v>0</v>
          </cell>
          <cell r="P812" t="b">
            <v>0</v>
          </cell>
          <cell r="Q812" t="b">
            <v>0</v>
          </cell>
          <cell r="R812" t="b">
            <v>0</v>
          </cell>
          <cell r="S812" t="b">
            <v>0</v>
          </cell>
          <cell r="T812" t="b">
            <v>0</v>
          </cell>
          <cell r="U812" t="str">
            <v>NA</v>
          </cell>
          <cell r="V812" t="str">
            <v>No Register</v>
          </cell>
          <cell r="W812" t="str">
            <v/>
          </cell>
          <cell r="Y812" t="str">
            <v>Service fire fighting</v>
          </cell>
        </row>
        <row r="813">
          <cell r="B813" t="str">
            <v>Widjaja Teknik Utama, PT</v>
          </cell>
          <cell r="C813" t="str">
            <v>handriyanto@xdsakti.com; handriyanto124@gmail.com; fadillah.xdsi@gmail.com</v>
          </cell>
          <cell r="D813" t="str">
            <v>Handriyanto</v>
          </cell>
          <cell r="E813" t="str">
            <v>Phone: (021) 22157158</v>
          </cell>
          <cell r="F813" t="str">
            <v/>
          </cell>
          <cell r="G813" t="b">
            <v>0</v>
          </cell>
          <cell r="H813" t="b">
            <v>1</v>
          </cell>
          <cell r="I813" t="b">
            <v>0</v>
          </cell>
          <cell r="J813" t="b">
            <v>0</v>
          </cell>
          <cell r="K813" t="b">
            <v>0</v>
          </cell>
          <cell r="L813" t="b">
            <v>0</v>
          </cell>
          <cell r="M813" t="b">
            <v>0</v>
          </cell>
          <cell r="N813" t="b">
            <v>0</v>
          </cell>
          <cell r="O813" t="b">
            <v>0</v>
          </cell>
          <cell r="P813" t="b">
            <v>0</v>
          </cell>
          <cell r="Q813" t="b">
            <v>0</v>
          </cell>
          <cell r="R813" t="b">
            <v>0</v>
          </cell>
          <cell r="S813" t="b">
            <v>0</v>
          </cell>
          <cell r="T813" t="b">
            <v>0</v>
          </cell>
          <cell r="U813" t="str">
            <v>NA</v>
          </cell>
          <cell r="V813" t="str">
            <v>No Register</v>
          </cell>
          <cell r="W813" t="str">
            <v/>
          </cell>
          <cell r="Y813" t="str">
            <v>Electrical</v>
          </cell>
        </row>
        <row r="814">
          <cell r="B814" t="str">
            <v>XD Sakti Indonesia, PT</v>
          </cell>
          <cell r="C814" t="str">
            <v>mochammad.wisna@yahoo.com; ybp.bangun@yahoo.com</v>
          </cell>
          <cell r="D814" t="str">
            <v>Wisna</v>
          </cell>
          <cell r="E814" t="str">
            <v>081251740224</v>
          </cell>
          <cell r="F814" t="str">
            <v/>
          </cell>
          <cell r="G814" t="b">
            <v>1</v>
          </cell>
          <cell r="H814" t="b">
            <v>0</v>
          </cell>
          <cell r="I814" t="b">
            <v>0</v>
          </cell>
          <cell r="J814" t="b">
            <v>0</v>
          </cell>
          <cell r="K814" t="b">
            <v>0</v>
          </cell>
          <cell r="L814" t="b">
            <v>0</v>
          </cell>
          <cell r="M814" t="b">
            <v>0</v>
          </cell>
          <cell r="N814" t="b">
            <v>1</v>
          </cell>
          <cell r="O814" t="b">
            <v>0</v>
          </cell>
          <cell r="P814" t="b">
            <v>0</v>
          </cell>
          <cell r="Q814" t="b">
            <v>0</v>
          </cell>
          <cell r="R814" t="b">
            <v>0</v>
          </cell>
          <cell r="S814" t="b">
            <v>0</v>
          </cell>
          <cell r="T814" t="b">
            <v>0</v>
          </cell>
          <cell r="U814" t="str">
            <v>NA</v>
          </cell>
          <cell r="V814" t="str">
            <v>No Register</v>
          </cell>
          <cell r="W814" t="str">
            <v/>
          </cell>
          <cell r="Y814" t="str">
            <v>Service</v>
          </cell>
        </row>
        <row r="815">
          <cell r="B815" t="str">
            <v>Yoga Bangun Persada, PT</v>
          </cell>
          <cell r="C815" t="str">
            <v>unosoltek@gmail.com</v>
          </cell>
          <cell r="D815" t="str">
            <v>Yanuar</v>
          </cell>
          <cell r="E815" t="str">
            <v>082255176981</v>
          </cell>
          <cell r="G815" t="str">
            <v>□</v>
          </cell>
          <cell r="H815" t="str">
            <v>□</v>
          </cell>
          <cell r="I815" t="str">
            <v>□</v>
          </cell>
          <cell r="J815" t="str">
            <v>□</v>
          </cell>
          <cell r="K815" t="str">
            <v>□</v>
          </cell>
          <cell r="L815" t="str">
            <v>□</v>
          </cell>
          <cell r="M815" t="str">
            <v>□</v>
          </cell>
          <cell r="N815" t="str">
            <v>□</v>
          </cell>
          <cell r="O815" t="str">
            <v>□</v>
          </cell>
          <cell r="P815" t="str">
            <v>□</v>
          </cell>
          <cell r="Q815" t="str">
            <v>□</v>
          </cell>
          <cell r="R815" t="str">
            <v>□</v>
          </cell>
          <cell r="S815" t="str">
            <v>□</v>
          </cell>
          <cell r="T815" t="str">
            <v>□</v>
          </cell>
          <cell r="U815" t="str">
            <v>NA</v>
          </cell>
          <cell r="V815" t="str">
            <v>No Register</v>
          </cell>
          <cell r="W815" t="str">
            <v/>
          </cell>
          <cell r="X815" t="str">
            <v>Service Jasa - Calibration / Testing</v>
          </cell>
          <cell r="Y815" t="str">
            <v>Service</v>
          </cell>
        </row>
        <row r="816">
          <cell r="B816" t="str">
            <v>Uno Solusi Teknik, CV</v>
          </cell>
          <cell r="C816" t="str">
            <v>igirsang@protk.co.id</v>
          </cell>
          <cell r="D816" t="str">
            <v>Immanuel</v>
          </cell>
          <cell r="E816" t="str">
            <v>081385689079</v>
          </cell>
          <cell r="F816" t="str">
            <v>Plaza 3 Pondok Indah. Blok F No. 4-5. Jl. TB Simatupang.
Pondok Pinang, Jakarta Selatan. 12310. Indonesia</v>
          </cell>
          <cell r="G816" t="b">
            <v>1</v>
          </cell>
          <cell r="H816" t="b">
            <v>0</v>
          </cell>
          <cell r="I816" t="b">
            <v>0</v>
          </cell>
          <cell r="J816" t="b">
            <v>0</v>
          </cell>
          <cell r="K816" t="b">
            <v>0</v>
          </cell>
          <cell r="L816" t="b">
            <v>0</v>
          </cell>
          <cell r="M816" t="b">
            <v>0</v>
          </cell>
          <cell r="N816" t="b">
            <v>0</v>
          </cell>
          <cell r="O816" t="b">
            <v>0</v>
          </cell>
          <cell r="P816" t="b">
            <v>0</v>
          </cell>
          <cell r="Q816" t="b">
            <v>0</v>
          </cell>
          <cell r="R816" t="b">
            <v>0</v>
          </cell>
          <cell r="S816" t="b">
            <v>0</v>
          </cell>
          <cell r="U816" t="str">
            <v>NA</v>
          </cell>
          <cell r="V816" t="str">
            <v>Register</v>
          </cell>
          <cell r="W816" t="str">
            <v/>
          </cell>
          <cell r="X816" t="str">
            <v>Service Jasa - Electrical
Service Jasa - Mechanical</v>
          </cell>
          <cell r="Y816" t="str">
            <v>Honeywell</v>
          </cell>
        </row>
        <row r="817">
          <cell r="B817" t="str">
            <v>ODG Nusantara Jaya, PT</v>
          </cell>
          <cell r="C817" t="str">
            <v>indra.mahesywara@multindo-technology.com</v>
          </cell>
          <cell r="D817" t="str">
            <v>Indra</v>
          </cell>
          <cell r="E817" t="str">
            <v>081251346347</v>
          </cell>
          <cell r="F817" t="str">
            <v>CEO Building Jl. TB Simatupang No.18C, RT.7/RW.9, Cilandak, Jakarta Selatan, Jakarta
Jl. Swadarma No. D10 Mabuun, Tanjung, Tabalong, Kalimantan Selatan</v>
          </cell>
          <cell r="G817" t="b">
            <v>0</v>
          </cell>
          <cell r="H817" t="b">
            <v>0</v>
          </cell>
          <cell r="I817" t="b">
            <v>0</v>
          </cell>
          <cell r="J817" t="b">
            <v>0</v>
          </cell>
          <cell r="K817" t="b">
            <v>0</v>
          </cell>
          <cell r="L817" t="b">
            <v>0</v>
          </cell>
          <cell r="M817" t="b">
            <v>1</v>
          </cell>
          <cell r="N817" t="b">
            <v>0</v>
          </cell>
          <cell r="O817" t="b">
            <v>0</v>
          </cell>
          <cell r="P817" t="b">
            <v>0</v>
          </cell>
          <cell r="Q817" t="b">
            <v>0</v>
          </cell>
          <cell r="R817" t="b">
            <v>0</v>
          </cell>
          <cell r="S817" t="b">
            <v>1</v>
          </cell>
          <cell r="T817" t="b">
            <v>0</v>
          </cell>
          <cell r="U817" t="str">
            <v>A</v>
          </cell>
          <cell r="V817" t="str">
            <v>No Register</v>
          </cell>
          <cell r="W817" t="str">
            <v/>
          </cell>
          <cell r="X817" t="str">
            <v>General Trading - Elektrical</v>
          </cell>
          <cell r="Y817" t="str">
            <v>Honeywell</v>
          </cell>
        </row>
        <row r="818">
          <cell r="B818" t="str">
            <v>Multindo Technology Utama, PT</v>
          </cell>
          <cell r="C818" t="str">
            <v>jenny@jagakarya.com;  info@jagakarya.com</v>
          </cell>
          <cell r="D818" t="str">
            <v>Jenny</v>
          </cell>
          <cell r="E818" t="str">
            <v>087886601896</v>
          </cell>
          <cell r="F818" t="str">
            <v>Pusat Niaga Roxy Mas Blok E1-20 JL KH Hasyim Ashari 125 - Kel Cideng - Kec Gambir -Jakarta 10150 Indonesia</v>
          </cell>
          <cell r="G818" t="b">
            <v>0</v>
          </cell>
          <cell r="H818" t="b">
            <v>0</v>
          </cell>
          <cell r="I818" t="b">
            <v>0</v>
          </cell>
          <cell r="J818" t="b">
            <v>0</v>
          </cell>
          <cell r="K818" t="b">
            <v>0</v>
          </cell>
          <cell r="L818" t="b">
            <v>0</v>
          </cell>
          <cell r="M818" t="b">
            <v>1</v>
          </cell>
          <cell r="N818" t="b">
            <v>0</v>
          </cell>
          <cell r="O818" t="b">
            <v>0</v>
          </cell>
          <cell r="P818" t="b">
            <v>0</v>
          </cell>
          <cell r="Q818" t="b">
            <v>0</v>
          </cell>
          <cell r="R818" t="b">
            <v>0</v>
          </cell>
          <cell r="S818" t="b">
            <v>1</v>
          </cell>
          <cell r="T818" t="b">
            <v>0</v>
          </cell>
          <cell r="U818" t="str">
            <v>A</v>
          </cell>
          <cell r="V818" t="str">
            <v>No Register</v>
          </cell>
          <cell r="W818" t="str">
            <v/>
          </cell>
          <cell r="X818" t="str">
            <v>General Trading - Elektrical</v>
          </cell>
          <cell r="Y818" t="str">
            <v>Honeywell</v>
          </cell>
        </row>
        <row r="819">
          <cell r="B819" t="str">
            <v>Jaga Karya Mandiri, PT</v>
          </cell>
          <cell r="C819" t="str">
            <v>qhse.ptmse@gmail.com; kukuh.karnanto@yahoo.co.id; office@mse.co.id</v>
          </cell>
          <cell r="D819" t="str">
            <v>Hery</v>
          </cell>
          <cell r="E819" t="str">
            <v>0318434184</v>
          </cell>
          <cell r="F819" t="str">
            <v>Jl. Raya Tenggilis Mejoyo AA-1/121 Surabaya 60293</v>
          </cell>
          <cell r="G819" t="b">
            <v>0</v>
          </cell>
          <cell r="H819" t="b">
            <v>0</v>
          </cell>
          <cell r="I819" t="b">
            <v>0</v>
          </cell>
          <cell r="J819" t="b">
            <v>0</v>
          </cell>
          <cell r="K819" t="b">
            <v>0</v>
          </cell>
          <cell r="L819" t="b">
            <v>0</v>
          </cell>
          <cell r="M819" t="b">
            <v>0</v>
          </cell>
          <cell r="N819" t="b">
            <v>0</v>
          </cell>
          <cell r="O819" t="b">
            <v>0</v>
          </cell>
          <cell r="P819" t="b">
            <v>0</v>
          </cell>
          <cell r="Q819" t="b">
            <v>0</v>
          </cell>
          <cell r="R819" t="b">
            <v>0</v>
          </cell>
          <cell r="S819" t="b">
            <v>0</v>
          </cell>
          <cell r="U819" t="str">
            <v>A</v>
          </cell>
          <cell r="V819" t="str">
            <v>No Register</v>
          </cell>
          <cell r="W819" t="str">
            <v/>
          </cell>
        </row>
        <row r="820">
          <cell r="B820" t="str">
            <v>Mardika Sarana Engineering, PT</v>
          </cell>
          <cell r="C820" t="str">
            <v>pahala.pme@gmail.com</v>
          </cell>
          <cell r="F820" t="str">
            <v>Jl. Melati Indah Gg Melati I No 4 Oramuka Banjarmasin 70238</v>
          </cell>
          <cell r="G820" t="b">
            <v>0</v>
          </cell>
          <cell r="H820" t="b">
            <v>0</v>
          </cell>
          <cell r="I820" t="b">
            <v>0</v>
          </cell>
          <cell r="J820" t="b">
            <v>0</v>
          </cell>
          <cell r="K820" t="b">
            <v>0</v>
          </cell>
          <cell r="L820" t="b">
            <v>0</v>
          </cell>
          <cell r="M820" t="b">
            <v>0</v>
          </cell>
          <cell r="N820" t="b">
            <v>0</v>
          </cell>
          <cell r="O820" t="b">
            <v>0</v>
          </cell>
          <cell r="P820" t="b">
            <v>0</v>
          </cell>
          <cell r="Q820" t="b">
            <v>0</v>
          </cell>
          <cell r="R820" t="b">
            <v>0</v>
          </cell>
          <cell r="S820" t="b">
            <v>0</v>
          </cell>
          <cell r="U820" t="str">
            <v>A</v>
          </cell>
          <cell r="V820" t="str">
            <v>No Register</v>
          </cell>
          <cell r="W820" t="str">
            <v/>
          </cell>
        </row>
        <row r="821">
          <cell r="B821" t="str">
            <v>Pahala Mitra Elektrik, PT</v>
          </cell>
          <cell r="C821" t="str">
            <v>sales@mulyajatra.com; info@mulyajatra.com; zaenal.fachrudin@mulyajatra.com</v>
          </cell>
          <cell r="D821" t="str">
            <v>Zaenal</v>
          </cell>
          <cell r="E821" t="str">
            <v>08121747477</v>
          </cell>
          <cell r="G821" t="b">
            <v>0</v>
          </cell>
          <cell r="H821" t="b">
            <v>0</v>
          </cell>
          <cell r="I821" t="b">
            <v>0</v>
          </cell>
          <cell r="J821" t="b">
            <v>0</v>
          </cell>
          <cell r="K821" t="b">
            <v>0</v>
          </cell>
          <cell r="L821" t="b">
            <v>0</v>
          </cell>
          <cell r="M821" t="b">
            <v>0</v>
          </cell>
          <cell r="N821" t="b">
            <v>0</v>
          </cell>
          <cell r="O821" t="b">
            <v>0</v>
          </cell>
          <cell r="P821" t="b">
            <v>0</v>
          </cell>
          <cell r="Q821" t="b">
            <v>0</v>
          </cell>
          <cell r="R821" t="b">
            <v>0</v>
          </cell>
          <cell r="S821" t="b">
            <v>0</v>
          </cell>
          <cell r="U821" t="str">
            <v>A</v>
          </cell>
          <cell r="V821" t="str">
            <v>No Register</v>
          </cell>
          <cell r="W821" t="str">
            <v/>
          </cell>
        </row>
        <row r="822">
          <cell r="B822" t="str">
            <v>Mulya Jatra, PT</v>
          </cell>
          <cell r="C822" t="str">
            <v>inti_ds@yahoo.co.id</v>
          </cell>
          <cell r="D822" t="str">
            <v>Willy</v>
          </cell>
          <cell r="E822" t="str">
            <v>087884647496</v>
          </cell>
          <cell r="G822" t="b">
            <v>0</v>
          </cell>
          <cell r="H822" t="b">
            <v>0</v>
          </cell>
          <cell r="I822" t="b">
            <v>0</v>
          </cell>
          <cell r="J822" t="b">
            <v>0</v>
          </cell>
          <cell r="K822" t="b">
            <v>0</v>
          </cell>
          <cell r="L822" t="b">
            <v>0</v>
          </cell>
          <cell r="M822" t="b">
            <v>0</v>
          </cell>
          <cell r="N822" t="b">
            <v>0</v>
          </cell>
          <cell r="O822" t="b">
            <v>0</v>
          </cell>
          <cell r="P822" t="b">
            <v>0</v>
          </cell>
          <cell r="Q822" t="b">
            <v>0</v>
          </cell>
          <cell r="R822" t="b">
            <v>0</v>
          </cell>
          <cell r="S822" t="b">
            <v>0</v>
          </cell>
          <cell r="U822" t="str">
            <v>A</v>
          </cell>
          <cell r="V822" t="str">
            <v>No Register</v>
          </cell>
          <cell r="W822" t="str">
            <v/>
          </cell>
          <cell r="X822" t="str">
            <v>Utilities - Ash Handling &amp; Disposal</v>
          </cell>
          <cell r="Y822" t="str">
            <v>Pasir Silika</v>
          </cell>
        </row>
        <row r="823">
          <cell r="B823" t="str">
            <v>Inti Dwijaya Sentosa, CV</v>
          </cell>
          <cell r="C823" t="str">
            <v>Fahmi.silikacab@gmail.com</v>
          </cell>
          <cell r="E823" t="str">
            <v>085379519360</v>
          </cell>
          <cell r="G823" t="b">
            <v>0</v>
          </cell>
          <cell r="H823" t="b">
            <v>0</v>
          </cell>
          <cell r="I823" t="b">
            <v>0</v>
          </cell>
          <cell r="J823" t="b">
            <v>0</v>
          </cell>
          <cell r="K823" t="b">
            <v>0</v>
          </cell>
          <cell r="L823" t="b">
            <v>0</v>
          </cell>
          <cell r="M823" t="b">
            <v>0</v>
          </cell>
          <cell r="N823" t="b">
            <v>0</v>
          </cell>
          <cell r="O823" t="b">
            <v>0</v>
          </cell>
          <cell r="P823" t="b">
            <v>0</v>
          </cell>
          <cell r="Q823" t="b">
            <v>0</v>
          </cell>
          <cell r="R823" t="b">
            <v>0</v>
          </cell>
          <cell r="S823" t="b">
            <v>0</v>
          </cell>
          <cell r="U823" t="str">
            <v>NA</v>
          </cell>
          <cell r="V823" t="str">
            <v>No Register</v>
          </cell>
          <cell r="W823" t="str">
            <v/>
          </cell>
          <cell r="Y823" t="str">
            <v>Pasir Silika</v>
          </cell>
        </row>
        <row r="824">
          <cell r="B824" t="str">
            <v>Catur Anagata Buana, PT</v>
          </cell>
          <cell r="C824" t="str">
            <v>qhse.ptmse@gmail.com</v>
          </cell>
          <cell r="F824" t="str">
            <v>Jl. Tenggilis Lama IV No.54, Tenggilis Mejoyo, Kec. Tenggilis Mejoyo, Surabaya, Jawa Timur 60293</v>
          </cell>
          <cell r="G824" t="b">
            <v>0</v>
          </cell>
          <cell r="H824" t="b">
            <v>0</v>
          </cell>
          <cell r="I824" t="b">
            <v>0</v>
          </cell>
          <cell r="J824" t="b">
            <v>0</v>
          </cell>
          <cell r="K824" t="b">
            <v>0</v>
          </cell>
          <cell r="L824" t="b">
            <v>0</v>
          </cell>
          <cell r="M824" t="b">
            <v>0</v>
          </cell>
          <cell r="N824" t="b">
            <v>0</v>
          </cell>
          <cell r="O824" t="b">
            <v>0</v>
          </cell>
          <cell r="P824" t="b">
            <v>0</v>
          </cell>
          <cell r="Q824" t="b">
            <v>0</v>
          </cell>
          <cell r="R824" t="b">
            <v>0</v>
          </cell>
          <cell r="S824" t="b">
            <v>0</v>
          </cell>
          <cell r="U824" t="str">
            <v>NA</v>
          </cell>
          <cell r="V824" t="str">
            <v>No Register</v>
          </cell>
          <cell r="W824" t="str">
            <v/>
          </cell>
        </row>
        <row r="825">
          <cell r="B825" t="str">
            <v>Mandika Sarana Engineering, PT</v>
          </cell>
          <cell r="C825" t="str">
            <v>sevie.shalha@siemens-energy.com; tri-cahyo.prakoso@siemens-energy.com</v>
          </cell>
          <cell r="G825" t="b">
            <v>1</v>
          </cell>
          <cell r="H825" t="b">
            <v>0</v>
          </cell>
          <cell r="I825" t="b">
            <v>0</v>
          </cell>
          <cell r="J825" t="b">
            <v>0</v>
          </cell>
          <cell r="K825" t="b">
            <v>0</v>
          </cell>
          <cell r="L825" t="b">
            <v>0</v>
          </cell>
          <cell r="M825" t="b">
            <v>0</v>
          </cell>
          <cell r="N825" t="b">
            <v>0</v>
          </cell>
          <cell r="O825" t="b">
            <v>0</v>
          </cell>
          <cell r="P825" t="b">
            <v>0</v>
          </cell>
          <cell r="Q825" t="b">
            <v>0</v>
          </cell>
          <cell r="R825" t="b">
            <v>0</v>
          </cell>
          <cell r="S825" t="b">
            <v>0</v>
          </cell>
          <cell r="T825" t="b">
            <v>1</v>
          </cell>
          <cell r="U825" t="str">
            <v>NA</v>
          </cell>
          <cell r="V825" t="str">
            <v>No Register</v>
          </cell>
          <cell r="W825" t="str">
            <v>GT - ME</v>
          </cell>
          <cell r="X825" t="str">
            <v>General Trading - Mechanical</v>
          </cell>
          <cell r="Y825" t="str">
            <v>AD Siemens</v>
          </cell>
        </row>
        <row r="826">
          <cell r="B826" t="str">
            <v>Siemens Energy Indonesia, PT</v>
          </cell>
          <cell r="C826" t="str">
            <v>sales@ptgmsa.com; stephen@ptgmsa.com</v>
          </cell>
          <cell r="D826" t="str">
            <v>Stephen</v>
          </cell>
          <cell r="E826" t="str">
            <v>081264263388</v>
          </cell>
          <cell r="F826" t="str">
            <v>Jl. Mustafa No. 9, Medan Timur, Medan, Sumatera Utara, Indonesia.</v>
          </cell>
          <cell r="G826" t="b">
            <v>0</v>
          </cell>
          <cell r="H826" t="b">
            <v>0</v>
          </cell>
          <cell r="I826" t="b">
            <v>0</v>
          </cell>
          <cell r="J826" t="b">
            <v>0</v>
          </cell>
          <cell r="K826" t="b">
            <v>0</v>
          </cell>
          <cell r="L826" t="b">
            <v>0</v>
          </cell>
          <cell r="M826" t="b">
            <v>1</v>
          </cell>
          <cell r="N826" t="b">
            <v>0</v>
          </cell>
          <cell r="O826" t="b">
            <v>0</v>
          </cell>
          <cell r="P826" t="b">
            <v>0</v>
          </cell>
          <cell r="Q826" t="b">
            <v>0</v>
          </cell>
          <cell r="R826" t="b">
            <v>0</v>
          </cell>
          <cell r="S826" t="b">
            <v>1</v>
          </cell>
          <cell r="T826" t="b">
            <v>0</v>
          </cell>
          <cell r="U826" t="str">
            <v>NA</v>
          </cell>
          <cell r="V826" t="str">
            <v>Register</v>
          </cell>
          <cell r="W826" t="str">
            <v>GT - ME</v>
          </cell>
          <cell r="X826" t="str">
            <v>General Trading - Mechanical</v>
          </cell>
        </row>
        <row r="827">
          <cell r="B827" t="str">
            <v>Gunung Mas Sakti Abadi, PT</v>
          </cell>
          <cell r="C827" t="str">
            <v>inquiry@proteknikmp.com</v>
          </cell>
          <cell r="G827" t="b">
            <v>1</v>
          </cell>
          <cell r="H827" t="b">
            <v>0</v>
          </cell>
          <cell r="I827" t="b">
            <v>0</v>
          </cell>
          <cell r="J827" t="b">
            <v>0</v>
          </cell>
          <cell r="K827" t="b">
            <v>0</v>
          </cell>
          <cell r="L827" t="b">
            <v>0</v>
          </cell>
          <cell r="M827" t="b">
            <v>0</v>
          </cell>
          <cell r="N827" t="b">
            <v>0</v>
          </cell>
          <cell r="O827" t="b">
            <v>0</v>
          </cell>
          <cell r="P827" t="b">
            <v>0</v>
          </cell>
          <cell r="Q827" t="b">
            <v>0</v>
          </cell>
          <cell r="R827" t="b">
            <v>0</v>
          </cell>
          <cell r="S827" t="b">
            <v>0</v>
          </cell>
          <cell r="U827" t="str">
            <v>NA</v>
          </cell>
          <cell r="V827" t="str">
            <v>No Register</v>
          </cell>
          <cell r="W827" t="str">
            <v/>
          </cell>
          <cell r="Y827" t="str">
            <v>Service</v>
          </cell>
        </row>
        <row r="828">
          <cell r="B828" t="str">
            <v>Proteknik Mega Persada, PT</v>
          </cell>
          <cell r="C828" t="str">
            <v>Darmawan.putra@lautanairindonesia.com</v>
          </cell>
          <cell r="D828" t="str">
            <v>Darmawan; Selviana</v>
          </cell>
          <cell r="E828" t="str">
            <v>087739260202; 087774465640</v>
          </cell>
          <cell r="F828" t="str">
            <v>Jl. Manis II No. 9, Zona Industri Manis Km. 8,5 Desa Kadu, Kec. Curug, Kab. Tangerang Banten 15810</v>
          </cell>
          <cell r="G828" t="b">
            <v>0</v>
          </cell>
          <cell r="H828" t="b">
            <v>0</v>
          </cell>
          <cell r="I828" t="b">
            <v>0</v>
          </cell>
          <cell r="J828" t="b">
            <v>1</v>
          </cell>
          <cell r="K828" t="b">
            <v>0</v>
          </cell>
          <cell r="L828" t="b">
            <v>0</v>
          </cell>
          <cell r="M828" t="b">
            <v>0</v>
          </cell>
          <cell r="N828" t="b">
            <v>0</v>
          </cell>
          <cell r="O828" t="b">
            <v>0</v>
          </cell>
          <cell r="P828" t="b">
            <v>0</v>
          </cell>
          <cell r="Q828" t="b">
            <v>0</v>
          </cell>
          <cell r="R828" t="b">
            <v>0</v>
          </cell>
          <cell r="S828" t="b">
            <v>0</v>
          </cell>
          <cell r="U828" t="str">
            <v>NA</v>
          </cell>
          <cell r="V828" t="str">
            <v>No Register</v>
          </cell>
          <cell r="W828" t="str">
            <v/>
          </cell>
          <cell r="X828" t="str">
            <v>Service Jasa - Chemical</v>
          </cell>
          <cell r="Y828" t="str">
            <v>Chemical</v>
          </cell>
        </row>
        <row r="829">
          <cell r="B829" t="str">
            <v>Lautan Air Indonesia, PT</v>
          </cell>
          <cell r="C829" t="str">
            <v>sudung.rudi@metito.com; andi.baso@metito.com</v>
          </cell>
          <cell r="D829" t="str">
            <v>Bram</v>
          </cell>
          <cell r="E829" t="str">
            <v>081348510907</v>
          </cell>
          <cell r="F829" t="str">
            <v>Jl. Ampera Raya No. 18A, Cilandak Timur, (Kemang/Pasar Minggu), Jakarta Selatan 12560, DKI Jakarta, Indonesia</v>
          </cell>
          <cell r="G829" t="b">
            <v>0</v>
          </cell>
          <cell r="H829" t="b">
            <v>0</v>
          </cell>
          <cell r="I829" t="b">
            <v>0</v>
          </cell>
          <cell r="J829" t="b">
            <v>1</v>
          </cell>
          <cell r="K829" t="b">
            <v>0</v>
          </cell>
          <cell r="L829" t="b">
            <v>0</v>
          </cell>
          <cell r="M829" t="b">
            <v>0</v>
          </cell>
          <cell r="N829" t="b">
            <v>0</v>
          </cell>
          <cell r="O829" t="b">
            <v>0</v>
          </cell>
          <cell r="P829" t="b">
            <v>0</v>
          </cell>
          <cell r="Q829" t="b">
            <v>0</v>
          </cell>
          <cell r="R829" t="b">
            <v>0</v>
          </cell>
          <cell r="S829" t="b">
            <v>0</v>
          </cell>
          <cell r="U829" t="str">
            <v>NA</v>
          </cell>
          <cell r="V829" t="str">
            <v>No Register</v>
          </cell>
          <cell r="W829" t="str">
            <v/>
          </cell>
          <cell r="X829" t="str">
            <v>Service Jasa - Chemical</v>
          </cell>
          <cell r="Y829" t="str">
            <v>Chemical</v>
          </cell>
        </row>
        <row r="830">
          <cell r="B830" t="str">
            <v>Metito Indonesia, PT</v>
          </cell>
          <cell r="C830" t="str">
            <v>alfino.rahel@pocs.co.id</v>
          </cell>
          <cell r="D830" t="str">
            <v>Alfino</v>
          </cell>
          <cell r="E830" t="str">
            <v>082385994256</v>
          </cell>
          <cell r="F830" t="str">
            <v>The Prominence Office Tower, Lantai 12, Jl. Jalur Sutera Barat Kav. 15, Alam Sutera, Tangerang, Banten, Indonesia</v>
          </cell>
          <cell r="G830" t="b">
            <v>0</v>
          </cell>
          <cell r="H830" t="b">
            <v>0</v>
          </cell>
          <cell r="I830" t="b">
            <v>0</v>
          </cell>
          <cell r="J830" t="b">
            <v>1</v>
          </cell>
          <cell r="K830" t="b">
            <v>0</v>
          </cell>
          <cell r="L830" t="b">
            <v>0</v>
          </cell>
          <cell r="M830" t="b">
            <v>0</v>
          </cell>
          <cell r="N830" t="b">
            <v>0</v>
          </cell>
          <cell r="O830" t="b">
            <v>0</v>
          </cell>
          <cell r="P830" t="b">
            <v>0</v>
          </cell>
          <cell r="Q830" t="b">
            <v>0</v>
          </cell>
          <cell r="R830" t="b">
            <v>0</v>
          </cell>
          <cell r="S830" t="b">
            <v>0</v>
          </cell>
          <cell r="U830" t="str">
            <v>NA</v>
          </cell>
          <cell r="V830" t="str">
            <v>No Register</v>
          </cell>
          <cell r="W830" t="str">
            <v/>
          </cell>
          <cell r="X830" t="str">
            <v>Service Jasa - Chemical</v>
          </cell>
          <cell r="Y830" t="str">
            <v>Chemical</v>
          </cell>
        </row>
        <row r="831">
          <cell r="B831" t="str">
            <v>Powerindo Kimia Mineral, PT</v>
          </cell>
          <cell r="C831" t="str">
            <v>Admin@strivechem.com; assyauki@gmail.com; natasha@strivechem.com; syauki@strivechem.com; syabansyailendra@strivechem.com; rehanrizkyta@strivechem.com</v>
          </cell>
          <cell r="D831" t="str">
            <v>Rehan</v>
          </cell>
          <cell r="E831" t="str">
            <v>081312300310</v>
          </cell>
          <cell r="F831" t="str">
            <v>Greenland Industrial Area Blok AB 29–30, Kota Deltamas, Desa Sukamahi, Kec. Cikarang Pusat, Kab. Bekasi 17350, Jawa Barat, Indonesia</v>
          </cell>
          <cell r="G831" t="b">
            <v>0</v>
          </cell>
          <cell r="H831" t="b">
            <v>0</v>
          </cell>
          <cell r="I831" t="b">
            <v>0</v>
          </cell>
          <cell r="J831" t="b">
            <v>1</v>
          </cell>
          <cell r="K831" t="b">
            <v>0</v>
          </cell>
          <cell r="L831" t="b">
            <v>0</v>
          </cell>
          <cell r="M831" t="b">
            <v>0</v>
          </cell>
          <cell r="N831" t="b">
            <v>0</v>
          </cell>
          <cell r="O831" t="b">
            <v>0</v>
          </cell>
          <cell r="P831" t="b">
            <v>0</v>
          </cell>
          <cell r="Q831" t="b">
            <v>0</v>
          </cell>
          <cell r="R831" t="b">
            <v>0</v>
          </cell>
          <cell r="S831" t="b">
            <v>0</v>
          </cell>
          <cell r="U831" t="str">
            <v>NA</v>
          </cell>
          <cell r="V831" t="str">
            <v>No Register</v>
          </cell>
          <cell r="W831" t="str">
            <v/>
          </cell>
          <cell r="X831" t="str">
            <v>Service Jasa - Chemical</v>
          </cell>
          <cell r="Y831" t="str">
            <v>Chemical</v>
          </cell>
        </row>
        <row r="832">
          <cell r="B832" t="str">
            <v>Strivechem Indonesia, PT</v>
          </cell>
          <cell r="G832" t="b">
            <v>0</v>
          </cell>
          <cell r="H832" t="b">
            <v>0</v>
          </cell>
          <cell r="I832" t="b">
            <v>0</v>
          </cell>
          <cell r="J832" t="b">
            <v>0</v>
          </cell>
          <cell r="K832" t="b">
            <v>0</v>
          </cell>
          <cell r="L832" t="b">
            <v>0</v>
          </cell>
          <cell r="M832" t="b">
            <v>0</v>
          </cell>
          <cell r="N832" t="b">
            <v>0</v>
          </cell>
          <cell r="O832" t="b">
            <v>0</v>
          </cell>
          <cell r="P832" t="b">
            <v>0</v>
          </cell>
          <cell r="Q832" t="b">
            <v>0</v>
          </cell>
          <cell r="R832" t="b">
            <v>0</v>
          </cell>
          <cell r="S832" t="b">
            <v>0</v>
          </cell>
          <cell r="T832" t="b">
            <v>0</v>
          </cell>
          <cell r="U832" t="str">
            <v>NA</v>
          </cell>
          <cell r="V832" t="str">
            <v>Register</v>
          </cell>
          <cell r="W832" t="str">
            <v/>
          </cell>
        </row>
        <row r="833">
          <cell r="B833" t="str">
            <v>Pelita Pusaka Indomedika, CV</v>
          </cell>
          <cell r="C833" t="str">
            <v>aplsi.sekretariat@gmail.com</v>
          </cell>
          <cell r="G833" t="b">
            <v>0</v>
          </cell>
          <cell r="H833" t="b">
            <v>0</v>
          </cell>
          <cell r="I833" t="b">
            <v>0</v>
          </cell>
          <cell r="J833" t="b">
            <v>0</v>
          </cell>
          <cell r="K833" t="b">
            <v>0</v>
          </cell>
          <cell r="L833" t="b">
            <v>0</v>
          </cell>
          <cell r="M833" t="b">
            <v>0</v>
          </cell>
          <cell r="N833" t="b">
            <v>0</v>
          </cell>
          <cell r="O833" t="b">
            <v>1</v>
          </cell>
          <cell r="P833" t="b">
            <v>0</v>
          </cell>
          <cell r="Q833" t="b">
            <v>0</v>
          </cell>
          <cell r="R833" t="b">
            <v>0</v>
          </cell>
          <cell r="S833" t="b">
            <v>0</v>
          </cell>
          <cell r="T833" t="b">
            <v>0</v>
          </cell>
          <cell r="U833" t="str">
            <v>NA</v>
          </cell>
          <cell r="V833" t="str">
            <v>Register</v>
          </cell>
          <cell r="W833" t="str">
            <v/>
          </cell>
        </row>
        <row r="834">
          <cell r="B834" t="str">
            <v>Asosiasi Produsen Listrik Swasta Indonesia</v>
          </cell>
          <cell r="G834" t="b">
            <v>0</v>
          </cell>
          <cell r="H834" t="b">
            <v>0</v>
          </cell>
          <cell r="I834" t="b">
            <v>0</v>
          </cell>
          <cell r="J834" t="b">
            <v>0</v>
          </cell>
          <cell r="K834" t="b">
            <v>0</v>
          </cell>
          <cell r="L834" t="b">
            <v>0</v>
          </cell>
          <cell r="M834" t="b">
            <v>0</v>
          </cell>
          <cell r="N834" t="b">
            <v>0</v>
          </cell>
          <cell r="O834" t="b">
            <v>0</v>
          </cell>
          <cell r="P834" t="b">
            <v>0</v>
          </cell>
          <cell r="Q834" t="b">
            <v>0</v>
          </cell>
          <cell r="R834" t="b">
            <v>0</v>
          </cell>
          <cell r="S834" t="b">
            <v>0</v>
          </cell>
          <cell r="T834" t="b">
            <v>0</v>
          </cell>
          <cell r="U834" t="str">
            <v>NA</v>
          </cell>
          <cell r="V834" t="str">
            <v>Register</v>
          </cell>
          <cell r="W834" t="str">
            <v/>
          </cell>
        </row>
        <row r="835">
          <cell r="B835" t="str">
            <v>Sri Astuti B</v>
          </cell>
          <cell r="G835" t="b">
            <v>0</v>
          </cell>
          <cell r="H835" t="b">
            <v>0</v>
          </cell>
          <cell r="I835" t="b">
            <v>0</v>
          </cell>
          <cell r="J835" t="b">
            <v>0</v>
          </cell>
          <cell r="K835" t="b">
            <v>0</v>
          </cell>
          <cell r="L835" t="b">
            <v>0</v>
          </cell>
          <cell r="M835" t="b">
            <v>0</v>
          </cell>
          <cell r="N835" t="b">
            <v>0</v>
          </cell>
          <cell r="O835" t="b">
            <v>0</v>
          </cell>
          <cell r="P835" t="b">
            <v>0</v>
          </cell>
          <cell r="Q835" t="b">
            <v>0</v>
          </cell>
          <cell r="R835" t="b">
            <v>0</v>
          </cell>
          <cell r="S835" t="b">
            <v>0</v>
          </cell>
          <cell r="T835" t="b">
            <v>0</v>
          </cell>
          <cell r="U835" t="str">
            <v>NA</v>
          </cell>
          <cell r="V835" t="str">
            <v>Register</v>
          </cell>
          <cell r="W835" t="str">
            <v/>
          </cell>
        </row>
        <row r="836">
          <cell r="B836" t="str">
            <v>Jogja Smart Indotama</v>
          </cell>
          <cell r="C836" t="str">
            <v>budhi@dutaindo.co.id; ibnu@dutaindo.co.id</v>
          </cell>
          <cell r="G836" t="b">
            <v>0</v>
          </cell>
          <cell r="H836" t="b">
            <v>0</v>
          </cell>
          <cell r="I836" t="b">
            <v>0</v>
          </cell>
          <cell r="J836" t="b">
            <v>0</v>
          </cell>
          <cell r="K836" t="b">
            <v>0</v>
          </cell>
          <cell r="L836" t="b">
            <v>0</v>
          </cell>
          <cell r="M836" t="b">
            <v>0</v>
          </cell>
          <cell r="N836" t="b">
            <v>0</v>
          </cell>
          <cell r="O836" t="b">
            <v>0</v>
          </cell>
          <cell r="P836" t="b">
            <v>0</v>
          </cell>
          <cell r="Q836" t="b">
            <v>0</v>
          </cell>
          <cell r="R836" t="b">
            <v>0</v>
          </cell>
          <cell r="S836" t="b">
            <v>0</v>
          </cell>
          <cell r="T836" t="b">
            <v>0</v>
          </cell>
          <cell r="U836" t="str">
            <v>NA</v>
          </cell>
          <cell r="V836" t="str">
            <v>Register</v>
          </cell>
          <cell r="W836" t="str">
            <v/>
          </cell>
        </row>
        <row r="837">
          <cell r="B837" t="str">
            <v>Duta Indomandiri, PT</v>
          </cell>
          <cell r="G837" t="b">
            <v>0</v>
          </cell>
          <cell r="H837" t="b">
            <v>0</v>
          </cell>
          <cell r="I837" t="b">
            <v>0</v>
          </cell>
          <cell r="J837" t="b">
            <v>0</v>
          </cell>
          <cell r="K837" t="b">
            <v>0</v>
          </cell>
          <cell r="L837" t="b">
            <v>0</v>
          </cell>
          <cell r="M837" t="b">
            <v>0</v>
          </cell>
          <cell r="N837" t="b">
            <v>0</v>
          </cell>
          <cell r="O837" t="b">
            <v>1</v>
          </cell>
          <cell r="P837" t="b">
            <v>0</v>
          </cell>
          <cell r="Q837" t="b">
            <v>0</v>
          </cell>
          <cell r="R837" t="b">
            <v>0</v>
          </cell>
          <cell r="S837" t="b">
            <v>0</v>
          </cell>
          <cell r="T837" t="b">
            <v>0</v>
          </cell>
          <cell r="U837" t="str">
            <v>NA</v>
          </cell>
          <cell r="V837" t="str">
            <v>Register</v>
          </cell>
          <cell r="W837" t="str">
            <v/>
          </cell>
        </row>
        <row r="838">
          <cell r="B838" t="str">
            <v>Millbank, Tweed, Hadley &amp; Mccloy, Llp</v>
          </cell>
          <cell r="G838" t="b">
            <v>0</v>
          </cell>
          <cell r="H838" t="b">
            <v>0</v>
          </cell>
          <cell r="I838" t="b">
            <v>0</v>
          </cell>
          <cell r="J838" t="b">
            <v>0</v>
          </cell>
          <cell r="K838" t="b">
            <v>0</v>
          </cell>
          <cell r="L838" t="b">
            <v>0</v>
          </cell>
          <cell r="M838" t="b">
            <v>0</v>
          </cell>
          <cell r="N838" t="b">
            <v>0</v>
          </cell>
          <cell r="O838" t="b">
            <v>0</v>
          </cell>
          <cell r="P838" t="b">
            <v>0</v>
          </cell>
          <cell r="Q838" t="b">
            <v>0</v>
          </cell>
          <cell r="R838" t="b">
            <v>0</v>
          </cell>
          <cell r="S838" t="b">
            <v>1</v>
          </cell>
          <cell r="T838" t="b">
            <v>0</v>
          </cell>
          <cell r="U838" t="str">
            <v>NA</v>
          </cell>
          <cell r="V838" t="str">
            <v>Register</v>
          </cell>
          <cell r="W838" t="str">
            <v/>
          </cell>
        </row>
        <row r="839">
          <cell r="B839" t="str">
            <v>Serikat Pekerja MSW</v>
          </cell>
          <cell r="G839" t="b">
            <v>0</v>
          </cell>
          <cell r="H839" t="b">
            <v>0</v>
          </cell>
          <cell r="I839" t="b">
            <v>0</v>
          </cell>
          <cell r="J839" t="b">
            <v>0</v>
          </cell>
          <cell r="K839" t="b">
            <v>0</v>
          </cell>
          <cell r="L839" t="b">
            <v>0</v>
          </cell>
          <cell r="M839" t="b">
            <v>0</v>
          </cell>
          <cell r="N839" t="b">
            <v>0</v>
          </cell>
          <cell r="O839" t="b">
            <v>0</v>
          </cell>
          <cell r="P839" t="b">
            <v>0</v>
          </cell>
          <cell r="Q839" t="b">
            <v>0</v>
          </cell>
          <cell r="R839" t="b">
            <v>1</v>
          </cell>
          <cell r="S839" t="b">
            <v>0</v>
          </cell>
          <cell r="T839" t="b">
            <v>0</v>
          </cell>
          <cell r="U839" t="str">
            <v>NA</v>
          </cell>
          <cell r="V839" t="str">
            <v>Register</v>
          </cell>
          <cell r="W839" t="str">
            <v>SJ - MC</v>
          </cell>
          <cell r="X839" t="str">
            <v>Service Jasa - Medical Service</v>
          </cell>
        </row>
        <row r="840">
          <cell r="B840" t="str">
            <v>RS PONDOK INDAH</v>
          </cell>
          <cell r="G840" t="b">
            <v>0</v>
          </cell>
          <cell r="H840" t="b">
            <v>0</v>
          </cell>
          <cell r="I840" t="b">
            <v>0</v>
          </cell>
          <cell r="J840" t="b">
            <v>0</v>
          </cell>
          <cell r="K840" t="b">
            <v>0</v>
          </cell>
          <cell r="L840" t="b">
            <v>0</v>
          </cell>
          <cell r="M840" t="b">
            <v>0</v>
          </cell>
          <cell r="N840" t="b">
            <v>0</v>
          </cell>
          <cell r="O840" t="b">
            <v>0</v>
          </cell>
          <cell r="P840" t="b">
            <v>0</v>
          </cell>
          <cell r="Q840" t="b">
            <v>0</v>
          </cell>
          <cell r="R840" t="b">
            <v>1</v>
          </cell>
          <cell r="S840" t="b">
            <v>0</v>
          </cell>
          <cell r="T840" t="b">
            <v>0</v>
          </cell>
          <cell r="U840" t="str">
            <v>NA</v>
          </cell>
          <cell r="V840" t="str">
            <v>Register</v>
          </cell>
          <cell r="W840" t="str">
            <v>SJ - MC</v>
          </cell>
          <cell r="X840" t="str">
            <v>Service Jasa - Medical Service</v>
          </cell>
        </row>
        <row r="841">
          <cell r="B841" t="str">
            <v>RS SARI MULIA INDAH</v>
          </cell>
          <cell r="G841" t="b">
            <v>0</v>
          </cell>
          <cell r="H841" t="b">
            <v>0</v>
          </cell>
          <cell r="I841" t="b">
            <v>0</v>
          </cell>
          <cell r="J841" t="b">
            <v>0</v>
          </cell>
          <cell r="K841" t="b">
            <v>0</v>
          </cell>
          <cell r="L841" t="b">
            <v>0</v>
          </cell>
          <cell r="M841" t="b">
            <v>0</v>
          </cell>
          <cell r="N841" t="b">
            <v>0</v>
          </cell>
          <cell r="O841" t="b">
            <v>0</v>
          </cell>
          <cell r="P841" t="b">
            <v>0</v>
          </cell>
          <cell r="Q841" t="b">
            <v>0</v>
          </cell>
          <cell r="R841" t="b">
            <v>1</v>
          </cell>
          <cell r="S841" t="b">
            <v>0</v>
          </cell>
          <cell r="T841" t="b">
            <v>0</v>
          </cell>
          <cell r="U841" t="str">
            <v>NA</v>
          </cell>
          <cell r="V841" t="str">
            <v>Register</v>
          </cell>
          <cell r="W841" t="str">
            <v>SJ - MC</v>
          </cell>
          <cell r="X841" t="str">
            <v>Service Jasa - Medical Service</v>
          </cell>
        </row>
        <row r="842">
          <cell r="B842" t="str">
            <v>RS PREMIER BINTARO</v>
          </cell>
          <cell r="G842" t="b">
            <v>0</v>
          </cell>
          <cell r="H842" t="b">
            <v>0</v>
          </cell>
          <cell r="I842" t="b">
            <v>0</v>
          </cell>
          <cell r="J842" t="b">
            <v>0</v>
          </cell>
          <cell r="K842" t="b">
            <v>0</v>
          </cell>
          <cell r="L842" t="b">
            <v>0</v>
          </cell>
          <cell r="M842" t="b">
            <v>0</v>
          </cell>
          <cell r="N842" t="b">
            <v>0</v>
          </cell>
          <cell r="O842" t="b">
            <v>0</v>
          </cell>
          <cell r="P842" t="b">
            <v>0</v>
          </cell>
          <cell r="Q842" t="b">
            <v>0</v>
          </cell>
          <cell r="R842" t="b">
            <v>1</v>
          </cell>
          <cell r="S842" t="b">
            <v>0</v>
          </cell>
          <cell r="T842" t="b">
            <v>0</v>
          </cell>
          <cell r="U842" t="str">
            <v>NA</v>
          </cell>
          <cell r="V842" t="str">
            <v>Register</v>
          </cell>
          <cell r="W842" t="str">
            <v>SJ - MC</v>
          </cell>
          <cell r="X842" t="str">
            <v>Service Jasa - Medical Service</v>
          </cell>
        </row>
        <row r="843">
          <cell r="B843" t="str">
            <v>RS MEDISTRA</v>
          </cell>
          <cell r="G843" t="b">
            <v>0</v>
          </cell>
          <cell r="H843" t="b">
            <v>0</v>
          </cell>
          <cell r="I843" t="b">
            <v>0</v>
          </cell>
          <cell r="J843" t="b">
            <v>0</v>
          </cell>
          <cell r="K843" t="b">
            <v>0</v>
          </cell>
          <cell r="L843" t="b">
            <v>0</v>
          </cell>
          <cell r="M843" t="b">
            <v>0</v>
          </cell>
          <cell r="N843" t="b">
            <v>0</v>
          </cell>
          <cell r="O843" t="b">
            <v>0</v>
          </cell>
          <cell r="P843" t="b">
            <v>0</v>
          </cell>
          <cell r="Q843" t="b">
            <v>0</v>
          </cell>
          <cell r="R843" t="b">
            <v>1</v>
          </cell>
          <cell r="S843" t="b">
            <v>0</v>
          </cell>
          <cell r="T843" t="b">
            <v>0</v>
          </cell>
          <cell r="U843" t="str">
            <v>NA</v>
          </cell>
          <cell r="V843" t="str">
            <v>Register</v>
          </cell>
          <cell r="W843" t="str">
            <v>SJ - MC</v>
          </cell>
          <cell r="X843" t="str">
            <v>Service Jasa - Medical Service</v>
          </cell>
        </row>
        <row r="844">
          <cell r="B844" t="str">
            <v>RS PERMATA CIBUBUR</v>
          </cell>
          <cell r="G844" t="b">
            <v>0</v>
          </cell>
          <cell r="H844" t="b">
            <v>0</v>
          </cell>
          <cell r="I844" t="b">
            <v>0</v>
          </cell>
          <cell r="J844" t="b">
            <v>0</v>
          </cell>
          <cell r="K844" t="b">
            <v>0</v>
          </cell>
          <cell r="L844" t="b">
            <v>0</v>
          </cell>
          <cell r="M844" t="b">
            <v>0</v>
          </cell>
          <cell r="N844" t="b">
            <v>0</v>
          </cell>
          <cell r="O844" t="b">
            <v>0</v>
          </cell>
          <cell r="P844" t="b">
            <v>0</v>
          </cell>
          <cell r="Q844" t="b">
            <v>0</v>
          </cell>
          <cell r="R844" t="b">
            <v>1</v>
          </cell>
          <cell r="S844" t="b">
            <v>0</v>
          </cell>
          <cell r="T844" t="b">
            <v>0</v>
          </cell>
          <cell r="U844" t="str">
            <v>NA</v>
          </cell>
          <cell r="V844" t="str">
            <v>Register</v>
          </cell>
          <cell r="W844" t="str">
            <v>SJ - MC</v>
          </cell>
          <cell r="X844" t="str">
            <v>Service Jasa - Medical Service</v>
          </cell>
        </row>
        <row r="845">
          <cell r="B845" t="str">
            <v>RS HERMINA BEKASI</v>
          </cell>
          <cell r="G845" t="b">
            <v>0</v>
          </cell>
          <cell r="H845" t="b">
            <v>0</v>
          </cell>
          <cell r="I845" t="b">
            <v>0</v>
          </cell>
          <cell r="J845" t="b">
            <v>0</v>
          </cell>
          <cell r="K845" t="b">
            <v>0</v>
          </cell>
          <cell r="L845" t="b">
            <v>0</v>
          </cell>
          <cell r="M845" t="b">
            <v>0</v>
          </cell>
          <cell r="N845" t="b">
            <v>0</v>
          </cell>
          <cell r="O845" t="b">
            <v>0</v>
          </cell>
          <cell r="P845" t="b">
            <v>0</v>
          </cell>
          <cell r="Q845" t="b">
            <v>0</v>
          </cell>
          <cell r="R845" t="b">
            <v>1</v>
          </cell>
          <cell r="S845" t="b">
            <v>0</v>
          </cell>
          <cell r="T845" t="b">
            <v>0</v>
          </cell>
          <cell r="U845" t="str">
            <v>NA</v>
          </cell>
          <cell r="V845" t="str">
            <v>Register</v>
          </cell>
          <cell r="W845" t="str">
            <v>SJ - MC</v>
          </cell>
          <cell r="X845" t="str">
            <v>Service Jasa - Medical Service</v>
          </cell>
        </row>
        <row r="846">
          <cell r="B846" t="str">
            <v>RS PERMATA</v>
          </cell>
          <cell r="G846" t="b">
            <v>0</v>
          </cell>
          <cell r="H846" t="b">
            <v>0</v>
          </cell>
          <cell r="I846" t="b">
            <v>0</v>
          </cell>
          <cell r="J846" t="b">
            <v>0</v>
          </cell>
          <cell r="K846" t="b">
            <v>0</v>
          </cell>
          <cell r="L846" t="b">
            <v>0</v>
          </cell>
          <cell r="M846" t="b">
            <v>0</v>
          </cell>
          <cell r="N846" t="b">
            <v>0</v>
          </cell>
          <cell r="O846" t="b">
            <v>0</v>
          </cell>
          <cell r="P846" t="b">
            <v>0</v>
          </cell>
          <cell r="Q846" t="b">
            <v>0</v>
          </cell>
          <cell r="R846" t="b">
            <v>1</v>
          </cell>
          <cell r="S846" t="b">
            <v>0</v>
          </cell>
          <cell r="T846" t="b">
            <v>0</v>
          </cell>
          <cell r="U846" t="str">
            <v>NA</v>
          </cell>
          <cell r="V846" t="str">
            <v>Register</v>
          </cell>
          <cell r="W846" t="str">
            <v>SJ - MC</v>
          </cell>
          <cell r="X846" t="str">
            <v>Service Jasa - Medical Service</v>
          </cell>
        </row>
        <row r="847">
          <cell r="B847" t="str">
            <v>RS CIPUTRA MITRA  HOSPITAL</v>
          </cell>
          <cell r="G847" t="b">
            <v>0</v>
          </cell>
          <cell r="H847" t="b">
            <v>0</v>
          </cell>
          <cell r="I847" t="b">
            <v>0</v>
          </cell>
          <cell r="J847" t="b">
            <v>0</v>
          </cell>
          <cell r="K847" t="b">
            <v>0</v>
          </cell>
          <cell r="L847" t="b">
            <v>0</v>
          </cell>
          <cell r="M847" t="b">
            <v>0</v>
          </cell>
          <cell r="N847" t="b">
            <v>0</v>
          </cell>
          <cell r="O847" t="b">
            <v>0</v>
          </cell>
          <cell r="P847" t="b">
            <v>0</v>
          </cell>
          <cell r="Q847" t="b">
            <v>0</v>
          </cell>
          <cell r="R847" t="b">
            <v>1</v>
          </cell>
          <cell r="S847" t="b">
            <v>0</v>
          </cell>
          <cell r="T847" t="b">
            <v>0</v>
          </cell>
          <cell r="U847" t="str">
            <v>NA</v>
          </cell>
          <cell r="V847" t="str">
            <v>Register</v>
          </cell>
          <cell r="W847" t="str">
            <v>SJ - MC</v>
          </cell>
          <cell r="X847" t="str">
            <v>Service Jasa - Medical Service</v>
          </cell>
        </row>
        <row r="848">
          <cell r="B848" t="str">
            <v>RS MITRA KELUARGA</v>
          </cell>
          <cell r="G848" t="b">
            <v>0</v>
          </cell>
          <cell r="H848" t="b">
            <v>0</v>
          </cell>
          <cell r="I848" t="b">
            <v>0</v>
          </cell>
          <cell r="J848" t="b">
            <v>0</v>
          </cell>
          <cell r="K848" t="b">
            <v>0</v>
          </cell>
          <cell r="L848" t="b">
            <v>0</v>
          </cell>
          <cell r="M848" t="b">
            <v>0</v>
          </cell>
          <cell r="N848" t="b">
            <v>0</v>
          </cell>
          <cell r="O848" t="b">
            <v>0</v>
          </cell>
          <cell r="P848" t="b">
            <v>0</v>
          </cell>
          <cell r="Q848" t="b">
            <v>0</v>
          </cell>
          <cell r="R848" t="b">
            <v>1</v>
          </cell>
          <cell r="S848" t="b">
            <v>0</v>
          </cell>
          <cell r="T848" t="b">
            <v>0</v>
          </cell>
          <cell r="U848" t="str">
            <v>NA</v>
          </cell>
          <cell r="V848" t="str">
            <v>Register</v>
          </cell>
          <cell r="W848" t="str">
            <v>SJ - MC</v>
          </cell>
          <cell r="X848" t="str">
            <v>Service Jasa - Medical Service</v>
          </cell>
        </row>
        <row r="849">
          <cell r="B849" t="str">
            <v>RS EMC PEKAYON</v>
          </cell>
          <cell r="G849" t="b">
            <v>0</v>
          </cell>
          <cell r="H849" t="b">
            <v>0</v>
          </cell>
          <cell r="I849" t="b">
            <v>0</v>
          </cell>
          <cell r="J849" t="b">
            <v>0</v>
          </cell>
          <cell r="K849" t="b">
            <v>0</v>
          </cell>
          <cell r="L849" t="b">
            <v>0</v>
          </cell>
          <cell r="M849" t="b">
            <v>0</v>
          </cell>
          <cell r="N849" t="b">
            <v>0</v>
          </cell>
          <cell r="O849" t="b">
            <v>0</v>
          </cell>
          <cell r="P849" t="b">
            <v>0</v>
          </cell>
          <cell r="Q849" t="b">
            <v>0</v>
          </cell>
          <cell r="R849" t="b">
            <v>1</v>
          </cell>
          <cell r="S849" t="b">
            <v>0</v>
          </cell>
          <cell r="T849" t="b">
            <v>0</v>
          </cell>
          <cell r="U849" t="str">
            <v>NA</v>
          </cell>
          <cell r="V849" t="str">
            <v>Register</v>
          </cell>
          <cell r="W849" t="str">
            <v>SJ - MC</v>
          </cell>
          <cell r="X849" t="str">
            <v>Service Jasa - Medical Service</v>
          </cell>
        </row>
        <row r="850">
          <cell r="B850" t="str">
            <v>RS HERMINA GALAXY</v>
          </cell>
          <cell r="G850" t="b">
            <v>0</v>
          </cell>
          <cell r="H850" t="b">
            <v>0</v>
          </cell>
          <cell r="I850" t="b">
            <v>0</v>
          </cell>
          <cell r="J850" t="b">
            <v>0</v>
          </cell>
          <cell r="K850" t="b">
            <v>0</v>
          </cell>
          <cell r="L850" t="b">
            <v>0</v>
          </cell>
          <cell r="M850" t="b">
            <v>0</v>
          </cell>
          <cell r="N850" t="b">
            <v>0</v>
          </cell>
          <cell r="O850" t="b">
            <v>0</v>
          </cell>
          <cell r="P850" t="b">
            <v>0</v>
          </cell>
          <cell r="Q850" t="b">
            <v>0</v>
          </cell>
          <cell r="R850" t="b">
            <v>1</v>
          </cell>
          <cell r="S850" t="b">
            <v>0</v>
          </cell>
          <cell r="T850" t="b">
            <v>0</v>
          </cell>
          <cell r="U850" t="str">
            <v>NA</v>
          </cell>
          <cell r="V850" t="str">
            <v>Register</v>
          </cell>
          <cell r="W850" t="str">
            <v>SJ - MC</v>
          </cell>
          <cell r="X850" t="str">
            <v>Service Jasa - Medical Service</v>
          </cell>
        </row>
        <row r="851">
          <cell r="B851" t="str">
            <v>RS ABDI WALUYO</v>
          </cell>
          <cell r="G851" t="b">
            <v>0</v>
          </cell>
          <cell r="H851" t="b">
            <v>0</v>
          </cell>
          <cell r="I851" t="b">
            <v>0</v>
          </cell>
          <cell r="J851" t="b">
            <v>0</v>
          </cell>
          <cell r="K851" t="b">
            <v>0</v>
          </cell>
          <cell r="L851" t="b">
            <v>0</v>
          </cell>
          <cell r="M851" t="b">
            <v>0</v>
          </cell>
          <cell r="N851" t="b">
            <v>0</v>
          </cell>
          <cell r="O851" t="b">
            <v>0</v>
          </cell>
          <cell r="P851" t="b">
            <v>0</v>
          </cell>
          <cell r="Q851" t="b">
            <v>0</v>
          </cell>
          <cell r="R851" t="b">
            <v>1</v>
          </cell>
          <cell r="S851" t="b">
            <v>0</v>
          </cell>
          <cell r="T851" t="b">
            <v>0</v>
          </cell>
          <cell r="U851" t="str">
            <v>NA</v>
          </cell>
          <cell r="V851" t="str">
            <v>Register</v>
          </cell>
          <cell r="W851" t="str">
            <v>SJ - MC</v>
          </cell>
          <cell r="X851" t="str">
            <v>Service Jasa - Medical Service</v>
          </cell>
        </row>
        <row r="852">
          <cell r="B852" t="str">
            <v>RS METROPOLITAN MEDICAL CENTRE (MMC)</v>
          </cell>
          <cell r="G852" t="b">
            <v>0</v>
          </cell>
          <cell r="H852" t="b">
            <v>0</v>
          </cell>
          <cell r="I852" t="b">
            <v>0</v>
          </cell>
          <cell r="J852" t="b">
            <v>0</v>
          </cell>
          <cell r="K852" t="b">
            <v>0</v>
          </cell>
          <cell r="L852" t="b">
            <v>0</v>
          </cell>
          <cell r="M852" t="b">
            <v>0</v>
          </cell>
          <cell r="N852" t="b">
            <v>0</v>
          </cell>
          <cell r="O852" t="b">
            <v>0</v>
          </cell>
          <cell r="P852" t="b">
            <v>0</v>
          </cell>
          <cell r="Q852" t="b">
            <v>0</v>
          </cell>
          <cell r="R852" t="b">
            <v>1</v>
          </cell>
          <cell r="S852" t="b">
            <v>0</v>
          </cell>
          <cell r="T852" t="b">
            <v>0</v>
          </cell>
          <cell r="U852" t="str">
            <v>NA</v>
          </cell>
          <cell r="V852" t="str">
            <v>Register</v>
          </cell>
          <cell r="W852" t="str">
            <v>SJ - MC</v>
          </cell>
          <cell r="X852" t="str">
            <v>Service Jasa - Medical Service</v>
          </cell>
        </row>
        <row r="853">
          <cell r="B853" t="str">
            <v>RS MEILIA</v>
          </cell>
          <cell r="G853" t="b">
            <v>0</v>
          </cell>
          <cell r="H853" t="b">
            <v>0</v>
          </cell>
          <cell r="I853" t="b">
            <v>0</v>
          </cell>
          <cell r="J853" t="b">
            <v>0</v>
          </cell>
          <cell r="K853" t="b">
            <v>0</v>
          </cell>
          <cell r="L853" t="b">
            <v>0</v>
          </cell>
          <cell r="M853" t="b">
            <v>0</v>
          </cell>
          <cell r="N853" t="b">
            <v>0</v>
          </cell>
          <cell r="O853" t="b">
            <v>0</v>
          </cell>
          <cell r="P853" t="b">
            <v>0</v>
          </cell>
          <cell r="Q853" t="b">
            <v>0</v>
          </cell>
          <cell r="R853" t="b">
            <v>1</v>
          </cell>
          <cell r="S853" t="b">
            <v>0</v>
          </cell>
          <cell r="T853" t="b">
            <v>0</v>
          </cell>
          <cell r="U853" t="str">
            <v>NA</v>
          </cell>
          <cell r="V853" t="str">
            <v>Register</v>
          </cell>
          <cell r="W853" t="str">
            <v>SJ - MC</v>
          </cell>
          <cell r="X853" t="str">
            <v>Service Jasa - Medical Service</v>
          </cell>
        </row>
        <row r="854">
          <cell r="B854" t="str">
            <v>RS ULIN BANJARMASIN</v>
          </cell>
          <cell r="G854" t="b">
            <v>0</v>
          </cell>
          <cell r="H854" t="b">
            <v>0</v>
          </cell>
          <cell r="I854" t="b">
            <v>0</v>
          </cell>
          <cell r="J854" t="b">
            <v>0</v>
          </cell>
          <cell r="K854" t="b">
            <v>0</v>
          </cell>
          <cell r="L854" t="b">
            <v>0</v>
          </cell>
          <cell r="M854" t="b">
            <v>0</v>
          </cell>
          <cell r="N854" t="b">
            <v>0</v>
          </cell>
          <cell r="O854" t="b">
            <v>0</v>
          </cell>
          <cell r="P854" t="b">
            <v>0</v>
          </cell>
          <cell r="Q854" t="b">
            <v>0</v>
          </cell>
          <cell r="R854" t="b">
            <v>1</v>
          </cell>
          <cell r="S854" t="b">
            <v>0</v>
          </cell>
          <cell r="T854" t="b">
            <v>0</v>
          </cell>
          <cell r="U854" t="str">
            <v>NA</v>
          </cell>
          <cell r="V854" t="str">
            <v>Register</v>
          </cell>
          <cell r="W854" t="str">
            <v>SJ - MC</v>
          </cell>
          <cell r="X854" t="str">
            <v>Service Jasa - Medical Service</v>
          </cell>
        </row>
        <row r="855">
          <cell r="B855" t="str">
            <v>RS BRAWIJAYA HOSPITAL SAHARJO</v>
          </cell>
          <cell r="C855" t="str">
            <v>DIVABERSAMA@YAHOO.CO.ID</v>
          </cell>
          <cell r="G855" t="b">
            <v>0</v>
          </cell>
          <cell r="H855" t="b">
            <v>0</v>
          </cell>
          <cell r="I855" t="b">
            <v>0</v>
          </cell>
          <cell r="J855" t="b">
            <v>0</v>
          </cell>
          <cell r="K855" t="b">
            <v>0</v>
          </cell>
          <cell r="L855" t="b">
            <v>0</v>
          </cell>
          <cell r="M855" t="b">
            <v>0</v>
          </cell>
          <cell r="N855" t="b">
            <v>0</v>
          </cell>
          <cell r="O855" t="b">
            <v>0</v>
          </cell>
          <cell r="P855" t="b">
            <v>0</v>
          </cell>
          <cell r="Q855" t="b">
            <v>0</v>
          </cell>
          <cell r="R855" t="b">
            <v>0</v>
          </cell>
          <cell r="S855" t="b">
            <v>0</v>
          </cell>
          <cell r="T855" t="b">
            <v>0</v>
          </cell>
          <cell r="U855" t="str">
            <v>NA</v>
          </cell>
          <cell r="V855" t="str">
            <v>Register</v>
          </cell>
          <cell r="W855" t="str">
            <v/>
          </cell>
        </row>
        <row r="856">
          <cell r="B856" t="str">
            <v>Diva Bersama, CV</v>
          </cell>
          <cell r="C856" t="str">
            <v>imammuhtizein@gmail.com</v>
          </cell>
          <cell r="D856" t="str">
            <v>Imam</v>
          </cell>
          <cell r="E856" t="str">
            <v>082310626438</v>
          </cell>
          <cell r="G856" t="b">
            <v>0</v>
          </cell>
          <cell r="H856" t="b">
            <v>0</v>
          </cell>
          <cell r="I856" t="b">
            <v>0</v>
          </cell>
          <cell r="J856" t="b">
            <v>0</v>
          </cell>
          <cell r="K856" t="b">
            <v>0</v>
          </cell>
          <cell r="L856" t="b">
            <v>0</v>
          </cell>
          <cell r="M856" t="b">
            <v>0</v>
          </cell>
          <cell r="N856" t="b">
            <v>0</v>
          </cell>
          <cell r="O856" t="b">
            <v>0</v>
          </cell>
          <cell r="P856" t="b">
            <v>0</v>
          </cell>
          <cell r="Q856" t="b">
            <v>0</v>
          </cell>
          <cell r="R856" t="b">
            <v>0</v>
          </cell>
          <cell r="S856" t="b">
            <v>0</v>
          </cell>
          <cell r="T856" t="b">
            <v>0</v>
          </cell>
          <cell r="U856" t="str">
            <v>NA</v>
          </cell>
          <cell r="V856" t="str">
            <v>No Register</v>
          </cell>
          <cell r="W856" t="str">
            <v/>
          </cell>
        </row>
        <row r="857">
          <cell r="B857" t="str">
            <v>Duta Terang Rubberindo, PT</v>
          </cell>
          <cell r="C857" t="str">
            <v>reyno@dct.co.id; sales@dct.co.id</v>
          </cell>
          <cell r="G857" t="b">
            <v>0</v>
          </cell>
          <cell r="H857" t="b">
            <v>0</v>
          </cell>
          <cell r="I857" t="b">
            <v>0</v>
          </cell>
          <cell r="J857" t="b">
            <v>0</v>
          </cell>
          <cell r="K857" t="b">
            <v>0</v>
          </cell>
          <cell r="L857" t="b">
            <v>0</v>
          </cell>
          <cell r="M857" t="b">
            <v>1</v>
          </cell>
          <cell r="N857" t="b">
            <v>0</v>
          </cell>
          <cell r="O857" t="b">
            <v>0</v>
          </cell>
          <cell r="P857" t="b">
            <v>0</v>
          </cell>
          <cell r="Q857" t="b">
            <v>0</v>
          </cell>
          <cell r="R857" t="b">
            <v>0</v>
          </cell>
          <cell r="S857" t="b">
            <v>1</v>
          </cell>
          <cell r="T857" t="b">
            <v>0</v>
          </cell>
          <cell r="U857" t="str">
            <v>NA</v>
          </cell>
          <cell r="V857" t="str">
            <v>No Register</v>
          </cell>
          <cell r="W857" t="str">
            <v>GT - IC
SJ</v>
          </cell>
          <cell r="X857" t="str">
            <v>General Trading - Instrument
General Trading - Elektrical
Service Jasa</v>
          </cell>
        </row>
        <row r="858">
          <cell r="B858" t="str">
            <v>DCT Total Solusindo, PT</v>
          </cell>
          <cell r="C858" t="str">
            <v>nanda@amb-indonesia.com</v>
          </cell>
          <cell r="G858" t="b">
            <v>0</v>
          </cell>
          <cell r="H858" t="b">
            <v>0</v>
          </cell>
          <cell r="I858" t="b">
            <v>0</v>
          </cell>
          <cell r="J858" t="b">
            <v>0</v>
          </cell>
          <cell r="K858" t="b">
            <v>0</v>
          </cell>
          <cell r="L858" t="b">
            <v>0</v>
          </cell>
          <cell r="M858" t="b">
            <v>0</v>
          </cell>
          <cell r="N858" t="b">
            <v>0</v>
          </cell>
          <cell r="O858" t="b">
            <v>0</v>
          </cell>
          <cell r="P858" t="b">
            <v>0</v>
          </cell>
          <cell r="Q858" t="b">
            <v>0</v>
          </cell>
          <cell r="R858" t="b">
            <v>0</v>
          </cell>
          <cell r="S858" t="b">
            <v>0</v>
          </cell>
          <cell r="T858" t="b">
            <v>0</v>
          </cell>
          <cell r="U858" t="str">
            <v>A</v>
          </cell>
          <cell r="V858" t="str">
            <v>No Register</v>
          </cell>
          <cell r="W858" t="str">
            <v/>
          </cell>
        </row>
        <row r="859">
          <cell r="B859" t="str">
            <v>AMB Indonesia, PT</v>
          </cell>
          <cell r="G859" t="b">
            <v>0</v>
          </cell>
          <cell r="H859" t="b">
            <v>0</v>
          </cell>
          <cell r="I859" t="b">
            <v>0</v>
          </cell>
          <cell r="J859" t="b">
            <v>0</v>
          </cell>
          <cell r="K859" t="b">
            <v>0</v>
          </cell>
          <cell r="L859" t="b">
            <v>0</v>
          </cell>
          <cell r="M859" t="b">
            <v>0</v>
          </cell>
          <cell r="N859" t="b">
            <v>0</v>
          </cell>
          <cell r="O859" t="b">
            <v>0</v>
          </cell>
          <cell r="P859" t="b">
            <v>0</v>
          </cell>
          <cell r="Q859" t="b">
            <v>0</v>
          </cell>
          <cell r="R859" t="b">
            <v>0</v>
          </cell>
          <cell r="S859" t="b">
            <v>0</v>
          </cell>
          <cell r="T859" t="b">
            <v>0</v>
          </cell>
          <cell r="U859" t="str">
            <v>NA</v>
          </cell>
          <cell r="V859" t="str">
            <v>No Register</v>
          </cell>
          <cell r="W859" t="str">
            <v>SJ - ME</v>
          </cell>
          <cell r="X859" t="str">
            <v>Service Jasa - Mechanical
Service Jasa - Mechanical Service</v>
          </cell>
        </row>
        <row r="860">
          <cell r="B860" t="str">
            <v>Dynamic Boiler Nusantara, PT</v>
          </cell>
          <cell r="G860" t="b">
            <v>0</v>
          </cell>
          <cell r="H860" t="b">
            <v>0</v>
          </cell>
          <cell r="I860" t="b">
            <v>0</v>
          </cell>
          <cell r="J860" t="b">
            <v>0</v>
          </cell>
          <cell r="K860" t="b">
            <v>0</v>
          </cell>
          <cell r="L860" t="b">
            <v>0</v>
          </cell>
          <cell r="M860" t="b">
            <v>0</v>
          </cell>
          <cell r="N860" t="b">
            <v>0</v>
          </cell>
          <cell r="O860" t="b">
            <v>0</v>
          </cell>
          <cell r="P860" t="b">
            <v>0</v>
          </cell>
          <cell r="Q860" t="b">
            <v>0</v>
          </cell>
          <cell r="R860" t="b">
            <v>0</v>
          </cell>
          <cell r="S860" t="b">
            <v>0</v>
          </cell>
          <cell r="T860" t="b">
            <v>0</v>
          </cell>
          <cell r="U860" t="str">
            <v>NA</v>
          </cell>
          <cell r="V860" t="str">
            <v>No Register</v>
          </cell>
          <cell r="W860" t="str">
            <v/>
          </cell>
        </row>
        <row r="861">
          <cell r="B861" t="str">
            <v>Menara Alfa Semesta, PT</v>
          </cell>
          <cell r="C861" t="str">
            <v>surabaya@norgantara.com</v>
          </cell>
          <cell r="G861" t="b">
            <v>0</v>
          </cell>
          <cell r="H861" t="b">
            <v>0</v>
          </cell>
          <cell r="I861" t="b">
            <v>0</v>
          </cell>
          <cell r="J861" t="b">
            <v>0</v>
          </cell>
          <cell r="K861" t="b">
            <v>0</v>
          </cell>
          <cell r="L861" t="b">
            <v>0</v>
          </cell>
          <cell r="M861" t="b">
            <v>0</v>
          </cell>
          <cell r="N861" t="b">
            <v>0</v>
          </cell>
          <cell r="O861" t="b">
            <v>0</v>
          </cell>
          <cell r="P861" t="b">
            <v>0</v>
          </cell>
          <cell r="Q861" t="b">
            <v>0</v>
          </cell>
          <cell r="R861" t="b">
            <v>0</v>
          </cell>
          <cell r="S861" t="b">
            <v>0</v>
          </cell>
          <cell r="T861" t="b">
            <v>0</v>
          </cell>
          <cell r="U861" t="str">
            <v>NA</v>
          </cell>
          <cell r="V861" t="str">
            <v>No Register</v>
          </cell>
          <cell r="W861" t="str">
            <v/>
          </cell>
        </row>
        <row r="862">
          <cell r="B862" t="str">
            <v>Norgantara Surya Perkasa, PT</v>
          </cell>
          <cell r="C862" t="str">
            <v>nusafluid.solusiutama@swagelok.co.id; nurul.fachrosa@swagelok.co.id</v>
          </cell>
          <cell r="D862" t="str">
            <v>Nurul</v>
          </cell>
          <cell r="E862" t="str">
            <v>08119703584</v>
          </cell>
          <cell r="G862" t="b">
            <v>0</v>
          </cell>
          <cell r="H862" t="b">
            <v>0</v>
          </cell>
          <cell r="I862" t="b">
            <v>0</v>
          </cell>
          <cell r="J862" t="b">
            <v>0</v>
          </cell>
          <cell r="K862" t="b">
            <v>0</v>
          </cell>
          <cell r="L862" t="b">
            <v>0</v>
          </cell>
          <cell r="M862" t="b">
            <v>1</v>
          </cell>
          <cell r="N862" t="b">
            <v>0</v>
          </cell>
          <cell r="O862" t="b">
            <v>0</v>
          </cell>
          <cell r="P862" t="b">
            <v>0</v>
          </cell>
          <cell r="Q862" t="b">
            <v>0</v>
          </cell>
          <cell r="R862" t="b">
            <v>0</v>
          </cell>
          <cell r="S862" t="b">
            <v>1</v>
          </cell>
          <cell r="T862" t="b">
            <v>0</v>
          </cell>
          <cell r="U862" t="str">
            <v>A</v>
          </cell>
          <cell r="V862" t="str">
            <v>No Register</v>
          </cell>
          <cell r="W862" t="str">
            <v>GT - IC</v>
          </cell>
          <cell r="X862" t="str">
            <v>General Trading - Instrument</v>
          </cell>
          <cell r="Y862" t="str">
            <v>D Swagelok</v>
          </cell>
        </row>
        <row r="863">
          <cell r="B863" t="str">
            <v>Nusafluid Solusi Utama, PT</v>
          </cell>
          <cell r="C863" t="str">
            <v>info@ptpid.com; ferry@ptpid.com</v>
          </cell>
          <cell r="D863" t="str">
            <v>Ferry</v>
          </cell>
          <cell r="G863" t="b">
            <v>0</v>
          </cell>
          <cell r="H863" t="b">
            <v>0</v>
          </cell>
          <cell r="I863" t="b">
            <v>0</v>
          </cell>
          <cell r="J863" t="b">
            <v>0</v>
          </cell>
          <cell r="K863" t="b">
            <v>0</v>
          </cell>
          <cell r="L863" t="b">
            <v>0</v>
          </cell>
          <cell r="M863" t="b">
            <v>0</v>
          </cell>
          <cell r="N863" t="b">
            <v>0</v>
          </cell>
          <cell r="O863" t="b">
            <v>0</v>
          </cell>
          <cell r="P863" t="b">
            <v>0</v>
          </cell>
          <cell r="Q863" t="b">
            <v>0</v>
          </cell>
          <cell r="R863" t="b">
            <v>0</v>
          </cell>
          <cell r="S863" t="b">
            <v>0</v>
          </cell>
          <cell r="T863" t="b">
            <v>0</v>
          </cell>
          <cell r="U863" t="str">
            <v>NA</v>
          </cell>
          <cell r="V863" t="str">
            <v>No Register</v>
          </cell>
          <cell r="W863" t="str">
            <v/>
          </cell>
        </row>
        <row r="864">
          <cell r="B864" t="str">
            <v>Polaris Instrumentasi Dinamika, PT</v>
          </cell>
          <cell r="C864" t="str">
            <v>sales@ptpgs.id; Rildha.wibawa@ptpgs.id</v>
          </cell>
          <cell r="D864" t="str">
            <v>Rildha</v>
          </cell>
          <cell r="E864" t="str">
            <v>087782222190</v>
          </cell>
          <cell r="F864" t="str">
            <v>Komplek Lodan Center Blok H-11 , Jl.Lodan Raya No.2 Ancol Pademangan Pademangan Jakarta  Utara 14430</v>
          </cell>
          <cell r="G864" t="b">
            <v>0</v>
          </cell>
          <cell r="H864" t="b">
            <v>0</v>
          </cell>
          <cell r="I864" t="b">
            <v>0</v>
          </cell>
          <cell r="J864" t="b">
            <v>0</v>
          </cell>
          <cell r="K864" t="b">
            <v>0</v>
          </cell>
          <cell r="L864" t="b">
            <v>0</v>
          </cell>
          <cell r="M864" t="b">
            <v>1</v>
          </cell>
          <cell r="N864" t="b">
            <v>0</v>
          </cell>
          <cell r="O864" t="b">
            <v>0</v>
          </cell>
          <cell r="P864" t="b">
            <v>0</v>
          </cell>
          <cell r="Q864" t="b">
            <v>0</v>
          </cell>
          <cell r="R864" t="b">
            <v>1</v>
          </cell>
          <cell r="S864" t="b">
            <v>1</v>
          </cell>
          <cell r="T864" t="b">
            <v>0</v>
          </cell>
          <cell r="U864" t="str">
            <v>A</v>
          </cell>
          <cell r="V864" t="str">
            <v>No Register</v>
          </cell>
          <cell r="W864" t="str">
            <v>GT - HSE</v>
          </cell>
          <cell r="X864" t="str">
            <v>General Trading - HSE
General Trading - HSE &amp; Safety</v>
          </cell>
          <cell r="Y864" t="str">
            <v>Isi ulang Oxgqn</v>
          </cell>
        </row>
        <row r="865">
          <cell r="B865" t="str">
            <v>Pratama Graha Semesta, PT</v>
          </cell>
          <cell r="G865" t="b">
            <v>0</v>
          </cell>
          <cell r="H865" t="b">
            <v>0</v>
          </cell>
          <cell r="I865" t="b">
            <v>0</v>
          </cell>
          <cell r="J865" t="b">
            <v>0</v>
          </cell>
          <cell r="K865" t="b">
            <v>0</v>
          </cell>
          <cell r="L865" t="b">
            <v>0</v>
          </cell>
          <cell r="M865" t="b">
            <v>0</v>
          </cell>
          <cell r="N865" t="b">
            <v>0</v>
          </cell>
          <cell r="O865" t="b">
            <v>0</v>
          </cell>
          <cell r="P865" t="b">
            <v>0</v>
          </cell>
          <cell r="Q865" t="b">
            <v>0</v>
          </cell>
          <cell r="R865" t="b">
            <v>0</v>
          </cell>
          <cell r="S865" t="b">
            <v>0</v>
          </cell>
          <cell r="T865" t="b">
            <v>0</v>
          </cell>
          <cell r="U865" t="str">
            <v>A</v>
          </cell>
          <cell r="V865" t="str">
            <v>No Register</v>
          </cell>
          <cell r="W865" t="str">
            <v/>
          </cell>
        </row>
        <row r="866">
          <cell r="B866" t="str">
            <v>Starvi Nusa Gemilang, PT</v>
          </cell>
          <cell r="G866" t="b">
            <v>0</v>
          </cell>
          <cell r="H866" t="b">
            <v>0</v>
          </cell>
          <cell r="I866" t="b">
            <v>0</v>
          </cell>
          <cell r="J866" t="b">
            <v>0</v>
          </cell>
          <cell r="K866" t="b">
            <v>0</v>
          </cell>
          <cell r="L866" t="b">
            <v>0</v>
          </cell>
          <cell r="M866" t="b">
            <v>0</v>
          </cell>
          <cell r="N866" t="b">
            <v>0</v>
          </cell>
          <cell r="O866" t="b">
            <v>0</v>
          </cell>
          <cell r="P866" t="b">
            <v>0</v>
          </cell>
          <cell r="Q866" t="b">
            <v>0</v>
          </cell>
          <cell r="R866" t="b">
            <v>0</v>
          </cell>
          <cell r="S866" t="b">
            <v>0</v>
          </cell>
          <cell r="T866" t="b">
            <v>0</v>
          </cell>
          <cell r="U866" t="str">
            <v>A</v>
          </cell>
          <cell r="V866" t="str">
            <v>No Register</v>
          </cell>
          <cell r="W866" t="str">
            <v/>
          </cell>
        </row>
        <row r="867">
          <cell r="B867" t="str">
            <v>Wahana Mitra Sukses, PT</v>
          </cell>
          <cell r="G867" t="b">
            <v>0</v>
          </cell>
          <cell r="H867" t="b">
            <v>0</v>
          </cell>
          <cell r="I867" t="b">
            <v>0</v>
          </cell>
          <cell r="J867" t="b">
            <v>0</v>
          </cell>
          <cell r="K867" t="b">
            <v>0</v>
          </cell>
          <cell r="L867" t="b">
            <v>0</v>
          </cell>
          <cell r="M867" t="b">
            <v>0</v>
          </cell>
          <cell r="N867" t="b">
            <v>0</v>
          </cell>
          <cell r="O867" t="b">
            <v>0</v>
          </cell>
          <cell r="P867" t="b">
            <v>0</v>
          </cell>
          <cell r="Q867" t="b">
            <v>0</v>
          </cell>
          <cell r="R867" t="b">
            <v>0</v>
          </cell>
          <cell r="S867" t="b">
            <v>0</v>
          </cell>
          <cell r="T867" t="b">
            <v>0</v>
          </cell>
          <cell r="U867" t="str">
            <v>NA</v>
          </cell>
          <cell r="V867" t="str">
            <v>No Register</v>
          </cell>
          <cell r="W867" t="str">
            <v/>
          </cell>
        </row>
        <row r="868">
          <cell r="B868" t="str">
            <v>ATW Solar, PT</v>
          </cell>
          <cell r="G868" t="b">
            <v>0</v>
          </cell>
          <cell r="H868" t="b">
            <v>0</v>
          </cell>
          <cell r="I868" t="b">
            <v>0</v>
          </cell>
          <cell r="J868" t="b">
            <v>0</v>
          </cell>
          <cell r="K868" t="b">
            <v>0</v>
          </cell>
          <cell r="L868" t="b">
            <v>0</v>
          </cell>
          <cell r="M868" t="b">
            <v>0</v>
          </cell>
          <cell r="N868" t="b">
            <v>0</v>
          </cell>
          <cell r="O868" t="b">
            <v>0</v>
          </cell>
          <cell r="P868" t="b">
            <v>0</v>
          </cell>
          <cell r="Q868" t="b">
            <v>0</v>
          </cell>
          <cell r="R868" t="b">
            <v>0</v>
          </cell>
          <cell r="S868" t="b">
            <v>0</v>
          </cell>
          <cell r="T868" t="b">
            <v>0</v>
          </cell>
          <cell r="U868" t="str">
            <v>NA</v>
          </cell>
          <cell r="V868" t="str">
            <v>No Register</v>
          </cell>
          <cell r="W868" t="str">
            <v/>
          </cell>
        </row>
        <row r="869">
          <cell r="B869" t="str">
            <v>Banua Maju Jaya, CV</v>
          </cell>
          <cell r="G869" t="b">
            <v>0</v>
          </cell>
          <cell r="H869" t="b">
            <v>0</v>
          </cell>
          <cell r="I869" t="b">
            <v>0</v>
          </cell>
          <cell r="J869" t="b">
            <v>0</v>
          </cell>
          <cell r="K869" t="b">
            <v>0</v>
          </cell>
          <cell r="L869" t="b">
            <v>0</v>
          </cell>
          <cell r="M869" t="b">
            <v>0</v>
          </cell>
          <cell r="N869" t="b">
            <v>0</v>
          </cell>
          <cell r="O869" t="b">
            <v>0</v>
          </cell>
          <cell r="P869" t="b">
            <v>0</v>
          </cell>
          <cell r="Q869" t="b">
            <v>0</v>
          </cell>
          <cell r="R869" t="b">
            <v>0</v>
          </cell>
          <cell r="S869" t="b">
            <v>0</v>
          </cell>
          <cell r="T869" t="b">
            <v>0</v>
          </cell>
          <cell r="U869" t="str">
            <v>A</v>
          </cell>
          <cell r="V869" t="str">
            <v>No Register</v>
          </cell>
          <cell r="W869" t="str">
            <v/>
          </cell>
        </row>
        <row r="870">
          <cell r="B870" t="str">
            <v>Benteng Reka Energi, PT</v>
          </cell>
          <cell r="G870" t="b">
            <v>0</v>
          </cell>
          <cell r="H870" t="b">
            <v>0</v>
          </cell>
          <cell r="I870" t="b">
            <v>0</v>
          </cell>
          <cell r="J870" t="b">
            <v>0</v>
          </cell>
          <cell r="K870" t="b">
            <v>0</v>
          </cell>
          <cell r="L870" t="b">
            <v>0</v>
          </cell>
          <cell r="M870" t="b">
            <v>0</v>
          </cell>
          <cell r="N870" t="b">
            <v>0</v>
          </cell>
          <cell r="O870" t="b">
            <v>0</v>
          </cell>
          <cell r="P870" t="b">
            <v>0</v>
          </cell>
          <cell r="Q870" t="b">
            <v>0</v>
          </cell>
          <cell r="R870" t="b">
            <v>0</v>
          </cell>
          <cell r="S870" t="b">
            <v>0</v>
          </cell>
          <cell r="T870" t="b">
            <v>0</v>
          </cell>
          <cell r="U870" t="str">
            <v>A</v>
          </cell>
          <cell r="V870" t="str">
            <v>No Register</v>
          </cell>
          <cell r="W870" t="str">
            <v/>
          </cell>
        </row>
        <row r="871">
          <cell r="B871" t="str">
            <v>Berkat Daya Laksana, CV</v>
          </cell>
          <cell r="G871" t="b">
            <v>0</v>
          </cell>
          <cell r="H871" t="b">
            <v>0</v>
          </cell>
          <cell r="I871" t="b">
            <v>0</v>
          </cell>
          <cell r="J871" t="b">
            <v>0</v>
          </cell>
          <cell r="K871" t="b">
            <v>0</v>
          </cell>
          <cell r="L871" t="b">
            <v>0</v>
          </cell>
          <cell r="M871" t="b">
            <v>0</v>
          </cell>
          <cell r="N871" t="b">
            <v>0</v>
          </cell>
          <cell r="O871" t="b">
            <v>0</v>
          </cell>
          <cell r="P871" t="b">
            <v>0</v>
          </cell>
          <cell r="Q871" t="b">
            <v>0</v>
          </cell>
          <cell r="R871" t="b">
            <v>0</v>
          </cell>
          <cell r="S871" t="b">
            <v>0</v>
          </cell>
          <cell r="T871" t="b">
            <v>0</v>
          </cell>
          <cell r="U871" t="str">
            <v>NA</v>
          </cell>
          <cell r="V871" t="str">
            <v>No Register</v>
          </cell>
          <cell r="W871" t="str">
            <v/>
          </cell>
        </row>
        <row r="872">
          <cell r="B872" t="str">
            <v>Bertha Sinar Teknik, PT</v>
          </cell>
          <cell r="G872" t="b">
            <v>0</v>
          </cell>
          <cell r="H872" t="b">
            <v>0</v>
          </cell>
          <cell r="I872" t="b">
            <v>0</v>
          </cell>
          <cell r="J872" t="b">
            <v>0</v>
          </cell>
          <cell r="K872" t="b">
            <v>0</v>
          </cell>
          <cell r="L872" t="b">
            <v>0</v>
          </cell>
          <cell r="M872" t="b">
            <v>0</v>
          </cell>
          <cell r="N872" t="b">
            <v>0</v>
          </cell>
          <cell r="O872" t="b">
            <v>0</v>
          </cell>
          <cell r="P872" t="b">
            <v>0</v>
          </cell>
          <cell r="Q872" t="b">
            <v>0</v>
          </cell>
          <cell r="R872" t="b">
            <v>0</v>
          </cell>
          <cell r="S872" t="b">
            <v>0</v>
          </cell>
          <cell r="T872" t="b">
            <v>0</v>
          </cell>
          <cell r="U872" t="str">
            <v>NA</v>
          </cell>
          <cell r="V872" t="str">
            <v>No Register</v>
          </cell>
          <cell r="W872" t="str">
            <v/>
          </cell>
        </row>
        <row r="873">
          <cell r="B873" t="str">
            <v>Besttoflow System, PT</v>
          </cell>
          <cell r="G873" t="b">
            <v>0</v>
          </cell>
          <cell r="H873" t="b">
            <v>0</v>
          </cell>
          <cell r="I873" t="b">
            <v>0</v>
          </cell>
          <cell r="J873" t="b">
            <v>0</v>
          </cell>
          <cell r="K873" t="b">
            <v>0</v>
          </cell>
          <cell r="L873" t="b">
            <v>0</v>
          </cell>
          <cell r="M873" t="b">
            <v>0</v>
          </cell>
          <cell r="N873" t="b">
            <v>0</v>
          </cell>
          <cell r="O873" t="b">
            <v>0</v>
          </cell>
          <cell r="P873" t="b">
            <v>0</v>
          </cell>
          <cell r="Q873" t="b">
            <v>0</v>
          </cell>
          <cell r="R873" t="b">
            <v>0</v>
          </cell>
          <cell r="S873" t="b">
            <v>0</v>
          </cell>
          <cell r="T873" t="b">
            <v>0</v>
          </cell>
          <cell r="U873" t="str">
            <v>NA</v>
          </cell>
          <cell r="V873" t="str">
            <v>No Register</v>
          </cell>
          <cell r="W873" t="str">
            <v/>
          </cell>
        </row>
        <row r="874">
          <cell r="B874" t="str">
            <v>Biotech Indo Gemilang, PT</v>
          </cell>
          <cell r="G874" t="b">
            <v>0</v>
          </cell>
          <cell r="H874" t="b">
            <v>0</v>
          </cell>
          <cell r="I874" t="b">
            <v>0</v>
          </cell>
          <cell r="J874" t="b">
            <v>0</v>
          </cell>
          <cell r="K874" t="b">
            <v>0</v>
          </cell>
          <cell r="L874" t="b">
            <v>0</v>
          </cell>
          <cell r="M874" t="b">
            <v>0</v>
          </cell>
          <cell r="N874" t="b">
            <v>0</v>
          </cell>
          <cell r="O874" t="b">
            <v>0</v>
          </cell>
          <cell r="P874" t="b">
            <v>0</v>
          </cell>
          <cell r="Q874" t="b">
            <v>0</v>
          </cell>
          <cell r="R874" t="b">
            <v>0</v>
          </cell>
          <cell r="S874" t="b">
            <v>0</v>
          </cell>
          <cell r="T874" t="b">
            <v>0</v>
          </cell>
          <cell r="U874" t="str">
            <v>NA</v>
          </cell>
          <cell r="V874" t="str">
            <v>No Register</v>
          </cell>
          <cell r="W874" t="str">
            <v/>
          </cell>
        </row>
        <row r="875">
          <cell r="B875" t="str">
            <v>Biro Jasa Inning</v>
          </cell>
          <cell r="G875" t="b">
            <v>0</v>
          </cell>
          <cell r="H875" t="b">
            <v>0</v>
          </cell>
          <cell r="I875" t="b">
            <v>0</v>
          </cell>
          <cell r="J875" t="b">
            <v>0</v>
          </cell>
          <cell r="K875" t="b">
            <v>0</v>
          </cell>
          <cell r="L875" t="b">
            <v>0</v>
          </cell>
          <cell r="M875" t="b">
            <v>0</v>
          </cell>
          <cell r="N875" t="b">
            <v>0</v>
          </cell>
          <cell r="O875" t="b">
            <v>0</v>
          </cell>
          <cell r="P875" t="b">
            <v>0</v>
          </cell>
          <cell r="Q875" t="b">
            <v>0</v>
          </cell>
          <cell r="R875" t="b">
            <v>0</v>
          </cell>
          <cell r="S875" t="b">
            <v>0</v>
          </cell>
          <cell r="T875" t="b">
            <v>0</v>
          </cell>
          <cell r="U875" t="str">
            <v>A</v>
          </cell>
          <cell r="V875" t="str">
            <v>No Register</v>
          </cell>
          <cell r="W875" t="str">
            <v/>
          </cell>
        </row>
        <row r="876">
          <cell r="B876" t="str">
            <v>Bisan Electric, PT</v>
          </cell>
          <cell r="G876" t="b">
            <v>0</v>
          </cell>
          <cell r="H876" t="b">
            <v>0</v>
          </cell>
          <cell r="I876" t="b">
            <v>0</v>
          </cell>
          <cell r="J876" t="b">
            <v>0</v>
          </cell>
          <cell r="K876" t="b">
            <v>0</v>
          </cell>
          <cell r="L876" t="b">
            <v>0</v>
          </cell>
          <cell r="M876" t="b">
            <v>0</v>
          </cell>
          <cell r="N876" t="b">
            <v>0</v>
          </cell>
          <cell r="O876" t="b">
            <v>0</v>
          </cell>
          <cell r="P876" t="b">
            <v>0</v>
          </cell>
          <cell r="Q876" t="b">
            <v>0</v>
          </cell>
          <cell r="R876" t="b">
            <v>0</v>
          </cell>
          <cell r="S876" t="b">
            <v>0</v>
          </cell>
          <cell r="T876" t="b">
            <v>0</v>
          </cell>
          <cell r="U876" t="str">
            <v>A</v>
          </cell>
          <cell r="V876" t="str">
            <v>No Register</v>
          </cell>
          <cell r="W876" t="str">
            <v/>
          </cell>
        </row>
        <row r="877">
          <cell r="B877" t="str">
            <v>Central Diesel, PT</v>
          </cell>
          <cell r="G877" t="b">
            <v>0</v>
          </cell>
          <cell r="H877" t="b">
            <v>0</v>
          </cell>
          <cell r="I877" t="b">
            <v>0</v>
          </cell>
          <cell r="J877" t="b">
            <v>0</v>
          </cell>
          <cell r="K877" t="b">
            <v>0</v>
          </cell>
          <cell r="L877" t="b">
            <v>0</v>
          </cell>
          <cell r="M877" t="b">
            <v>0</v>
          </cell>
          <cell r="N877" t="b">
            <v>0</v>
          </cell>
          <cell r="O877" t="b">
            <v>0</v>
          </cell>
          <cell r="P877" t="b">
            <v>0</v>
          </cell>
          <cell r="Q877" t="b">
            <v>0</v>
          </cell>
          <cell r="R877" t="b">
            <v>0</v>
          </cell>
          <cell r="S877" t="b">
            <v>0</v>
          </cell>
          <cell r="T877" t="b">
            <v>0</v>
          </cell>
          <cell r="U877" t="str">
            <v>NA</v>
          </cell>
          <cell r="V877" t="str">
            <v>No Register</v>
          </cell>
          <cell r="W877" t="str">
            <v/>
          </cell>
        </row>
        <row r="878">
          <cell r="B878" t="str">
            <v>Deka Adhinusa, PT</v>
          </cell>
          <cell r="G878" t="b">
            <v>0</v>
          </cell>
          <cell r="H878" t="b">
            <v>0</v>
          </cell>
          <cell r="I878" t="b">
            <v>0</v>
          </cell>
          <cell r="J878" t="b">
            <v>0</v>
          </cell>
          <cell r="K878" t="b">
            <v>0</v>
          </cell>
          <cell r="L878" t="b">
            <v>0</v>
          </cell>
          <cell r="M878" t="b">
            <v>0</v>
          </cell>
          <cell r="N878" t="b">
            <v>0</v>
          </cell>
          <cell r="O878" t="b">
            <v>0</v>
          </cell>
          <cell r="P878" t="b">
            <v>0</v>
          </cell>
          <cell r="Q878" t="b">
            <v>0</v>
          </cell>
          <cell r="R878" t="b">
            <v>0</v>
          </cell>
          <cell r="S878" t="b">
            <v>0</v>
          </cell>
          <cell r="T878" t="b">
            <v>0</v>
          </cell>
          <cell r="U878" t="str">
            <v>A</v>
          </cell>
          <cell r="V878" t="str">
            <v>No Register</v>
          </cell>
          <cell r="W878" t="str">
            <v/>
          </cell>
        </row>
        <row r="879">
          <cell r="B879" t="str">
            <v>Dielektrika Persada Teknik, PT</v>
          </cell>
          <cell r="G879" t="b">
            <v>0</v>
          </cell>
          <cell r="H879" t="b">
            <v>0</v>
          </cell>
          <cell r="I879" t="b">
            <v>0</v>
          </cell>
          <cell r="J879" t="b">
            <v>0</v>
          </cell>
          <cell r="K879" t="b">
            <v>0</v>
          </cell>
          <cell r="L879" t="b">
            <v>0</v>
          </cell>
          <cell r="M879" t="b">
            <v>0</v>
          </cell>
          <cell r="N879" t="b">
            <v>0</v>
          </cell>
          <cell r="O879" t="b">
            <v>0</v>
          </cell>
          <cell r="P879" t="b">
            <v>0</v>
          </cell>
          <cell r="Q879" t="b">
            <v>0</v>
          </cell>
          <cell r="R879" t="b">
            <v>0</v>
          </cell>
          <cell r="S879" t="b">
            <v>0</v>
          </cell>
          <cell r="T879" t="b">
            <v>0</v>
          </cell>
          <cell r="U879" t="str">
            <v>A</v>
          </cell>
          <cell r="V879" t="str">
            <v>No Register</v>
          </cell>
          <cell r="W879" t="str">
            <v/>
          </cell>
        </row>
        <row r="880">
          <cell r="B880" t="str">
            <v>Fortuna Anekamulti Gemilang, PT</v>
          </cell>
          <cell r="G880" t="b">
            <v>0</v>
          </cell>
          <cell r="H880" t="b">
            <v>0</v>
          </cell>
          <cell r="I880" t="b">
            <v>0</v>
          </cell>
          <cell r="J880" t="b">
            <v>0</v>
          </cell>
          <cell r="K880" t="b">
            <v>0</v>
          </cell>
          <cell r="L880" t="b">
            <v>0</v>
          </cell>
          <cell r="M880" t="b">
            <v>0</v>
          </cell>
          <cell r="N880" t="b">
            <v>0</v>
          </cell>
          <cell r="O880" t="b">
            <v>0</v>
          </cell>
          <cell r="P880" t="b">
            <v>0</v>
          </cell>
          <cell r="Q880" t="b">
            <v>0</v>
          </cell>
          <cell r="R880" t="b">
            <v>0</v>
          </cell>
          <cell r="S880" t="b">
            <v>0</v>
          </cell>
          <cell r="T880" t="b">
            <v>0</v>
          </cell>
          <cell r="U880" t="str">
            <v>NA</v>
          </cell>
          <cell r="V880" t="str">
            <v>No Register</v>
          </cell>
          <cell r="W880" t="str">
            <v/>
          </cell>
        </row>
        <row r="881">
          <cell r="B881" t="str">
            <v>Golden Kanezka Scafolding, PT</v>
          </cell>
          <cell r="G881" t="b">
            <v>0</v>
          </cell>
          <cell r="H881" t="b">
            <v>0</v>
          </cell>
          <cell r="I881" t="b">
            <v>0</v>
          </cell>
          <cell r="J881" t="b">
            <v>0</v>
          </cell>
          <cell r="K881" t="b">
            <v>0</v>
          </cell>
          <cell r="L881" t="b">
            <v>0</v>
          </cell>
          <cell r="M881" t="b">
            <v>0</v>
          </cell>
          <cell r="N881" t="b">
            <v>0</v>
          </cell>
          <cell r="O881" t="b">
            <v>0</v>
          </cell>
          <cell r="P881" t="b">
            <v>0</v>
          </cell>
          <cell r="Q881" t="b">
            <v>0</v>
          </cell>
          <cell r="R881" t="b">
            <v>0</v>
          </cell>
          <cell r="S881" t="b">
            <v>0</v>
          </cell>
          <cell r="T881" t="b">
            <v>0</v>
          </cell>
          <cell r="U881" t="str">
            <v>A</v>
          </cell>
          <cell r="V881" t="str">
            <v>No Register</v>
          </cell>
          <cell r="W881" t="str">
            <v/>
          </cell>
        </row>
        <row r="882">
          <cell r="B882" t="str">
            <v>Graha Sumber Prima Elektronik, PT</v>
          </cell>
          <cell r="G882" t="b">
            <v>0</v>
          </cell>
          <cell r="H882" t="b">
            <v>0</v>
          </cell>
          <cell r="I882" t="b">
            <v>0</v>
          </cell>
          <cell r="J882" t="b">
            <v>0</v>
          </cell>
          <cell r="K882" t="b">
            <v>0</v>
          </cell>
          <cell r="L882" t="b">
            <v>0</v>
          </cell>
          <cell r="M882" t="b">
            <v>0</v>
          </cell>
          <cell r="N882" t="b">
            <v>0</v>
          </cell>
          <cell r="O882" t="b">
            <v>0</v>
          </cell>
          <cell r="P882" t="b">
            <v>0</v>
          </cell>
          <cell r="Q882" t="b">
            <v>0</v>
          </cell>
          <cell r="R882" t="b">
            <v>0</v>
          </cell>
          <cell r="S882" t="b">
            <v>0</v>
          </cell>
          <cell r="T882" t="b">
            <v>0</v>
          </cell>
          <cell r="U882" t="str">
            <v>NA</v>
          </cell>
          <cell r="V882" t="str">
            <v>No Register</v>
          </cell>
          <cell r="W882" t="str">
            <v/>
          </cell>
        </row>
        <row r="883">
          <cell r="B883" t="str">
            <v>Hanju Nusantara Power, PT</v>
          </cell>
          <cell r="G883" t="b">
            <v>0</v>
          </cell>
          <cell r="H883" t="b">
            <v>0</v>
          </cell>
          <cell r="I883" t="b">
            <v>0</v>
          </cell>
          <cell r="J883" t="b">
            <v>0</v>
          </cell>
          <cell r="K883" t="b">
            <v>0</v>
          </cell>
          <cell r="L883" t="b">
            <v>0</v>
          </cell>
          <cell r="M883" t="b">
            <v>0</v>
          </cell>
          <cell r="N883" t="b">
            <v>0</v>
          </cell>
          <cell r="O883" t="b">
            <v>0</v>
          </cell>
          <cell r="P883" t="b">
            <v>0</v>
          </cell>
          <cell r="Q883" t="b">
            <v>0</v>
          </cell>
          <cell r="R883" t="b">
            <v>0</v>
          </cell>
          <cell r="S883" t="b">
            <v>0</v>
          </cell>
          <cell r="T883" t="b">
            <v>0</v>
          </cell>
          <cell r="U883" t="str">
            <v>NA</v>
          </cell>
          <cell r="V883" t="str">
            <v>No Register</v>
          </cell>
          <cell r="W883" t="str">
            <v/>
          </cell>
        </row>
        <row r="884">
          <cell r="B884" t="str">
            <v>Harmoni Indo Tehnik, PT</v>
          </cell>
          <cell r="G884" t="b">
            <v>0</v>
          </cell>
          <cell r="H884" t="b">
            <v>0</v>
          </cell>
          <cell r="I884" t="b">
            <v>0</v>
          </cell>
          <cell r="J884" t="b">
            <v>0</v>
          </cell>
          <cell r="K884" t="b">
            <v>0</v>
          </cell>
          <cell r="L884" t="b">
            <v>0</v>
          </cell>
          <cell r="M884" t="b">
            <v>0</v>
          </cell>
          <cell r="N884" t="b">
            <v>0</v>
          </cell>
          <cell r="O884" t="b">
            <v>0</v>
          </cell>
          <cell r="P884" t="b">
            <v>0</v>
          </cell>
          <cell r="Q884" t="b">
            <v>0</v>
          </cell>
          <cell r="R884" t="b">
            <v>0</v>
          </cell>
          <cell r="S884" t="b">
            <v>0</v>
          </cell>
          <cell r="T884" t="b">
            <v>0</v>
          </cell>
          <cell r="U884" t="str">
            <v>NA</v>
          </cell>
          <cell r="V884" t="str">
            <v>No Register</v>
          </cell>
          <cell r="W884" t="str">
            <v/>
          </cell>
        </row>
        <row r="885">
          <cell r="B885" t="str">
            <v>Karya Bersama Industri, PT</v>
          </cell>
          <cell r="G885" t="b">
            <v>0</v>
          </cell>
          <cell r="H885" t="b">
            <v>0</v>
          </cell>
          <cell r="I885" t="b">
            <v>0</v>
          </cell>
          <cell r="J885" t="b">
            <v>0</v>
          </cell>
          <cell r="K885" t="b">
            <v>0</v>
          </cell>
          <cell r="L885" t="b">
            <v>0</v>
          </cell>
          <cell r="M885" t="b">
            <v>0</v>
          </cell>
          <cell r="N885" t="b">
            <v>0</v>
          </cell>
          <cell r="O885" t="b">
            <v>0</v>
          </cell>
          <cell r="P885" t="b">
            <v>0</v>
          </cell>
          <cell r="Q885" t="b">
            <v>0</v>
          </cell>
          <cell r="R885" t="b">
            <v>0</v>
          </cell>
          <cell r="S885" t="b">
            <v>0</v>
          </cell>
          <cell r="T885" t="b">
            <v>0</v>
          </cell>
          <cell r="U885" t="str">
            <v>NA</v>
          </cell>
          <cell r="V885" t="str">
            <v>No Register</v>
          </cell>
          <cell r="W885" t="str">
            <v/>
          </cell>
        </row>
        <row r="886">
          <cell r="B886" t="str">
            <v>Karya Informasi Nusantara, PT</v>
          </cell>
          <cell r="G886" t="b">
            <v>0</v>
          </cell>
          <cell r="H886" t="b">
            <v>0</v>
          </cell>
          <cell r="I886" t="b">
            <v>0</v>
          </cell>
          <cell r="J886" t="b">
            <v>0</v>
          </cell>
          <cell r="K886" t="b">
            <v>0</v>
          </cell>
          <cell r="L886" t="b">
            <v>0</v>
          </cell>
          <cell r="M886" t="b">
            <v>0</v>
          </cell>
          <cell r="N886" t="b">
            <v>0</v>
          </cell>
          <cell r="O886" t="b">
            <v>0</v>
          </cell>
          <cell r="P886" t="b">
            <v>0</v>
          </cell>
          <cell r="Q886" t="b">
            <v>0</v>
          </cell>
          <cell r="R886" t="b">
            <v>0</v>
          </cell>
          <cell r="S886" t="b">
            <v>0</v>
          </cell>
          <cell r="T886" t="b">
            <v>0</v>
          </cell>
          <cell r="U886" t="str">
            <v>NA</v>
          </cell>
          <cell r="V886" t="str">
            <v>No Register</v>
          </cell>
          <cell r="W886" t="str">
            <v/>
          </cell>
        </row>
        <row r="887">
          <cell r="B887" t="str">
            <v>Kawan Lama Sejahtera, PT</v>
          </cell>
          <cell r="G887" t="b">
            <v>0</v>
          </cell>
          <cell r="H887" t="b">
            <v>0</v>
          </cell>
          <cell r="I887" t="b">
            <v>0</v>
          </cell>
          <cell r="J887" t="b">
            <v>0</v>
          </cell>
          <cell r="K887" t="b">
            <v>0</v>
          </cell>
          <cell r="L887" t="b">
            <v>0</v>
          </cell>
          <cell r="M887" t="b">
            <v>0</v>
          </cell>
          <cell r="N887" t="b">
            <v>0</v>
          </cell>
          <cell r="O887" t="b">
            <v>0</v>
          </cell>
          <cell r="P887" t="b">
            <v>0</v>
          </cell>
          <cell r="Q887" t="b">
            <v>0</v>
          </cell>
          <cell r="R887" t="b">
            <v>0</v>
          </cell>
          <cell r="S887" t="b">
            <v>0</v>
          </cell>
          <cell r="T887" t="b">
            <v>0</v>
          </cell>
          <cell r="U887" t="str">
            <v>NA</v>
          </cell>
          <cell r="V887" t="str">
            <v>No Register</v>
          </cell>
          <cell r="W887" t="str">
            <v/>
          </cell>
        </row>
        <row r="888">
          <cell r="B888" t="str">
            <v>Mapin Sinergi, CV</v>
          </cell>
          <cell r="G888" t="b">
            <v>0</v>
          </cell>
          <cell r="H888" t="b">
            <v>0</v>
          </cell>
          <cell r="I888" t="b">
            <v>0</v>
          </cell>
          <cell r="J888" t="b">
            <v>0</v>
          </cell>
          <cell r="K888" t="b">
            <v>0</v>
          </cell>
          <cell r="L888" t="b">
            <v>0</v>
          </cell>
          <cell r="M888" t="b">
            <v>0</v>
          </cell>
          <cell r="N888" t="b">
            <v>0</v>
          </cell>
          <cell r="O888" t="b">
            <v>0</v>
          </cell>
          <cell r="P888" t="b">
            <v>0</v>
          </cell>
          <cell r="Q888" t="b">
            <v>0</v>
          </cell>
          <cell r="R888" t="b">
            <v>0</v>
          </cell>
          <cell r="S888" t="b">
            <v>0</v>
          </cell>
          <cell r="T888" t="b">
            <v>0</v>
          </cell>
          <cell r="U888" t="str">
            <v>NA</v>
          </cell>
          <cell r="V888" t="str">
            <v>No Register</v>
          </cell>
          <cell r="W888" t="str">
            <v/>
          </cell>
        </row>
        <row r="889">
          <cell r="B889" t="str">
            <v>Mitra Baru, CV</v>
          </cell>
          <cell r="G889" t="b">
            <v>0</v>
          </cell>
          <cell r="H889" t="b">
            <v>0</v>
          </cell>
          <cell r="I889" t="b">
            <v>0</v>
          </cell>
          <cell r="J889" t="b">
            <v>0</v>
          </cell>
          <cell r="K889" t="b">
            <v>0</v>
          </cell>
          <cell r="L889" t="b">
            <v>0</v>
          </cell>
          <cell r="M889" t="b">
            <v>0</v>
          </cell>
          <cell r="N889" t="b">
            <v>0</v>
          </cell>
          <cell r="O889" t="b">
            <v>0</v>
          </cell>
          <cell r="P889" t="b">
            <v>0</v>
          </cell>
          <cell r="Q889" t="b">
            <v>0</v>
          </cell>
          <cell r="R889" t="b">
            <v>0</v>
          </cell>
          <cell r="S889" t="b">
            <v>0</v>
          </cell>
          <cell r="T889" t="b">
            <v>0</v>
          </cell>
          <cell r="U889" t="str">
            <v>NA</v>
          </cell>
          <cell r="V889" t="str">
            <v>No Register</v>
          </cell>
          <cell r="W889" t="str">
            <v/>
          </cell>
        </row>
        <row r="890">
          <cell r="B890" t="str">
            <v>Mitra Sinar Bintang, PT</v>
          </cell>
          <cell r="G890" t="b">
            <v>0</v>
          </cell>
          <cell r="H890" t="b">
            <v>0</v>
          </cell>
          <cell r="I890" t="b">
            <v>0</v>
          </cell>
          <cell r="J890" t="b">
            <v>0</v>
          </cell>
          <cell r="K890" t="b">
            <v>0</v>
          </cell>
          <cell r="L890" t="b">
            <v>0</v>
          </cell>
          <cell r="M890" t="b">
            <v>0</v>
          </cell>
          <cell r="N890" t="b">
            <v>0</v>
          </cell>
          <cell r="O890" t="b">
            <v>0</v>
          </cell>
          <cell r="P890" t="b">
            <v>0</v>
          </cell>
          <cell r="Q890" t="b">
            <v>0</v>
          </cell>
          <cell r="R890" t="b">
            <v>0</v>
          </cell>
          <cell r="S890" t="b">
            <v>0</v>
          </cell>
          <cell r="T890" t="b">
            <v>0</v>
          </cell>
          <cell r="U890" t="str">
            <v>NA</v>
          </cell>
          <cell r="V890" t="str">
            <v>No Register</v>
          </cell>
          <cell r="W890" t="str">
            <v/>
          </cell>
        </row>
        <row r="891">
          <cell r="B891" t="str">
            <v>Mitra Usaha Balikpapan, CV</v>
          </cell>
          <cell r="G891" t="b">
            <v>0</v>
          </cell>
          <cell r="H891" t="b">
            <v>0</v>
          </cell>
          <cell r="I891" t="b">
            <v>0</v>
          </cell>
          <cell r="J891" t="b">
            <v>0</v>
          </cell>
          <cell r="K891" t="b">
            <v>0</v>
          </cell>
          <cell r="L891" t="b">
            <v>0</v>
          </cell>
          <cell r="M891" t="b">
            <v>0</v>
          </cell>
          <cell r="N891" t="b">
            <v>0</v>
          </cell>
          <cell r="O891" t="b">
            <v>0</v>
          </cell>
          <cell r="P891" t="b">
            <v>0</v>
          </cell>
          <cell r="Q891" t="b">
            <v>0</v>
          </cell>
          <cell r="R891" t="b">
            <v>0</v>
          </cell>
          <cell r="S891" t="b">
            <v>0</v>
          </cell>
          <cell r="T891" t="b">
            <v>0</v>
          </cell>
          <cell r="U891" t="str">
            <v>NA</v>
          </cell>
          <cell r="V891" t="str">
            <v>No Register</v>
          </cell>
          <cell r="W891" t="str">
            <v/>
          </cell>
        </row>
        <row r="892">
          <cell r="B892" t="str">
            <v>Pelangi Dwi Warna, CV</v>
          </cell>
          <cell r="C892" t="str">
            <v>admin@ramaco.co.id</v>
          </cell>
          <cell r="G892" t="b">
            <v>0</v>
          </cell>
          <cell r="H892" t="b">
            <v>0</v>
          </cell>
          <cell r="I892" t="b">
            <v>0</v>
          </cell>
          <cell r="J892" t="b">
            <v>0</v>
          </cell>
          <cell r="K892" t="b">
            <v>0</v>
          </cell>
          <cell r="L892" t="b">
            <v>0</v>
          </cell>
          <cell r="M892" t="b">
            <v>0</v>
          </cell>
          <cell r="N892" t="b">
            <v>0</v>
          </cell>
          <cell r="O892" t="b">
            <v>0</v>
          </cell>
          <cell r="P892" t="b">
            <v>0</v>
          </cell>
          <cell r="Q892" t="b">
            <v>0</v>
          </cell>
          <cell r="R892" t="b">
            <v>0</v>
          </cell>
          <cell r="S892" t="b">
            <v>0</v>
          </cell>
          <cell r="T892" t="b">
            <v>0</v>
          </cell>
          <cell r="U892" t="str">
            <v>NA</v>
          </cell>
          <cell r="V892" t="str">
            <v>No Register</v>
          </cell>
          <cell r="W892" t="str">
            <v/>
          </cell>
        </row>
        <row r="893">
          <cell r="B893" t="str">
            <v>Rajawali Mandiri Conveyor, PT</v>
          </cell>
          <cell r="G893" t="b">
            <v>0</v>
          </cell>
          <cell r="H893" t="b">
            <v>0</v>
          </cell>
          <cell r="I893" t="b">
            <v>0</v>
          </cell>
          <cell r="J893" t="b">
            <v>0</v>
          </cell>
          <cell r="K893" t="b">
            <v>0</v>
          </cell>
          <cell r="L893" t="b">
            <v>0</v>
          </cell>
          <cell r="M893" t="b">
            <v>0</v>
          </cell>
          <cell r="N893" t="b">
            <v>0</v>
          </cell>
          <cell r="O893" t="b">
            <v>0</v>
          </cell>
          <cell r="P893" t="b">
            <v>0</v>
          </cell>
          <cell r="Q893" t="b">
            <v>0</v>
          </cell>
          <cell r="R893" t="b">
            <v>0</v>
          </cell>
          <cell r="S893" t="b">
            <v>0</v>
          </cell>
          <cell r="T893" t="b">
            <v>0</v>
          </cell>
          <cell r="U893" t="str">
            <v>NA</v>
          </cell>
          <cell r="V893" t="str">
            <v>No Register</v>
          </cell>
          <cell r="W893" t="str">
            <v/>
          </cell>
        </row>
        <row r="894">
          <cell r="B894" t="str">
            <v>Sahabat Waskita Teknik, PT</v>
          </cell>
          <cell r="G894" t="b">
            <v>0</v>
          </cell>
          <cell r="H894" t="b">
            <v>0</v>
          </cell>
          <cell r="I894" t="b">
            <v>0</v>
          </cell>
          <cell r="J894" t="b">
            <v>0</v>
          </cell>
          <cell r="K894" t="b">
            <v>0</v>
          </cell>
          <cell r="L894" t="b">
            <v>0</v>
          </cell>
          <cell r="M894" t="b">
            <v>0</v>
          </cell>
          <cell r="N894" t="b">
            <v>0</v>
          </cell>
          <cell r="O894" t="b">
            <v>0</v>
          </cell>
          <cell r="P894" t="b">
            <v>0</v>
          </cell>
          <cell r="Q894" t="b">
            <v>0</v>
          </cell>
          <cell r="R894" t="b">
            <v>0</v>
          </cell>
          <cell r="S894" t="b">
            <v>0</v>
          </cell>
          <cell r="T894" t="b">
            <v>0</v>
          </cell>
          <cell r="U894" t="str">
            <v>NA</v>
          </cell>
          <cell r="V894" t="str">
            <v>No Register</v>
          </cell>
          <cell r="W894" t="str">
            <v/>
          </cell>
        </row>
        <row r="895">
          <cell r="B895" t="str">
            <v>Sky Energy Indonesia  Tbk, PT</v>
          </cell>
          <cell r="G895" t="b">
            <v>0</v>
          </cell>
          <cell r="H895" t="b">
            <v>0</v>
          </cell>
          <cell r="I895" t="b">
            <v>0</v>
          </cell>
          <cell r="J895" t="b">
            <v>0</v>
          </cell>
          <cell r="K895" t="b">
            <v>0</v>
          </cell>
          <cell r="L895" t="b">
            <v>0</v>
          </cell>
          <cell r="M895" t="b">
            <v>0</v>
          </cell>
          <cell r="N895" t="b">
            <v>0</v>
          </cell>
          <cell r="O895" t="b">
            <v>0</v>
          </cell>
          <cell r="P895" t="b">
            <v>0</v>
          </cell>
          <cell r="Q895" t="b">
            <v>0</v>
          </cell>
          <cell r="R895" t="b">
            <v>0</v>
          </cell>
          <cell r="S895" t="b">
            <v>0</v>
          </cell>
          <cell r="T895" t="b">
            <v>0</v>
          </cell>
          <cell r="U895" t="str">
            <v>NA</v>
          </cell>
          <cell r="V895" t="str">
            <v>No Register</v>
          </cell>
          <cell r="W895" t="str">
            <v/>
          </cell>
        </row>
        <row r="896">
          <cell r="B896" t="str">
            <v>Stomil Indonesia, PT</v>
          </cell>
          <cell r="G896" t="b">
            <v>0</v>
          </cell>
          <cell r="H896" t="b">
            <v>0</v>
          </cell>
          <cell r="I896" t="b">
            <v>0</v>
          </cell>
          <cell r="J896" t="b">
            <v>0</v>
          </cell>
          <cell r="K896" t="b">
            <v>0</v>
          </cell>
          <cell r="L896" t="b">
            <v>0</v>
          </cell>
          <cell r="M896" t="b">
            <v>0</v>
          </cell>
          <cell r="N896" t="b">
            <v>0</v>
          </cell>
          <cell r="O896" t="b">
            <v>0</v>
          </cell>
          <cell r="P896" t="b">
            <v>0</v>
          </cell>
          <cell r="Q896" t="b">
            <v>0</v>
          </cell>
          <cell r="R896" t="b">
            <v>0</v>
          </cell>
          <cell r="S896" t="b">
            <v>0</v>
          </cell>
          <cell r="T896" t="b">
            <v>0</v>
          </cell>
          <cell r="U896" t="str">
            <v>NA</v>
          </cell>
          <cell r="V896" t="str">
            <v>No Register</v>
          </cell>
          <cell r="W896" t="str">
            <v/>
          </cell>
        </row>
        <row r="897">
          <cell r="B897" t="str">
            <v>Surya Nusantara Safety, CV</v>
          </cell>
          <cell r="G897" t="b">
            <v>0</v>
          </cell>
          <cell r="H897" t="b">
            <v>0</v>
          </cell>
          <cell r="I897" t="b">
            <v>0</v>
          </cell>
          <cell r="J897" t="b">
            <v>0</v>
          </cell>
          <cell r="K897" t="b">
            <v>0</v>
          </cell>
          <cell r="L897" t="b">
            <v>0</v>
          </cell>
          <cell r="M897" t="b">
            <v>0</v>
          </cell>
          <cell r="N897" t="b">
            <v>0</v>
          </cell>
          <cell r="O897" t="b">
            <v>0</v>
          </cell>
          <cell r="P897" t="b">
            <v>0</v>
          </cell>
          <cell r="Q897" t="b">
            <v>0</v>
          </cell>
          <cell r="R897" t="b">
            <v>0</v>
          </cell>
          <cell r="S897" t="b">
            <v>0</v>
          </cell>
          <cell r="T897" t="b">
            <v>0</v>
          </cell>
          <cell r="U897" t="str">
            <v>A</v>
          </cell>
          <cell r="V897" t="str">
            <v>No Register</v>
          </cell>
          <cell r="W897" t="str">
            <v/>
          </cell>
        </row>
        <row r="898">
          <cell r="B898" t="str">
            <v>Takano Redho Indonesia, PT</v>
          </cell>
          <cell r="G898" t="b">
            <v>0</v>
          </cell>
          <cell r="H898" t="b">
            <v>0</v>
          </cell>
          <cell r="I898" t="b">
            <v>0</v>
          </cell>
          <cell r="J898" t="b">
            <v>0</v>
          </cell>
          <cell r="K898" t="b">
            <v>0</v>
          </cell>
          <cell r="L898" t="b">
            <v>0</v>
          </cell>
          <cell r="M898" t="b">
            <v>0</v>
          </cell>
          <cell r="N898" t="b">
            <v>0</v>
          </cell>
          <cell r="O898" t="b">
            <v>0</v>
          </cell>
          <cell r="P898" t="b">
            <v>0</v>
          </cell>
          <cell r="Q898" t="b">
            <v>0</v>
          </cell>
          <cell r="R898" t="b">
            <v>0</v>
          </cell>
          <cell r="S898" t="b">
            <v>0</v>
          </cell>
          <cell r="T898" t="b">
            <v>0</v>
          </cell>
          <cell r="U898" t="str">
            <v>NA</v>
          </cell>
          <cell r="V898" t="str">
            <v>No Register</v>
          </cell>
          <cell r="W898" t="str">
            <v/>
          </cell>
        </row>
        <row r="899">
          <cell r="B899" t="str">
            <v>Utomo Juragan Atap Surya Indonesia, PT</v>
          </cell>
          <cell r="G899" t="b">
            <v>0</v>
          </cell>
          <cell r="H899" t="b">
            <v>0</v>
          </cell>
          <cell r="I899" t="b">
            <v>0</v>
          </cell>
          <cell r="J899" t="b">
            <v>0</v>
          </cell>
          <cell r="K899" t="b">
            <v>0</v>
          </cell>
          <cell r="L899" t="b">
            <v>0</v>
          </cell>
          <cell r="M899" t="b">
            <v>0</v>
          </cell>
          <cell r="N899" t="b">
            <v>0</v>
          </cell>
          <cell r="O899" t="b">
            <v>0</v>
          </cell>
          <cell r="P899" t="b">
            <v>0</v>
          </cell>
          <cell r="Q899" t="b">
            <v>0</v>
          </cell>
          <cell r="R899" t="b">
            <v>0</v>
          </cell>
          <cell r="S899" t="b">
            <v>0</v>
          </cell>
          <cell r="T899" t="b">
            <v>0</v>
          </cell>
          <cell r="U899" t="str">
            <v>NA</v>
          </cell>
          <cell r="V899" t="str">
            <v>No Register</v>
          </cell>
          <cell r="W899" t="str">
            <v/>
          </cell>
        </row>
        <row r="900">
          <cell r="B900" t="str">
            <v>Valvindo Megah, PT</v>
          </cell>
          <cell r="G900" t="b">
            <v>0</v>
          </cell>
          <cell r="H900" t="b">
            <v>0</v>
          </cell>
          <cell r="I900" t="b">
            <v>0</v>
          </cell>
          <cell r="J900" t="b">
            <v>0</v>
          </cell>
          <cell r="K900" t="b">
            <v>0</v>
          </cell>
          <cell r="L900" t="b">
            <v>0</v>
          </cell>
          <cell r="M900" t="b">
            <v>0</v>
          </cell>
          <cell r="N900" t="b">
            <v>0</v>
          </cell>
          <cell r="O900" t="b">
            <v>0</v>
          </cell>
          <cell r="P900" t="b">
            <v>0</v>
          </cell>
          <cell r="Q900" t="b">
            <v>0</v>
          </cell>
          <cell r="R900" t="b">
            <v>0</v>
          </cell>
          <cell r="S900" t="b">
            <v>0</v>
          </cell>
          <cell r="T900" t="b">
            <v>0</v>
          </cell>
          <cell r="U900" t="str">
            <v>NA</v>
          </cell>
          <cell r="V900" t="str">
            <v>Register</v>
          </cell>
          <cell r="W900" t="str">
            <v>SJ - MC</v>
          </cell>
          <cell r="X900" t="str">
            <v>Service Jasa - Medical Service</v>
          </cell>
        </row>
        <row r="901">
          <cell r="B901" t="str">
            <v>Eka Hospital, PT</v>
          </cell>
          <cell r="G901" t="b">
            <v>0</v>
          </cell>
          <cell r="H901" t="b">
            <v>0</v>
          </cell>
          <cell r="I901" t="b">
            <v>0</v>
          </cell>
          <cell r="J901" t="b">
            <v>0</v>
          </cell>
          <cell r="K901" t="b">
            <v>0</v>
          </cell>
          <cell r="L901" t="b">
            <v>0</v>
          </cell>
          <cell r="M901" t="b">
            <v>0</v>
          </cell>
          <cell r="N901" t="b">
            <v>0</v>
          </cell>
          <cell r="O901" t="b">
            <v>1</v>
          </cell>
          <cell r="P901" t="b">
            <v>0</v>
          </cell>
          <cell r="Q901" t="b">
            <v>0</v>
          </cell>
          <cell r="R901" t="b">
            <v>0</v>
          </cell>
          <cell r="S901" t="b">
            <v>0</v>
          </cell>
          <cell r="T901" t="b">
            <v>0</v>
          </cell>
          <cell r="U901" t="str">
            <v>NA</v>
          </cell>
          <cell r="V901" t="str">
            <v>Register</v>
          </cell>
          <cell r="W901" t="str">
            <v/>
          </cell>
          <cell r="X901" t="str">
            <v>Professional Services - Insurance / Broker</v>
          </cell>
          <cell r="Y901" t="str">
            <v>Broker asuransi, reinsurance broking, risk management services.</v>
          </cell>
        </row>
        <row r="902">
          <cell r="B902" t="str">
            <v>IBS Insurance Broking Service, PT</v>
          </cell>
          <cell r="G902" t="b">
            <v>0</v>
          </cell>
          <cell r="H902" t="b">
            <v>0</v>
          </cell>
          <cell r="I902" t="b">
            <v>0</v>
          </cell>
          <cell r="J902" t="b">
            <v>0</v>
          </cell>
          <cell r="K902" t="b">
            <v>0</v>
          </cell>
          <cell r="L902" t="b">
            <v>0</v>
          </cell>
          <cell r="M902" t="b">
            <v>0</v>
          </cell>
          <cell r="N902" t="b">
            <v>0</v>
          </cell>
          <cell r="O902" t="b">
            <v>1</v>
          </cell>
          <cell r="P902" t="b">
            <v>0</v>
          </cell>
          <cell r="Q902" t="b">
            <v>0</v>
          </cell>
          <cell r="R902" t="b">
            <v>0</v>
          </cell>
          <cell r="S902" t="b">
            <v>0</v>
          </cell>
          <cell r="T902" t="b">
            <v>0</v>
          </cell>
          <cell r="U902" t="str">
            <v>NA</v>
          </cell>
          <cell r="V902" t="str">
            <v>Register</v>
          </cell>
          <cell r="W902" t="str">
            <v>PR - LG</v>
          </cell>
          <cell r="X902" t="str">
            <v>Professional Services - Legal</v>
          </cell>
          <cell r="Y902" t="str">
            <v>Konsultan aktuaria, actuarial services, valuasi liabilitas imbalan kerja/pensiun/asuransi.</v>
          </cell>
        </row>
        <row r="903">
          <cell r="B903" t="str">
            <v>KANTOR KONSULTAN AKTUARIA RIANA DAN REKAN</v>
          </cell>
          <cell r="G903" t="b">
            <v>0</v>
          </cell>
          <cell r="H903" t="b">
            <v>0</v>
          </cell>
          <cell r="I903" t="b">
            <v>0</v>
          </cell>
          <cell r="J903" t="b">
            <v>0</v>
          </cell>
          <cell r="K903" t="b">
            <v>0</v>
          </cell>
          <cell r="L903" t="b">
            <v>0</v>
          </cell>
          <cell r="M903" t="b">
            <v>0</v>
          </cell>
          <cell r="N903" t="b">
            <v>0</v>
          </cell>
          <cell r="O903" t="b">
            <v>0</v>
          </cell>
          <cell r="P903" t="b">
            <v>0</v>
          </cell>
          <cell r="Q903" t="b">
            <v>0</v>
          </cell>
          <cell r="R903" t="b">
            <v>0</v>
          </cell>
          <cell r="S903" t="b">
            <v>1</v>
          </cell>
          <cell r="T903" t="b">
            <v>0</v>
          </cell>
          <cell r="U903" t="str">
            <v>NA</v>
          </cell>
          <cell r="V903" t="str">
            <v>Register</v>
          </cell>
          <cell r="W903" t="str">
            <v/>
          </cell>
        </row>
        <row r="904">
          <cell r="B904" t="str">
            <v>TEMPORARY VENDOR</v>
          </cell>
          <cell r="G904" t="b">
            <v>0</v>
          </cell>
          <cell r="H904" t="b">
            <v>0</v>
          </cell>
          <cell r="I904" t="b">
            <v>0</v>
          </cell>
          <cell r="J904" t="b">
            <v>0</v>
          </cell>
          <cell r="K904" t="b">
            <v>0</v>
          </cell>
          <cell r="L904" t="b">
            <v>0</v>
          </cell>
          <cell r="M904" t="b">
            <v>0</v>
          </cell>
          <cell r="N904" t="b">
            <v>0</v>
          </cell>
          <cell r="O904" t="b">
            <v>0</v>
          </cell>
          <cell r="P904" t="b">
            <v>0</v>
          </cell>
          <cell r="Q904" t="b">
            <v>0</v>
          </cell>
          <cell r="R904" t="b">
            <v>0</v>
          </cell>
          <cell r="S904" t="b">
            <v>0</v>
          </cell>
          <cell r="T904" t="b">
            <v>1</v>
          </cell>
          <cell r="U904" t="str">
            <v>NA</v>
          </cell>
          <cell r="V904" t="str">
            <v>Register</v>
          </cell>
          <cell r="W904" t="str">
            <v>GT - ID</v>
          </cell>
          <cell r="X904" t="str">
            <v>General Trading - Industrial Goods</v>
          </cell>
          <cell r="Y904" t="str">
            <v>Emas</v>
          </cell>
        </row>
        <row r="905">
          <cell r="B905" t="str">
            <v>Aneka Tambang Tbk, PT</v>
          </cell>
          <cell r="G905" t="b">
            <v>0</v>
          </cell>
          <cell r="H905" t="b">
            <v>0</v>
          </cell>
          <cell r="I905" t="b">
            <v>0</v>
          </cell>
          <cell r="J905" t="b">
            <v>0</v>
          </cell>
          <cell r="K905" t="b">
            <v>0</v>
          </cell>
          <cell r="L905" t="b">
            <v>0</v>
          </cell>
          <cell r="M905" t="b">
            <v>0</v>
          </cell>
          <cell r="N905" t="b">
            <v>0</v>
          </cell>
          <cell r="O905" t="b">
            <v>1</v>
          </cell>
          <cell r="P905" t="b">
            <v>0</v>
          </cell>
          <cell r="Q905" t="b">
            <v>0</v>
          </cell>
          <cell r="R905" t="b">
            <v>0</v>
          </cell>
          <cell r="S905" t="b">
            <v>0</v>
          </cell>
          <cell r="T905" t="b">
            <v>0</v>
          </cell>
          <cell r="U905" t="str">
            <v>NA</v>
          </cell>
          <cell r="V905" t="str">
            <v>Register</v>
          </cell>
          <cell r="W905" t="str">
            <v/>
          </cell>
          <cell r="X905" t="str">
            <v>Utilities - Telecom / Internet</v>
          </cell>
        </row>
        <row r="906">
          <cell r="B906" t="str">
            <v>Telekomunikasi Selular, PT</v>
          </cell>
          <cell r="G906" t="b">
            <v>0</v>
          </cell>
          <cell r="H906" t="b">
            <v>0</v>
          </cell>
          <cell r="I906" t="b">
            <v>0</v>
          </cell>
          <cell r="J906" t="b">
            <v>0</v>
          </cell>
          <cell r="K906" t="b">
            <v>0</v>
          </cell>
          <cell r="L906" t="b">
            <v>0</v>
          </cell>
          <cell r="M906" t="b">
            <v>0</v>
          </cell>
          <cell r="N906" t="b">
            <v>0</v>
          </cell>
          <cell r="O906" t="b">
            <v>0</v>
          </cell>
          <cell r="P906" t="b">
            <v>0</v>
          </cell>
          <cell r="Q906" t="b">
            <v>0</v>
          </cell>
          <cell r="R906" t="b">
            <v>0</v>
          </cell>
          <cell r="S906" t="b">
            <v>0</v>
          </cell>
          <cell r="T906" t="b">
            <v>0</v>
          </cell>
          <cell r="U906" t="str">
            <v>NA</v>
          </cell>
          <cell r="V906" t="str">
            <v>Register</v>
          </cell>
          <cell r="W906" t="str">
            <v/>
          </cell>
        </row>
        <row r="907">
          <cell r="B907" t="str">
            <v>Dunamis Intermaster, PT</v>
          </cell>
          <cell r="G907" t="b">
            <v>0</v>
          </cell>
          <cell r="H907" t="b">
            <v>0</v>
          </cell>
          <cell r="I907" t="b">
            <v>0</v>
          </cell>
          <cell r="J907" t="b">
            <v>0</v>
          </cell>
          <cell r="K907" t="b">
            <v>0</v>
          </cell>
          <cell r="L907" t="b">
            <v>0</v>
          </cell>
          <cell r="M907" t="b">
            <v>0</v>
          </cell>
          <cell r="N907" t="b">
            <v>0</v>
          </cell>
          <cell r="O907" t="b">
            <v>0</v>
          </cell>
          <cell r="P907" t="b">
            <v>0</v>
          </cell>
          <cell r="Q907" t="b">
            <v>0</v>
          </cell>
          <cell r="R907" t="b">
            <v>0</v>
          </cell>
          <cell r="S907" t="b">
            <v>0</v>
          </cell>
          <cell r="T907" t="b">
            <v>0</v>
          </cell>
          <cell r="U907" t="str">
            <v>NA</v>
          </cell>
          <cell r="V907" t="str">
            <v>Register</v>
          </cell>
          <cell r="W907" t="str">
            <v/>
          </cell>
          <cell r="X907" t="str">
            <v>Service Jasa - Outsourcing / Manpower</v>
          </cell>
        </row>
        <row r="908">
          <cell r="B908" t="str">
            <v>PPM MANAJEMEN</v>
          </cell>
          <cell r="G908" t="b">
            <v>0</v>
          </cell>
          <cell r="H908" t="b">
            <v>0</v>
          </cell>
          <cell r="I908" t="b">
            <v>0</v>
          </cell>
          <cell r="J908" t="b">
            <v>0</v>
          </cell>
          <cell r="K908" t="b">
            <v>0</v>
          </cell>
          <cell r="L908" t="b">
            <v>0</v>
          </cell>
          <cell r="M908" t="b">
            <v>0</v>
          </cell>
          <cell r="N908" t="b">
            <v>0</v>
          </cell>
          <cell r="O908" t="b">
            <v>0</v>
          </cell>
          <cell r="P908" t="b">
            <v>0</v>
          </cell>
          <cell r="Q908" t="b">
            <v>0</v>
          </cell>
          <cell r="R908" t="b">
            <v>0</v>
          </cell>
          <cell r="S908" t="b">
            <v>0</v>
          </cell>
          <cell r="T908" t="b">
            <v>0</v>
          </cell>
          <cell r="U908" t="str">
            <v>NA</v>
          </cell>
          <cell r="V908" t="str">
            <v>Register</v>
          </cell>
          <cell r="W908" t="str">
            <v/>
          </cell>
        </row>
        <row r="909">
          <cell r="B909" t="str">
            <v>Trans Borneo Anugerah Mandiri, PT</v>
          </cell>
          <cell r="G909" t="b">
            <v>0</v>
          </cell>
          <cell r="H909" t="b">
            <v>0</v>
          </cell>
          <cell r="I909" t="b">
            <v>0</v>
          </cell>
          <cell r="J909" t="b">
            <v>0</v>
          </cell>
          <cell r="K909" t="b">
            <v>0</v>
          </cell>
          <cell r="L909" t="b">
            <v>0</v>
          </cell>
          <cell r="M909" t="b">
            <v>0</v>
          </cell>
          <cell r="N909" t="b">
            <v>0</v>
          </cell>
          <cell r="O909" t="b">
            <v>0</v>
          </cell>
          <cell r="P909" t="b">
            <v>0</v>
          </cell>
          <cell r="Q909" t="b">
            <v>0</v>
          </cell>
          <cell r="R909" t="b">
            <v>0</v>
          </cell>
          <cell r="S909" t="b">
            <v>0</v>
          </cell>
          <cell r="T909" t="b">
            <v>0</v>
          </cell>
          <cell r="U909" t="str">
            <v>NA</v>
          </cell>
          <cell r="V909" t="str">
            <v>Register</v>
          </cell>
          <cell r="W909" t="str">
            <v/>
          </cell>
          <cell r="X909" t="str">
            <v>Professional Services - Insurance / Broker</v>
          </cell>
          <cell r="Y909" t="str">
            <v>Broker asuransi</v>
          </cell>
        </row>
        <row r="910">
          <cell r="B910" t="str">
            <v>Dinda Pradana Insurance Broker, PT</v>
          </cell>
          <cell r="G910" t="b">
            <v>0</v>
          </cell>
          <cell r="H910" t="b">
            <v>0</v>
          </cell>
          <cell r="I910" t="b">
            <v>0</v>
          </cell>
          <cell r="J910" t="b">
            <v>0</v>
          </cell>
          <cell r="K910" t="b">
            <v>0</v>
          </cell>
          <cell r="L910" t="b">
            <v>0</v>
          </cell>
          <cell r="M910" t="b">
            <v>0</v>
          </cell>
          <cell r="N910" t="b">
            <v>0</v>
          </cell>
          <cell r="O910" t="b">
            <v>1</v>
          </cell>
          <cell r="P910" t="b">
            <v>0</v>
          </cell>
          <cell r="Q910" t="b">
            <v>0</v>
          </cell>
          <cell r="R910" t="b">
            <v>0</v>
          </cell>
          <cell r="S910" t="b">
            <v>0</v>
          </cell>
          <cell r="T910" t="b">
            <v>0</v>
          </cell>
          <cell r="U910" t="str">
            <v>NA</v>
          </cell>
          <cell r="V910" t="str">
            <v>Register</v>
          </cell>
          <cell r="W910" t="str">
            <v/>
          </cell>
          <cell r="X910" t="str">
            <v>Professional Services - Insurance / Broker</v>
          </cell>
          <cell r="Y910" t="str">
            <v>Perbankan, layanan keuangan, corporate banking, digital banking</v>
          </cell>
        </row>
        <row r="911">
          <cell r="B911" t="str">
            <v>Bank Mandiri Tbk, PT</v>
          </cell>
          <cell r="G911" t="b">
            <v>0</v>
          </cell>
          <cell r="H911" t="b">
            <v>0</v>
          </cell>
          <cell r="I911" t="b">
            <v>0</v>
          </cell>
          <cell r="J911" t="b">
            <v>0</v>
          </cell>
          <cell r="K911" t="b">
            <v>0</v>
          </cell>
          <cell r="L911" t="b">
            <v>0</v>
          </cell>
          <cell r="M911" t="b">
            <v>0</v>
          </cell>
          <cell r="N911" t="b">
            <v>0</v>
          </cell>
          <cell r="O911" t="b">
            <v>0</v>
          </cell>
          <cell r="P911" t="b">
            <v>0</v>
          </cell>
          <cell r="Q911" t="b">
            <v>0</v>
          </cell>
          <cell r="R911" t="b">
            <v>0</v>
          </cell>
          <cell r="S911" t="b">
            <v>0</v>
          </cell>
          <cell r="T911" t="b">
            <v>0</v>
          </cell>
          <cell r="U911" t="str">
            <v>NA</v>
          </cell>
          <cell r="V911" t="str">
            <v>Register</v>
          </cell>
          <cell r="W911" t="str">
            <v/>
          </cell>
          <cell r="X911" t="str">
            <v>Service Jasa - Outsourcing / Manpower</v>
          </cell>
        </row>
        <row r="912">
          <cell r="B912" t="str">
            <v>LEMBAGA MANAJEMEN PRASETIYA MULYA</v>
          </cell>
          <cell r="G912" t="b">
            <v>0</v>
          </cell>
          <cell r="H912" t="b">
            <v>0</v>
          </cell>
          <cell r="I912" t="b">
            <v>0</v>
          </cell>
          <cell r="J912" t="b">
            <v>0</v>
          </cell>
          <cell r="K912" t="b">
            <v>0</v>
          </cell>
          <cell r="L912" t="b">
            <v>0</v>
          </cell>
          <cell r="M912" t="b">
            <v>0</v>
          </cell>
          <cell r="N912" t="b">
            <v>0</v>
          </cell>
          <cell r="O912" t="b">
            <v>1</v>
          </cell>
          <cell r="P912" t="b">
            <v>0</v>
          </cell>
          <cell r="Q912" t="b">
            <v>0</v>
          </cell>
          <cell r="R912" t="b">
            <v>0</v>
          </cell>
          <cell r="S912" t="b">
            <v>0</v>
          </cell>
          <cell r="T912" t="b">
            <v>0</v>
          </cell>
          <cell r="U912" t="str">
            <v>NA</v>
          </cell>
          <cell r="V912" t="str">
            <v>Register</v>
          </cell>
          <cell r="W912" t="str">
            <v>PR - AU</v>
          </cell>
          <cell r="X912" t="str">
            <v>Professional Services - Audit</v>
          </cell>
          <cell r="Y912" t="str">
            <v>Kantor Akuntan Publik, audit/assurance, bagian dari jaringan PwC</v>
          </cell>
        </row>
        <row r="913">
          <cell r="B913" t="str">
            <v>KAP RINTIS, JUMADI, RIANTO &amp; REKAN</v>
          </cell>
          <cell r="C913" t="str">
            <v>846065@telkom.co.id</v>
          </cell>
          <cell r="E913" t="str">
            <v>0215215109</v>
          </cell>
          <cell r="G913" t="b">
            <v>0</v>
          </cell>
          <cell r="H913" t="b">
            <v>0</v>
          </cell>
          <cell r="I913" t="b">
            <v>0</v>
          </cell>
          <cell r="J913" t="b">
            <v>0</v>
          </cell>
          <cell r="K913" t="b">
            <v>0</v>
          </cell>
          <cell r="L913" t="b">
            <v>0</v>
          </cell>
          <cell r="M913" t="b">
            <v>0</v>
          </cell>
          <cell r="N913" t="b">
            <v>0</v>
          </cell>
          <cell r="O913" t="b">
            <v>1</v>
          </cell>
          <cell r="P913" t="b">
            <v>0</v>
          </cell>
          <cell r="Q913" t="b">
            <v>0</v>
          </cell>
          <cell r="R913" t="b">
            <v>0</v>
          </cell>
          <cell r="S913" t="b">
            <v>0</v>
          </cell>
          <cell r="T913" t="b">
            <v>0</v>
          </cell>
          <cell r="U913" t="str">
            <v>NA</v>
          </cell>
          <cell r="V913" t="str">
            <v>Register</v>
          </cell>
          <cell r="W913" t="str">
            <v/>
          </cell>
          <cell r="X913" t="str">
            <v>Utilities - Telecom / Internet</v>
          </cell>
        </row>
        <row r="914">
          <cell r="B914" t="str">
            <v>Telekomunikasi Indonesia Tbk, PT</v>
          </cell>
          <cell r="F914" t="str">
            <v>JL. TEUKU CIK DITIRO NO.28, RT.9/RW.2, GONDANGDIA, KEC. MENTENG, KOTA JAKARTA PUSAT, 10350</v>
          </cell>
          <cell r="G914" t="b">
            <v>0</v>
          </cell>
          <cell r="H914" t="b">
            <v>0</v>
          </cell>
          <cell r="I914" t="b">
            <v>0</v>
          </cell>
          <cell r="J914" t="b">
            <v>0</v>
          </cell>
          <cell r="K914" t="b">
            <v>0</v>
          </cell>
          <cell r="L914" t="b">
            <v>0</v>
          </cell>
          <cell r="M914" t="b">
            <v>0</v>
          </cell>
          <cell r="N914" t="b">
            <v>0</v>
          </cell>
          <cell r="O914" t="b">
            <v>0</v>
          </cell>
          <cell r="P914" t="b">
            <v>0</v>
          </cell>
          <cell r="Q914" t="b">
            <v>0</v>
          </cell>
          <cell r="R914" t="b">
            <v>0</v>
          </cell>
          <cell r="S914" t="b">
            <v>0</v>
          </cell>
          <cell r="T914" t="b">
            <v>0</v>
          </cell>
          <cell r="U914" t="str">
            <v>NA</v>
          </cell>
          <cell r="V914" t="str">
            <v>Register</v>
          </cell>
          <cell r="W914" t="str">
            <v>SJ - MC</v>
          </cell>
          <cell r="X914" t="str">
            <v>Service Jasa - Medical Service</v>
          </cell>
        </row>
        <row r="915">
          <cell r="B915" t="str">
            <v>Bunda Medik (Rs Bunda), PT</v>
          </cell>
          <cell r="F915" t="str">
            <v>JL IR PHM NOOR RT 008 RW 000 MABU'UN MURUNG PUDAK</v>
          </cell>
          <cell r="G915" t="b">
            <v>0</v>
          </cell>
          <cell r="H915" t="b">
            <v>0</v>
          </cell>
          <cell r="I915" t="b">
            <v>0</v>
          </cell>
          <cell r="J915" t="b">
            <v>0</v>
          </cell>
          <cell r="K915" t="b">
            <v>0</v>
          </cell>
          <cell r="L915" t="b">
            <v>0</v>
          </cell>
          <cell r="M915" t="b">
            <v>0</v>
          </cell>
          <cell r="N915" t="b">
            <v>0</v>
          </cell>
          <cell r="O915" t="b">
            <v>0</v>
          </cell>
          <cell r="P915" t="b">
            <v>0</v>
          </cell>
          <cell r="Q915" t="b">
            <v>0</v>
          </cell>
          <cell r="R915" t="b">
            <v>0</v>
          </cell>
          <cell r="S915" t="b">
            <v>0</v>
          </cell>
          <cell r="T915" t="b">
            <v>0</v>
          </cell>
          <cell r="U915" t="str">
            <v>NA</v>
          </cell>
          <cell r="V915" t="str">
            <v>Register</v>
          </cell>
          <cell r="W915" t="str">
            <v>KR - DO</v>
          </cell>
          <cell r="X915" t="str">
            <v>Courier - Document Courier</v>
          </cell>
        </row>
        <row r="916">
          <cell r="B916" t="str">
            <v>TITIPAN KILAT (CV. TIKI)</v>
          </cell>
          <cell r="C916" t="str">
            <v>henrikus.harso@siloamhospitals.com</v>
          </cell>
          <cell r="F916" t="str">
            <v>JL. RA. KARTINI NO. 8 CILANDAK BARAT</v>
          </cell>
          <cell r="G916" t="b">
            <v>0</v>
          </cell>
          <cell r="H916" t="b">
            <v>0</v>
          </cell>
          <cell r="I916" t="b">
            <v>0</v>
          </cell>
          <cell r="J916" t="b">
            <v>0</v>
          </cell>
          <cell r="K916" t="b">
            <v>0</v>
          </cell>
          <cell r="L916" t="b">
            <v>0</v>
          </cell>
          <cell r="M916" t="b">
            <v>0</v>
          </cell>
          <cell r="N916" t="b">
            <v>0</v>
          </cell>
          <cell r="O916" t="b">
            <v>0</v>
          </cell>
          <cell r="P916" t="b">
            <v>0</v>
          </cell>
          <cell r="Q916" t="b">
            <v>0</v>
          </cell>
          <cell r="R916" t="b">
            <v>0</v>
          </cell>
          <cell r="S916" t="b">
            <v>0</v>
          </cell>
          <cell r="T916" t="b">
            <v>0</v>
          </cell>
          <cell r="U916" t="str">
            <v>NA</v>
          </cell>
          <cell r="V916" t="str">
            <v>Register</v>
          </cell>
          <cell r="W916" t="str">
            <v>SJ - MC</v>
          </cell>
          <cell r="X916" t="str">
            <v>Service Jasa - Medical Service</v>
          </cell>
        </row>
        <row r="917">
          <cell r="B917" t="str">
            <v>Siloam International Hospitals, PT</v>
          </cell>
          <cell r="C917" t="str">
            <v>marketingbungaucapan1@gmail.com</v>
          </cell>
          <cell r="F917" t="str">
            <v>RUKAN SPBU PERTAMINA COCO DAAN MOGOT JL. DAAN MOGOT RAYA KM. RT007 RW004 JELAMBAR, GROGOL, PETAMBURAN</v>
          </cell>
          <cell r="G917" t="b">
            <v>0</v>
          </cell>
          <cell r="H917" t="b">
            <v>0</v>
          </cell>
          <cell r="I917" t="b">
            <v>0</v>
          </cell>
          <cell r="J917" t="b">
            <v>0</v>
          </cell>
          <cell r="K917" t="b">
            <v>0</v>
          </cell>
          <cell r="L917" t="b">
            <v>0</v>
          </cell>
          <cell r="M917" t="b">
            <v>0</v>
          </cell>
          <cell r="N917" t="b">
            <v>0</v>
          </cell>
          <cell r="O917" t="b">
            <v>0</v>
          </cell>
          <cell r="P917" t="b">
            <v>0</v>
          </cell>
          <cell r="Q917" t="b">
            <v>0</v>
          </cell>
          <cell r="R917" t="b">
            <v>0</v>
          </cell>
          <cell r="S917" t="b">
            <v>0</v>
          </cell>
          <cell r="T917" t="b">
            <v>0</v>
          </cell>
          <cell r="U917" t="str">
            <v>NA</v>
          </cell>
          <cell r="V917" t="str">
            <v>Register</v>
          </cell>
          <cell r="W917" t="str">
            <v/>
          </cell>
        </row>
        <row r="918">
          <cell r="B918" t="str">
            <v>Allera Karya Indonesia, PT</v>
          </cell>
          <cell r="C918" t="str">
            <v>procurementdis@dunamis.co.id</v>
          </cell>
          <cell r="F918" t="str">
            <v>JL. BENDUNGAN JATILUHUR NO. 56</v>
          </cell>
          <cell r="G918" t="b">
            <v>0</v>
          </cell>
          <cell r="H918" t="b">
            <v>0</v>
          </cell>
          <cell r="I918" t="b">
            <v>0</v>
          </cell>
          <cell r="J918" t="b">
            <v>0</v>
          </cell>
          <cell r="K918" t="b">
            <v>0</v>
          </cell>
          <cell r="L918" t="b">
            <v>0</v>
          </cell>
          <cell r="M918" t="b">
            <v>0</v>
          </cell>
          <cell r="N918" t="b">
            <v>0</v>
          </cell>
          <cell r="O918" t="b">
            <v>0</v>
          </cell>
          <cell r="P918" t="b">
            <v>0</v>
          </cell>
          <cell r="Q918" t="b">
            <v>0</v>
          </cell>
          <cell r="R918" t="b">
            <v>0</v>
          </cell>
          <cell r="S918" t="b">
            <v>0</v>
          </cell>
          <cell r="T918" t="b">
            <v>0</v>
          </cell>
          <cell r="U918" t="str">
            <v>NA</v>
          </cell>
          <cell r="V918" t="str">
            <v>Register</v>
          </cell>
          <cell r="W918" t="str">
            <v/>
          </cell>
        </row>
        <row r="919">
          <cell r="B919" t="str">
            <v>Dunamis Intra Sarana, PT</v>
          </cell>
          <cell r="C919" t="str">
            <v>nina.agustiani@sgs.com</v>
          </cell>
          <cell r="G919" t="b">
            <v>0</v>
          </cell>
          <cell r="H919" t="b">
            <v>0</v>
          </cell>
          <cell r="I919" t="b">
            <v>0</v>
          </cell>
          <cell r="J919" t="b">
            <v>0</v>
          </cell>
          <cell r="K919" t="b">
            <v>0</v>
          </cell>
          <cell r="L919" t="b">
            <v>0</v>
          </cell>
          <cell r="M919" t="b">
            <v>0</v>
          </cell>
          <cell r="N919" t="b">
            <v>0</v>
          </cell>
          <cell r="O919" t="b">
            <v>1</v>
          </cell>
          <cell r="P919" t="b">
            <v>0</v>
          </cell>
          <cell r="Q919" t="b">
            <v>0</v>
          </cell>
          <cell r="R919" t="b">
            <v>0</v>
          </cell>
          <cell r="S919" t="b">
            <v>0</v>
          </cell>
          <cell r="T919" t="b">
            <v>0</v>
          </cell>
          <cell r="U919" t="str">
            <v>NA</v>
          </cell>
          <cell r="V919" t="str">
            <v>Register</v>
          </cell>
          <cell r="W919" t="str">
            <v/>
          </cell>
        </row>
        <row r="920">
          <cell r="B920" t="str">
            <v>Water Laboratory Nusantara Indonesia, PT</v>
          </cell>
          <cell r="C920" t="str">
            <v>general.manager@indomonangjadi.com</v>
          </cell>
          <cell r="F920" t="str">
            <v>Graha Indomonang Lt 4, Jl. HJ. Tutty Alawiyah No. 55 Kel. Duren Tiga, Kec. Pancoran</v>
          </cell>
          <cell r="G920" t="b">
            <v>0</v>
          </cell>
          <cell r="H920" t="b">
            <v>0</v>
          </cell>
          <cell r="I920" t="b">
            <v>0</v>
          </cell>
          <cell r="J920" t="b">
            <v>0</v>
          </cell>
          <cell r="K920" t="b">
            <v>0</v>
          </cell>
          <cell r="L920" t="b">
            <v>0</v>
          </cell>
          <cell r="M920" t="b">
            <v>0</v>
          </cell>
          <cell r="N920" t="b">
            <v>0</v>
          </cell>
          <cell r="O920" t="b">
            <v>0</v>
          </cell>
          <cell r="P920" t="b">
            <v>0</v>
          </cell>
          <cell r="Q920" t="b">
            <v>0</v>
          </cell>
          <cell r="R920" t="b">
            <v>0</v>
          </cell>
          <cell r="S920" t="b">
            <v>0</v>
          </cell>
          <cell r="T920" t="b">
            <v>0</v>
          </cell>
          <cell r="U920" t="str">
            <v>NA</v>
          </cell>
          <cell r="V920" t="str">
            <v>Register</v>
          </cell>
          <cell r="W920" t="str">
            <v>PR - LG</v>
          </cell>
          <cell r="X920" t="str">
            <v>Professional Services - Legal</v>
          </cell>
          <cell r="Y920" t="str">
            <v>Formalities service, pengurusan visa/izin kerja tenaga asing, legalitas perusahaan, regulatory compliance.</v>
          </cell>
        </row>
        <row r="921">
          <cell r="B921" t="str">
            <v>Indomonang Jadi, PT</v>
          </cell>
          <cell r="G921" t="b">
            <v>0</v>
          </cell>
          <cell r="H921" t="b">
            <v>0</v>
          </cell>
          <cell r="I921" t="b">
            <v>0</v>
          </cell>
          <cell r="J921" t="b">
            <v>0</v>
          </cell>
          <cell r="K921" t="b">
            <v>0</v>
          </cell>
          <cell r="L921" t="b">
            <v>0</v>
          </cell>
          <cell r="M921" t="b">
            <v>0</v>
          </cell>
          <cell r="N921" t="b">
            <v>0</v>
          </cell>
          <cell r="O921" t="b">
            <v>0</v>
          </cell>
          <cell r="P921" t="b">
            <v>0</v>
          </cell>
          <cell r="Q921" t="b">
            <v>0</v>
          </cell>
          <cell r="R921" t="b">
            <v>0</v>
          </cell>
          <cell r="S921" t="b">
            <v>1</v>
          </cell>
          <cell r="T921" t="b">
            <v>0</v>
          </cell>
          <cell r="U921" t="str">
            <v>NA</v>
          </cell>
          <cell r="V921" t="str">
            <v>Register</v>
          </cell>
          <cell r="W921" t="str">
            <v>IT - CL</v>
          </cell>
          <cell r="X921" t="str">
            <v>IT &amp; System - Cloud Services</v>
          </cell>
        </row>
        <row r="922">
          <cell r="B922" t="str">
            <v>Pengelolaan Dokumentasi Indonesia, CV</v>
          </cell>
          <cell r="C922" t="str">
            <v>nursugianto@wcs-abysena.co.id</v>
          </cell>
          <cell r="F922" t="str">
            <v>SKYLINE BUILDING 9TH FLOOR, ROOM 901-902, JL. MH THAMRIN KAV. 9, KEL. KEBON SIRIH, KEC. MENTENG</v>
          </cell>
          <cell r="G922" t="b">
            <v>0</v>
          </cell>
          <cell r="H922" t="b">
            <v>0</v>
          </cell>
          <cell r="I922" t="b">
            <v>0</v>
          </cell>
          <cell r="J922" t="b">
            <v>0</v>
          </cell>
          <cell r="K922" t="b">
            <v>0</v>
          </cell>
          <cell r="L922" t="b">
            <v>0</v>
          </cell>
          <cell r="M922" t="b">
            <v>0</v>
          </cell>
          <cell r="N922" t="b">
            <v>0</v>
          </cell>
          <cell r="O922" t="b">
            <v>0</v>
          </cell>
          <cell r="P922" t="b">
            <v>0</v>
          </cell>
          <cell r="Q922" t="b">
            <v>0</v>
          </cell>
          <cell r="R922" t="b">
            <v>0</v>
          </cell>
          <cell r="S922" t="b">
            <v>0</v>
          </cell>
          <cell r="T922" t="b">
            <v>0</v>
          </cell>
          <cell r="U922" t="str">
            <v>NA</v>
          </cell>
          <cell r="V922" t="str">
            <v>Register</v>
          </cell>
          <cell r="W922" t="str">
            <v>KR - DO</v>
          </cell>
          <cell r="X922" t="str">
            <v>Courier - Document Courier</v>
          </cell>
        </row>
        <row r="923">
          <cell r="B923" t="str">
            <v>Wcs Abyakta Nawasena, PT</v>
          </cell>
          <cell r="G923" t="b">
            <v>0</v>
          </cell>
          <cell r="H923" t="b">
            <v>0</v>
          </cell>
          <cell r="I923" t="b">
            <v>0</v>
          </cell>
          <cell r="J923" t="b">
            <v>0</v>
          </cell>
          <cell r="K923" t="b">
            <v>0</v>
          </cell>
          <cell r="L923" t="b">
            <v>0</v>
          </cell>
          <cell r="M923" t="b">
            <v>0</v>
          </cell>
          <cell r="N923" t="b">
            <v>0</v>
          </cell>
          <cell r="O923" t="b">
            <v>0</v>
          </cell>
          <cell r="P923" t="b">
            <v>0</v>
          </cell>
          <cell r="Q923" t="b">
            <v>0</v>
          </cell>
          <cell r="R923" t="b">
            <v>0</v>
          </cell>
          <cell r="S923" t="b">
            <v>0</v>
          </cell>
          <cell r="T923" t="b">
            <v>0</v>
          </cell>
          <cell r="U923" t="str">
            <v>NA</v>
          </cell>
          <cell r="V923" t="str">
            <v>Register</v>
          </cell>
          <cell r="W923" t="str">
            <v>SJ - MC</v>
          </cell>
          <cell r="X923" t="str">
            <v>Service Jasa - Medical Service</v>
          </cell>
        </row>
        <row r="924">
          <cell r="B924" t="str">
            <v>JEC EYE HOSPITAL</v>
          </cell>
          <cell r="G924" t="b">
            <v>0</v>
          </cell>
          <cell r="H924" t="b">
            <v>0</v>
          </cell>
          <cell r="I924" t="b">
            <v>0</v>
          </cell>
          <cell r="J924" t="b">
            <v>0</v>
          </cell>
          <cell r="K924" t="b">
            <v>0</v>
          </cell>
          <cell r="L924" t="b">
            <v>0</v>
          </cell>
          <cell r="M924" t="b">
            <v>0</v>
          </cell>
          <cell r="N924" t="b">
            <v>0</v>
          </cell>
          <cell r="O924" t="b">
            <v>0</v>
          </cell>
          <cell r="P924" t="b">
            <v>0</v>
          </cell>
          <cell r="Q924" t="b">
            <v>0</v>
          </cell>
          <cell r="R924" t="b">
            <v>0</v>
          </cell>
          <cell r="S924" t="b">
            <v>0</v>
          </cell>
          <cell r="T924" t="b">
            <v>0</v>
          </cell>
          <cell r="U924" t="str">
            <v>NA</v>
          </cell>
          <cell r="V924" t="str">
            <v>Register</v>
          </cell>
          <cell r="W924" t="str">
            <v>SJ - MC</v>
          </cell>
          <cell r="X924" t="str">
            <v>Service Jasa - Medical Service</v>
          </cell>
        </row>
        <row r="925">
          <cell r="B925" t="str">
            <v>KLINIK MULIA MEDIKA</v>
          </cell>
          <cell r="G925" t="b">
            <v>0</v>
          </cell>
          <cell r="H925" t="b">
            <v>0</v>
          </cell>
          <cell r="I925" t="b">
            <v>0</v>
          </cell>
          <cell r="J925" t="b">
            <v>0</v>
          </cell>
          <cell r="K925" t="b">
            <v>0</v>
          </cell>
          <cell r="L925" t="b">
            <v>0</v>
          </cell>
          <cell r="M925" t="b">
            <v>0</v>
          </cell>
          <cell r="N925" t="b">
            <v>0</v>
          </cell>
          <cell r="O925" t="b">
            <v>0</v>
          </cell>
          <cell r="P925" t="b">
            <v>0</v>
          </cell>
          <cell r="Q925" t="b">
            <v>0</v>
          </cell>
          <cell r="R925" t="b">
            <v>0</v>
          </cell>
          <cell r="S925" t="b">
            <v>0</v>
          </cell>
          <cell r="T925" t="b">
            <v>0</v>
          </cell>
          <cell r="U925" t="str">
            <v>NA</v>
          </cell>
          <cell r="V925" t="str">
            <v>Register</v>
          </cell>
          <cell r="W925" t="str">
            <v>SJ - MC</v>
          </cell>
          <cell r="X925" t="str">
            <v>Service Jasa - Medical Service</v>
          </cell>
        </row>
        <row r="926">
          <cell r="B926" t="str">
            <v>KLINIK SIKAMALI</v>
          </cell>
          <cell r="G926" t="b">
            <v>0</v>
          </cell>
          <cell r="H926" t="b">
            <v>0</v>
          </cell>
          <cell r="I926" t="b">
            <v>0</v>
          </cell>
          <cell r="J926" t="b">
            <v>0</v>
          </cell>
          <cell r="K926" t="b">
            <v>0</v>
          </cell>
          <cell r="L926" t="b">
            <v>0</v>
          </cell>
          <cell r="M926" t="b">
            <v>0</v>
          </cell>
          <cell r="N926" t="b">
            <v>0</v>
          </cell>
          <cell r="O926" t="b">
            <v>0</v>
          </cell>
          <cell r="P926" t="b">
            <v>0</v>
          </cell>
          <cell r="Q926" t="b">
            <v>0</v>
          </cell>
          <cell r="R926" t="b">
            <v>0</v>
          </cell>
          <cell r="S926" t="b">
            <v>1</v>
          </cell>
          <cell r="T926" t="b">
            <v>0</v>
          </cell>
          <cell r="U926" t="str">
            <v>NA</v>
          </cell>
          <cell r="V926" t="str">
            <v>Register</v>
          </cell>
          <cell r="W926" t="str">
            <v/>
          </cell>
        </row>
        <row r="927">
          <cell r="B927" t="str">
            <v>KELOMPOK SWADAYA MASYARAKAT PENGELOLA TPS</v>
          </cell>
          <cell r="C927" t="str">
            <v>info@wsi.co.id</v>
          </cell>
          <cell r="G927" t="b">
            <v>0</v>
          </cell>
          <cell r="H927" t="b">
            <v>0</v>
          </cell>
          <cell r="I927" t="b">
            <v>0</v>
          </cell>
          <cell r="J927" t="b">
            <v>0</v>
          </cell>
          <cell r="K927" t="b">
            <v>0</v>
          </cell>
          <cell r="L927" t="b">
            <v>0</v>
          </cell>
          <cell r="M927" t="b">
            <v>0</v>
          </cell>
          <cell r="N927" t="b">
            <v>0</v>
          </cell>
          <cell r="O927" t="b">
            <v>1</v>
          </cell>
          <cell r="P927" t="b">
            <v>0</v>
          </cell>
          <cell r="Q927" t="b">
            <v>0</v>
          </cell>
          <cell r="R927" t="b">
            <v>0</v>
          </cell>
          <cell r="S927" t="b">
            <v>0</v>
          </cell>
          <cell r="T927" t="b">
            <v>0</v>
          </cell>
          <cell r="U927" t="str">
            <v>NA</v>
          </cell>
          <cell r="V927" t="str">
            <v>Register</v>
          </cell>
          <cell r="W927" t="str">
            <v>PR - CS</v>
          </cell>
          <cell r="X927" t="str">
            <v>Professional Services - Consulting</v>
          </cell>
          <cell r="Y927" t="str">
            <v>otomasi industri, SCADA, sistem kontrol, water automatio</v>
          </cell>
        </row>
        <row r="928">
          <cell r="B928" t="str">
            <v>Wiratama Sistem Energi, PT</v>
          </cell>
          <cell r="C928" t="str">
            <v>gema@aei-id.com</v>
          </cell>
          <cell r="D928" t="str">
            <v>Gama</v>
          </cell>
          <cell r="E928" t="str">
            <v>081316777712</v>
          </cell>
          <cell r="G928" t="b">
            <v>0</v>
          </cell>
          <cell r="H928" t="b">
            <v>0</v>
          </cell>
          <cell r="I928" t="b">
            <v>0</v>
          </cell>
          <cell r="J928" t="b">
            <v>0</v>
          </cell>
          <cell r="K928" t="b">
            <v>0</v>
          </cell>
          <cell r="L928" t="b">
            <v>0</v>
          </cell>
          <cell r="M928" t="b">
            <v>0</v>
          </cell>
          <cell r="N928" t="b">
            <v>0</v>
          </cell>
          <cell r="O928" t="b">
            <v>0</v>
          </cell>
          <cell r="P928" t="b">
            <v>0</v>
          </cell>
          <cell r="Q928" t="b">
            <v>0</v>
          </cell>
          <cell r="R928" t="b">
            <v>0</v>
          </cell>
          <cell r="S928" t="b">
            <v>0</v>
          </cell>
          <cell r="T928" t="b">
            <v>0</v>
          </cell>
          <cell r="U928" t="str">
            <v>NA</v>
          </cell>
          <cell r="V928" t="str">
            <v>No Register</v>
          </cell>
          <cell r="W928" t="str">
            <v/>
          </cell>
          <cell r="Y928" t="str">
            <v>Wood Chip</v>
          </cell>
        </row>
        <row r="929">
          <cell r="B929" t="str">
            <v>Andalan Energi Investama, PT</v>
          </cell>
          <cell r="C929" t="str">
            <v>niagaindoalam@gmail.com</v>
          </cell>
          <cell r="G929" t="b">
            <v>0</v>
          </cell>
          <cell r="H929" t="b">
            <v>0</v>
          </cell>
          <cell r="I929" t="b">
            <v>0</v>
          </cell>
          <cell r="J929" t="b">
            <v>0</v>
          </cell>
          <cell r="K929" t="b">
            <v>0</v>
          </cell>
          <cell r="L929" t="b">
            <v>0</v>
          </cell>
          <cell r="M929" t="b">
            <v>0</v>
          </cell>
          <cell r="N929" t="b">
            <v>0</v>
          </cell>
          <cell r="O929" t="b">
            <v>0</v>
          </cell>
          <cell r="P929" t="b">
            <v>0</v>
          </cell>
          <cell r="Q929" t="b">
            <v>0</v>
          </cell>
          <cell r="R929" t="b">
            <v>0</v>
          </cell>
          <cell r="S929" t="b">
            <v>0</v>
          </cell>
          <cell r="T929" t="b">
            <v>0</v>
          </cell>
          <cell r="U929" t="str">
            <v>NA</v>
          </cell>
          <cell r="V929" t="str">
            <v>No Register</v>
          </cell>
          <cell r="W929" t="str">
            <v/>
          </cell>
          <cell r="Y929" t="str">
            <v>Wood Chip</v>
          </cell>
        </row>
        <row r="930">
          <cell r="B930" t="str">
            <v>Niaga Indo Alam, PT</v>
          </cell>
          <cell r="C930" t="str">
            <v>hatfindo@hatfieldgroup.com</v>
          </cell>
          <cell r="G930" t="b">
            <v>0</v>
          </cell>
          <cell r="H930" t="b">
            <v>0</v>
          </cell>
          <cell r="I930" t="b">
            <v>0</v>
          </cell>
          <cell r="J930" t="b">
            <v>0</v>
          </cell>
          <cell r="K930" t="b">
            <v>0</v>
          </cell>
          <cell r="L930" t="b">
            <v>0</v>
          </cell>
          <cell r="M930" t="b">
            <v>0</v>
          </cell>
          <cell r="N930" t="b">
            <v>0</v>
          </cell>
          <cell r="O930" t="b">
            <v>0</v>
          </cell>
          <cell r="P930" t="b">
            <v>0</v>
          </cell>
          <cell r="Q930" t="b">
            <v>0</v>
          </cell>
          <cell r="R930" t="b">
            <v>0</v>
          </cell>
          <cell r="S930" t="b">
            <v>0</v>
          </cell>
          <cell r="T930" t="b">
            <v>0</v>
          </cell>
          <cell r="U930" t="str">
            <v>NA</v>
          </cell>
          <cell r="V930" t="str">
            <v>No Register</v>
          </cell>
          <cell r="W930" t="str">
            <v/>
          </cell>
          <cell r="Y930" t="str">
            <v>UKL UPL</v>
          </cell>
        </row>
        <row r="931">
          <cell r="B931" t="str">
            <v>Hatfield Indonesia, PT</v>
          </cell>
          <cell r="C931" t="str">
            <v>sales@indonusabioenergy.com</v>
          </cell>
          <cell r="G931" t="b">
            <v>0</v>
          </cell>
          <cell r="H931" t="b">
            <v>0</v>
          </cell>
          <cell r="I931" t="b">
            <v>0</v>
          </cell>
          <cell r="J931" t="b">
            <v>0</v>
          </cell>
          <cell r="K931" t="b">
            <v>0</v>
          </cell>
          <cell r="L931" t="b">
            <v>0</v>
          </cell>
          <cell r="M931" t="b">
            <v>0</v>
          </cell>
          <cell r="N931" t="b">
            <v>0</v>
          </cell>
          <cell r="O931" t="b">
            <v>0</v>
          </cell>
          <cell r="P931" t="b">
            <v>0</v>
          </cell>
          <cell r="Q931" t="b">
            <v>0</v>
          </cell>
          <cell r="R931" t="b">
            <v>0</v>
          </cell>
          <cell r="S931" t="b">
            <v>0</v>
          </cell>
          <cell r="T931" t="b">
            <v>0</v>
          </cell>
          <cell r="U931" t="str">
            <v>NA</v>
          </cell>
          <cell r="V931" t="str">
            <v>No Register</v>
          </cell>
          <cell r="W931" t="str">
            <v/>
          </cell>
          <cell r="Y931" t="str">
            <v>Wood Chip</v>
          </cell>
        </row>
        <row r="932">
          <cell r="B932" t="str">
            <v>Indonusa Bio Energy, PT</v>
          </cell>
          <cell r="C932" t="str">
            <v>info@komoroenergy.com</v>
          </cell>
          <cell r="G932" t="b">
            <v>0</v>
          </cell>
          <cell r="H932" t="b">
            <v>0</v>
          </cell>
          <cell r="I932" t="b">
            <v>0</v>
          </cell>
          <cell r="J932" t="b">
            <v>0</v>
          </cell>
          <cell r="K932" t="b">
            <v>0</v>
          </cell>
          <cell r="L932" t="b">
            <v>0</v>
          </cell>
          <cell r="M932" t="b">
            <v>0</v>
          </cell>
          <cell r="N932" t="b">
            <v>0</v>
          </cell>
          <cell r="O932" t="b">
            <v>0</v>
          </cell>
          <cell r="P932" t="b">
            <v>0</v>
          </cell>
          <cell r="Q932" t="b">
            <v>0</v>
          </cell>
          <cell r="R932" t="b">
            <v>0</v>
          </cell>
          <cell r="S932" t="b">
            <v>0</v>
          </cell>
          <cell r="T932" t="b">
            <v>0</v>
          </cell>
          <cell r="U932" t="str">
            <v>NA</v>
          </cell>
          <cell r="V932" t="str">
            <v>No Register</v>
          </cell>
          <cell r="W932" t="str">
            <v/>
          </cell>
          <cell r="Y932" t="str">
            <v>Wood Chip</v>
          </cell>
        </row>
        <row r="933">
          <cell r="B933" t="str">
            <v>Komoro Energy Indonesia, PT</v>
          </cell>
          <cell r="C933" t="str">
            <v>sania@energyindonesia.com; marketing@energyindonesia.com; samdani@energyindonesia.com</v>
          </cell>
          <cell r="G933" t="b">
            <v>0</v>
          </cell>
          <cell r="H933" t="b">
            <v>0</v>
          </cell>
          <cell r="I933" t="b">
            <v>0</v>
          </cell>
          <cell r="J933" t="b">
            <v>0</v>
          </cell>
          <cell r="K933" t="b">
            <v>0</v>
          </cell>
          <cell r="L933" t="b">
            <v>0</v>
          </cell>
          <cell r="M933" t="b">
            <v>0</v>
          </cell>
          <cell r="N933" t="b">
            <v>0</v>
          </cell>
          <cell r="O933" t="b">
            <v>0</v>
          </cell>
          <cell r="P933" t="b">
            <v>0</v>
          </cell>
          <cell r="Q933" t="b">
            <v>0</v>
          </cell>
          <cell r="R933" t="b">
            <v>0</v>
          </cell>
          <cell r="S933" t="b">
            <v>0</v>
          </cell>
          <cell r="T933" t="b">
            <v>0</v>
          </cell>
          <cell r="U933" t="str">
            <v>NA</v>
          </cell>
          <cell r="V933" t="str">
            <v>No Register</v>
          </cell>
          <cell r="W933" t="str">
            <v/>
          </cell>
          <cell r="Y933" t="str">
            <v>Wood Chip</v>
          </cell>
        </row>
        <row r="934">
          <cell r="B934" t="str">
            <v>Shafwah Energy Indonesia, PT</v>
          </cell>
          <cell r="C934" t="str">
            <v>gm@benk.co.id</v>
          </cell>
          <cell r="G934" t="b">
            <v>0</v>
          </cell>
          <cell r="H934" t="b">
            <v>0</v>
          </cell>
          <cell r="I934" t="b">
            <v>0</v>
          </cell>
          <cell r="J934" t="b">
            <v>0</v>
          </cell>
          <cell r="K934" t="b">
            <v>0</v>
          </cell>
          <cell r="L934" t="b">
            <v>0</v>
          </cell>
          <cell r="M934" t="b">
            <v>0</v>
          </cell>
          <cell r="N934" t="b">
            <v>0</v>
          </cell>
          <cell r="O934" t="b">
            <v>0</v>
          </cell>
          <cell r="P934" t="b">
            <v>0</v>
          </cell>
          <cell r="Q934" t="b">
            <v>0</v>
          </cell>
          <cell r="R934" t="b">
            <v>0</v>
          </cell>
          <cell r="S934" t="b">
            <v>0</v>
          </cell>
          <cell r="T934" t="b">
            <v>0</v>
          </cell>
          <cell r="U934" t="str">
            <v>NA</v>
          </cell>
          <cell r="V934" t="str">
            <v>No Register</v>
          </cell>
          <cell r="W934" t="str">
            <v/>
          </cell>
          <cell r="Y934" t="str">
            <v>Wood Chip</v>
          </cell>
        </row>
        <row r="935">
          <cell r="B935" t="str">
            <v>BENK Biomass Energy Kalimantan</v>
          </cell>
          <cell r="C935" t="str">
            <v>fendi@biomassaenergynusantara.com</v>
          </cell>
          <cell r="G935" t="b">
            <v>0</v>
          </cell>
          <cell r="H935" t="b">
            <v>0</v>
          </cell>
          <cell r="I935" t="b">
            <v>0</v>
          </cell>
          <cell r="J935" t="b">
            <v>0</v>
          </cell>
          <cell r="K935" t="b">
            <v>0</v>
          </cell>
          <cell r="L935" t="b">
            <v>0</v>
          </cell>
          <cell r="M935" t="b">
            <v>0</v>
          </cell>
          <cell r="N935" t="b">
            <v>0</v>
          </cell>
          <cell r="O935" t="b">
            <v>0</v>
          </cell>
          <cell r="P935" t="b">
            <v>0</v>
          </cell>
          <cell r="Q935" t="b">
            <v>0</v>
          </cell>
          <cell r="R935" t="b">
            <v>0</v>
          </cell>
          <cell r="S935" t="b">
            <v>0</v>
          </cell>
          <cell r="T935" t="b">
            <v>0</v>
          </cell>
          <cell r="U935" t="str">
            <v>NA</v>
          </cell>
          <cell r="V935" t="str">
            <v>No Register</v>
          </cell>
          <cell r="W935" t="str">
            <v/>
          </cell>
          <cell r="Y935" t="str">
            <v>Wood Chip</v>
          </cell>
        </row>
        <row r="936">
          <cell r="B936" t="str">
            <v>Biomassa Energy Nusantara, PT</v>
          </cell>
          <cell r="C936" t="str">
            <v>info@primasinergi.co.id</v>
          </cell>
          <cell r="G936" t="b">
            <v>0</v>
          </cell>
          <cell r="H936" t="b">
            <v>0</v>
          </cell>
          <cell r="I936" t="b">
            <v>0</v>
          </cell>
          <cell r="J936" t="b">
            <v>0</v>
          </cell>
          <cell r="K936" t="b">
            <v>0</v>
          </cell>
          <cell r="L936" t="b">
            <v>0</v>
          </cell>
          <cell r="M936" t="b">
            <v>0</v>
          </cell>
          <cell r="N936" t="b">
            <v>0</v>
          </cell>
          <cell r="O936" t="b">
            <v>0</v>
          </cell>
          <cell r="P936" t="b">
            <v>0</v>
          </cell>
          <cell r="Q936" t="b">
            <v>0</v>
          </cell>
          <cell r="R936" t="b">
            <v>0</v>
          </cell>
          <cell r="S936" t="b">
            <v>0</v>
          </cell>
          <cell r="T936" t="b">
            <v>0</v>
          </cell>
          <cell r="U936" t="str">
            <v>NA</v>
          </cell>
          <cell r="V936" t="str">
            <v>No Register</v>
          </cell>
          <cell r="W936" t="str">
            <v/>
          </cell>
          <cell r="Y936" t="str">
            <v>Wood Chip</v>
          </cell>
        </row>
        <row r="937">
          <cell r="B937" t="str">
            <v>Prima Khatulistiwa Sinergi, PT</v>
          </cell>
          <cell r="C937" t="str">
            <v>info@woodpelletindonesia.co.id</v>
          </cell>
          <cell r="G937" t="b">
            <v>0</v>
          </cell>
          <cell r="H937" t="b">
            <v>0</v>
          </cell>
          <cell r="I937" t="b">
            <v>0</v>
          </cell>
          <cell r="J937" t="b">
            <v>0</v>
          </cell>
          <cell r="K937" t="b">
            <v>0</v>
          </cell>
          <cell r="L937" t="b">
            <v>0</v>
          </cell>
          <cell r="M937" t="b">
            <v>0</v>
          </cell>
          <cell r="N937" t="b">
            <v>0</v>
          </cell>
          <cell r="O937" t="b">
            <v>0</v>
          </cell>
          <cell r="P937" t="b">
            <v>0</v>
          </cell>
          <cell r="Q937" t="b">
            <v>0</v>
          </cell>
          <cell r="R937" t="b">
            <v>0</v>
          </cell>
          <cell r="S937" t="b">
            <v>0</v>
          </cell>
          <cell r="T937" t="b">
            <v>0</v>
          </cell>
          <cell r="U937" t="str">
            <v>NA</v>
          </cell>
          <cell r="V937" t="str">
            <v>No Register</v>
          </cell>
          <cell r="W937" t="str">
            <v/>
          </cell>
          <cell r="Y937" t="str">
            <v>Wood Chip</v>
          </cell>
        </row>
        <row r="938">
          <cell r="B938" t="str">
            <v>Alam Kencana Indonesia, PT</v>
          </cell>
          <cell r="C938" t="str">
            <v>madanialamkalimantanpt@gmail.com;
sales@madanialamkalimantan.com;
madanialamkalimantanbatam@gmail.com</v>
          </cell>
          <cell r="D938" t="str">
            <v>Aji</v>
          </cell>
          <cell r="E938" t="str">
            <v>081250000254</v>
          </cell>
          <cell r="G938" t="b">
            <v>0</v>
          </cell>
          <cell r="H938" t="b">
            <v>0</v>
          </cell>
          <cell r="I938" t="b">
            <v>0</v>
          </cell>
          <cell r="J938" t="b">
            <v>0</v>
          </cell>
          <cell r="K938" t="b">
            <v>0</v>
          </cell>
          <cell r="L938" t="b">
            <v>0</v>
          </cell>
          <cell r="M938" t="b">
            <v>0</v>
          </cell>
          <cell r="N938" t="b">
            <v>0</v>
          </cell>
          <cell r="O938" t="b">
            <v>0</v>
          </cell>
          <cell r="P938" t="b">
            <v>0</v>
          </cell>
          <cell r="Q938" t="b">
            <v>0</v>
          </cell>
          <cell r="R938" t="b">
            <v>0</v>
          </cell>
          <cell r="S938" t="b">
            <v>0</v>
          </cell>
          <cell r="T938" t="b">
            <v>0</v>
          </cell>
          <cell r="U938" t="str">
            <v>NA</v>
          </cell>
          <cell r="V938" t="str">
            <v>No Register</v>
          </cell>
          <cell r="W938" t="str">
            <v/>
          </cell>
          <cell r="Y938" t="str">
            <v>Wood Chip</v>
          </cell>
        </row>
        <row r="939">
          <cell r="B939" t="str">
            <v>Madani Alam Kalimantan, PT</v>
          </cell>
          <cell r="C939" t="str">
            <v>ajtsmg@andaxcon.com; antoni.yuliyana@gmail.com; andaxconindo@gmail.com</v>
          </cell>
          <cell r="D939" t="str">
            <v>Yuliono</v>
          </cell>
          <cell r="E939" t="str">
            <v>082134700444; 08551550888</v>
          </cell>
          <cell r="G939" t="b">
            <v>0</v>
          </cell>
          <cell r="H939" t="b">
            <v>0</v>
          </cell>
          <cell r="I939" t="b">
            <v>0</v>
          </cell>
          <cell r="J939" t="b">
            <v>0</v>
          </cell>
          <cell r="K939" t="b">
            <v>0</v>
          </cell>
          <cell r="L939" t="b">
            <v>0</v>
          </cell>
          <cell r="M939" t="b">
            <v>0</v>
          </cell>
          <cell r="N939" t="b">
            <v>0</v>
          </cell>
          <cell r="O939" t="b">
            <v>0</v>
          </cell>
          <cell r="P939" t="b">
            <v>0</v>
          </cell>
          <cell r="Q939" t="b">
            <v>0</v>
          </cell>
          <cell r="R939" t="b">
            <v>0</v>
          </cell>
          <cell r="S939" t="b">
            <v>0</v>
          </cell>
          <cell r="T939" t="b">
            <v>0</v>
          </cell>
          <cell r="U939" t="str">
            <v>NA</v>
          </cell>
          <cell r="V939" t="str">
            <v>No Register</v>
          </cell>
          <cell r="W939" t="str">
            <v>SJ</v>
          </cell>
          <cell r="X939" t="str">
            <v>Service Jasa</v>
          </cell>
          <cell r="Y939" t="str">
            <v>Valve</v>
          </cell>
        </row>
        <row r="940">
          <cell r="B940" t="str">
            <v>Andaxcon Jaya Teknik, PT</v>
          </cell>
          <cell r="C940" t="str">
            <v>bens.karyaabadi@yahoo.com; herlana.bens1@gmail.com</v>
          </cell>
          <cell r="D940" t="str">
            <v>Ismaya; Aldi</v>
          </cell>
          <cell r="E940" t="str">
            <v>089608918576</v>
          </cell>
          <cell r="G940" t="b">
            <v>0</v>
          </cell>
          <cell r="H940" t="b">
            <v>0</v>
          </cell>
          <cell r="I940" t="b">
            <v>0</v>
          </cell>
          <cell r="J940" t="b">
            <v>0</v>
          </cell>
          <cell r="K940" t="b">
            <v>0</v>
          </cell>
          <cell r="L940" t="b">
            <v>0</v>
          </cell>
          <cell r="M940" t="b">
            <v>0</v>
          </cell>
          <cell r="N940" t="b">
            <v>0</v>
          </cell>
          <cell r="O940" t="b">
            <v>0</v>
          </cell>
          <cell r="P940" t="b">
            <v>0</v>
          </cell>
          <cell r="Q940" t="b">
            <v>0</v>
          </cell>
          <cell r="R940" t="b">
            <v>0</v>
          </cell>
          <cell r="S940" t="b">
            <v>0</v>
          </cell>
          <cell r="T940" t="b">
            <v>0</v>
          </cell>
          <cell r="U940" t="str">
            <v>NA</v>
          </cell>
          <cell r="V940" t="str">
            <v>No Register</v>
          </cell>
          <cell r="W940" t="str">
            <v>SJ</v>
          </cell>
          <cell r="X940" t="str">
            <v>Service Jasa</v>
          </cell>
          <cell r="Y940" t="str">
            <v>Valve</v>
          </cell>
        </row>
        <row r="941">
          <cell r="B941" t="str">
            <v>Bens Karya Abadi, PT</v>
          </cell>
          <cell r="C941" t="str">
            <v>desy@varley-indonesia.com; sales@varley-indonesia.com</v>
          </cell>
          <cell r="D941" t="str">
            <v>Desy</v>
          </cell>
          <cell r="E941" t="str">
            <v>085213043505</v>
          </cell>
          <cell r="G941" t="b">
            <v>0</v>
          </cell>
          <cell r="H941" t="b">
            <v>0</v>
          </cell>
          <cell r="I941" t="b">
            <v>0</v>
          </cell>
          <cell r="J941" t="b">
            <v>0</v>
          </cell>
          <cell r="K941" t="b">
            <v>0</v>
          </cell>
          <cell r="L941" t="b">
            <v>0</v>
          </cell>
          <cell r="M941" t="b">
            <v>1</v>
          </cell>
          <cell r="N941" t="b">
            <v>0</v>
          </cell>
          <cell r="O941" t="b">
            <v>0</v>
          </cell>
          <cell r="P941" t="b">
            <v>0</v>
          </cell>
          <cell r="Q941" t="b">
            <v>0</v>
          </cell>
          <cell r="R941" t="b">
            <v>0</v>
          </cell>
          <cell r="S941" t="b">
            <v>0</v>
          </cell>
          <cell r="T941" t="b">
            <v>0</v>
          </cell>
          <cell r="U941" t="str">
            <v>NA</v>
          </cell>
          <cell r="V941" t="str">
            <v>No Register</v>
          </cell>
          <cell r="W941" t="str">
            <v>SJ</v>
          </cell>
          <cell r="X941" t="str">
            <v>Service Jasa</v>
          </cell>
          <cell r="Y941" t="str">
            <v>Valve</v>
          </cell>
        </row>
        <row r="942">
          <cell r="B942" t="str">
            <v>Varley Indonesia, PT</v>
          </cell>
          <cell r="C942" t="str">
            <v>info@damaisentosautama.com</v>
          </cell>
          <cell r="D942" t="str">
            <v>Alinda</v>
          </cell>
          <cell r="E942" t="str">
            <v>081246136370</v>
          </cell>
          <cell r="G942" t="b">
            <v>0</v>
          </cell>
          <cell r="H942" t="b">
            <v>0</v>
          </cell>
          <cell r="I942" t="b">
            <v>0</v>
          </cell>
          <cell r="J942" t="b">
            <v>0</v>
          </cell>
          <cell r="K942" t="b">
            <v>0</v>
          </cell>
          <cell r="L942" t="b">
            <v>0</v>
          </cell>
          <cell r="M942" t="b">
            <v>0</v>
          </cell>
          <cell r="N942" t="b">
            <v>0</v>
          </cell>
          <cell r="O942" t="b">
            <v>0</v>
          </cell>
          <cell r="P942" t="b">
            <v>0</v>
          </cell>
          <cell r="Q942" t="b">
            <v>0</v>
          </cell>
          <cell r="R942" t="b">
            <v>0</v>
          </cell>
          <cell r="S942" t="b">
            <v>0</v>
          </cell>
          <cell r="T942" t="b">
            <v>0</v>
          </cell>
          <cell r="U942" t="str">
            <v>NA</v>
          </cell>
          <cell r="V942" t="str">
            <v>No Register</v>
          </cell>
          <cell r="W942" t="str">
            <v>SJ</v>
          </cell>
          <cell r="X942" t="str">
            <v>Service Jasa</v>
          </cell>
          <cell r="Y942" t="str">
            <v>Valve</v>
          </cell>
        </row>
        <row r="943">
          <cell r="B943" t="str">
            <v>Damai Sentosa Utama, PT</v>
          </cell>
          <cell r="C943" t="str">
            <v>sales@bhatini.com</v>
          </cell>
          <cell r="D943" t="str">
            <v>Tyco</v>
          </cell>
          <cell r="E943" t="str">
            <v>081373542669</v>
          </cell>
          <cell r="G943" t="b">
            <v>0</v>
          </cell>
          <cell r="H943" t="b">
            <v>0</v>
          </cell>
          <cell r="I943" t="b">
            <v>0</v>
          </cell>
          <cell r="J943" t="b">
            <v>0</v>
          </cell>
          <cell r="K943" t="b">
            <v>0</v>
          </cell>
          <cell r="L943" t="b">
            <v>0</v>
          </cell>
          <cell r="M943" t="b">
            <v>0</v>
          </cell>
          <cell r="N943" t="b">
            <v>0</v>
          </cell>
          <cell r="O943" t="b">
            <v>0</v>
          </cell>
          <cell r="P943" t="b">
            <v>0</v>
          </cell>
          <cell r="Q943" t="b">
            <v>0</v>
          </cell>
          <cell r="R943" t="b">
            <v>0</v>
          </cell>
          <cell r="S943" t="b">
            <v>0</v>
          </cell>
          <cell r="T943" t="b">
            <v>0</v>
          </cell>
          <cell r="U943" t="str">
            <v>NA</v>
          </cell>
          <cell r="V943" t="str">
            <v>No Register</v>
          </cell>
          <cell r="W943" t="str">
            <v>SJ</v>
          </cell>
          <cell r="X943" t="str">
            <v>Service Jasa</v>
          </cell>
          <cell r="Y943" t="str">
            <v>Valve</v>
          </cell>
        </row>
        <row r="944">
          <cell r="B944" t="str">
            <v>Bhantini Mitra Jaya, PT</v>
          </cell>
          <cell r="C944" t="str">
            <v>export@gkaenergy.co.id</v>
          </cell>
          <cell r="G944" t="b">
            <v>0</v>
          </cell>
          <cell r="H944" t="b">
            <v>0</v>
          </cell>
          <cell r="I944" t="b">
            <v>0</v>
          </cell>
          <cell r="J944" t="b">
            <v>0</v>
          </cell>
          <cell r="K944" t="b">
            <v>0</v>
          </cell>
          <cell r="L944" t="b">
            <v>0</v>
          </cell>
          <cell r="M944" t="b">
            <v>0</v>
          </cell>
          <cell r="N944" t="b">
            <v>0</v>
          </cell>
          <cell r="O944" t="b">
            <v>0</v>
          </cell>
          <cell r="P944" t="b">
            <v>0</v>
          </cell>
          <cell r="Q944" t="b">
            <v>0</v>
          </cell>
          <cell r="R944" t="b">
            <v>0</v>
          </cell>
          <cell r="S944" t="b">
            <v>0</v>
          </cell>
          <cell r="T944" t="b">
            <v>0</v>
          </cell>
          <cell r="U944" t="str">
            <v>NA</v>
          </cell>
          <cell r="V944" t="str">
            <v>No Register</v>
          </cell>
          <cell r="W944" t="str">
            <v/>
          </cell>
          <cell r="Y944" t="str">
            <v>Wood Chip</v>
          </cell>
        </row>
        <row r="945">
          <cell r="B945" t="str">
            <v>Guntala Karya Abadi, PT</v>
          </cell>
          <cell r="C945" t="str">
            <v>ptbroenergy@gmail.com</v>
          </cell>
          <cell r="G945" t="b">
            <v>0</v>
          </cell>
          <cell r="H945" t="b">
            <v>0</v>
          </cell>
          <cell r="I945" t="b">
            <v>0</v>
          </cell>
          <cell r="J945" t="b">
            <v>0</v>
          </cell>
          <cell r="K945" t="b">
            <v>0</v>
          </cell>
          <cell r="L945" t="b">
            <v>0</v>
          </cell>
          <cell r="M945" t="b">
            <v>0</v>
          </cell>
          <cell r="N945" t="b">
            <v>0</v>
          </cell>
          <cell r="O945" t="b">
            <v>0</v>
          </cell>
          <cell r="P945" t="b">
            <v>0</v>
          </cell>
          <cell r="Q945" t="b">
            <v>0</v>
          </cell>
          <cell r="R945" t="b">
            <v>0</v>
          </cell>
          <cell r="S945" t="b">
            <v>0</v>
          </cell>
          <cell r="T945" t="b">
            <v>0</v>
          </cell>
          <cell r="U945" t="str">
            <v>NA</v>
          </cell>
          <cell r="V945" t="str">
            <v>No Register</v>
          </cell>
          <cell r="W945" t="str">
            <v/>
          </cell>
          <cell r="Y945" t="str">
            <v>Wood Chip</v>
          </cell>
        </row>
        <row r="946">
          <cell r="B946" t="str">
            <v>Borneo Renewable Optima, PT</v>
          </cell>
          <cell r="C946" t="str">
            <v>admin.bpn@pt-rmp.com</v>
          </cell>
          <cell r="D946" t="str">
            <v>Indah</v>
          </cell>
          <cell r="E946" t="str">
            <v>081350947257</v>
          </cell>
          <cell r="F946" t="str">
            <v>Jl. Syarifuddin Yoes Ruko Central Bizpark 2 blok CRK 002 Sepinggan - Balikpapan Selatan Kalimantan Timur 76115</v>
          </cell>
          <cell r="G946" t="b">
            <v>0</v>
          </cell>
          <cell r="H946" t="b">
            <v>0</v>
          </cell>
          <cell r="I946" t="b">
            <v>0</v>
          </cell>
          <cell r="J946" t="b">
            <v>0</v>
          </cell>
          <cell r="K946" t="b">
            <v>0</v>
          </cell>
          <cell r="L946" t="b">
            <v>0</v>
          </cell>
          <cell r="M946" t="b">
            <v>0</v>
          </cell>
          <cell r="N946" t="b">
            <v>0</v>
          </cell>
          <cell r="O946" t="b">
            <v>0</v>
          </cell>
          <cell r="P946" t="b">
            <v>0</v>
          </cell>
          <cell r="Q946" t="b">
            <v>0</v>
          </cell>
          <cell r="R946" t="b">
            <v>0</v>
          </cell>
          <cell r="S946" t="b">
            <v>0</v>
          </cell>
          <cell r="T946" t="b">
            <v>0</v>
          </cell>
          <cell r="U946" t="str">
            <v>A</v>
          </cell>
          <cell r="V946" t="str">
            <v>No Register</v>
          </cell>
          <cell r="W946" t="str">
            <v/>
          </cell>
        </row>
        <row r="947">
          <cell r="B947" t="str">
            <v>Ricon Masinta Pratama, PT</v>
          </cell>
          <cell r="C947" t="str">
            <v>sabil.jsc@gmail.com</v>
          </cell>
          <cell r="D947" t="str">
            <v>Sabilar</v>
          </cell>
          <cell r="E947" t="str">
            <v>081218285686</v>
          </cell>
          <cell r="F947" t="str">
            <v>Kawasan Industri Manis Jl. Manis Raya No 32, Jatiuwung - Tangerang 15136</v>
          </cell>
          <cell r="G947" t="b">
            <v>0</v>
          </cell>
          <cell r="H947" t="b">
            <v>0</v>
          </cell>
          <cell r="I947" t="b">
            <v>0</v>
          </cell>
          <cell r="J947" t="b">
            <v>0</v>
          </cell>
          <cell r="K947" t="b">
            <v>0</v>
          </cell>
          <cell r="L947" t="b">
            <v>0</v>
          </cell>
          <cell r="M947" t="b">
            <v>1</v>
          </cell>
          <cell r="N947" t="b">
            <v>0</v>
          </cell>
          <cell r="O947" t="b">
            <v>0</v>
          </cell>
          <cell r="P947" t="b">
            <v>0</v>
          </cell>
          <cell r="Q947" t="b">
            <v>0</v>
          </cell>
          <cell r="R947" t="b">
            <v>0</v>
          </cell>
          <cell r="S947" t="b">
            <v>1</v>
          </cell>
          <cell r="T947" t="b">
            <v>0</v>
          </cell>
          <cell r="U947" t="str">
            <v>NA</v>
          </cell>
          <cell r="V947" t="str">
            <v>No Register</v>
          </cell>
          <cell r="W947" t="str">
            <v>GT - ME
GT - IC</v>
          </cell>
          <cell r="X947" t="str">
            <v>General Trading - Mechanical
General Trading - Elektrical
General Trading - Instrument</v>
          </cell>
          <cell r="Y947" t="str">
            <v>Aurora, Power Tools, Hand tools, Gardening Tools &amp; Industrial Equipment</v>
          </cell>
        </row>
        <row r="948">
          <cell r="B948" t="str">
            <v>Jaya Sentral Cemerlang, PT</v>
          </cell>
          <cell r="C948" t="str">
            <v>ricky.ravael@wiselgroup.indomobil.co.id</v>
          </cell>
          <cell r="D948" t="str">
            <v>Ricky</v>
          </cell>
          <cell r="E948" t="str">
            <v>08111760774</v>
          </cell>
          <cell r="G948" t="b">
            <v>0</v>
          </cell>
          <cell r="H948" t="b">
            <v>0</v>
          </cell>
          <cell r="I948" t="b">
            <v>0</v>
          </cell>
          <cell r="J948" t="b">
            <v>0</v>
          </cell>
          <cell r="K948" t="b">
            <v>0</v>
          </cell>
          <cell r="L948" t="b">
            <v>0</v>
          </cell>
          <cell r="M948" t="b">
            <v>1</v>
          </cell>
          <cell r="N948" t="b">
            <v>0</v>
          </cell>
          <cell r="O948" t="b">
            <v>0</v>
          </cell>
          <cell r="P948" t="b">
            <v>0</v>
          </cell>
          <cell r="Q948" t="b">
            <v>0</v>
          </cell>
          <cell r="R948" t="b">
            <v>0</v>
          </cell>
          <cell r="S948" t="b">
            <v>1</v>
          </cell>
          <cell r="T948" t="b">
            <v>0</v>
          </cell>
          <cell r="U948" t="str">
            <v>NA</v>
          </cell>
          <cell r="V948" t="str">
            <v>No Register</v>
          </cell>
          <cell r="W948" t="str">
            <v>GT - ME</v>
          </cell>
          <cell r="X948" t="str">
            <v>General Trading - Mechanical</v>
          </cell>
          <cell r="Y948" t="str">
            <v>AD John Deere (alat berat)
Energia</v>
          </cell>
        </row>
        <row r="949">
          <cell r="B949" t="str">
            <v>Wahana Inti Selaras, PT</v>
          </cell>
          <cell r="C949" t="str">
            <v>adiza@alamtri.com</v>
          </cell>
          <cell r="D949" t="str">
            <v xml:space="preserve">Aulia Mestika Diza </v>
          </cell>
          <cell r="G949" t="b">
            <v>0</v>
          </cell>
          <cell r="H949" t="b">
            <v>0</v>
          </cell>
          <cell r="I949" t="b">
            <v>0</v>
          </cell>
          <cell r="J949" t="b">
            <v>0</v>
          </cell>
          <cell r="K949" t="b">
            <v>0</v>
          </cell>
          <cell r="L949" t="b">
            <v>0</v>
          </cell>
          <cell r="M949" t="b">
            <v>1</v>
          </cell>
          <cell r="N949" t="b">
            <v>0</v>
          </cell>
          <cell r="O949" t="b">
            <v>0</v>
          </cell>
          <cell r="P949" t="b">
            <v>0</v>
          </cell>
          <cell r="Q949" t="b">
            <v>0</v>
          </cell>
          <cell r="R949" t="b">
            <v>0</v>
          </cell>
          <cell r="S949" t="b">
            <v>1</v>
          </cell>
          <cell r="T949" t="b">
            <v>0</v>
          </cell>
          <cell r="U949" t="str">
            <v>NA</v>
          </cell>
          <cell r="V949" t="str">
            <v>No Register</v>
          </cell>
          <cell r="W949" t="str">
            <v>GT - ID</v>
          </cell>
          <cell r="X949" t="str">
            <v>General Trading - Industrial Goods</v>
          </cell>
          <cell r="Y949" t="str">
            <v>Lime stone</v>
          </cell>
        </row>
        <row r="950">
          <cell r="B950" t="str">
            <v>Bumi Alam Seraya, PT</v>
          </cell>
          <cell r="C950" t="str">
            <v>teknikpersada_mandiri@yahoo.com; admin@teknikpersadamandiri.com</v>
          </cell>
          <cell r="G950" t="b">
            <v>0</v>
          </cell>
          <cell r="H950" t="b">
            <v>0</v>
          </cell>
          <cell r="I950" t="b">
            <v>0</v>
          </cell>
          <cell r="J950" t="b">
            <v>0</v>
          </cell>
          <cell r="K950" t="b">
            <v>0</v>
          </cell>
          <cell r="L950" t="b">
            <v>0</v>
          </cell>
          <cell r="M950" t="b">
            <v>0</v>
          </cell>
          <cell r="N950" t="b">
            <v>0</v>
          </cell>
          <cell r="O950" t="b">
            <v>0</v>
          </cell>
          <cell r="P950" t="b">
            <v>0</v>
          </cell>
          <cell r="Q950" t="b">
            <v>0</v>
          </cell>
          <cell r="R950" t="b">
            <v>0</v>
          </cell>
          <cell r="S950" t="b">
            <v>0</v>
          </cell>
          <cell r="T950" t="b">
            <v>0</v>
          </cell>
          <cell r="U950" t="str">
            <v>NA</v>
          </cell>
          <cell r="V950" t="str">
            <v>No Register</v>
          </cell>
          <cell r="W950" t="str">
            <v/>
          </cell>
          <cell r="X950" t="str">
            <v>Service Jasa - Maintenance</v>
          </cell>
          <cell r="Y950" t="str">
            <v>Belt</v>
          </cell>
        </row>
        <row r="951">
          <cell r="B951" t="str">
            <v>Teknik Persada Mandiri, PT</v>
          </cell>
          <cell r="G951" t="b">
            <v>0</v>
          </cell>
          <cell r="H951" t="b">
            <v>0</v>
          </cell>
          <cell r="I951" t="b">
            <v>0</v>
          </cell>
          <cell r="J951" t="b">
            <v>0</v>
          </cell>
          <cell r="K951" t="b">
            <v>0</v>
          </cell>
          <cell r="L951" t="b">
            <v>0</v>
          </cell>
          <cell r="M951" t="b">
            <v>0</v>
          </cell>
          <cell r="N951" t="b">
            <v>0</v>
          </cell>
          <cell r="O951" t="b">
            <v>0</v>
          </cell>
          <cell r="P951" t="b">
            <v>0</v>
          </cell>
          <cell r="Q951" t="b">
            <v>0</v>
          </cell>
          <cell r="R951" t="b">
            <v>0</v>
          </cell>
          <cell r="S951" t="b">
            <v>0</v>
          </cell>
          <cell r="T951" t="b">
            <v>0</v>
          </cell>
          <cell r="U951" t="str">
            <v>NA</v>
          </cell>
          <cell r="V951" t="str">
            <v>No Register</v>
          </cell>
          <cell r="W951" t="str">
            <v/>
          </cell>
          <cell r="X951" t="str">
            <v>Service Jasa - Maintenance</v>
          </cell>
          <cell r="Y951" t="str">
            <v>Rema tiptop; Belt</v>
          </cell>
        </row>
        <row r="952">
          <cell r="B952" t="str">
            <v>CTEC Intertrade Indonesia, PT</v>
          </cell>
          <cell r="C952" t="str">
            <v>rachman.sanyang@gmail.com; sanyanginternational@gmail.com</v>
          </cell>
          <cell r="D952" t="str">
            <v>Rachman</v>
          </cell>
          <cell r="E952" t="str">
            <v>082111509155</v>
          </cell>
          <cell r="G952" t="b">
            <v>0</v>
          </cell>
          <cell r="H952" t="b">
            <v>0</v>
          </cell>
          <cell r="I952" t="b">
            <v>0</v>
          </cell>
          <cell r="J952" t="b">
            <v>0</v>
          </cell>
          <cell r="K952" t="b">
            <v>0</v>
          </cell>
          <cell r="L952" t="b">
            <v>0</v>
          </cell>
          <cell r="M952" t="b">
            <v>1</v>
          </cell>
          <cell r="N952" t="b">
            <v>0</v>
          </cell>
          <cell r="O952" t="b">
            <v>0</v>
          </cell>
          <cell r="P952" t="b">
            <v>0</v>
          </cell>
          <cell r="Q952" t="b">
            <v>0</v>
          </cell>
          <cell r="R952" t="b">
            <v>0</v>
          </cell>
          <cell r="S952" t="b">
            <v>1</v>
          </cell>
          <cell r="T952" t="b">
            <v>0</v>
          </cell>
          <cell r="U952" t="str">
            <v>NA</v>
          </cell>
          <cell r="V952" t="str">
            <v>No Register</v>
          </cell>
          <cell r="W952" t="str">
            <v>GT - ME</v>
          </cell>
          <cell r="X952" t="str">
            <v>General Trading - Mechanical</v>
          </cell>
          <cell r="Y952" t="str">
            <v>PVC, Conveyor Belt, Accessories &amp; Custom Design Machine Available</v>
          </cell>
        </row>
        <row r="953">
          <cell r="B953" t="str">
            <v>Sanyang International Trade, PT</v>
          </cell>
          <cell r="C953" t="str">
            <v>marketing@tsilab.co.id; sales@tsilab.co.id</v>
          </cell>
          <cell r="G953" t="b">
            <v>0</v>
          </cell>
          <cell r="H953" t="b">
            <v>0</v>
          </cell>
          <cell r="I953" t="b">
            <v>0</v>
          </cell>
          <cell r="J953" t="b">
            <v>0</v>
          </cell>
          <cell r="K953" t="b">
            <v>0</v>
          </cell>
          <cell r="L953" t="b">
            <v>0</v>
          </cell>
          <cell r="M953" t="b">
            <v>0</v>
          </cell>
          <cell r="N953" t="b">
            <v>0</v>
          </cell>
          <cell r="O953" t="b">
            <v>0</v>
          </cell>
          <cell r="P953" t="b">
            <v>0</v>
          </cell>
          <cell r="Q953" t="b">
            <v>0</v>
          </cell>
          <cell r="R953" t="b">
            <v>0</v>
          </cell>
          <cell r="S953" t="b">
            <v>0</v>
          </cell>
          <cell r="T953" t="b">
            <v>0</v>
          </cell>
          <cell r="U953" t="str">
            <v>NA</v>
          </cell>
          <cell r="V953" t="str">
            <v>No Register</v>
          </cell>
          <cell r="W953" t="str">
            <v/>
          </cell>
        </row>
        <row r="954">
          <cell r="B954" t="str">
            <v>TSI Laboratory Indonesia, PT</v>
          </cell>
          <cell r="C954" t="str">
            <v>marketinglvv@mutucertification.com; octo.nainggolan@mutucertification.com; pasha@mutucertification.com</v>
          </cell>
          <cell r="D954" t="str">
            <v>Mega Aulia Putri</v>
          </cell>
          <cell r="E954" t="str">
            <v>082241413100</v>
          </cell>
          <cell r="F954" t="str">
            <v>Jalan Raya Bogor KM 33,5, Kelurahan Curug, Kecamatan Cimanggis Kota Depok</v>
          </cell>
          <cell r="G954" t="b">
            <v>0</v>
          </cell>
          <cell r="H954" t="b">
            <v>0</v>
          </cell>
          <cell r="I954" t="b">
            <v>0</v>
          </cell>
          <cell r="J954" t="b">
            <v>0</v>
          </cell>
          <cell r="K954" t="b">
            <v>0</v>
          </cell>
          <cell r="L954" t="b">
            <v>0</v>
          </cell>
          <cell r="M954" t="b">
            <v>0</v>
          </cell>
          <cell r="N954" t="b">
            <v>0</v>
          </cell>
          <cell r="O954" t="b">
            <v>0</v>
          </cell>
          <cell r="P954" t="b">
            <v>0</v>
          </cell>
          <cell r="Q954" t="b">
            <v>0</v>
          </cell>
          <cell r="R954" t="b">
            <v>0</v>
          </cell>
          <cell r="S954" t="b">
            <v>0</v>
          </cell>
          <cell r="T954" t="b">
            <v>0</v>
          </cell>
          <cell r="U954" t="str">
            <v>A</v>
          </cell>
          <cell r="V954" t="str">
            <v>No Register</v>
          </cell>
          <cell r="W954" t="str">
            <v>ENV - IM</v>
          </cell>
          <cell r="X954" t="str">
            <v>Environment &amp; Compliance - Environmental Impact Monitoring</v>
          </cell>
        </row>
        <row r="955">
          <cell r="B955" t="str">
            <v>KJPP Anna</v>
          </cell>
          <cell r="C955" t="str">
            <v>dinda@nocola.co.id; bd@nocola.co.id; novitanissa92@gmail.com</v>
          </cell>
          <cell r="D955" t="str">
            <v>Novita</v>
          </cell>
          <cell r="E955" t="str">
            <v>085740873934</v>
          </cell>
          <cell r="F955" t="str">
            <v>Jl. Ir. H. Juanda 117 Cilacap Tengah</v>
          </cell>
          <cell r="G955" t="b">
            <v>0</v>
          </cell>
          <cell r="H955" t="b">
            <v>0</v>
          </cell>
          <cell r="I955" t="b">
            <v>0</v>
          </cell>
          <cell r="J955" t="b">
            <v>0</v>
          </cell>
          <cell r="K955" t="b">
            <v>0</v>
          </cell>
          <cell r="L955" t="b">
            <v>0</v>
          </cell>
          <cell r="M955" t="b">
            <v>1</v>
          </cell>
          <cell r="N955" t="b">
            <v>0</v>
          </cell>
          <cell r="O955" t="b">
            <v>0</v>
          </cell>
          <cell r="P955" t="b">
            <v>0</v>
          </cell>
          <cell r="Q955" t="b">
            <v>0</v>
          </cell>
          <cell r="R955" t="b">
            <v>0</v>
          </cell>
          <cell r="S955" t="b">
            <v>1</v>
          </cell>
          <cell r="T955" t="b">
            <v>0</v>
          </cell>
          <cell r="U955" t="str">
            <v>A</v>
          </cell>
          <cell r="V955" t="str">
            <v>No Register</v>
          </cell>
          <cell r="W955" t="str">
            <v>GT - ME</v>
          </cell>
          <cell r="X955" t="str">
            <v>Service Jasa - Mechanical
General Trading - Mechanical</v>
          </cell>
          <cell r="Y955" t="str">
            <v>D Envea</v>
          </cell>
        </row>
        <row r="956">
          <cell r="B956" t="str">
            <v>Mutu Agung Lestari, PT</v>
          </cell>
          <cell r="C956" t="str">
            <v>anarekan.banjarmasin@gmail.com</v>
          </cell>
          <cell r="D956" t="str">
            <v>Vania</v>
          </cell>
          <cell r="E956" t="str">
            <v>08115110706</v>
          </cell>
          <cell r="F956" t="str">
            <v>JL. SULTAN ADAM KOMP. MANDIRI IV BLOK B.VI NO. 48 RT.
31/RW. 03, KELURAHAN SURGI MUFTI, KECAMATAN
BANJARMASIN UTARA</v>
          </cell>
          <cell r="G956" t="b">
            <v>0</v>
          </cell>
          <cell r="H956" t="b">
            <v>0</v>
          </cell>
          <cell r="I956" t="b">
            <v>0</v>
          </cell>
          <cell r="J956" t="b">
            <v>0</v>
          </cell>
          <cell r="K956" t="b">
            <v>0</v>
          </cell>
          <cell r="L956" t="b">
            <v>0</v>
          </cell>
          <cell r="M956" t="b">
            <v>0</v>
          </cell>
          <cell r="N956" t="b">
            <v>0</v>
          </cell>
          <cell r="O956" t="b">
            <v>1</v>
          </cell>
          <cell r="P956" t="b">
            <v>0</v>
          </cell>
          <cell r="Q956" t="b">
            <v>0</v>
          </cell>
          <cell r="R956" t="b">
            <v>0</v>
          </cell>
          <cell r="S956" t="b">
            <v>0</v>
          </cell>
          <cell r="T956" t="b">
            <v>0</v>
          </cell>
          <cell r="U956" t="str">
            <v>NA</v>
          </cell>
          <cell r="V956" t="str">
            <v>Register</v>
          </cell>
          <cell r="W956" t="str">
            <v>PR - CS
ENV - IM</v>
          </cell>
          <cell r="X956" t="str">
            <v>Professional Services - Consulting
Environment &amp; Compliance - Environmental Impact Monitoring</v>
          </cell>
          <cell r="Y956" t="str">
            <v>Kantor Jasa Penilai Publik, appraisal/valuation, penilaian properti, bisnis, dan konsultansi valuasi</v>
          </cell>
        </row>
        <row r="957">
          <cell r="B957" t="str">
            <v>TUV Rheinland Indonesia, PT</v>
          </cell>
          <cell r="C957" t="str">
            <v>Nida.akhoi@terataiwidjaja.com</v>
          </cell>
          <cell r="D957" t="str">
            <v>Nida</v>
          </cell>
          <cell r="F957" t="str">
            <v xml:space="preserve">Jl. Raya Simpang Tiga Karadenan No 35, Karadenan, Cibinong Bogor, Jabar </v>
          </cell>
          <cell r="G957" t="b">
            <v>0</v>
          </cell>
          <cell r="H957" t="b">
            <v>0</v>
          </cell>
          <cell r="I957" t="b">
            <v>0</v>
          </cell>
          <cell r="J957" t="b">
            <v>0</v>
          </cell>
          <cell r="K957" t="b">
            <v>0</v>
          </cell>
          <cell r="L957" t="b">
            <v>0</v>
          </cell>
          <cell r="M957" t="b">
            <v>0</v>
          </cell>
          <cell r="N957" t="b">
            <v>0</v>
          </cell>
          <cell r="O957" t="b">
            <v>0</v>
          </cell>
          <cell r="P957" t="b">
            <v>0</v>
          </cell>
          <cell r="Q957" t="b">
            <v>0</v>
          </cell>
          <cell r="R957" t="b">
            <v>0</v>
          </cell>
          <cell r="S957" t="b">
            <v>0</v>
          </cell>
          <cell r="T957" t="b">
            <v>0</v>
          </cell>
          <cell r="U957" t="str">
            <v>NA</v>
          </cell>
          <cell r="V957" t="str">
            <v>Register</v>
          </cell>
          <cell r="W957" t="str">
            <v/>
          </cell>
        </row>
        <row r="958">
          <cell r="B958" t="str">
            <v>Nocola IoT Solution, PT</v>
          </cell>
          <cell r="C958" t="str">
            <v>Maluyung.Bersinar@gmail.com</v>
          </cell>
          <cell r="F958" t="str">
            <v>Gedung AD Premier Office Park Lantai 9. Jl TB Ragunan, Pasar Minggu</v>
          </cell>
          <cell r="G958" t="b">
            <v>0</v>
          </cell>
          <cell r="H958" t="b">
            <v>0</v>
          </cell>
          <cell r="I958" t="b">
            <v>0</v>
          </cell>
          <cell r="J958" t="b">
            <v>0</v>
          </cell>
          <cell r="K958" t="b">
            <v>0</v>
          </cell>
          <cell r="L958" t="b">
            <v>0</v>
          </cell>
          <cell r="M958" t="b">
            <v>0</v>
          </cell>
          <cell r="N958" t="b">
            <v>0</v>
          </cell>
          <cell r="O958" t="b">
            <v>0</v>
          </cell>
          <cell r="P958" t="b">
            <v>0</v>
          </cell>
          <cell r="Q958" t="b">
            <v>0</v>
          </cell>
          <cell r="R958" t="b">
            <v>0</v>
          </cell>
          <cell r="S958" t="b">
            <v>0</v>
          </cell>
          <cell r="V958" t="str">
            <v>Register</v>
          </cell>
          <cell r="W958" t="str">
            <v>PR - LG</v>
          </cell>
          <cell r="X958" t="str">
            <v>Professional Services - Legal</v>
          </cell>
          <cell r="Y958" t="str">
            <v>Jasa hukum / law firm, legal &amp; corporate advisory</v>
          </cell>
        </row>
        <row r="959">
          <cell r="B959" t="str">
            <v>KJPP ANA DAN REKAN BANJARMASIN</v>
          </cell>
          <cell r="C959" t="str">
            <v>borneotandayu@gmail.com</v>
          </cell>
          <cell r="F959" t="str">
            <v>Komplek Citra Plambon Raya Blok J.2 RT. 14 Pembataan</v>
          </cell>
          <cell r="G959" t="b">
            <v>0</v>
          </cell>
          <cell r="H959" t="b">
            <v>0</v>
          </cell>
          <cell r="I959" t="b">
            <v>0</v>
          </cell>
          <cell r="J959" t="b">
            <v>0</v>
          </cell>
          <cell r="K959" t="b">
            <v>0</v>
          </cell>
          <cell r="L959" t="b">
            <v>0</v>
          </cell>
          <cell r="M959" t="b">
            <v>0</v>
          </cell>
          <cell r="N959" t="b">
            <v>0</v>
          </cell>
          <cell r="O959" t="b">
            <v>0</v>
          </cell>
          <cell r="P959" t="b">
            <v>0</v>
          </cell>
          <cell r="Q959" t="b">
            <v>0</v>
          </cell>
          <cell r="R959" t="b">
            <v>0</v>
          </cell>
          <cell r="S959" t="b">
            <v>0</v>
          </cell>
          <cell r="T959" t="b">
            <v>0</v>
          </cell>
          <cell r="U959" t="str">
            <v>NA</v>
          </cell>
          <cell r="V959" t="str">
            <v>Register</v>
          </cell>
          <cell r="W959" t="str">
            <v/>
          </cell>
        </row>
        <row r="960">
          <cell r="B960" t="str">
            <v>Teratai Widjaja, PT</v>
          </cell>
          <cell r="C960" t="str">
            <v>katigasaranaraharja@gmail.Com; Info@katigasaja.com</v>
          </cell>
          <cell r="F960" t="str">
            <v>Jl. Gayungsari I No 47, Lantai 2 Kel. Gayungan, Kec. Gayungan, Kota Surabaya, Jawa Timur 60235</v>
          </cell>
          <cell r="G960" t="b">
            <v>0</v>
          </cell>
          <cell r="H960" t="b">
            <v>0</v>
          </cell>
          <cell r="I960" t="b">
            <v>0</v>
          </cell>
          <cell r="J960" t="b">
            <v>0</v>
          </cell>
          <cell r="K960" t="b">
            <v>0</v>
          </cell>
          <cell r="L960" t="b">
            <v>0</v>
          </cell>
          <cell r="M960" t="b">
            <v>0</v>
          </cell>
          <cell r="N960" t="b">
            <v>0</v>
          </cell>
          <cell r="O960" t="b">
            <v>0</v>
          </cell>
          <cell r="P960" t="b">
            <v>0</v>
          </cell>
          <cell r="Q960" t="b">
            <v>0</v>
          </cell>
          <cell r="R960" t="b">
            <v>0</v>
          </cell>
          <cell r="S960" t="b">
            <v>0</v>
          </cell>
          <cell r="T960" t="b">
            <v>0</v>
          </cell>
          <cell r="U960" t="str">
            <v>NA</v>
          </cell>
          <cell r="V960" t="str">
            <v>Register</v>
          </cell>
          <cell r="W960" t="str">
            <v/>
          </cell>
        </row>
        <row r="961">
          <cell r="B961" t="str">
            <v>SUROWIDJOJO &amp; CO</v>
          </cell>
          <cell r="C961" t="str">
            <v>ine.megaperkasa@gmail.com; marketing@megaprakarsa.com</v>
          </cell>
          <cell r="G961" t="b">
            <v>0</v>
          </cell>
          <cell r="H961" t="b">
            <v>0</v>
          </cell>
          <cell r="I961" t="b">
            <v>0</v>
          </cell>
          <cell r="J961" t="b">
            <v>0</v>
          </cell>
          <cell r="K961" t="b">
            <v>0</v>
          </cell>
          <cell r="L961" t="b">
            <v>0</v>
          </cell>
          <cell r="M961" t="b">
            <v>1</v>
          </cell>
          <cell r="N961" t="b">
            <v>0</v>
          </cell>
          <cell r="O961" t="b">
            <v>0</v>
          </cell>
          <cell r="P961" t="b">
            <v>0</v>
          </cell>
          <cell r="Q961" t="b">
            <v>0</v>
          </cell>
          <cell r="R961" t="b">
            <v>0</v>
          </cell>
          <cell r="S961" t="b">
            <v>1</v>
          </cell>
          <cell r="T961" t="b">
            <v>0</v>
          </cell>
          <cell r="U961" t="str">
            <v>NA</v>
          </cell>
          <cell r="V961" t="str">
            <v>Register</v>
          </cell>
          <cell r="W961" t="str">
            <v>GT - ME</v>
          </cell>
          <cell r="X961" t="str">
            <v>General Trading - Mechanical</v>
          </cell>
        </row>
        <row r="962">
          <cell r="B962" t="str">
            <v>Borneo Tandayu Perkasa, PT</v>
          </cell>
          <cell r="C962" t="str">
            <v>b.AndroGauri@envea.global</v>
          </cell>
          <cell r="D962" t="str">
            <v>087769611222</v>
          </cell>
          <cell r="E962" t="str">
            <v>Boma</v>
          </cell>
          <cell r="F962" t="str">
            <v>Pondok Indah Office Tower 1, Unit 202D Pondok Pinang, Kec. Kebayoran Lama, Kota Jakarta Selatan, DKI Jakarta, 12310</v>
          </cell>
          <cell r="G962" t="b">
            <v>0</v>
          </cell>
          <cell r="H962" t="b">
            <v>0</v>
          </cell>
          <cell r="I962" t="b">
            <v>0</v>
          </cell>
          <cell r="J962" t="b">
            <v>0</v>
          </cell>
          <cell r="K962" t="b">
            <v>0</v>
          </cell>
          <cell r="L962" t="b">
            <v>0</v>
          </cell>
          <cell r="M962" t="b">
            <v>1</v>
          </cell>
          <cell r="N962" t="b">
            <v>0</v>
          </cell>
          <cell r="O962" t="b">
            <v>0</v>
          </cell>
          <cell r="P962" t="b">
            <v>0</v>
          </cell>
          <cell r="Q962" t="b">
            <v>0</v>
          </cell>
          <cell r="R962" t="b">
            <v>0</v>
          </cell>
          <cell r="S962" t="b">
            <v>1</v>
          </cell>
          <cell r="T962" t="b">
            <v>0</v>
          </cell>
          <cell r="U962" t="str">
            <v>NA</v>
          </cell>
          <cell r="V962" t="str">
            <v>No Register</v>
          </cell>
          <cell r="W962" t="str">
            <v>GT - ME</v>
          </cell>
          <cell r="X962" t="str">
            <v>General Trading - Mechanical</v>
          </cell>
          <cell r="Y962" t="str">
            <v>D Envea</v>
          </cell>
        </row>
        <row r="963">
          <cell r="B963" t="str">
            <v>Katiga Sarana Raharja, PT</v>
          </cell>
          <cell r="C963" t="str">
            <v>pt.mesindotekninesia@gmail.com</v>
          </cell>
          <cell r="D963" t="str">
            <v>Masril</v>
          </cell>
          <cell r="E963" t="str">
            <v>081319062065</v>
          </cell>
          <cell r="F963" t="str">
            <v>Jl Raya Kayu Tinggi-Kandang Sapi, 2-3, Cakung Timur Cakung Kota Adm-Jakarta Timur</v>
          </cell>
          <cell r="G963" t="b">
            <v>0</v>
          </cell>
          <cell r="H963" t="b">
            <v>0</v>
          </cell>
          <cell r="I963" t="b">
            <v>0</v>
          </cell>
          <cell r="J963" t="b">
            <v>0</v>
          </cell>
          <cell r="K963" t="b">
            <v>0</v>
          </cell>
          <cell r="L963" t="b">
            <v>0</v>
          </cell>
          <cell r="M963" t="b">
            <v>0</v>
          </cell>
          <cell r="N963" t="b">
            <v>0</v>
          </cell>
          <cell r="O963" t="b">
            <v>0</v>
          </cell>
          <cell r="P963" t="b">
            <v>0</v>
          </cell>
          <cell r="Q963" t="b">
            <v>0</v>
          </cell>
          <cell r="R963" t="b">
            <v>0</v>
          </cell>
          <cell r="S963" t="b">
            <v>0</v>
          </cell>
          <cell r="T963" t="b">
            <v>0</v>
          </cell>
          <cell r="U963" t="str">
            <v>A</v>
          </cell>
          <cell r="V963" t="str">
            <v>No Register</v>
          </cell>
          <cell r="W963" t="str">
            <v/>
          </cell>
          <cell r="X963" t="str">
            <v>Service Jasa - Calibration / Testing</v>
          </cell>
          <cell r="Y963" t="str">
            <v>Rewinding; rental Trafo</v>
          </cell>
        </row>
        <row r="964">
          <cell r="B964" t="str">
            <v>Mega Prakarsa Enginering Indonesia, PT</v>
          </cell>
          <cell r="C964" t="str">
            <v>pt.zidanputragemilang@gmail.com</v>
          </cell>
          <cell r="D964" t="str">
            <v>Achmad</v>
          </cell>
          <cell r="E964" t="str">
            <v>082229332039</v>
          </cell>
          <cell r="F964" t="str">
            <v>Jl.Surabaya-Mojokerto Km. 39 Bakung Temenggungan Balongbendo Sidoarjo</v>
          </cell>
          <cell r="G964" t="b">
            <v>0</v>
          </cell>
          <cell r="H964" t="b">
            <v>0</v>
          </cell>
          <cell r="I964" t="b">
            <v>0</v>
          </cell>
          <cell r="J964" t="b">
            <v>0</v>
          </cell>
          <cell r="K964" t="b">
            <v>0</v>
          </cell>
          <cell r="L964" t="b">
            <v>0</v>
          </cell>
          <cell r="M964" t="b">
            <v>0</v>
          </cell>
          <cell r="N964" t="b">
            <v>0</v>
          </cell>
          <cell r="O964" t="b">
            <v>0</v>
          </cell>
          <cell r="P964" t="b">
            <v>0</v>
          </cell>
          <cell r="Q964" t="b">
            <v>0</v>
          </cell>
          <cell r="R964" t="b">
            <v>0</v>
          </cell>
          <cell r="S964" t="b">
            <v>0</v>
          </cell>
          <cell r="T964" t="b">
            <v>0</v>
          </cell>
          <cell r="U964" t="str">
            <v>A</v>
          </cell>
          <cell r="V964" t="str">
            <v>No Register</v>
          </cell>
          <cell r="W964" t="str">
            <v/>
          </cell>
          <cell r="X964" t="str">
            <v>Service Jasa - Calibration / Testing</v>
          </cell>
          <cell r="Y964" t="str">
            <v>Rewinding</v>
          </cell>
        </row>
        <row r="965">
          <cell r="B965" t="str">
            <v>APAQ Group Indonesia, PT</v>
          </cell>
          <cell r="C965" t="str">
            <v>pritanugrahani@vandotekniksolusi.com</v>
          </cell>
          <cell r="D965" t="str">
            <v xml:space="preserve">Prita Nugrahani </v>
          </cell>
          <cell r="E965" t="str">
            <v>081310893199</v>
          </cell>
          <cell r="F965" t="str">
            <v>Menara 165 Lantai 4, Jl. TB Simatupang Kav 1, Jakarta Selatan.</v>
          </cell>
          <cell r="G965" t="b">
            <v>0</v>
          </cell>
          <cell r="H965" t="b">
            <v>0</v>
          </cell>
          <cell r="I965" t="b">
            <v>0</v>
          </cell>
          <cell r="J965" t="b">
            <v>0</v>
          </cell>
          <cell r="K965" t="b">
            <v>0</v>
          </cell>
          <cell r="L965" t="b">
            <v>0</v>
          </cell>
          <cell r="M965" t="b">
            <v>1</v>
          </cell>
          <cell r="N965" t="b">
            <v>0</v>
          </cell>
          <cell r="O965" t="b">
            <v>0</v>
          </cell>
          <cell r="P965" t="b">
            <v>0</v>
          </cell>
          <cell r="Q965" t="b">
            <v>0</v>
          </cell>
          <cell r="R965" t="b">
            <v>0</v>
          </cell>
          <cell r="S965" t="b">
            <v>1</v>
          </cell>
          <cell r="T965" t="b">
            <v>0</v>
          </cell>
          <cell r="U965" t="str">
            <v>A</v>
          </cell>
          <cell r="V965" t="str">
            <v>No Register</v>
          </cell>
          <cell r="W965" t="str">
            <v>GT - ME</v>
          </cell>
          <cell r="X965" t="str">
            <v>General Trading - Mechanical</v>
          </cell>
          <cell r="Y965" t="str">
            <v>D Donalson</v>
          </cell>
        </row>
        <row r="966">
          <cell r="B966" t="str">
            <v>Mesindo Tekninesia, PT</v>
          </cell>
          <cell r="C966" t="str">
            <v>a3lablingk@lab.id; sales03@lab.id</v>
          </cell>
          <cell r="D966" t="str">
            <v>Miya</v>
          </cell>
          <cell r="E966" t="str">
            <v>082312363669</v>
          </cell>
          <cell r="G966" t="b">
            <v>0</v>
          </cell>
          <cell r="H966" t="b">
            <v>0</v>
          </cell>
          <cell r="I966" t="b">
            <v>0</v>
          </cell>
          <cell r="J966" t="b">
            <v>0</v>
          </cell>
          <cell r="K966" t="b">
            <v>0</v>
          </cell>
          <cell r="L966" t="b">
            <v>0</v>
          </cell>
          <cell r="M966" t="b">
            <v>0</v>
          </cell>
          <cell r="N966" t="b">
            <v>0</v>
          </cell>
          <cell r="O966" t="b">
            <v>0</v>
          </cell>
          <cell r="P966" t="b">
            <v>0</v>
          </cell>
          <cell r="Q966" t="b">
            <v>0</v>
          </cell>
          <cell r="R966" t="b">
            <v>0</v>
          </cell>
          <cell r="S966" t="b">
            <v>0</v>
          </cell>
          <cell r="T966" t="b">
            <v>0</v>
          </cell>
          <cell r="U966" t="str">
            <v>NA</v>
          </cell>
          <cell r="V966" t="str">
            <v>No Register</v>
          </cell>
          <cell r="W966" t="str">
            <v>ENV - IM</v>
          </cell>
          <cell r="X966" t="str">
            <v>Environment &amp; Compliance - Environmental Impact Monitoring</v>
          </cell>
        </row>
        <row r="967">
          <cell r="B967" t="str">
            <v>Zidan Putra Gemilang, PT</v>
          </cell>
          <cell r="C967" t="str">
            <v>halqilab.marketing@gmail.com</v>
          </cell>
          <cell r="D967" t="str">
            <v>Hani</v>
          </cell>
          <cell r="E967" t="str">
            <v>081213839244</v>
          </cell>
          <cell r="G967" t="b">
            <v>0</v>
          </cell>
          <cell r="H967" t="b">
            <v>0</v>
          </cell>
          <cell r="I967" t="b">
            <v>0</v>
          </cell>
          <cell r="J967" t="b">
            <v>0</v>
          </cell>
          <cell r="K967" t="b">
            <v>0</v>
          </cell>
          <cell r="L967" t="b">
            <v>0</v>
          </cell>
          <cell r="M967" t="b">
            <v>0</v>
          </cell>
          <cell r="N967" t="b">
            <v>0</v>
          </cell>
          <cell r="O967" t="b">
            <v>1</v>
          </cell>
          <cell r="P967" t="b">
            <v>0</v>
          </cell>
          <cell r="Q967" t="b">
            <v>0</v>
          </cell>
          <cell r="R967" t="b">
            <v>0</v>
          </cell>
          <cell r="S967" t="b">
            <v>0</v>
          </cell>
          <cell r="T967" t="b">
            <v>0</v>
          </cell>
          <cell r="U967" t="str">
            <v>NA</v>
          </cell>
          <cell r="V967" t="str">
            <v>No Register</v>
          </cell>
          <cell r="W967" t="str">
            <v>ENV - IM</v>
          </cell>
          <cell r="X967" t="str">
            <v>Environment &amp; Compliance - Environmental Impact Monitoring</v>
          </cell>
        </row>
        <row r="968">
          <cell r="B968" t="str">
            <v>Vando Teknik Solusi, PT</v>
          </cell>
          <cell r="C968" t="str">
            <v>genaulokagantari@gmail.com; genausm7jkt@gmail.com</v>
          </cell>
          <cell r="D968" t="str">
            <v>Ronal</v>
          </cell>
          <cell r="E968" t="str">
            <v>08113480021</v>
          </cell>
          <cell r="G968" t="b">
            <v>0</v>
          </cell>
          <cell r="H968" t="b">
            <v>0</v>
          </cell>
          <cell r="I968" t="b">
            <v>0</v>
          </cell>
          <cell r="J968" t="b">
            <v>0</v>
          </cell>
          <cell r="K968" t="b">
            <v>0</v>
          </cell>
          <cell r="L968" t="b">
            <v>0</v>
          </cell>
          <cell r="M968" t="b">
            <v>0</v>
          </cell>
          <cell r="N968" t="b">
            <v>0</v>
          </cell>
          <cell r="O968" t="b">
            <v>0</v>
          </cell>
          <cell r="P968" t="b">
            <v>0</v>
          </cell>
          <cell r="Q968" t="b">
            <v>0</v>
          </cell>
          <cell r="R968" t="b">
            <v>0</v>
          </cell>
          <cell r="S968" t="b">
            <v>0</v>
          </cell>
          <cell r="T968" t="b">
            <v>0</v>
          </cell>
          <cell r="U968" t="str">
            <v>NA</v>
          </cell>
          <cell r="V968" t="str">
            <v>No Register</v>
          </cell>
          <cell r="W968" t="str">
            <v>ENV - IM</v>
          </cell>
          <cell r="X968" t="str">
            <v>Environment &amp; Compliance - Environmental Impact Monitoring</v>
          </cell>
        </row>
        <row r="969">
          <cell r="B969" t="str">
            <v>Advanced Analytics Asia Laboratories, PT</v>
          </cell>
          <cell r="C969" t="str">
            <v>bella.jane@aequus-solutions.com</v>
          </cell>
          <cell r="D969" t="str">
            <v>Vita</v>
          </cell>
          <cell r="E969" t="str">
            <v>08118483977</v>
          </cell>
          <cell r="F969" t="str">
            <v>Kawasan Industri Delta Seilikon Jl. Gaharu Blok F5 No. 10 A Lippo Cikarang, Bekasi</v>
          </cell>
          <cell r="G969" t="b">
            <v>0</v>
          </cell>
          <cell r="H969" t="b">
            <v>0</v>
          </cell>
          <cell r="I969" t="b">
            <v>0</v>
          </cell>
          <cell r="J969" t="b">
            <v>0</v>
          </cell>
          <cell r="K969" t="b">
            <v>0</v>
          </cell>
          <cell r="L969" t="b">
            <v>0</v>
          </cell>
          <cell r="M969" t="b">
            <v>0</v>
          </cell>
          <cell r="N969" t="b">
            <v>0</v>
          </cell>
          <cell r="O969" t="b">
            <v>0</v>
          </cell>
          <cell r="P969" t="b">
            <v>0</v>
          </cell>
          <cell r="Q969" t="b">
            <v>0</v>
          </cell>
          <cell r="R969" t="b">
            <v>0</v>
          </cell>
          <cell r="S969" t="b">
            <v>0</v>
          </cell>
          <cell r="T969" t="b">
            <v>0</v>
          </cell>
          <cell r="U969" t="str">
            <v>A</v>
          </cell>
          <cell r="V969" t="str">
            <v>No Register</v>
          </cell>
          <cell r="W969" t="str">
            <v/>
          </cell>
          <cell r="X969" t="str">
            <v>Service Jasa - Calibration / Testing</v>
          </cell>
          <cell r="Y969" t="str">
            <v>Kalibrasi</v>
          </cell>
        </row>
        <row r="970">
          <cell r="B970" t="str">
            <v>Halqilab Karya Indonesia, PT</v>
          </cell>
          <cell r="C970" t="str">
            <v>info@brightsinergi.co.id</v>
          </cell>
          <cell r="F970" t="str">
            <v>Jalan Rajawali Selatan 2 No. 1B, Gunung Sahari Utara, Jakarta, Indonesia Jakarta Pusat, Jakarta 10720</v>
          </cell>
          <cell r="G970" t="b">
            <v>0</v>
          </cell>
          <cell r="H970" t="b">
            <v>0</v>
          </cell>
          <cell r="I970" t="b">
            <v>0</v>
          </cell>
          <cell r="J970" t="b">
            <v>0</v>
          </cell>
          <cell r="K970" t="b">
            <v>0</v>
          </cell>
          <cell r="L970" t="b">
            <v>0</v>
          </cell>
          <cell r="M970" t="b">
            <v>0</v>
          </cell>
          <cell r="N970" t="b">
            <v>0</v>
          </cell>
          <cell r="O970" t="b">
            <v>0</v>
          </cell>
          <cell r="P970" t="b">
            <v>0</v>
          </cell>
          <cell r="Q970" t="b">
            <v>0</v>
          </cell>
          <cell r="R970" t="b">
            <v>0</v>
          </cell>
          <cell r="S970" t="b">
            <v>0</v>
          </cell>
          <cell r="T970" t="b">
            <v>0</v>
          </cell>
          <cell r="U970" t="str">
            <v>NA</v>
          </cell>
          <cell r="V970" t="str">
            <v>Register</v>
          </cell>
          <cell r="W970" t="str">
            <v>PR - CS</v>
          </cell>
          <cell r="X970" t="str">
            <v>Professional Services - Consulting</v>
          </cell>
        </row>
        <row r="971">
          <cell r="B971" t="str">
            <v>Genau Loka Gantari, PT</v>
          </cell>
          <cell r="C971" t="str">
            <v>info@eksperta.co.id</v>
          </cell>
          <cell r="F971" t="str">
            <v>Ruko Boulevard Tekno G15 Jl Raya Tekno Widya, Desa/Kelurahan Setu, Kec. Setu Tanggerang Banten Tangerang</v>
          </cell>
          <cell r="G971" t="b">
            <v>0</v>
          </cell>
          <cell r="H971" t="b">
            <v>0</v>
          </cell>
          <cell r="I971" t="b">
            <v>0</v>
          </cell>
          <cell r="J971" t="b">
            <v>0</v>
          </cell>
          <cell r="K971" t="b">
            <v>0</v>
          </cell>
          <cell r="L971" t="b">
            <v>0</v>
          </cell>
          <cell r="M971" t="b">
            <v>0</v>
          </cell>
          <cell r="N971" t="b">
            <v>0</v>
          </cell>
          <cell r="O971" t="b">
            <v>0</v>
          </cell>
          <cell r="P971" t="b">
            <v>0</v>
          </cell>
          <cell r="Q971" t="b">
            <v>0</v>
          </cell>
          <cell r="R971" t="b">
            <v>0</v>
          </cell>
          <cell r="S971" t="b">
            <v>0</v>
          </cell>
          <cell r="T971" t="b">
            <v>0</v>
          </cell>
          <cell r="U971" t="str">
            <v>NA</v>
          </cell>
          <cell r="V971" t="str">
            <v>Register</v>
          </cell>
          <cell r="W971" t="str">
            <v/>
          </cell>
        </row>
        <row r="972">
          <cell r="B972" t="str">
            <v>Mandiri Transforma Global, PT</v>
          </cell>
          <cell r="C972" t="str">
            <v>suksesmandirijaya9@gmail.com</v>
          </cell>
          <cell r="F972" t="str">
            <v>Jl. Raya Siliwangi Km. 7 Pesona Metropolitan Ruko Niaga Blok RD No. 2 Rawalumbu - Bekasi</v>
          </cell>
          <cell r="G972" t="b">
            <v>0</v>
          </cell>
          <cell r="H972" t="b">
            <v>0</v>
          </cell>
          <cell r="I972" t="b">
            <v>0</v>
          </cell>
          <cell r="J972" t="b">
            <v>0</v>
          </cell>
          <cell r="K972" t="b">
            <v>0</v>
          </cell>
          <cell r="L972" t="b">
            <v>0</v>
          </cell>
          <cell r="M972" t="b">
            <v>0</v>
          </cell>
          <cell r="N972" t="b">
            <v>0</v>
          </cell>
          <cell r="O972" t="b">
            <v>0</v>
          </cell>
          <cell r="P972" t="b">
            <v>0</v>
          </cell>
          <cell r="Q972" t="b">
            <v>0</v>
          </cell>
          <cell r="R972" t="b">
            <v>0</v>
          </cell>
          <cell r="S972" t="b">
            <v>0</v>
          </cell>
          <cell r="V972" t="str">
            <v>No Register</v>
          </cell>
          <cell r="W972" t="str">
            <v/>
          </cell>
          <cell r="X972" t="str">
            <v>General Trading - Elektrical</v>
          </cell>
          <cell r="Y972" t="str">
            <v>D FIAMM</v>
          </cell>
        </row>
        <row r="973">
          <cell r="B973" t="str">
            <v>Bright Sinergi Global, PT</v>
          </cell>
          <cell r="C973" t="str">
            <v>info@hexalindo.com</v>
          </cell>
          <cell r="F973" t="str">
            <v>Pergudangan Sunrise Bizpark Blok C56, Kuta Jaya, Kab. Tangerang</v>
          </cell>
          <cell r="G973" t="b">
            <v>0</v>
          </cell>
          <cell r="H973" t="b">
            <v>0</v>
          </cell>
          <cell r="I973" t="b">
            <v>0</v>
          </cell>
          <cell r="J973" t="b">
            <v>0</v>
          </cell>
          <cell r="K973" t="b">
            <v>0</v>
          </cell>
          <cell r="L973" t="b">
            <v>0</v>
          </cell>
          <cell r="M973" t="b">
            <v>0</v>
          </cell>
          <cell r="N973" t="b">
            <v>0</v>
          </cell>
          <cell r="O973" t="b">
            <v>0</v>
          </cell>
          <cell r="P973" t="b">
            <v>0</v>
          </cell>
          <cell r="Q973" t="b">
            <v>0</v>
          </cell>
          <cell r="R973" t="b">
            <v>0</v>
          </cell>
          <cell r="S973" t="b">
            <v>0</v>
          </cell>
          <cell r="V973" t="str">
            <v>No Register</v>
          </cell>
          <cell r="W973" t="str">
            <v>GT - ME
IT - NT</v>
          </cell>
          <cell r="X973" t="str">
            <v>General Trading - Mechanical
General Trading - Elektrical
IT &amp; System - Network &amp; Infrastructure</v>
          </cell>
          <cell r="Y973" t="str">
            <v>D FIAMM</v>
          </cell>
        </row>
        <row r="974">
          <cell r="B974" t="str">
            <v>Eksperta Adi Manusa, PT</v>
          </cell>
          <cell r="C974" t="str">
            <v>maruf.amaludin@prabujayatunggal.com</v>
          </cell>
          <cell r="D974" t="str">
            <v>Maruf</v>
          </cell>
          <cell r="E974" t="str">
            <v>082110664859</v>
          </cell>
          <cell r="F974" t="str">
            <v>JL Beruang XJ/G-3/30 RT003/010 Cikarang Baru Jayamukti Bekasi</v>
          </cell>
          <cell r="G974" t="b">
            <v>0</v>
          </cell>
          <cell r="H974" t="b">
            <v>0</v>
          </cell>
          <cell r="I974" t="b">
            <v>0</v>
          </cell>
          <cell r="J974" t="b">
            <v>0</v>
          </cell>
          <cell r="K974" t="b">
            <v>0</v>
          </cell>
          <cell r="L974" t="b">
            <v>0</v>
          </cell>
          <cell r="M974" t="b">
            <v>0</v>
          </cell>
          <cell r="N974" t="b">
            <v>0</v>
          </cell>
          <cell r="O974" t="b">
            <v>0</v>
          </cell>
          <cell r="P974" t="b">
            <v>0</v>
          </cell>
          <cell r="Q974" t="b">
            <v>0</v>
          </cell>
          <cell r="R974" t="b">
            <v>0</v>
          </cell>
          <cell r="S974" t="b">
            <v>0</v>
          </cell>
          <cell r="V974" t="str">
            <v>No Register</v>
          </cell>
          <cell r="W974" t="str">
            <v>PR - CS</v>
          </cell>
          <cell r="X974" t="str">
            <v>Professional Services - Consulting</v>
          </cell>
        </row>
        <row r="975">
          <cell r="B975" t="str">
            <v>Sukses Mandiri Jaya Gemilang, PT</v>
          </cell>
          <cell r="C975" t="str">
            <v>bigael.febe@tuv.com</v>
          </cell>
          <cell r="D975" t="str">
            <v>Bigael</v>
          </cell>
          <cell r="E975" t="str">
            <v>081287205767</v>
          </cell>
          <cell r="F975" t="str">
            <v>Menara Karya Lt. 10 Jl. H.R Rasuna Said Blok X-5 Kav 1-2 Jakarta</v>
          </cell>
          <cell r="G975" t="b">
            <v>0</v>
          </cell>
          <cell r="H975" t="b">
            <v>0</v>
          </cell>
          <cell r="I975" t="b">
            <v>0</v>
          </cell>
          <cell r="J975" t="b">
            <v>0</v>
          </cell>
          <cell r="K975" t="b">
            <v>0</v>
          </cell>
          <cell r="L975" t="b">
            <v>0</v>
          </cell>
          <cell r="M975" t="b">
            <v>0</v>
          </cell>
          <cell r="N975" t="b">
            <v>0</v>
          </cell>
          <cell r="O975" t="b">
            <v>0</v>
          </cell>
          <cell r="P975" t="b">
            <v>0</v>
          </cell>
          <cell r="Q975" t="b">
            <v>0</v>
          </cell>
          <cell r="R975" t="b">
            <v>0</v>
          </cell>
          <cell r="S975" t="b">
            <v>0</v>
          </cell>
          <cell r="V975" t="str">
            <v>Register</v>
          </cell>
          <cell r="W975" t="str">
            <v>ENV - IM</v>
          </cell>
          <cell r="X975" t="str">
            <v>Environment &amp; Compliance - Environmental Impact Monitoring</v>
          </cell>
        </row>
        <row r="976">
          <cell r="B976" t="str">
            <v>Hexalindo Mitra Perkasa, PT</v>
          </cell>
          <cell r="G976" t="b">
            <v>0</v>
          </cell>
          <cell r="H976" t="b">
            <v>0</v>
          </cell>
          <cell r="I976" t="b">
            <v>0</v>
          </cell>
          <cell r="J976" t="b">
            <v>0</v>
          </cell>
          <cell r="K976" t="b">
            <v>0</v>
          </cell>
          <cell r="L976" t="b">
            <v>0</v>
          </cell>
          <cell r="M976" t="b">
            <v>0</v>
          </cell>
          <cell r="N976" t="b">
            <v>0</v>
          </cell>
          <cell r="O976" t="b">
            <v>0</v>
          </cell>
          <cell r="P976" t="b">
            <v>0</v>
          </cell>
          <cell r="Q976" t="b">
            <v>0</v>
          </cell>
          <cell r="R976" t="b">
            <v>0</v>
          </cell>
          <cell r="S976" t="b">
            <v>0</v>
          </cell>
          <cell r="V976" t="str">
            <v>No Register</v>
          </cell>
          <cell r="W976" t="str">
            <v>ENV - B3</v>
          </cell>
          <cell r="X976" t="str">
            <v>Environment &amp; Compliance - B3 Waste Treatment</v>
          </cell>
        </row>
        <row r="977">
          <cell r="B977" t="str">
            <v>Prabu Jaya Tunggal, PT</v>
          </cell>
          <cell r="C977" t="str">
            <v>bsc.indonesia@bscertification.com</v>
          </cell>
          <cell r="D977" t="str">
            <v>Purdianta</v>
          </cell>
          <cell r="E977" t="str">
            <v>081382823309</v>
          </cell>
          <cell r="G977" t="b">
            <v>0</v>
          </cell>
          <cell r="H977" t="b">
            <v>0</v>
          </cell>
          <cell r="I977" t="b">
            <v>0</v>
          </cell>
          <cell r="J977" t="b">
            <v>0</v>
          </cell>
          <cell r="K977" t="b">
            <v>0</v>
          </cell>
          <cell r="L977" t="b">
            <v>0</v>
          </cell>
          <cell r="M977" t="b">
            <v>0</v>
          </cell>
          <cell r="N977" t="b">
            <v>0</v>
          </cell>
          <cell r="O977" t="b">
            <v>0</v>
          </cell>
          <cell r="P977" t="b">
            <v>0</v>
          </cell>
          <cell r="Q977" t="b">
            <v>0</v>
          </cell>
          <cell r="R977" t="b">
            <v>0</v>
          </cell>
          <cell r="S977" t="b">
            <v>0</v>
          </cell>
          <cell r="V977" t="str">
            <v>No Register</v>
          </cell>
          <cell r="W977" t="str">
            <v>PR - TR</v>
          </cell>
          <cell r="X977" t="str">
            <v>Professional Services - Training</v>
          </cell>
          <cell r="Y977" t="str">
            <v>ISO</v>
          </cell>
        </row>
        <row r="978">
          <cell r="B978" t="str">
            <v>Tuv Rheinland Indonesia, PT</v>
          </cell>
          <cell r="C978" t="str">
            <v>deniadefian@gmail.com; info@jmtlogistics.com</v>
          </cell>
          <cell r="D978" t="str">
            <v>Denia</v>
          </cell>
          <cell r="E978" t="str">
            <v>082111806511</v>
          </cell>
          <cell r="F978" t="str">
            <v>Jl. Jatinegara Kaum No 44 Pulogadung Jakarta Timur</v>
          </cell>
          <cell r="G978" t="b">
            <v>0</v>
          </cell>
          <cell r="H978" t="b">
            <v>0</v>
          </cell>
          <cell r="I978" t="b">
            <v>0</v>
          </cell>
          <cell r="J978" t="b">
            <v>0</v>
          </cell>
          <cell r="K978" t="b">
            <v>0</v>
          </cell>
          <cell r="L978" t="b">
            <v>0</v>
          </cell>
          <cell r="M978" t="b">
            <v>0</v>
          </cell>
          <cell r="N978" t="b">
            <v>0</v>
          </cell>
          <cell r="O978" t="b">
            <v>0</v>
          </cell>
          <cell r="P978" t="b">
            <v>0</v>
          </cell>
          <cell r="Q978" t="b">
            <v>0</v>
          </cell>
          <cell r="R978" t="b">
            <v>0</v>
          </cell>
          <cell r="S978" t="b">
            <v>0</v>
          </cell>
          <cell r="V978" t="str">
            <v>No Register</v>
          </cell>
          <cell r="W978" t="str">
            <v>LG - TR</v>
          </cell>
          <cell r="X978" t="str">
            <v>Logistics - Trucking</v>
          </cell>
        </row>
        <row r="979">
          <cell r="B979" t="str">
            <v>Schneider Electric Indonesia, PT</v>
          </cell>
          <cell r="C979" t="str">
            <v>rendra@eurotransindo.com</v>
          </cell>
          <cell r="D979" t="str">
            <v>Rendra</v>
          </cell>
          <cell r="E979" t="str">
            <v>082232343178</v>
          </cell>
          <cell r="F979" t="str">
            <v>Ruko Villa Bukit Mas Blok RN No. 12 Jl KH Abdul Wahab Siamin Surabaya</v>
          </cell>
          <cell r="G979" t="b">
            <v>0</v>
          </cell>
          <cell r="H979" t="b">
            <v>0</v>
          </cell>
          <cell r="I979" t="b">
            <v>0</v>
          </cell>
          <cell r="J979" t="b">
            <v>0</v>
          </cell>
          <cell r="K979" t="b">
            <v>0</v>
          </cell>
          <cell r="L979" t="b">
            <v>0</v>
          </cell>
          <cell r="M979" t="b">
            <v>0</v>
          </cell>
          <cell r="N979" t="b">
            <v>0</v>
          </cell>
          <cell r="O979" t="b">
            <v>0</v>
          </cell>
          <cell r="P979" t="b">
            <v>0</v>
          </cell>
          <cell r="Q979" t="b">
            <v>0</v>
          </cell>
          <cell r="R979" t="b">
            <v>0</v>
          </cell>
          <cell r="S979" t="b">
            <v>0</v>
          </cell>
          <cell r="V979" t="str">
            <v>No Register</v>
          </cell>
          <cell r="W979" t="str">
            <v>LG - TR</v>
          </cell>
          <cell r="X979" t="str">
            <v>Logistics - Trucking</v>
          </cell>
        </row>
      </sheetData>
      <sheetData sheetId="3"/>
      <sheetData sheetId="4"/>
      <sheetData sheetId="5"/>
      <sheetData sheetId="6">
        <row r="7">
          <cell r="Z7" t="str">
            <v>6100DA300</v>
          </cell>
        </row>
      </sheetData>
      <sheetData sheetId="7"/>
      <sheetData sheetId="8"/>
      <sheetData sheetId="9"/>
      <sheetData sheetId="10"/>
      <sheetData sheetId="11"/>
      <sheetData sheetId="12"/>
      <sheetData sheetId="13">
        <row r="2">
          <cell r="A2" t="str">
            <v>33.001.002.0036</v>
          </cell>
        </row>
      </sheetData>
      <sheetData sheetId="14" refreshError="1"/>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rdaus.luthfy@adaro.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B765E-4329-469D-95DE-F424B67B900A}">
  <sheetPr codeName="Sheet1">
    <pageSetUpPr fitToPage="1"/>
  </sheetPr>
  <dimension ref="A1:Q12"/>
  <sheetViews>
    <sheetView showGridLines="0" tabSelected="1" view="pageBreakPreview" topLeftCell="A2" zoomScaleNormal="115" zoomScaleSheetLayoutView="100" workbookViewId="0">
      <selection activeCell="A5" sqref="A5"/>
    </sheetView>
  </sheetViews>
  <sheetFormatPr defaultColWidth="0" defaultRowHeight="13.5" zeroHeight="1" x14ac:dyDescent="0.3"/>
  <cols>
    <col min="1" max="2" width="15.625" style="10" customWidth="1"/>
    <col min="3" max="3" width="15.875" style="10" customWidth="1"/>
    <col min="4" max="4" width="2.625" style="10" customWidth="1"/>
    <col min="5" max="5" width="3.625" style="10" customWidth="1"/>
    <col min="6" max="6" width="4.625" style="10" customWidth="1"/>
    <col min="7" max="8" width="5.625" style="10" customWidth="1"/>
    <col min="9" max="9" width="10" style="10" customWidth="1"/>
    <col min="10" max="10" width="9.25" style="10" customWidth="1"/>
    <col min="11" max="11" width="8.625" style="10" customWidth="1"/>
    <col min="12" max="13" width="9.25" style="10" hidden="1" customWidth="1"/>
    <col min="14" max="14" width="10.625" style="10" hidden="1" customWidth="1"/>
    <col min="15" max="15" width="27" style="1" hidden="1" customWidth="1"/>
    <col min="16" max="17" width="15.625" style="10" hidden="1" customWidth="1"/>
    <col min="18" max="16384" width="9" style="10" hidden="1"/>
  </cols>
  <sheetData>
    <row r="1" spans="1:16" ht="49.5" customHeight="1" x14ac:dyDescent="0.3">
      <c r="A1" s="15" t="s">
        <v>0</v>
      </c>
      <c r="B1" s="16" t="s">
        <v>1</v>
      </c>
      <c r="C1" s="17" t="s">
        <v>26</v>
      </c>
      <c r="D1" s="58" t="s">
        <v>2</v>
      </c>
      <c r="E1" s="59"/>
      <c r="F1" s="18" t="s">
        <v>3</v>
      </c>
      <c r="G1" s="19" t="s">
        <v>4</v>
      </c>
      <c r="H1" s="20" t="s">
        <v>5</v>
      </c>
      <c r="I1" s="18" t="s">
        <v>6</v>
      </c>
      <c r="J1" s="35"/>
      <c r="K1" s="26"/>
      <c r="L1" s="9"/>
      <c r="M1" s="6"/>
    </row>
    <row r="2" spans="1:16" ht="38.25" customHeight="1" x14ac:dyDescent="0.3">
      <c r="A2" s="32"/>
      <c r="B2" s="32"/>
      <c r="C2" s="32"/>
      <c r="D2" s="34"/>
      <c r="E2" s="22" t="str" cm="1">
        <f t="array" aca="1" ref="E2" ca="1">IFERROR(_xlfn.IFS($A$2&gt;0,TEXT(LEFT(VLOOKUP(A2,'[1]RFQ Admin'!$B$8:$BC$5000,12,0),4),"0000"),$B$2&gt;0,TEXT(LEFT(VLOOKUP(B2,'[1]RFQ Admin'!$B$8:$BC$5000,12,0),4),"0000"),$C$2&gt;0,TEXT(LEFT(VLOOzKUP(C2,'[1]RFQ Admin'!$B$8:$BC$5000,12,0),4),"0000")),"")</f>
        <v/>
      </c>
      <c r="F2" s="23" t="str" cm="1">
        <f t="array" ref="F2">IFERROR(_xlfn.IFS($A$2&gt;0,LEFT(VLOOKUP(A2,'[1]RFQ Admin'!$B$8:$BC$5000,6,0),2),$B$2&gt;0,LEFT(VLOOKUP(B2,'[1]RFQ Admin'!$B$8:$BC$5000,6,0),2),$C$2&gt;0,LEFT(VLOOKUP(C2,'[1]RFQ Admin'!$B$8:$BC$5000,6,0),2)),"")</f>
        <v/>
      </c>
      <c r="G2" s="21" t="str">
        <f>IF($A$2&gt;1,VLOOKUP($A$2,'[1]RFQ Admin'!$B$6:$BC$5000,13,0),IF($B$2&gt;1,VLOOKUP($B$2,'[1]RFQ Admin'!$B$6:$BC$5000,13,0),IF($C$2&gt;1,VLOOKUP($C$2,'[1]RFQ Admin'!$B$6:$BC$5000,13,0),"")))</f>
        <v/>
      </c>
      <c r="H2" s="23" t="str">
        <f>IF($A$2&gt;1,VLOOKUP($A$2,'[1]RFQ Admin'!$B$6:$BC$5000,10,0),IF($B$2&gt;1,VLOOKUP($B$2,'[1]RFQ Admin'!$B$6:$BC$5000,10,0),IF($C$2&gt;1,VLOOKUP($C$2,'[1]RFQ Admin'!$B$6:$BC$5000,10,0),"")))</f>
        <v/>
      </c>
      <c r="I2" s="24" t="str">
        <f>IF(OR(H2="J",H2="B &amp; J"),"D:\Aplikasi Data\New Aplikasi\Original TC\TC MSW Jasa.pdf",IF(H2="B","D:\Aplikasi Data\New Aplikasi\Original TC\TC MSW Barang.pdf",""))</f>
        <v/>
      </c>
      <c r="J2" s="36" t="str" cm="1">
        <f t="array" ref="J2">IFERROR(
    _xlfn.IFS(
        LEFT(A2,2)="PR", LEFT(A2,11),
        LEFT(A2,2)="PC", LEFT(A2,16),
        LEFT(B2,2)="PR", LEFT(B2,11),
        LEFT(B2,2)="PC", LEFT(B2,16),
        LEFT(C2,2)="PR", LEFT(C2,11),
        LEFT(C2,2)="PC", LEFT(C2,16)
    ),
    ""
)</f>
        <v/>
      </c>
      <c r="K2" s="35"/>
      <c r="M2" s="5"/>
      <c r="O2" s="4" t="s">
        <v>28</v>
      </c>
    </row>
    <row r="3" spans="1:16" ht="5.0999999999999996" customHeight="1" x14ac:dyDescent="0.3">
      <c r="A3" s="25"/>
      <c r="B3" s="26"/>
      <c r="C3" s="26"/>
      <c r="D3" s="26"/>
      <c r="E3" s="26"/>
      <c r="F3" s="26"/>
      <c r="G3" s="26"/>
      <c r="H3" s="27"/>
      <c r="I3" s="27" t="s">
        <v>7</v>
      </c>
      <c r="J3" s="26" t="s">
        <v>25</v>
      </c>
      <c r="K3" s="37"/>
      <c r="L3" s="9"/>
      <c r="M3" s="6"/>
    </row>
    <row r="4" spans="1:16" s="12" customFormat="1" ht="27" customHeight="1" x14ac:dyDescent="0.3">
      <c r="A4" s="18" t="s">
        <v>8</v>
      </c>
      <c r="B4" s="18" t="s">
        <v>9</v>
      </c>
      <c r="C4" s="18" t="s">
        <v>10</v>
      </c>
      <c r="D4" s="58" t="s">
        <v>11</v>
      </c>
      <c r="E4" s="60"/>
      <c r="F4" s="60"/>
      <c r="G4" s="60"/>
      <c r="H4" s="47" t="s">
        <v>12</v>
      </c>
      <c r="I4" s="47"/>
      <c r="J4" s="38"/>
      <c r="K4" s="38"/>
      <c r="L4" s="7"/>
      <c r="M4" s="11" t="s">
        <v>13</v>
      </c>
      <c r="O4" s="2" t="s">
        <v>14</v>
      </c>
    </row>
    <row r="5" spans="1:16" ht="81" customHeight="1" x14ac:dyDescent="0.3">
      <c r="A5" s="28" t="str">
        <f>IF(A2&gt;1,A2&amp;IF(F2="R0","",F2)&amp;" - "&amp;VLOOKUP(A2,'[1]RFQ Admin'!$B$6:$BC$5000,2,0),IF(B2&gt;1,VLOOKUP(B2,'[1]RFQ Admin'!$B$6:$BC$5000,41,0)&amp;" - "&amp;VLOOKUP(B2,'[1]RFQ Admin'!$B$6:$BC$5000,39,0)&amp;" - "&amp;VLOOKUP(B2,'[1]RFQ Admin'!$B$6:$BC$5000,2,0),IF(C2&gt;1,VLOOKUP(C2,'[1]RFQ Admin'!$B$6:$BC$5000,41,0)&amp;" - "&amp;VLOOKUP(C2,'[1]RFQ Admin'!$B$6:$BC$5000,2,0),"")))</f>
        <v/>
      </c>
      <c r="B5" s="28" t="str">
        <f>IFERROR(
  _xlfn.LET(
    _xlpm.k, IF($A$2&gt;1, $A$2, IF($B$2&gt;1, $B$2, IF($C$2&gt;1, $C$2, ""))),
    _xlpm.x, IF(_xlpm.k="", "", VLOOKUP(_xlpm.k, '[1]RFQ Admin'!$B$6:$BC$5000, 39, 0)),
    IF(_xlpm.x=0, "", _xlpm.x)
  ),
  ""
)</f>
        <v/>
      </c>
      <c r="C5" s="28" t="str">
        <f>IFERROR(IF($B$5&gt;1,VLOOKUP($B$5,'[1]List of Companies'!$B$6:$Y$5000,3,0),""),"")</f>
        <v/>
      </c>
      <c r="D5" s="55" t="str" cm="1">
        <f t="array" ref="D5">IFERROR(_xlfn.IFS($A$2&gt;1,"agustinus.adi@alamtri.com",$C$2&gt;1,VLOOKUP($C$2,'[1]RFQ Admin'!$B$6:$BC$5000,40,0),$B$2&gt;1,"mochammad.rusfandy@alamtri.com"),"")</f>
        <v/>
      </c>
      <c r="E5" s="56"/>
      <c r="F5" s="56"/>
      <c r="G5" s="56"/>
      <c r="H5" s="48" t="str" cm="1">
        <f t="array" ref="H5">IFERROR(_xlfn.IFS(B2&gt;1,"-",A2&gt;1,"admin.procurement@alamtri.com; GDMSWProcurement@alamtri.com;mochammad.rusfandy@alamtri.com",C2&gt;1,O2),"")</f>
        <v/>
      </c>
      <c r="I5" s="48"/>
      <c r="J5" s="35"/>
      <c r="K5" s="35"/>
      <c r="L5" s="6"/>
      <c r="M5" s="5"/>
      <c r="N5" s="12"/>
      <c r="O5" s="4" t="str">
        <f>IF(D5="edy.suprayitno@adaro.com","Pak Edy Suprayitno","Pak Edy Surahman")</f>
        <v>Pak Edy Surahman</v>
      </c>
    </row>
    <row r="6" spans="1:16" ht="5.0999999999999996" customHeight="1" x14ac:dyDescent="0.3">
      <c r="A6" s="29"/>
      <c r="B6" s="30"/>
      <c r="C6" s="26"/>
      <c r="D6" s="53"/>
      <c r="E6" s="53"/>
      <c r="F6" s="53"/>
      <c r="G6" s="53"/>
      <c r="H6" s="49"/>
      <c r="I6" s="49"/>
      <c r="J6" s="26"/>
      <c r="K6" s="37"/>
      <c r="L6" s="9"/>
      <c r="M6" s="6"/>
    </row>
    <row r="7" spans="1:16" ht="40.5" x14ac:dyDescent="0.3">
      <c r="A7" s="18" t="s">
        <v>15</v>
      </c>
      <c r="B7" s="18" t="s">
        <v>16</v>
      </c>
      <c r="C7" s="18" t="s">
        <v>17</v>
      </c>
      <c r="D7" s="61" t="str">
        <f>IFERROR(IF(C8="","",(D11-C8)/D11),"")</f>
        <v/>
      </c>
      <c r="E7" s="62"/>
      <c r="F7" s="62"/>
      <c r="G7" s="62"/>
      <c r="H7" s="47" t="s">
        <v>18</v>
      </c>
      <c r="I7" s="47"/>
      <c r="J7" s="26"/>
      <c r="K7" s="26"/>
      <c r="L7" s="6"/>
      <c r="M7" s="6"/>
    </row>
    <row r="8" spans="1:16" ht="71.25" customHeight="1" x14ac:dyDescent="0.3">
      <c r="A8" s="43"/>
      <c r="B8" s="43"/>
      <c r="C8" s="31" t="str">
        <f>IF($B$2&gt;1,VLOOKUP($B$2,'[1]RFQ Admin'!$B$6:$BC$5000,42,0),IF(C2&gt;1,VLOOKUP($C$2,'[1]RFQ Admin'!$B$6:$BC$5000,42,0),""))</f>
        <v/>
      </c>
      <c r="D8" s="51" t="str" cm="1">
        <f t="array" ref="D8">_xlfn.IFS(D7="","",D7&lt;0,"Bad",D7&gt;0,"Good")</f>
        <v/>
      </c>
      <c r="E8" s="52"/>
      <c r="F8" s="52"/>
      <c r="G8" s="52"/>
      <c r="H8" s="50" t="str" cm="1">
        <f t="array" ref="H8">IFERROR(_xlfn.IFS($A$2&gt;1,VLOOKUP($A$2,'[1]RFQ Admin'!$B$6:$BC$5000,7,0),$B$2&gt;1,VLOOKUP($B$2,'[1]RFQ Admin'!$B$6:$BC$5000,7,0),$C$2&gt;1,VLOOKUP($C$2,'[1]RFQ Admin'!$B$6:$BC$5000,7,0)),"")</f>
        <v/>
      </c>
      <c r="I8" s="50"/>
      <c r="J8" s="26" t="s">
        <v>27</v>
      </c>
      <c r="K8" s="26" t="s">
        <v>27</v>
      </c>
      <c r="L8" s="6"/>
      <c r="M8" s="6"/>
      <c r="O8" s="3"/>
      <c r="P8" s="13"/>
    </row>
    <row r="9" spans="1:16" ht="5.0999999999999996" customHeight="1" x14ac:dyDescent="0.3">
      <c r="A9" s="25" t="s">
        <v>7</v>
      </c>
      <c r="B9" s="26"/>
      <c r="C9" s="26"/>
      <c r="D9" s="53" t="s">
        <v>19</v>
      </c>
      <c r="E9" s="53"/>
      <c r="F9" s="53"/>
      <c r="G9" s="53"/>
      <c r="H9" s="44"/>
      <c r="I9" s="44"/>
      <c r="J9" s="26"/>
      <c r="K9" s="37"/>
      <c r="L9" s="9"/>
      <c r="M9" s="6"/>
    </row>
    <row r="10" spans="1:16" s="12" customFormat="1" ht="30" customHeight="1" x14ac:dyDescent="0.3">
      <c r="A10" s="33" t="s">
        <v>20</v>
      </c>
      <c r="B10" s="33" t="s">
        <v>24</v>
      </c>
      <c r="C10" s="33" t="s">
        <v>21</v>
      </c>
      <c r="D10" s="51" t="s">
        <v>22</v>
      </c>
      <c r="E10" s="52"/>
      <c r="F10" s="52"/>
      <c r="G10" s="54"/>
      <c r="H10" s="45" t="s">
        <v>23</v>
      </c>
      <c r="I10" s="45"/>
      <c r="J10" s="39"/>
      <c r="K10" s="40"/>
      <c r="L10" s="7"/>
      <c r="M10" s="11"/>
      <c r="O10" s="2"/>
    </row>
    <row r="11" spans="1:16" ht="157.5" customHeight="1" x14ac:dyDescent="0.3">
      <c r="A11" s="28" t="str">
        <f>IFERROR(VLOOKUP($A$2,'[1]RFQ Admin'!$B$6:$BC$5000,4,0),"")</f>
        <v/>
      </c>
      <c r="B11" s="28" t="str">
        <f>IFERROR(IF(VLOOKUP($A$2,'[1]RFQ Admin'!$B$6:$BC$5000,3,0)=0,"",VLOOKUP($A$2,'[1]RFQ Admin'!$B$6:$BC$5000,3,0)),"")</f>
        <v/>
      </c>
      <c r="C11" s="28" t="str">
        <f>IF($A$2="","",IFERROR(
IF(
VLOOKUP($A$2,'[1]RFQ Admin'!$B$6:$BC$5000,5,0)=0,
"None",
VLOOKUP($A$2,'[1]RFQ Admin'!$B$6:$BC$5000,5,0)
),
"None"))</f>
        <v/>
      </c>
      <c r="D11" s="55" t="str" cm="1">
        <f t="array" ref="D11">IFERROR(_xlfn.IFS($A$2&gt;1,TEXT(VLOOKUP($A$2,'[1]RFQ Admin'!$B$6:$BC$5000,16,0),"0.0"),$B$2&gt;1,TEXT(VLOOKUP($B$2,'[1]RFQ Admin'!$B$6:$BC$5000,16,0),"0.0"),$C$2&gt;1,TEXT(VLOOKUP($C$2,'[1]RFQ Admin'!$B$6:$BC$5000,16,0),"0.0")),"")</f>
        <v/>
      </c>
      <c r="E11" s="56"/>
      <c r="F11" s="56"/>
      <c r="G11" s="57"/>
      <c r="H11" s="46" t="str">
        <f>IFERROR(IF(VLOOKUP(A2,'[1]RFQ Admin'!$B$6:$Z$910,11,0)="CTR",VLOOKUP(A2,'[1]RFQ Admin'!$B$6:$Z$910,25,0),RIGHT(VLOOKUP($A$2,'[1]RFQ Admin'!$B$6:$BC$5000,6,0),9)),"")</f>
        <v/>
      </c>
      <c r="I11" s="46"/>
      <c r="J11" s="41"/>
      <c r="K11" s="42"/>
      <c r="L11" s="8"/>
      <c r="M11" s="14"/>
    </row>
    <row r="12" spans="1:16" ht="5.0999999999999996" customHeight="1" x14ac:dyDescent="0.3">
      <c r="M12" s="10" t="s">
        <v>19</v>
      </c>
    </row>
  </sheetData>
  <sheetProtection selectLockedCells="1"/>
  <dataConsolidate/>
  <mergeCells count="17">
    <mergeCell ref="D8:G8"/>
    <mergeCell ref="D9:G9"/>
    <mergeCell ref="D10:G10"/>
    <mergeCell ref="D11:G11"/>
    <mergeCell ref="D1:E1"/>
    <mergeCell ref="D4:G4"/>
    <mergeCell ref="D5:G5"/>
    <mergeCell ref="D6:G6"/>
    <mergeCell ref="D7:G7"/>
    <mergeCell ref="H9:I9"/>
    <mergeCell ref="H10:I10"/>
    <mergeCell ref="H11:I11"/>
    <mergeCell ref="H4:I4"/>
    <mergeCell ref="H5:I5"/>
    <mergeCell ref="H6:I6"/>
    <mergeCell ref="H7:I7"/>
    <mergeCell ref="H8:I8"/>
  </mergeCells>
  <conditionalFormatting sqref="D2 A7 B7 A10:I10">
    <cfRule type="expression" dxfId="25" priority="124" stopIfTrue="1">
      <formula>$A$2&gt;1</formula>
    </cfRule>
  </conditionalFormatting>
  <conditionalFormatting sqref="D8">
    <cfRule type="expression" dxfId="24" priority="118" stopIfTrue="1">
      <formula>$D$8="GOOD"</formula>
    </cfRule>
    <cfRule type="expression" dxfId="23" priority="119" stopIfTrue="1">
      <formula>$D$8="BAD"</formula>
    </cfRule>
  </conditionalFormatting>
  <conditionalFormatting sqref="A2:C2">
    <cfRule type="expression" dxfId="22" priority="93" stopIfTrue="1">
      <formula>$AL2=Completed</formula>
    </cfRule>
    <cfRule type="expression" dxfId="21" priority="94" stopIfTrue="1">
      <formula>$AL2="Vendor Registrasi"</formula>
    </cfRule>
    <cfRule type="containsText" dxfId="20" priority="95" stopIfTrue="1" operator="containsText" text="Completed">
      <formula>NOT(ISERROR(SEARCH("Completed",A2)))</formula>
    </cfRule>
    <cfRule type="expression" dxfId="19" priority="96" stopIfTrue="1">
      <formula>$AL2="Create CQS"</formula>
    </cfRule>
    <cfRule type="expression" dxfId="18" priority="97" stopIfTrue="1">
      <formula>$AL2="Bid Summary"</formula>
    </cfRule>
    <cfRule type="expression" dxfId="17" priority="98" stopIfTrue="1">
      <formula>$AL2="PO Sign Vendor"</formula>
    </cfRule>
    <cfRule type="expression" dxfId="16" priority="99" stopIfTrue="1">
      <formula>$AL2="CQS"</formula>
    </cfRule>
    <cfRule type="expression" dxfId="15" priority="100" stopIfTrue="1">
      <formula>$AL2="PO Sign MSW"</formula>
    </cfRule>
    <cfRule type="expression" dxfId="14" priority="101" stopIfTrue="1">
      <formula>$AL2="RFQ"</formula>
    </cfRule>
    <cfRule type="expression" dxfId="13" priority="102" stopIfTrue="1">
      <formula>$AL2="PO Maximo"</formula>
    </cfRule>
  </conditionalFormatting>
  <conditionalFormatting sqref="A2:C2">
    <cfRule type="containsText" dxfId="12" priority="51" stopIfTrue="1" operator="containsText" text="CANCEL">
      <formula>NOT(ISERROR(SEARCH("CANCEL",A2)))</formula>
    </cfRule>
    <cfRule type="expression" dxfId="11" priority="52" stopIfTrue="1">
      <formula>$AL2=Completed</formula>
    </cfRule>
    <cfRule type="expression" dxfId="10" priority="53" stopIfTrue="1">
      <formula>$AL2="Vendor Registrasi"</formula>
    </cfRule>
    <cfRule type="containsText" dxfId="9" priority="54" stopIfTrue="1" operator="containsText" text="Completed">
      <formula>NOT(ISERROR(SEARCH("Completed",A2)))</formula>
    </cfRule>
    <cfRule type="expression" dxfId="8" priority="55" stopIfTrue="1">
      <formula>$AL2="Create CQS"</formula>
    </cfRule>
    <cfRule type="expression" dxfId="7" priority="56" stopIfTrue="1">
      <formula>$AL2="Bid Summary"</formula>
    </cfRule>
    <cfRule type="expression" dxfId="6" priority="57" stopIfTrue="1">
      <formula>$AL2="PO Sign Vendor"</formula>
    </cfRule>
    <cfRule type="expression" dxfId="5" priority="58" stopIfTrue="1">
      <formula>$AL2="CQS"</formula>
    </cfRule>
    <cfRule type="expression" dxfId="4" priority="59" stopIfTrue="1">
      <formula>$AL2="PO Sign MSW"</formula>
    </cfRule>
    <cfRule type="expression" dxfId="3" priority="60" stopIfTrue="1">
      <formula>$AL2="RFQ"</formula>
    </cfRule>
    <cfRule type="expression" dxfId="2" priority="61" stopIfTrue="1">
      <formula>$AL2="PO Maximo"</formula>
    </cfRule>
  </conditionalFormatting>
  <conditionalFormatting sqref="A7:B7">
    <cfRule type="expression" dxfId="1" priority="2" stopIfTrue="1">
      <formula>$B$2&gt;1</formula>
    </cfRule>
  </conditionalFormatting>
  <conditionalFormatting sqref="A7">
    <cfRule type="expression" dxfId="0" priority="1" stopIfTrue="1">
      <formula>$C$2&gt;1</formula>
    </cfRule>
  </conditionalFormatting>
  <dataValidations disablePrompts="1" count="1">
    <dataValidation type="list" allowBlank="1" showInputMessage="1" showErrorMessage="1" sqref="D2" xr:uid="{B819043A-9CFF-4D7D-901D-D4B90C4C6F8E}">
      <formula1>"D,S,"</formula1>
    </dataValidation>
  </dataValidations>
  <hyperlinks>
    <hyperlink ref="H5" r:id="rId1" display="rdaus.luthfy@adaro.com" xr:uid="{B9A71574-D6E5-4277-A39F-5442A42A0AFE}"/>
  </hyperlinks>
  <pageMargins left="0.70866141732283472" right="0.70866141732283472" top="0.74803149606299213" bottom="0.74803149606299213" header="0.31496062992125984" footer="0.31496062992125984"/>
  <pageSetup paperSize="9" scale="94" orientation="landscape" horizontalDpi="1200" verticalDpi="1200" r:id="rId2"/>
  <ignoredErrors>
    <ignoredError sqref="C9 K3 D7 C10 H10 H9" unlockedFormula="1"/>
  </ignoredErrors>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Email</vt:lpstr>
      <vt:lpstr>Email!Print_Area</vt:lpstr>
    </vt:vector>
  </TitlesOfParts>
  <Manager/>
  <Company>Mitra integrasi Informatika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Haposan Tampubolon</dc:creator>
  <cp:keywords/>
  <dc:description/>
  <cp:lastModifiedBy>R. Haposan Tampubolon</cp:lastModifiedBy>
  <cp:revision/>
  <dcterms:created xsi:type="dcterms:W3CDTF">2023-08-07T04:09:51Z</dcterms:created>
  <dcterms:modified xsi:type="dcterms:W3CDTF">2026-07-26T14:26:23Z</dcterms:modified>
  <cp:category/>
  <cp:contentStatus/>
</cp:coreProperties>
</file>