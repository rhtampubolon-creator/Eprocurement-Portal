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Web/EProcurement/bidder-list/"/>
    </mc:Choice>
  </mc:AlternateContent>
  <xr:revisionPtr revIDLastSave="130" documentId="14_{78FC7A08-53F3-400E-B46B-81864C0B87CC}" xr6:coauthVersionLast="47" xr6:coauthVersionMax="47" xr10:uidLastSave="{747BDC61-B3C3-4447-A5BC-E290CA8A74AE}"/>
  <bookViews>
    <workbookView xWindow="-120" yWindow="-120" windowWidth="29040" windowHeight="15720" tabRatio="774" xr2:uid="{00000000-000D-0000-FFFF-FFFF00000000}"/>
  </bookViews>
  <sheets>
    <sheet name="10V" sheetId="32" r:id="rId1"/>
    <sheet name="9V" sheetId="20" r:id="rId2"/>
    <sheet name="8V" sheetId="22" r:id="rId3"/>
    <sheet name="7V" sheetId="26" r:id="rId4"/>
    <sheet name="6V" sheetId="27" r:id="rId5"/>
    <sheet name="5V" sheetId="28" r:id="rId6"/>
    <sheet name="4V" sheetId="29" r:id="rId7"/>
    <sheet name="3V" sheetId="30" r:id="rId8"/>
  </sheets>
  <definedNames>
    <definedName name="_xlnm._FilterDatabase" localSheetId="0" hidden="1">'10V'!$C$21:$F$59</definedName>
    <definedName name="_xlnm._FilterDatabase" localSheetId="7" hidden="1">'3V'!$C$22:$F$59</definedName>
    <definedName name="_xlnm._FilterDatabase" localSheetId="6" hidden="1">'4V'!$C$22:$F$60</definedName>
    <definedName name="_xlnm._FilterDatabase" localSheetId="5" hidden="1">'5V'!$C$22:$F$60</definedName>
    <definedName name="_xlnm._FilterDatabase" localSheetId="4" hidden="1">'6V'!$C$22:$F$60</definedName>
    <definedName name="_xlnm._FilterDatabase" localSheetId="3" hidden="1">'7V'!$C$22:$F$60</definedName>
    <definedName name="_xlnm._FilterDatabase" localSheetId="2" hidden="1">'8V'!$C$22:$F$60</definedName>
    <definedName name="_xlnm._FilterDatabase" localSheetId="1" hidden="1">'9V'!$C$22:$F$60</definedName>
    <definedName name="Counterpart">#REF!</definedName>
    <definedName name="No">#REF!</definedName>
    <definedName name="_xlnm.Print_Area" localSheetId="0">'10V'!$B$4:$BF$60</definedName>
    <definedName name="_xlnm.Print_Area" localSheetId="7">'3V'!$B$4:$W$60</definedName>
    <definedName name="_xlnm.Print_Area" localSheetId="6">'4V'!$B$4:$AB$61</definedName>
    <definedName name="_xlnm.Print_Area" localSheetId="5">'5V'!$B$4:$AG$61</definedName>
    <definedName name="_xlnm.Print_Area" localSheetId="4">'6V'!$B$4:$AL$61</definedName>
    <definedName name="_xlnm.Print_Area" localSheetId="3">'7V'!$B$4:$AQ$61</definedName>
    <definedName name="_xlnm.Print_Area" localSheetId="2">'8V'!$B$4:$AV$61</definedName>
    <definedName name="_xlnm.Print_Area" localSheetId="1">'9V'!$B$4:$BA$61</definedName>
    <definedName name="_xlnm.Print_Titles" localSheetId="7">'3V'!$4:$22</definedName>
    <definedName name="_xlnm.Print_Titles" localSheetId="6">'4V'!$4:$22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1" i="22" l="1"/>
  <c r="AS50" i="22"/>
  <c r="AS49" i="22"/>
  <c r="AS48" i="22"/>
  <c r="AS47" i="22"/>
  <c r="AS46" i="22"/>
  <c r="AS45" i="22"/>
  <c r="AS44" i="22"/>
  <c r="AS43" i="22"/>
  <c r="AS42" i="22"/>
  <c r="AS41" i="22"/>
  <c r="AS40" i="22"/>
  <c r="AS39" i="22"/>
  <c r="AS38" i="22"/>
  <c r="AS37" i="22"/>
  <c r="AS36" i="22"/>
  <c r="AS35" i="22"/>
  <c r="AS34" i="22"/>
  <c r="AS33" i="22"/>
  <c r="AS32" i="22"/>
  <c r="AS31" i="22"/>
  <c r="AS30" i="22"/>
  <c r="AS29" i="22"/>
  <c r="AS28" i="22"/>
  <c r="AS27" i="22"/>
  <c r="AS26" i="22"/>
  <c r="AS25" i="22"/>
  <c r="AS24" i="22"/>
  <c r="AS23" i="22"/>
  <c r="AN51" i="22"/>
  <c r="AN50" i="22"/>
  <c r="AN49" i="22"/>
  <c r="AN48" i="22"/>
  <c r="AN47" i="22"/>
  <c r="AN46" i="22"/>
  <c r="AN45" i="22"/>
  <c r="AN44" i="22"/>
  <c r="AN43" i="22"/>
  <c r="AN42" i="22"/>
  <c r="AN41" i="22"/>
  <c r="AN40" i="22"/>
  <c r="AN39" i="22"/>
  <c r="AN38" i="22"/>
  <c r="AN37" i="22"/>
  <c r="AN36" i="22"/>
  <c r="AN35" i="22"/>
  <c r="AN34" i="22"/>
  <c r="AN33" i="22"/>
  <c r="AN32" i="22"/>
  <c r="AN31" i="22"/>
  <c r="AN30" i="22"/>
  <c r="AN29" i="22"/>
  <c r="AN28" i="22"/>
  <c r="AN27" i="22"/>
  <c r="AN26" i="22"/>
  <c r="AN25" i="22"/>
  <c r="AN24" i="22"/>
  <c r="AN23" i="22"/>
  <c r="AI51" i="22"/>
  <c r="AI50" i="22"/>
  <c r="AI49" i="22"/>
  <c r="AI48" i="22"/>
  <c r="AI47" i="22"/>
  <c r="AI46" i="22"/>
  <c r="AI45" i="22"/>
  <c r="AI44" i="22"/>
  <c r="AI43" i="22"/>
  <c r="AI42" i="22"/>
  <c r="AI41" i="22"/>
  <c r="AI40" i="22"/>
  <c r="AI39" i="22"/>
  <c r="AI38" i="22"/>
  <c r="AI37" i="22"/>
  <c r="AI36" i="22"/>
  <c r="AI35" i="22"/>
  <c r="AI34" i="22"/>
  <c r="AI33" i="22"/>
  <c r="AI32" i="22"/>
  <c r="AI31" i="22"/>
  <c r="AI30" i="22"/>
  <c r="AI29" i="22"/>
  <c r="AI28" i="22"/>
  <c r="AI27" i="22"/>
  <c r="AI26" i="22"/>
  <c r="AI25" i="22"/>
  <c r="AI24" i="22"/>
  <c r="AI23" i="22"/>
  <c r="AD51" i="22"/>
  <c r="AD50" i="22"/>
  <c r="AD49" i="22"/>
  <c r="AD48" i="22"/>
  <c r="AD47" i="22"/>
  <c r="AD46" i="22"/>
  <c r="AD45" i="22"/>
  <c r="AD44" i="22"/>
  <c r="AD43" i="22"/>
  <c r="AD42" i="22"/>
  <c r="AD41" i="22"/>
  <c r="AD40" i="22"/>
  <c r="AD39" i="22"/>
  <c r="AD38" i="22"/>
  <c r="AD37" i="22"/>
  <c r="AD36" i="22"/>
  <c r="AD35" i="22"/>
  <c r="AD34" i="22"/>
  <c r="AD33" i="22"/>
  <c r="AD32" i="22"/>
  <c r="AD31" i="22"/>
  <c r="AD30" i="22"/>
  <c r="AD29" i="22"/>
  <c r="AD28" i="22"/>
  <c r="AD27" i="22"/>
  <c r="AD26" i="22"/>
  <c r="AD25" i="22"/>
  <c r="AD24" i="22"/>
  <c r="AD23" i="22"/>
  <c r="Y51" i="22"/>
  <c r="Y50" i="22"/>
  <c r="Y49" i="22"/>
  <c r="Y48" i="22"/>
  <c r="Y47" i="22"/>
  <c r="Y46" i="22"/>
  <c r="Y45" i="22"/>
  <c r="Y44" i="22"/>
  <c r="Y43" i="22"/>
  <c r="Y42" i="22"/>
  <c r="Y41" i="22"/>
  <c r="Y40" i="22"/>
  <c r="Y39" i="22"/>
  <c r="Y38" i="22"/>
  <c r="Y37" i="22"/>
  <c r="Y36" i="22"/>
  <c r="Y35" i="22"/>
  <c r="Y34" i="22"/>
  <c r="Y33" i="22"/>
  <c r="Y32" i="22"/>
  <c r="Y31" i="22"/>
  <c r="Y30" i="22"/>
  <c r="Y29" i="22"/>
  <c r="Y28" i="22"/>
  <c r="Y27" i="22"/>
  <c r="Y26" i="22"/>
  <c r="Y25" i="22"/>
  <c r="Y24" i="22"/>
  <c r="Y23" i="22"/>
  <c r="T51" i="22"/>
  <c r="T50" i="22"/>
  <c r="T49" i="22"/>
  <c r="T48" i="22"/>
  <c r="T47" i="22"/>
  <c r="T46" i="22"/>
  <c r="T45" i="22"/>
  <c r="T44" i="22"/>
  <c r="T43" i="22"/>
  <c r="T42" i="22"/>
  <c r="T41" i="22"/>
  <c r="T40" i="22"/>
  <c r="T39" i="22"/>
  <c r="T38" i="22"/>
  <c r="T37" i="22"/>
  <c r="T36" i="22"/>
  <c r="T35" i="22"/>
  <c r="T34" i="22"/>
  <c r="T33" i="22"/>
  <c r="T32" i="22"/>
  <c r="T31" i="22"/>
  <c r="T30" i="22"/>
  <c r="T29" i="22"/>
  <c r="T28" i="22"/>
  <c r="T27" i="22"/>
  <c r="T26" i="22"/>
  <c r="T25" i="22"/>
  <c r="T24" i="22"/>
  <c r="T23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AN51" i="26"/>
  <c r="AN50" i="26"/>
  <c r="AN49" i="26"/>
  <c r="AN48" i="26"/>
  <c r="AN47" i="26"/>
  <c r="AN46" i="26"/>
  <c r="AN45" i="26"/>
  <c r="AN44" i="26"/>
  <c r="AN43" i="26"/>
  <c r="AN42" i="26"/>
  <c r="AN41" i="26"/>
  <c r="AN40" i="26"/>
  <c r="AN39" i="26"/>
  <c r="AN38" i="26"/>
  <c r="AN37" i="26"/>
  <c r="AN36" i="26"/>
  <c r="AN35" i="26"/>
  <c r="AN34" i="26"/>
  <c r="AN33" i="26"/>
  <c r="AN32" i="26"/>
  <c r="AN31" i="26"/>
  <c r="AN30" i="26"/>
  <c r="AN29" i="26"/>
  <c r="AN28" i="26"/>
  <c r="AN27" i="26"/>
  <c r="AN26" i="26"/>
  <c r="AN25" i="26"/>
  <c r="AN24" i="26"/>
  <c r="AN23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32" i="26"/>
  <c r="AI31" i="26"/>
  <c r="AI30" i="26"/>
  <c r="AI29" i="26"/>
  <c r="AI28" i="26"/>
  <c r="AI27" i="26"/>
  <c r="AI26" i="26"/>
  <c r="AI25" i="26"/>
  <c r="AI24" i="26"/>
  <c r="AI23" i="26"/>
  <c r="AD51" i="26"/>
  <c r="AD50" i="26"/>
  <c r="AD49" i="26"/>
  <c r="AD48" i="26"/>
  <c r="AD47" i="26"/>
  <c r="AD46" i="26"/>
  <c r="AD45" i="26"/>
  <c r="AD44" i="26"/>
  <c r="AD43" i="26"/>
  <c r="AD42" i="26"/>
  <c r="AD41" i="26"/>
  <c r="AD40" i="26"/>
  <c r="AD39" i="26"/>
  <c r="AD38" i="26"/>
  <c r="AD37" i="26"/>
  <c r="AD36" i="26"/>
  <c r="AD35" i="26"/>
  <c r="AD34" i="26"/>
  <c r="AD33" i="26"/>
  <c r="AD32" i="26"/>
  <c r="AD31" i="26"/>
  <c r="AD30" i="26"/>
  <c r="AD29" i="26"/>
  <c r="AD28" i="26"/>
  <c r="AD27" i="26"/>
  <c r="AD26" i="26"/>
  <c r="AD25" i="26"/>
  <c r="AD24" i="26"/>
  <c r="AD23" i="26"/>
  <c r="Y51" i="26"/>
  <c r="Y50" i="26"/>
  <c r="Y49" i="26"/>
  <c r="Y48" i="26"/>
  <c r="Y47" i="26"/>
  <c r="Y46" i="26"/>
  <c r="Y45" i="26"/>
  <c r="Y44" i="26"/>
  <c r="Y43" i="26"/>
  <c r="Y42" i="26"/>
  <c r="Y41" i="26"/>
  <c r="Y40" i="26"/>
  <c r="Y39" i="26"/>
  <c r="Y38" i="26"/>
  <c r="Y37" i="26"/>
  <c r="Y36" i="26"/>
  <c r="Y35" i="26"/>
  <c r="Y34" i="26"/>
  <c r="Y33" i="26"/>
  <c r="Y32" i="26"/>
  <c r="Y31" i="26"/>
  <c r="Y30" i="26"/>
  <c r="Y29" i="26"/>
  <c r="Y28" i="26"/>
  <c r="Y27" i="26"/>
  <c r="Y26" i="26"/>
  <c r="Y25" i="26"/>
  <c r="Y24" i="26"/>
  <c r="Y23" i="26"/>
  <c r="T51" i="26"/>
  <c r="T50" i="26"/>
  <c r="T49" i="26"/>
  <c r="T48" i="26"/>
  <c r="T47" i="26"/>
  <c r="T46" i="26"/>
  <c r="T45" i="26"/>
  <c r="T44" i="26"/>
  <c r="T43" i="26"/>
  <c r="T42" i="26"/>
  <c r="T41" i="26"/>
  <c r="T40" i="26"/>
  <c r="T39" i="26"/>
  <c r="T38" i="26"/>
  <c r="T37" i="26"/>
  <c r="T36" i="26"/>
  <c r="T35" i="26"/>
  <c r="T34" i="26"/>
  <c r="T33" i="26"/>
  <c r="T32" i="26"/>
  <c r="T31" i="26"/>
  <c r="T30" i="26"/>
  <c r="T29" i="26"/>
  <c r="T28" i="26"/>
  <c r="T27" i="26"/>
  <c r="T26" i="26"/>
  <c r="T25" i="26"/>
  <c r="T24" i="26"/>
  <c r="T23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AI51" i="27"/>
  <c r="AI50" i="27"/>
  <c r="AI49" i="27"/>
  <c r="AI48" i="27"/>
  <c r="AI47" i="27"/>
  <c r="AI46" i="27"/>
  <c r="AI45" i="27"/>
  <c r="AI44" i="27"/>
  <c r="AI43" i="27"/>
  <c r="AI42" i="27"/>
  <c r="AI41" i="27"/>
  <c r="AI40" i="27"/>
  <c r="AI39" i="27"/>
  <c r="AI38" i="27"/>
  <c r="AI37" i="27"/>
  <c r="AI36" i="27"/>
  <c r="AI35" i="27"/>
  <c r="AI34" i="27"/>
  <c r="AI33" i="27"/>
  <c r="AI32" i="27"/>
  <c r="AI31" i="27"/>
  <c r="AI30" i="27"/>
  <c r="AI29" i="27"/>
  <c r="AI28" i="27"/>
  <c r="AI27" i="27"/>
  <c r="AI26" i="27"/>
  <c r="AI25" i="27"/>
  <c r="AI24" i="27"/>
  <c r="AI23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AD38" i="27"/>
  <c r="AD37" i="27"/>
  <c r="AD36" i="27"/>
  <c r="AD35" i="27"/>
  <c r="AD34" i="27"/>
  <c r="AD33" i="27"/>
  <c r="AD32" i="27"/>
  <c r="AD31" i="27"/>
  <c r="AD30" i="27"/>
  <c r="AD29" i="27"/>
  <c r="AD28" i="27"/>
  <c r="AD27" i="27"/>
  <c r="AD26" i="27"/>
  <c r="AD25" i="27"/>
  <c r="AD24" i="27"/>
  <c r="AD23" i="27"/>
  <c r="Y51" i="27"/>
  <c r="Y50" i="27"/>
  <c r="Y49" i="27"/>
  <c r="Y48" i="27"/>
  <c r="Y47" i="27"/>
  <c r="Y46" i="27"/>
  <c r="Y45" i="27"/>
  <c r="Y44" i="27"/>
  <c r="Y43" i="27"/>
  <c r="Y42" i="27"/>
  <c r="Y41" i="27"/>
  <c r="Y40" i="27"/>
  <c r="Y39" i="27"/>
  <c r="Y38" i="27"/>
  <c r="Y37" i="27"/>
  <c r="Y36" i="27"/>
  <c r="Y35" i="27"/>
  <c r="Y34" i="27"/>
  <c r="Y33" i="27"/>
  <c r="Y32" i="27"/>
  <c r="Y31" i="27"/>
  <c r="Y30" i="27"/>
  <c r="Y29" i="27"/>
  <c r="Y28" i="27"/>
  <c r="Y27" i="27"/>
  <c r="Y26" i="27"/>
  <c r="Y25" i="27"/>
  <c r="Y24" i="27"/>
  <c r="Y23" i="27"/>
  <c r="T51" i="27"/>
  <c r="T50" i="27"/>
  <c r="T49" i="27"/>
  <c r="T48" i="27"/>
  <c r="T47" i="27"/>
  <c r="T46" i="27"/>
  <c r="T45" i="27"/>
  <c r="T44" i="27"/>
  <c r="T43" i="27"/>
  <c r="T42" i="27"/>
  <c r="T41" i="27"/>
  <c r="T40" i="27"/>
  <c r="T39" i="27"/>
  <c r="T38" i="27"/>
  <c r="T37" i="27"/>
  <c r="T36" i="27"/>
  <c r="T35" i="27"/>
  <c r="T34" i="27"/>
  <c r="T33" i="27"/>
  <c r="T32" i="27"/>
  <c r="T31" i="27"/>
  <c r="T30" i="27"/>
  <c r="T29" i="27"/>
  <c r="T28" i="27"/>
  <c r="T27" i="27"/>
  <c r="T26" i="27"/>
  <c r="T25" i="27"/>
  <c r="T24" i="27"/>
  <c r="T23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AD51" i="28"/>
  <c r="AD50" i="28"/>
  <c r="AD49" i="28"/>
  <c r="AD48" i="28"/>
  <c r="AD47" i="28"/>
  <c r="AD46" i="28"/>
  <c r="AD45" i="28"/>
  <c r="AD44" i="28"/>
  <c r="AD43" i="28"/>
  <c r="AD42" i="28"/>
  <c r="AD41" i="28"/>
  <c r="AD40" i="28"/>
  <c r="AD39" i="28"/>
  <c r="AD38" i="28"/>
  <c r="AD37" i="28"/>
  <c r="AD36" i="28"/>
  <c r="AD35" i="28"/>
  <c r="AD34" i="28"/>
  <c r="AD33" i="28"/>
  <c r="AD32" i="28"/>
  <c r="AD31" i="28"/>
  <c r="AD30" i="28"/>
  <c r="AD29" i="28"/>
  <c r="AD28" i="28"/>
  <c r="AD27" i="28"/>
  <c r="AD26" i="28"/>
  <c r="AD25" i="28"/>
  <c r="AD24" i="28"/>
  <c r="AD23" i="28"/>
  <c r="Y51" i="28"/>
  <c r="Y50" i="28"/>
  <c r="Y49" i="28"/>
  <c r="Y48" i="28"/>
  <c r="Y47" i="28"/>
  <c r="Y46" i="28"/>
  <c r="Y45" i="28"/>
  <c r="Y44" i="28"/>
  <c r="Y43" i="28"/>
  <c r="Y42" i="28"/>
  <c r="Y41" i="28"/>
  <c r="Y40" i="28"/>
  <c r="Y39" i="28"/>
  <c r="Y38" i="28"/>
  <c r="Y37" i="28"/>
  <c r="Y36" i="28"/>
  <c r="Y35" i="28"/>
  <c r="Y34" i="28"/>
  <c r="Y33" i="28"/>
  <c r="Y32" i="28"/>
  <c r="Y31" i="28"/>
  <c r="Y30" i="28"/>
  <c r="Y29" i="28"/>
  <c r="Y28" i="28"/>
  <c r="Y27" i="28"/>
  <c r="Y26" i="28"/>
  <c r="Y25" i="28"/>
  <c r="Y24" i="28"/>
  <c r="Y23" i="28"/>
  <c r="T51" i="28"/>
  <c r="T50" i="28"/>
  <c r="T49" i="28"/>
  <c r="T48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T32" i="28"/>
  <c r="T31" i="28"/>
  <c r="T30" i="28"/>
  <c r="T29" i="28"/>
  <c r="T28" i="28"/>
  <c r="T27" i="28"/>
  <c r="T26" i="28"/>
  <c r="T25" i="28"/>
  <c r="T24" i="28"/>
  <c r="T23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Y51" i="29"/>
  <c r="Y50" i="29"/>
  <c r="Y49" i="29"/>
  <c r="Y48" i="29"/>
  <c r="Y47" i="29"/>
  <c r="Y46" i="29"/>
  <c r="Y45" i="29"/>
  <c r="Y44" i="29"/>
  <c r="Y43" i="29"/>
  <c r="Y42" i="29"/>
  <c r="Y41" i="29"/>
  <c r="Y40" i="29"/>
  <c r="Y39" i="29"/>
  <c r="Y38" i="29"/>
  <c r="Y37" i="29"/>
  <c r="Y36" i="29"/>
  <c r="Y35" i="29"/>
  <c r="Y34" i="29"/>
  <c r="Y33" i="29"/>
  <c r="Y32" i="29"/>
  <c r="Y31" i="29"/>
  <c r="Y30" i="29"/>
  <c r="Y29" i="29"/>
  <c r="Y28" i="29"/>
  <c r="Y27" i="29"/>
  <c r="Y26" i="29"/>
  <c r="Y25" i="29"/>
  <c r="Y24" i="29"/>
  <c r="Y23" i="29"/>
  <c r="T51" i="29"/>
  <c r="T50" i="29"/>
  <c r="T49" i="29"/>
  <c r="T48" i="29"/>
  <c r="T47" i="29"/>
  <c r="T46" i="29"/>
  <c r="T45" i="29"/>
  <c r="T44" i="29"/>
  <c r="T43" i="29"/>
  <c r="T42" i="29"/>
  <c r="T41" i="29"/>
  <c r="T40" i="29"/>
  <c r="T39" i="29"/>
  <c r="T38" i="29"/>
  <c r="T37" i="29"/>
  <c r="T36" i="29"/>
  <c r="T35" i="29"/>
  <c r="T34" i="29"/>
  <c r="T33" i="29"/>
  <c r="T32" i="29"/>
  <c r="T31" i="29"/>
  <c r="T30" i="29"/>
  <c r="T29" i="29"/>
  <c r="T28" i="29"/>
  <c r="T27" i="29"/>
  <c r="T26" i="29"/>
  <c r="T25" i="29"/>
  <c r="T24" i="29"/>
  <c r="T23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T50" i="30"/>
  <c r="T49" i="30"/>
  <c r="T48" i="30"/>
  <c r="T47" i="30"/>
  <c r="T46" i="30"/>
  <c r="T45" i="30"/>
  <c r="T44" i="30"/>
  <c r="T43" i="30"/>
  <c r="T42" i="30"/>
  <c r="T41" i="30"/>
  <c r="T40" i="30"/>
  <c r="T39" i="30"/>
  <c r="T38" i="30"/>
  <c r="T37" i="30"/>
  <c r="T36" i="30"/>
  <c r="T35" i="30"/>
  <c r="T34" i="30"/>
  <c r="T33" i="30"/>
  <c r="T32" i="30"/>
  <c r="T31" i="30"/>
  <c r="T30" i="30"/>
  <c r="T29" i="30"/>
  <c r="T28" i="30"/>
  <c r="T27" i="30"/>
  <c r="T26" i="30"/>
  <c r="T25" i="30"/>
  <c r="T24" i="30"/>
  <c r="T23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AX51" i="20"/>
  <c r="AX50" i="20"/>
  <c r="AX49" i="20"/>
  <c r="AX48" i="20"/>
  <c r="AX47" i="20"/>
  <c r="AX46" i="20"/>
  <c r="AX45" i="20"/>
  <c r="AX44" i="20"/>
  <c r="AX43" i="20"/>
  <c r="AX42" i="20"/>
  <c r="AX41" i="20"/>
  <c r="AX40" i="20"/>
  <c r="AX39" i="20"/>
  <c r="AX38" i="20"/>
  <c r="AX37" i="20"/>
  <c r="AX36" i="20"/>
  <c r="AX35" i="20"/>
  <c r="AX34" i="20"/>
  <c r="AX33" i="20"/>
  <c r="AX32" i="20"/>
  <c r="AX31" i="20"/>
  <c r="AX30" i="20"/>
  <c r="AX29" i="20"/>
  <c r="AX28" i="20"/>
  <c r="AX27" i="20"/>
  <c r="AX26" i="20"/>
  <c r="AX25" i="20"/>
  <c r="AX24" i="20"/>
  <c r="AX23" i="20"/>
  <c r="AS51" i="20"/>
  <c r="AS50" i="20"/>
  <c r="AS49" i="20"/>
  <c r="AS48" i="20"/>
  <c r="AS47" i="20"/>
  <c r="AS46" i="20"/>
  <c r="AS45" i="20"/>
  <c r="AS44" i="20"/>
  <c r="AS43" i="20"/>
  <c r="AS42" i="20"/>
  <c r="AS41" i="20"/>
  <c r="AS40" i="20"/>
  <c r="AS39" i="20"/>
  <c r="AS38" i="20"/>
  <c r="AS37" i="20"/>
  <c r="AS36" i="20"/>
  <c r="AS35" i="20"/>
  <c r="AS34" i="20"/>
  <c r="AS33" i="20"/>
  <c r="AS32" i="20"/>
  <c r="AS31" i="20"/>
  <c r="AS30" i="20"/>
  <c r="AS29" i="20"/>
  <c r="AS28" i="20"/>
  <c r="AS27" i="20"/>
  <c r="AS26" i="20"/>
  <c r="AS25" i="20"/>
  <c r="AS24" i="20"/>
  <c r="AS23" i="20"/>
  <c r="AN51" i="20"/>
  <c r="AN50" i="20"/>
  <c r="AN49" i="20"/>
  <c r="AN48" i="20"/>
  <c r="AN47" i="20"/>
  <c r="AN46" i="20"/>
  <c r="AN45" i="20"/>
  <c r="AN44" i="20"/>
  <c r="AN43" i="20"/>
  <c r="AN42" i="20"/>
  <c r="AN41" i="20"/>
  <c r="AN40" i="20"/>
  <c r="AN39" i="20"/>
  <c r="AN38" i="20"/>
  <c r="AN37" i="20"/>
  <c r="AN36" i="20"/>
  <c r="AN35" i="20"/>
  <c r="AN34" i="20"/>
  <c r="AN33" i="20"/>
  <c r="AN32" i="20"/>
  <c r="AN31" i="20"/>
  <c r="AN30" i="20"/>
  <c r="AN29" i="20"/>
  <c r="AN28" i="20"/>
  <c r="AN27" i="20"/>
  <c r="AN26" i="20"/>
  <c r="AN25" i="20"/>
  <c r="AN24" i="20"/>
  <c r="AN23" i="20"/>
  <c r="AI51" i="20"/>
  <c r="AI50" i="20"/>
  <c r="AI49" i="20"/>
  <c r="AI48" i="20"/>
  <c r="AI47" i="20"/>
  <c r="AI46" i="20"/>
  <c r="AI45" i="20"/>
  <c r="AI44" i="20"/>
  <c r="AI43" i="20"/>
  <c r="AI42" i="20"/>
  <c r="AI41" i="20"/>
  <c r="AI40" i="20"/>
  <c r="AI39" i="20"/>
  <c r="AI38" i="20"/>
  <c r="AI37" i="20"/>
  <c r="AI36" i="20"/>
  <c r="AI35" i="20"/>
  <c r="AI34" i="20"/>
  <c r="AI33" i="20"/>
  <c r="AI32" i="20"/>
  <c r="AI31" i="20"/>
  <c r="AI30" i="20"/>
  <c r="AI29" i="20"/>
  <c r="AI28" i="20"/>
  <c r="AI27" i="20"/>
  <c r="AI26" i="20"/>
  <c r="AI25" i="20"/>
  <c r="AI24" i="20"/>
  <c r="AI23" i="20"/>
  <c r="AD51" i="20"/>
  <c r="AD50" i="20"/>
  <c r="AD49" i="20"/>
  <c r="AD48" i="20"/>
  <c r="AD47" i="20"/>
  <c r="AD46" i="20"/>
  <c r="AD45" i="20"/>
  <c r="AD44" i="20"/>
  <c r="AD43" i="20"/>
  <c r="AD42" i="20"/>
  <c r="AD41" i="20"/>
  <c r="AD40" i="20"/>
  <c r="AD39" i="20"/>
  <c r="AD38" i="20"/>
  <c r="AD37" i="20"/>
  <c r="AD36" i="20"/>
  <c r="AD35" i="20"/>
  <c r="AD34" i="20"/>
  <c r="AD33" i="20"/>
  <c r="AD32" i="20"/>
  <c r="AD31" i="20"/>
  <c r="AD30" i="20"/>
  <c r="AD29" i="20"/>
  <c r="AD28" i="20"/>
  <c r="AD27" i="20"/>
  <c r="AD26" i="20"/>
  <c r="AD25" i="20"/>
  <c r="AD24" i="20"/>
  <c r="AD23" i="20"/>
  <c r="Y51" i="20"/>
  <c r="Y50" i="20"/>
  <c r="Y49" i="20"/>
  <c r="Y48" i="20"/>
  <c r="Y47" i="20"/>
  <c r="Y46" i="20"/>
  <c r="Y45" i="20"/>
  <c r="Y44" i="20"/>
  <c r="Y43" i="20"/>
  <c r="Y42" i="20"/>
  <c r="Y41" i="20"/>
  <c r="Y40" i="20"/>
  <c r="Y39" i="20"/>
  <c r="Y38" i="20"/>
  <c r="Y37" i="20"/>
  <c r="Y36" i="20"/>
  <c r="Y35" i="20"/>
  <c r="Y34" i="20"/>
  <c r="Y33" i="20"/>
  <c r="Y32" i="20"/>
  <c r="Y31" i="20"/>
  <c r="Y30" i="20"/>
  <c r="Y29" i="20"/>
  <c r="Y28" i="20"/>
  <c r="Y27" i="20"/>
  <c r="Y26" i="20"/>
  <c r="Y25" i="20"/>
  <c r="Y24" i="20"/>
  <c r="Y23" i="20"/>
  <c r="T51" i="20"/>
  <c r="T50" i="20"/>
  <c r="T49" i="20"/>
  <c r="T48" i="20"/>
  <c r="T47" i="20"/>
  <c r="T46" i="20"/>
  <c r="T45" i="20"/>
  <c r="T44" i="20"/>
  <c r="T43" i="20"/>
  <c r="T42" i="20"/>
  <c r="T41" i="20"/>
  <c r="T40" i="20"/>
  <c r="T39" i="20"/>
  <c r="T38" i="20"/>
  <c r="T37" i="20"/>
  <c r="T36" i="20"/>
  <c r="T35" i="20"/>
  <c r="T34" i="20"/>
  <c r="T33" i="20"/>
  <c r="T32" i="20"/>
  <c r="T31" i="20"/>
  <c r="T30" i="20"/>
  <c r="T29" i="20"/>
  <c r="T28" i="20"/>
  <c r="T27" i="20"/>
  <c r="T26" i="20"/>
  <c r="T25" i="20"/>
  <c r="T24" i="20"/>
  <c r="T23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BC50" i="32"/>
  <c r="BC49" i="32"/>
  <c r="BC48" i="32"/>
  <c r="BC47" i="32"/>
  <c r="BC46" i="32"/>
  <c r="BC45" i="32"/>
  <c r="BC44" i="32"/>
  <c r="BC43" i="32"/>
  <c r="BC42" i="32"/>
  <c r="BC41" i="32"/>
  <c r="BC40" i="32"/>
  <c r="BC39" i="32"/>
  <c r="BC38" i="32"/>
  <c r="BC37" i="32"/>
  <c r="BC36" i="32"/>
  <c r="BC35" i="32"/>
  <c r="BC34" i="32"/>
  <c r="BC33" i="32"/>
  <c r="BC32" i="32"/>
  <c r="BC31" i="32"/>
  <c r="BC30" i="32"/>
  <c r="BC29" i="32"/>
  <c r="BC28" i="32"/>
  <c r="BC27" i="32"/>
  <c r="BC26" i="32"/>
  <c r="BC25" i="32"/>
  <c r="BC24" i="32"/>
  <c r="BC23" i="32"/>
  <c r="BC22" i="32"/>
  <c r="AS50" i="32"/>
  <c r="AS49" i="32"/>
  <c r="AS48" i="32"/>
  <c r="AS47" i="32"/>
  <c r="AS46" i="32"/>
  <c r="AS45" i="32"/>
  <c r="AS44" i="32"/>
  <c r="AS43" i="32"/>
  <c r="AS42" i="32"/>
  <c r="AS41" i="32"/>
  <c r="AS40" i="32"/>
  <c r="AS39" i="32"/>
  <c r="AS38" i="32"/>
  <c r="AS37" i="32"/>
  <c r="AS36" i="32"/>
  <c r="AS35" i="32"/>
  <c r="AS34" i="32"/>
  <c r="AS33" i="32"/>
  <c r="AS32" i="32"/>
  <c r="AS31" i="32"/>
  <c r="AS30" i="32"/>
  <c r="AS29" i="32"/>
  <c r="AS28" i="32"/>
  <c r="AS27" i="32"/>
  <c r="AS26" i="32"/>
  <c r="AS25" i="32"/>
  <c r="AS24" i="32"/>
  <c r="AS23" i="32"/>
  <c r="AS22" i="32"/>
  <c r="AI50" i="32"/>
  <c r="AI49" i="32"/>
  <c r="AI48" i="32"/>
  <c r="AI47" i="32"/>
  <c r="AI46" i="32"/>
  <c r="AI45" i="32"/>
  <c r="AI44" i="32"/>
  <c r="AI43" i="32"/>
  <c r="AI42" i="32"/>
  <c r="AI41" i="32"/>
  <c r="AI40" i="32"/>
  <c r="AI39" i="32"/>
  <c r="AI38" i="32"/>
  <c r="AI37" i="32"/>
  <c r="AI36" i="32"/>
  <c r="AI35" i="32"/>
  <c r="AI34" i="32"/>
  <c r="AI33" i="32"/>
  <c r="AI32" i="32"/>
  <c r="AI31" i="32"/>
  <c r="AI30" i="32"/>
  <c r="AI29" i="32"/>
  <c r="AI28" i="32"/>
  <c r="AI27" i="32"/>
  <c r="AI26" i="32"/>
  <c r="AI25" i="32"/>
  <c r="AI24" i="32"/>
  <c r="AI23" i="32"/>
  <c r="AI22" i="32"/>
  <c r="Y50" i="32"/>
  <c r="Y49" i="32"/>
  <c r="Y48" i="32"/>
  <c r="Y47" i="32"/>
  <c r="Y46" i="32"/>
  <c r="Y45" i="32"/>
  <c r="Y44" i="32"/>
  <c r="Y43" i="32"/>
  <c r="Y42" i="32"/>
  <c r="Y41" i="32"/>
  <c r="Y40" i="32"/>
  <c r="Y39" i="32"/>
  <c r="Y38" i="32"/>
  <c r="Y37" i="32"/>
  <c r="Y36" i="32"/>
  <c r="Y35" i="32"/>
  <c r="Y34" i="32"/>
  <c r="Y33" i="32"/>
  <c r="Y32" i="32"/>
  <c r="Y31" i="32"/>
  <c r="Y30" i="32"/>
  <c r="Y29" i="32"/>
  <c r="Y28" i="32"/>
  <c r="Y27" i="32"/>
  <c r="Y26" i="32"/>
  <c r="Y25" i="32"/>
  <c r="Y24" i="32"/>
  <c r="Y23" i="32"/>
  <c r="Y22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AX50" i="32"/>
  <c r="AX49" i="32"/>
  <c r="AX48" i="32"/>
  <c r="AX47" i="32"/>
  <c r="AX46" i="32"/>
  <c r="AX45" i="32"/>
  <c r="AX44" i="32"/>
  <c r="AX43" i="32"/>
  <c r="AX42" i="32"/>
  <c r="AX41" i="32"/>
  <c r="AX40" i="32"/>
  <c r="AX39" i="32"/>
  <c r="AX38" i="32"/>
  <c r="AX37" i="32"/>
  <c r="AX36" i="32"/>
  <c r="AX35" i="32"/>
  <c r="AX34" i="32"/>
  <c r="AX33" i="32"/>
  <c r="AX32" i="32"/>
  <c r="AX31" i="32"/>
  <c r="AX30" i="32"/>
  <c r="AX29" i="32"/>
  <c r="AX28" i="32"/>
  <c r="AX27" i="32"/>
  <c r="AX26" i="32"/>
  <c r="AX25" i="32"/>
  <c r="AX24" i="32"/>
  <c r="AX23" i="32"/>
  <c r="AX22" i="32"/>
  <c r="AN50" i="32"/>
  <c r="AN49" i="32"/>
  <c r="AN48" i="32"/>
  <c r="AN47" i="32"/>
  <c r="AN46" i="32"/>
  <c r="AN45" i="32"/>
  <c r="AN44" i="32"/>
  <c r="AN43" i="32"/>
  <c r="AN42" i="32"/>
  <c r="AN41" i="32"/>
  <c r="AN40" i="32"/>
  <c r="AN39" i="32"/>
  <c r="AN38" i="32"/>
  <c r="AN37" i="32"/>
  <c r="AN36" i="32"/>
  <c r="AN35" i="32"/>
  <c r="AN34" i="32"/>
  <c r="AN33" i="32"/>
  <c r="AN32" i="32"/>
  <c r="AN31" i="32"/>
  <c r="AN30" i="32"/>
  <c r="AN29" i="32"/>
  <c r="AN28" i="32"/>
  <c r="AN27" i="32"/>
  <c r="AN26" i="32"/>
  <c r="AN25" i="32"/>
  <c r="AN24" i="32"/>
  <c r="AN23" i="32"/>
  <c r="AN22" i="32"/>
  <c r="AD50" i="32"/>
  <c r="AD49" i="32"/>
  <c r="AD48" i="32"/>
  <c r="AD47" i="32"/>
  <c r="AD46" i="32"/>
  <c r="AD45" i="32"/>
  <c r="AD44" i="32"/>
  <c r="AD43" i="32"/>
  <c r="AD42" i="32"/>
  <c r="AD41" i="32"/>
  <c r="AD40" i="32"/>
  <c r="AD39" i="32"/>
  <c r="AD38" i="32"/>
  <c r="AD37" i="32"/>
  <c r="AD36" i="32"/>
  <c r="AD35" i="32"/>
  <c r="AD34" i="32"/>
  <c r="AD33" i="32"/>
  <c r="AD32" i="32"/>
  <c r="AD31" i="32"/>
  <c r="AD30" i="32"/>
  <c r="AD29" i="32"/>
  <c r="AD28" i="32"/>
  <c r="AD27" i="32"/>
  <c r="AD26" i="32"/>
  <c r="AD25" i="32"/>
  <c r="AD24" i="32"/>
  <c r="AD23" i="32"/>
  <c r="AD22" i="32"/>
  <c r="T50" i="32"/>
  <c r="T49" i="32"/>
  <c r="T48" i="32"/>
  <c r="T47" i="32"/>
  <c r="T46" i="32"/>
  <c r="T45" i="32"/>
  <c r="T44" i="32"/>
  <c r="T43" i="32"/>
  <c r="T42" i="32"/>
  <c r="T41" i="32"/>
  <c r="T40" i="32"/>
  <c r="T39" i="32"/>
  <c r="T38" i="32"/>
  <c r="T37" i="32"/>
  <c r="T36" i="32"/>
  <c r="T35" i="32"/>
  <c r="T34" i="32"/>
  <c r="T33" i="32"/>
  <c r="T32" i="32"/>
  <c r="T31" i="32"/>
  <c r="T30" i="32"/>
  <c r="T29" i="32"/>
  <c r="T28" i="32"/>
  <c r="T27" i="32"/>
  <c r="T26" i="32"/>
  <c r="T25" i="32"/>
  <c r="T24" i="32"/>
  <c r="T23" i="32"/>
  <c r="T22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B19" i="22"/>
  <c r="B19" i="20"/>
  <c r="B18" i="32"/>
  <c r="B19" i="30"/>
  <c r="B19" i="29"/>
  <c r="B19" i="28"/>
  <c r="B19" i="27"/>
  <c r="B19" i="26"/>
  <c r="L23" i="30"/>
  <c r="I52" i="20" l="1"/>
  <c r="X60" i="28"/>
  <c r="N59" i="30" l="1"/>
  <c r="P60" i="29"/>
  <c r="S60" i="28"/>
  <c r="S60" i="27"/>
  <c r="X60" i="26"/>
  <c r="AC60" i="22"/>
  <c r="V24" i="30"/>
  <c r="V23" i="30"/>
  <c r="Q24" i="30"/>
  <c r="Q23" i="30"/>
  <c r="L24" i="30"/>
  <c r="V26" i="30"/>
  <c r="V25" i="30"/>
  <c r="Q26" i="30"/>
  <c r="Q25" i="30"/>
  <c r="L26" i="30"/>
  <c r="L25" i="30"/>
  <c r="B24" i="30" l="1"/>
  <c r="BK50" i="32" l="1"/>
  <c r="BK49" i="32"/>
  <c r="BK48" i="32"/>
  <c r="BK47" i="32"/>
  <c r="BK46" i="32"/>
  <c r="BK45" i="32"/>
  <c r="BK44" i="32"/>
  <c r="BK43" i="32"/>
  <c r="BK42" i="32"/>
  <c r="BK41" i="32"/>
  <c r="BK40" i="32"/>
  <c r="BK39" i="32"/>
  <c r="BK38" i="32"/>
  <c r="BK37" i="32"/>
  <c r="BK36" i="32"/>
  <c r="BK35" i="32"/>
  <c r="BK34" i="32"/>
  <c r="BK33" i="32"/>
  <c r="BK32" i="32"/>
  <c r="BK31" i="32"/>
  <c r="BK30" i="32"/>
  <c r="BK29" i="32"/>
  <c r="BK28" i="32"/>
  <c r="BK27" i="32"/>
  <c r="BK26" i="32"/>
  <c r="BK25" i="32"/>
  <c r="BK24" i="32"/>
  <c r="BK23" i="32"/>
  <c r="BK22" i="32"/>
  <c r="AA24" i="28"/>
  <c r="AA23" i="28"/>
  <c r="Q24" i="28"/>
  <c r="Q23" i="28"/>
  <c r="AM59" i="32" l="1"/>
  <c r="AH60" i="20"/>
  <c r="L24" i="28" l="1"/>
  <c r="L23" i="28"/>
  <c r="BB20" i="32" l="1"/>
  <c r="Z50" i="30"/>
  <c r="Z49" i="30"/>
  <c r="Z48" i="30"/>
  <c r="Z47" i="30"/>
  <c r="Z46" i="30"/>
  <c r="Z45" i="30"/>
  <c r="Z44" i="30"/>
  <c r="Z43" i="30"/>
  <c r="Z42" i="30"/>
  <c r="Z41" i="30"/>
  <c r="Z40" i="30"/>
  <c r="Z39" i="30"/>
  <c r="Z38" i="30"/>
  <c r="Z37" i="30"/>
  <c r="Z36" i="30"/>
  <c r="Z35" i="30"/>
  <c r="Z34" i="30"/>
  <c r="Z33" i="30"/>
  <c r="Z32" i="30"/>
  <c r="Z31" i="30"/>
  <c r="Z30" i="30"/>
  <c r="Z29" i="30"/>
  <c r="Z28" i="30"/>
  <c r="Z27" i="30"/>
  <c r="Z26" i="30"/>
  <c r="Z25" i="30"/>
  <c r="Z24" i="30"/>
  <c r="Z23" i="30"/>
  <c r="AE51" i="29"/>
  <c r="AE50" i="29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J51" i="28"/>
  <c r="AJ50" i="28"/>
  <c r="AJ49" i="28"/>
  <c r="AJ48" i="28"/>
  <c r="AJ47" i="28"/>
  <c r="AJ46" i="28"/>
  <c r="AJ45" i="28"/>
  <c r="AJ44" i="28"/>
  <c r="AJ43" i="28"/>
  <c r="AJ42" i="28"/>
  <c r="AJ41" i="28"/>
  <c r="AJ40" i="28"/>
  <c r="AJ39" i="28"/>
  <c r="AJ38" i="28"/>
  <c r="AJ37" i="28"/>
  <c r="AJ36" i="28"/>
  <c r="AJ35" i="28"/>
  <c r="AJ34" i="28"/>
  <c r="AJ33" i="28"/>
  <c r="AJ32" i="28"/>
  <c r="AJ31" i="28"/>
  <c r="AJ30" i="28"/>
  <c r="AJ29" i="28"/>
  <c r="AJ28" i="28"/>
  <c r="AJ27" i="28"/>
  <c r="AJ26" i="28"/>
  <c r="AJ25" i="28"/>
  <c r="AJ24" i="28"/>
  <c r="AJ23" i="28"/>
  <c r="AO51" i="27"/>
  <c r="AO50" i="27"/>
  <c r="AO49" i="27"/>
  <c r="AO48" i="27"/>
  <c r="AO47" i="27"/>
  <c r="AO46" i="27"/>
  <c r="AO45" i="27"/>
  <c r="AO44" i="27"/>
  <c r="AO43" i="27"/>
  <c r="AO42" i="27"/>
  <c r="AO41" i="27"/>
  <c r="AO40" i="27"/>
  <c r="AO39" i="27"/>
  <c r="AO38" i="27"/>
  <c r="AO37" i="27"/>
  <c r="AO36" i="27"/>
  <c r="AO35" i="27"/>
  <c r="AO34" i="27"/>
  <c r="AO33" i="27"/>
  <c r="AO32" i="27"/>
  <c r="AO31" i="27"/>
  <c r="AO30" i="27"/>
  <c r="AO29" i="27"/>
  <c r="AO28" i="27"/>
  <c r="AO27" i="27"/>
  <c r="AO26" i="27"/>
  <c r="AO25" i="27"/>
  <c r="AO24" i="27"/>
  <c r="AO23" i="27"/>
  <c r="AT51" i="26"/>
  <c r="AT50" i="26"/>
  <c r="AT49" i="26"/>
  <c r="AT48" i="26"/>
  <c r="AT47" i="26"/>
  <c r="AT46" i="26"/>
  <c r="AT45" i="26"/>
  <c r="AT44" i="26"/>
  <c r="AT43" i="26"/>
  <c r="AT42" i="26"/>
  <c r="AT41" i="26"/>
  <c r="AT40" i="26"/>
  <c r="AT39" i="26"/>
  <c r="AT38" i="26"/>
  <c r="AT37" i="26"/>
  <c r="AT36" i="26"/>
  <c r="AT35" i="26"/>
  <c r="AT34" i="26"/>
  <c r="AT33" i="26"/>
  <c r="AT32" i="26"/>
  <c r="AT31" i="26"/>
  <c r="AT30" i="26"/>
  <c r="AT29" i="26"/>
  <c r="AT28" i="26"/>
  <c r="AT27" i="26"/>
  <c r="AT26" i="26"/>
  <c r="AT25" i="26"/>
  <c r="AT24" i="26"/>
  <c r="AT23" i="26"/>
  <c r="AY51" i="22"/>
  <c r="AY50" i="22"/>
  <c r="AY49" i="22"/>
  <c r="AY48" i="22"/>
  <c r="AY47" i="22"/>
  <c r="AY46" i="22"/>
  <c r="AY45" i="22"/>
  <c r="AY44" i="22"/>
  <c r="AY43" i="22"/>
  <c r="AY42" i="22"/>
  <c r="AY41" i="22"/>
  <c r="AY40" i="22"/>
  <c r="AY39" i="22"/>
  <c r="AY38" i="22"/>
  <c r="AY37" i="22"/>
  <c r="AY36" i="22"/>
  <c r="AY35" i="22"/>
  <c r="AY34" i="22"/>
  <c r="AY33" i="22"/>
  <c r="AY32" i="22"/>
  <c r="AY31" i="22"/>
  <c r="AY30" i="22"/>
  <c r="AY29" i="22"/>
  <c r="AY28" i="22"/>
  <c r="AY27" i="22"/>
  <c r="AY26" i="22"/>
  <c r="AY25" i="22"/>
  <c r="AY24" i="22"/>
  <c r="AY23" i="22"/>
  <c r="BD51" i="20"/>
  <c r="BD50" i="20"/>
  <c r="BD49" i="20"/>
  <c r="BD48" i="20"/>
  <c r="BD47" i="20"/>
  <c r="BD46" i="20"/>
  <c r="BD45" i="20"/>
  <c r="BD44" i="20"/>
  <c r="BD43" i="20"/>
  <c r="BD42" i="20"/>
  <c r="BD41" i="20"/>
  <c r="BD40" i="20"/>
  <c r="BD39" i="20"/>
  <c r="BD38" i="20"/>
  <c r="BD37" i="20"/>
  <c r="BD36" i="20"/>
  <c r="BD35" i="20"/>
  <c r="BD34" i="20"/>
  <c r="BD33" i="20"/>
  <c r="BD32" i="20"/>
  <c r="BD31" i="20"/>
  <c r="BD30" i="20"/>
  <c r="BD29" i="20"/>
  <c r="BD28" i="20"/>
  <c r="BD27" i="20"/>
  <c r="BD26" i="20"/>
  <c r="BD25" i="20"/>
  <c r="BD24" i="20"/>
  <c r="BD23" i="20"/>
  <c r="BI50" i="32"/>
  <c r="BI49" i="32"/>
  <c r="BI48" i="32"/>
  <c r="BI47" i="32"/>
  <c r="BI46" i="32"/>
  <c r="BI45" i="32"/>
  <c r="BI44" i="32"/>
  <c r="BI43" i="32"/>
  <c r="BI42" i="32"/>
  <c r="BI41" i="32"/>
  <c r="BI40" i="32"/>
  <c r="BI39" i="32"/>
  <c r="BI38" i="32"/>
  <c r="BI37" i="32"/>
  <c r="BI36" i="32"/>
  <c r="BI35" i="32"/>
  <c r="BI34" i="32"/>
  <c r="BI33" i="32"/>
  <c r="BI32" i="32"/>
  <c r="BI31" i="32"/>
  <c r="BI30" i="32"/>
  <c r="BI29" i="32"/>
  <c r="BI28" i="32"/>
  <c r="BI27" i="32"/>
  <c r="BI26" i="32"/>
  <c r="BI25" i="32"/>
  <c r="BI24" i="32"/>
  <c r="BI23" i="32"/>
  <c r="BI22" i="32"/>
  <c r="BB17" i="32" l="1"/>
  <c r="BD17" i="32" s="1"/>
  <c r="BB18" i="32"/>
  <c r="AU50" i="32"/>
  <c r="AU49" i="32"/>
  <c r="AU48" i="32"/>
  <c r="AU47" i="32"/>
  <c r="AU46" i="32"/>
  <c r="AU45" i="32"/>
  <c r="AU44" i="32"/>
  <c r="AU43" i="32"/>
  <c r="AU42" i="32"/>
  <c r="AU41" i="32"/>
  <c r="AU40" i="32"/>
  <c r="AU39" i="32"/>
  <c r="AU38" i="32"/>
  <c r="AU37" i="32"/>
  <c r="AU36" i="32"/>
  <c r="AU35" i="32"/>
  <c r="AU34" i="32"/>
  <c r="AU33" i="32"/>
  <c r="AU32" i="32"/>
  <c r="AU31" i="32"/>
  <c r="AU30" i="32"/>
  <c r="AU29" i="32"/>
  <c r="AU28" i="32"/>
  <c r="AU27" i="32"/>
  <c r="AU26" i="32"/>
  <c r="AU25" i="32"/>
  <c r="AU24" i="32"/>
  <c r="AU23" i="32"/>
  <c r="AU22" i="32"/>
  <c r="BR23" i="32"/>
  <c r="BR24" i="32"/>
  <c r="BR25" i="32"/>
  <c r="BR26" i="32"/>
  <c r="BR27" i="32"/>
  <c r="BR28" i="32"/>
  <c r="BR29" i="32"/>
  <c r="BR30" i="32"/>
  <c r="BR31" i="32"/>
  <c r="BR32" i="32"/>
  <c r="BR33" i="32"/>
  <c r="BR34" i="32"/>
  <c r="BR35" i="32"/>
  <c r="BR36" i="32"/>
  <c r="BR37" i="32"/>
  <c r="BR38" i="32"/>
  <c r="BR39" i="32"/>
  <c r="BR40" i="32"/>
  <c r="BR41" i="32"/>
  <c r="BR42" i="32"/>
  <c r="BR43" i="32"/>
  <c r="BR44" i="32"/>
  <c r="BR45" i="32"/>
  <c r="BR46" i="32"/>
  <c r="BR47" i="32"/>
  <c r="BR48" i="32"/>
  <c r="BR49" i="32"/>
  <c r="BR50" i="32"/>
  <c r="N59" i="32"/>
  <c r="I59" i="32"/>
  <c r="BE50" i="32"/>
  <c r="BT50" i="32"/>
  <c r="AZ50" i="32"/>
  <c r="BS50" i="32"/>
  <c r="AP50" i="32"/>
  <c r="BQ50" i="32"/>
  <c r="AK50" i="32"/>
  <c r="AF50" i="32"/>
  <c r="BP50" i="32"/>
  <c r="AA50" i="32"/>
  <c r="BO50" i="32"/>
  <c r="V50" i="32"/>
  <c r="BN50" i="32"/>
  <c r="Q50" i="32"/>
  <c r="BM50" i="32"/>
  <c r="L50" i="32"/>
  <c r="BL50" i="32"/>
  <c r="BE49" i="32"/>
  <c r="BT49" i="32"/>
  <c r="AZ49" i="32"/>
  <c r="BS49" i="32"/>
  <c r="AP49" i="32"/>
  <c r="BQ49" i="32"/>
  <c r="AK49" i="32"/>
  <c r="AF49" i="32"/>
  <c r="BP49" i="32"/>
  <c r="AA49" i="32"/>
  <c r="BO49" i="32"/>
  <c r="V49" i="32"/>
  <c r="BN49" i="32"/>
  <c r="Q49" i="32"/>
  <c r="BM49" i="32"/>
  <c r="L49" i="32"/>
  <c r="BL49" i="32"/>
  <c r="BE48" i="32"/>
  <c r="BT48" i="32"/>
  <c r="AZ48" i="32"/>
  <c r="BS48" i="32"/>
  <c r="AP48" i="32"/>
  <c r="BQ48" i="32"/>
  <c r="AK48" i="32"/>
  <c r="AF48" i="32"/>
  <c r="BP48" i="32"/>
  <c r="AA48" i="32"/>
  <c r="BO48" i="32"/>
  <c r="V48" i="32"/>
  <c r="BN48" i="32"/>
  <c r="Q48" i="32"/>
  <c r="BM48" i="32"/>
  <c r="L48" i="32"/>
  <c r="BL48" i="32"/>
  <c r="BE47" i="32"/>
  <c r="BT47" i="32"/>
  <c r="AZ47" i="32"/>
  <c r="BS47" i="32"/>
  <c r="AP47" i="32"/>
  <c r="BQ47" i="32"/>
  <c r="AK47" i="32"/>
  <c r="AF47" i="32"/>
  <c r="BP47" i="32"/>
  <c r="AA47" i="32"/>
  <c r="BO47" i="32"/>
  <c r="V47" i="32"/>
  <c r="BN47" i="32"/>
  <c r="Q47" i="32"/>
  <c r="BM47" i="32"/>
  <c r="L47" i="32"/>
  <c r="BL47" i="32"/>
  <c r="BE46" i="32"/>
  <c r="BT46" i="32"/>
  <c r="AZ46" i="32"/>
  <c r="BS46" i="32"/>
  <c r="AP46" i="32"/>
  <c r="BQ46" i="32"/>
  <c r="AK46" i="32"/>
  <c r="AF46" i="32"/>
  <c r="BP46" i="32"/>
  <c r="AA46" i="32"/>
  <c r="BO46" i="32"/>
  <c r="V46" i="32"/>
  <c r="BN46" i="32"/>
  <c r="Q46" i="32"/>
  <c r="BM46" i="32"/>
  <c r="L46" i="32"/>
  <c r="BL46" i="32"/>
  <c r="BE45" i="32"/>
  <c r="BT45" i="32"/>
  <c r="AZ45" i="32"/>
  <c r="BS45" i="32"/>
  <c r="AP45" i="32"/>
  <c r="BQ45" i="32"/>
  <c r="AK45" i="32"/>
  <c r="AF45" i="32"/>
  <c r="BP45" i="32"/>
  <c r="AA45" i="32"/>
  <c r="BO45" i="32"/>
  <c r="V45" i="32"/>
  <c r="BN45" i="32"/>
  <c r="Q45" i="32"/>
  <c r="BM45" i="32"/>
  <c r="L45" i="32"/>
  <c r="BL45" i="32"/>
  <c r="BE44" i="32"/>
  <c r="BT44" i="32"/>
  <c r="AZ44" i="32"/>
  <c r="BS44" i="32"/>
  <c r="AP44" i="32"/>
  <c r="BQ44" i="32"/>
  <c r="AK44" i="32"/>
  <c r="AF44" i="32"/>
  <c r="BP44" i="32"/>
  <c r="AA44" i="32"/>
  <c r="BO44" i="32"/>
  <c r="V44" i="32"/>
  <c r="BN44" i="32"/>
  <c r="Q44" i="32"/>
  <c r="BM44" i="32"/>
  <c r="L44" i="32"/>
  <c r="BL44" i="32"/>
  <c r="BE43" i="32"/>
  <c r="BT43" i="32"/>
  <c r="AZ43" i="32"/>
  <c r="BS43" i="32"/>
  <c r="AP43" i="32"/>
  <c r="BQ43" i="32"/>
  <c r="AK43" i="32"/>
  <c r="AF43" i="32"/>
  <c r="BP43" i="32"/>
  <c r="AA43" i="32"/>
  <c r="BO43" i="32"/>
  <c r="V43" i="32"/>
  <c r="BN43" i="32"/>
  <c r="Q43" i="32"/>
  <c r="BM43" i="32"/>
  <c r="L43" i="32"/>
  <c r="BL43" i="32"/>
  <c r="BE42" i="32"/>
  <c r="BT42" i="32"/>
  <c r="AZ42" i="32"/>
  <c r="BS42" i="32"/>
  <c r="AP42" i="32"/>
  <c r="BQ42" i="32"/>
  <c r="AK42" i="32"/>
  <c r="AF42" i="32"/>
  <c r="BP42" i="32"/>
  <c r="AA42" i="32"/>
  <c r="BO42" i="32"/>
  <c r="V42" i="32"/>
  <c r="BN42" i="32"/>
  <c r="Q42" i="32"/>
  <c r="BM42" i="32"/>
  <c r="L42" i="32"/>
  <c r="BL42" i="32"/>
  <c r="BE41" i="32"/>
  <c r="BT41" i="32"/>
  <c r="AZ41" i="32"/>
  <c r="BS41" i="32"/>
  <c r="AP41" i="32"/>
  <c r="BQ41" i="32"/>
  <c r="AK41" i="32"/>
  <c r="AF41" i="32"/>
  <c r="BP41" i="32"/>
  <c r="AA41" i="32"/>
  <c r="BO41" i="32"/>
  <c r="V41" i="32"/>
  <c r="BN41" i="32"/>
  <c r="Q41" i="32"/>
  <c r="BM41" i="32"/>
  <c r="L41" i="32"/>
  <c r="BL41" i="32"/>
  <c r="BE40" i="32"/>
  <c r="BT40" i="32"/>
  <c r="AZ40" i="32"/>
  <c r="BS40" i="32"/>
  <c r="AP40" i="32"/>
  <c r="BQ40" i="32"/>
  <c r="AK40" i="32"/>
  <c r="AF40" i="32"/>
  <c r="BP40" i="32"/>
  <c r="AA40" i="32"/>
  <c r="BO40" i="32"/>
  <c r="V40" i="32"/>
  <c r="BN40" i="32"/>
  <c r="Q40" i="32"/>
  <c r="BM40" i="32"/>
  <c r="L40" i="32"/>
  <c r="BL40" i="32"/>
  <c r="BE39" i="32"/>
  <c r="BT39" i="32"/>
  <c r="AZ39" i="32"/>
  <c r="BS39" i="32"/>
  <c r="AP39" i="32"/>
  <c r="BQ39" i="32"/>
  <c r="AK39" i="32"/>
  <c r="AF39" i="32"/>
  <c r="BP39" i="32"/>
  <c r="AA39" i="32"/>
  <c r="BO39" i="32"/>
  <c r="V39" i="32"/>
  <c r="BN39" i="32"/>
  <c r="Q39" i="32"/>
  <c r="BM39" i="32"/>
  <c r="L39" i="32"/>
  <c r="BL39" i="32"/>
  <c r="BE38" i="32"/>
  <c r="BT38" i="32"/>
  <c r="AZ38" i="32"/>
  <c r="BS38" i="32"/>
  <c r="AP38" i="32"/>
  <c r="BQ38" i="32"/>
  <c r="AK38" i="32"/>
  <c r="AF38" i="32"/>
  <c r="BP38" i="32"/>
  <c r="AA38" i="32"/>
  <c r="BO38" i="32"/>
  <c r="V38" i="32"/>
  <c r="BN38" i="32"/>
  <c r="Q38" i="32"/>
  <c r="BM38" i="32"/>
  <c r="L38" i="32"/>
  <c r="BL38" i="32"/>
  <c r="BE37" i="32"/>
  <c r="BT37" i="32"/>
  <c r="AZ37" i="32"/>
  <c r="BS37" i="32"/>
  <c r="AP37" i="32"/>
  <c r="BQ37" i="32"/>
  <c r="AK37" i="32"/>
  <c r="AF37" i="32"/>
  <c r="BP37" i="32"/>
  <c r="AA37" i="32"/>
  <c r="BO37" i="32"/>
  <c r="V37" i="32"/>
  <c r="BN37" i="32"/>
  <c r="Q37" i="32"/>
  <c r="BM37" i="32"/>
  <c r="L37" i="32"/>
  <c r="BL37" i="32"/>
  <c r="BE36" i="32"/>
  <c r="BT36" i="32"/>
  <c r="AZ36" i="32"/>
  <c r="BS36" i="32"/>
  <c r="AP36" i="32"/>
  <c r="BQ36" i="32"/>
  <c r="AK36" i="32"/>
  <c r="AF36" i="32"/>
  <c r="BP36" i="32"/>
  <c r="AA36" i="32"/>
  <c r="BO36" i="32"/>
  <c r="V36" i="32"/>
  <c r="BN36" i="32"/>
  <c r="Q36" i="32"/>
  <c r="BM36" i="32"/>
  <c r="L36" i="32"/>
  <c r="BL36" i="32"/>
  <c r="BE35" i="32"/>
  <c r="BT35" i="32"/>
  <c r="AZ35" i="32"/>
  <c r="BS35" i="32"/>
  <c r="AP35" i="32"/>
  <c r="BQ35" i="32"/>
  <c r="AK35" i="32"/>
  <c r="AF35" i="32"/>
  <c r="BP35" i="32"/>
  <c r="AA35" i="32"/>
  <c r="BO35" i="32"/>
  <c r="V35" i="32"/>
  <c r="BN35" i="32"/>
  <c r="Q35" i="32"/>
  <c r="BM35" i="32"/>
  <c r="L35" i="32"/>
  <c r="BL35" i="32"/>
  <c r="BE34" i="32"/>
  <c r="BT34" i="32"/>
  <c r="AZ34" i="32"/>
  <c r="BS34" i="32"/>
  <c r="AP34" i="32"/>
  <c r="BQ34" i="32"/>
  <c r="AK34" i="32"/>
  <c r="AF34" i="32"/>
  <c r="BP34" i="32"/>
  <c r="AA34" i="32"/>
  <c r="BO34" i="32"/>
  <c r="V34" i="32"/>
  <c r="BN34" i="32"/>
  <c r="Q34" i="32"/>
  <c r="BM34" i="32"/>
  <c r="L34" i="32"/>
  <c r="BL34" i="32"/>
  <c r="BE33" i="32"/>
  <c r="BT33" i="32"/>
  <c r="AZ33" i="32"/>
  <c r="BS33" i="32"/>
  <c r="AP33" i="32"/>
  <c r="BQ33" i="32"/>
  <c r="AK33" i="32"/>
  <c r="AF33" i="32"/>
  <c r="BP33" i="32"/>
  <c r="AA33" i="32"/>
  <c r="BO33" i="32"/>
  <c r="V33" i="32"/>
  <c r="BN33" i="32"/>
  <c r="Q33" i="32"/>
  <c r="BM33" i="32"/>
  <c r="L33" i="32"/>
  <c r="BL33" i="32"/>
  <c r="BE32" i="32"/>
  <c r="BT32" i="32"/>
  <c r="AZ32" i="32"/>
  <c r="BS32" i="32"/>
  <c r="AP32" i="32"/>
  <c r="BQ32" i="32"/>
  <c r="AK32" i="32"/>
  <c r="AF32" i="32"/>
  <c r="BP32" i="32"/>
  <c r="AA32" i="32"/>
  <c r="BO32" i="32"/>
  <c r="V32" i="32"/>
  <c r="BN32" i="32"/>
  <c r="Q32" i="32"/>
  <c r="BM32" i="32"/>
  <c r="L32" i="32"/>
  <c r="BL32" i="32"/>
  <c r="BE31" i="32"/>
  <c r="BT31" i="32"/>
  <c r="AZ31" i="32"/>
  <c r="BS31" i="32"/>
  <c r="AP31" i="32"/>
  <c r="BQ31" i="32"/>
  <c r="AK31" i="32"/>
  <c r="AF31" i="32"/>
  <c r="BP31" i="32"/>
  <c r="AA31" i="32"/>
  <c r="BO31" i="32"/>
  <c r="V31" i="32"/>
  <c r="BN31" i="32"/>
  <c r="Q31" i="32"/>
  <c r="BM31" i="32"/>
  <c r="L31" i="32"/>
  <c r="BL31" i="32"/>
  <c r="BE30" i="32"/>
  <c r="BT30" i="32"/>
  <c r="AZ30" i="32"/>
  <c r="BS30" i="32"/>
  <c r="AP30" i="32"/>
  <c r="BQ30" i="32"/>
  <c r="AK30" i="32"/>
  <c r="AF30" i="32"/>
  <c r="BP30" i="32"/>
  <c r="AA30" i="32"/>
  <c r="BO30" i="32"/>
  <c r="V30" i="32"/>
  <c r="BN30" i="32"/>
  <c r="Q30" i="32"/>
  <c r="BM30" i="32"/>
  <c r="L30" i="32"/>
  <c r="BL30" i="32"/>
  <c r="BE29" i="32"/>
  <c r="BT29" i="32"/>
  <c r="AZ29" i="32"/>
  <c r="BS29" i="32"/>
  <c r="AP29" i="32"/>
  <c r="BQ29" i="32"/>
  <c r="AK29" i="32"/>
  <c r="AF29" i="32"/>
  <c r="BP29" i="32"/>
  <c r="AA29" i="32"/>
  <c r="BO29" i="32"/>
  <c r="V29" i="32"/>
  <c r="BN29" i="32"/>
  <c r="Q29" i="32"/>
  <c r="BM29" i="32"/>
  <c r="L29" i="32"/>
  <c r="BL29" i="32"/>
  <c r="BE28" i="32"/>
  <c r="BT28" i="32"/>
  <c r="AZ28" i="32"/>
  <c r="BS28" i="32"/>
  <c r="AP28" i="32"/>
  <c r="BQ28" i="32"/>
  <c r="AK28" i="32"/>
  <c r="AF28" i="32"/>
  <c r="BP28" i="32"/>
  <c r="AA28" i="32"/>
  <c r="BO28" i="32"/>
  <c r="V28" i="32"/>
  <c r="BN28" i="32"/>
  <c r="Q28" i="32"/>
  <c r="BM28" i="32"/>
  <c r="L28" i="32"/>
  <c r="BL28" i="32"/>
  <c r="BE27" i="32"/>
  <c r="BT27" i="32"/>
  <c r="AZ27" i="32"/>
  <c r="BS27" i="32"/>
  <c r="AP27" i="32"/>
  <c r="BQ27" i="32"/>
  <c r="AK27" i="32"/>
  <c r="AF27" i="32"/>
  <c r="BP27" i="32"/>
  <c r="AA27" i="32"/>
  <c r="BO27" i="32"/>
  <c r="V27" i="32"/>
  <c r="BN27" i="32"/>
  <c r="Q27" i="32"/>
  <c r="BM27" i="32"/>
  <c r="L27" i="32"/>
  <c r="BL27" i="32"/>
  <c r="BE26" i="32"/>
  <c r="BT26" i="32"/>
  <c r="AZ26" i="32"/>
  <c r="BS26" i="32"/>
  <c r="AP26" i="32"/>
  <c r="BQ26" i="32"/>
  <c r="AK26" i="32"/>
  <c r="AF26" i="32"/>
  <c r="BP26" i="32"/>
  <c r="AA26" i="32"/>
  <c r="BO26" i="32"/>
  <c r="V26" i="32"/>
  <c r="BN26" i="32"/>
  <c r="Q26" i="32"/>
  <c r="BM26" i="32"/>
  <c r="L26" i="32"/>
  <c r="BL26" i="32"/>
  <c r="BE25" i="32"/>
  <c r="BT25" i="32"/>
  <c r="AZ25" i="32"/>
  <c r="BS25" i="32"/>
  <c r="AP25" i="32"/>
  <c r="BQ25" i="32"/>
  <c r="AK25" i="32"/>
  <c r="AF25" i="32"/>
  <c r="BP25" i="32"/>
  <c r="AA25" i="32"/>
  <c r="BO25" i="32"/>
  <c r="V25" i="32"/>
  <c r="BN25" i="32"/>
  <c r="Q25" i="32"/>
  <c r="BM25" i="32"/>
  <c r="L25" i="32"/>
  <c r="BL25" i="32"/>
  <c r="BE24" i="32"/>
  <c r="BT24" i="32"/>
  <c r="AZ24" i="32"/>
  <c r="BS24" i="32"/>
  <c r="AP24" i="32"/>
  <c r="BQ24" i="32"/>
  <c r="AK24" i="32"/>
  <c r="AF24" i="32"/>
  <c r="BP24" i="32"/>
  <c r="AA24" i="32"/>
  <c r="BO24" i="32"/>
  <c r="V24" i="32"/>
  <c r="BN24" i="32"/>
  <c r="Q24" i="32"/>
  <c r="BM24" i="32"/>
  <c r="L24" i="32"/>
  <c r="BL24" i="32"/>
  <c r="BE23" i="32"/>
  <c r="BT23" i="32"/>
  <c r="AZ23" i="32"/>
  <c r="BS23" i="32"/>
  <c r="AP23" i="32"/>
  <c r="BQ23" i="32"/>
  <c r="AK23" i="32"/>
  <c r="AF23" i="32"/>
  <c r="BP23" i="32"/>
  <c r="AA23" i="32"/>
  <c r="BO23" i="32"/>
  <c r="V23" i="32"/>
  <c r="BN23" i="32"/>
  <c r="Q23" i="32"/>
  <c r="BM23" i="32"/>
  <c r="L23" i="32"/>
  <c r="BL23" i="32"/>
  <c r="B23" i="32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E22" i="32"/>
  <c r="AZ22" i="32"/>
  <c r="AP22" i="32"/>
  <c r="AK22" i="32"/>
  <c r="AF22" i="32"/>
  <c r="AA22" i="32"/>
  <c r="V22" i="32"/>
  <c r="Q22" i="32"/>
  <c r="L22" i="32"/>
  <c r="BM18" i="32"/>
  <c r="BN18" i="32" s="1"/>
  <c r="BO18" i="32" s="1"/>
  <c r="BP18" i="32" s="1"/>
  <c r="BQ18" i="32" s="1"/>
  <c r="BR18" i="32" s="1"/>
  <c r="BS18" i="32" s="1"/>
  <c r="BT18" i="32" s="1"/>
  <c r="N10" i="32"/>
  <c r="S10" i="32" s="1"/>
  <c r="X10" i="32" s="1"/>
  <c r="AC10" i="32" s="1"/>
  <c r="AH10" i="32" s="1"/>
  <c r="AM10" i="32" s="1"/>
  <c r="BC8" i="32"/>
  <c r="D59" i="32" s="1"/>
  <c r="AH51" i="32" l="1"/>
  <c r="AH52" i="32" s="1"/>
  <c r="AR18" i="32"/>
  <c r="AM17" i="32"/>
  <c r="AO17" i="32" s="1"/>
  <c r="BN22" i="32"/>
  <c r="BN52" i="32" s="1"/>
  <c r="S51" i="32"/>
  <c r="S52" i="32" s="1"/>
  <c r="BT22" i="32"/>
  <c r="BT52" i="32" s="1"/>
  <c r="BB51" i="32"/>
  <c r="BM22" i="32"/>
  <c r="BM51" i="32" s="1"/>
  <c r="N51" i="32"/>
  <c r="BO22" i="32"/>
  <c r="BO51" i="32" s="1"/>
  <c r="X51" i="32"/>
  <c r="X52" i="32" s="1"/>
  <c r="BL22" i="32"/>
  <c r="BL52" i="32" s="1"/>
  <c r="I51" i="32"/>
  <c r="BS22" i="32"/>
  <c r="BS51" i="32" s="1"/>
  <c r="AW51" i="32"/>
  <c r="AW52" i="32" s="1"/>
  <c r="BP22" i="32"/>
  <c r="BP52" i="32" s="1"/>
  <c r="AC51" i="32"/>
  <c r="BQ22" i="32"/>
  <c r="BQ52" i="32" s="1"/>
  <c r="AM51" i="32"/>
  <c r="BR22" i="32"/>
  <c r="BR52" i="32" s="1"/>
  <c r="AR51" i="32"/>
  <c r="AR52" i="32" s="1"/>
  <c r="AM20" i="32"/>
  <c r="AR20" i="32"/>
  <c r="AW20" i="32"/>
  <c r="AW18" i="32"/>
  <c r="BS19" i="32"/>
  <c r="AR10" i="32"/>
  <c r="AW10" i="32" s="1"/>
  <c r="BB10" i="32" s="1"/>
  <c r="BT19" i="32"/>
  <c r="CA36" i="32"/>
  <c r="CC36" i="32" s="1"/>
  <c r="BX41" i="32"/>
  <c r="BZ41" i="32" s="1"/>
  <c r="BR19" i="32"/>
  <c r="CA25" i="32"/>
  <c r="CC25" i="32" s="1"/>
  <c r="CA39" i="32"/>
  <c r="CC39" i="32" s="1"/>
  <c r="BU30" i="32"/>
  <c r="BU28" i="32"/>
  <c r="CA26" i="32"/>
  <c r="CC26" i="32" s="1"/>
  <c r="CA48" i="32"/>
  <c r="CC48" i="32" s="1"/>
  <c r="CA27" i="32"/>
  <c r="CC27" i="32" s="1"/>
  <c r="BX27" i="32"/>
  <c r="BX25" i="32"/>
  <c r="BZ25" i="32" s="1"/>
  <c r="BU33" i="32"/>
  <c r="BX31" i="32"/>
  <c r="BZ31" i="32" s="1"/>
  <c r="BU25" i="32"/>
  <c r="CA38" i="32"/>
  <c r="CC38" i="32" s="1"/>
  <c r="BU42" i="32"/>
  <c r="BX29" i="32"/>
  <c r="BZ29" i="32" s="1"/>
  <c r="BU40" i="32"/>
  <c r="BX50" i="32"/>
  <c r="BZ50" i="32" s="1"/>
  <c r="CA35" i="32"/>
  <c r="CA30" i="32"/>
  <c r="BX30" i="32"/>
  <c r="CA50" i="32"/>
  <c r="BX39" i="32"/>
  <c r="BU39" i="32"/>
  <c r="CA45" i="32"/>
  <c r="BX45" i="32"/>
  <c r="BU45" i="32"/>
  <c r="BX36" i="32"/>
  <c r="BU36" i="32"/>
  <c r="BX38" i="32"/>
  <c r="CA40" i="32"/>
  <c r="BX34" i="32"/>
  <c r="BU34" i="32"/>
  <c r="CA34" i="32"/>
  <c r="BU37" i="32"/>
  <c r="CA37" i="32"/>
  <c r="BX37" i="32"/>
  <c r="BX47" i="32"/>
  <c r="BU47" i="32"/>
  <c r="BX32" i="32"/>
  <c r="CA32" i="32"/>
  <c r="BU32" i="32"/>
  <c r="BU26" i="32"/>
  <c r="BX42" i="32"/>
  <c r="BU49" i="32"/>
  <c r="CA49" i="32"/>
  <c r="BX49" i="32"/>
  <c r="BX26" i="32"/>
  <c r="BX35" i="32"/>
  <c r="BU35" i="32"/>
  <c r="BX40" i="32"/>
  <c r="CA46" i="32"/>
  <c r="BX48" i="32"/>
  <c r="BU48" i="32"/>
  <c r="CA28" i="32"/>
  <c r="BX28" i="32"/>
  <c r="BX24" i="32"/>
  <c r="BU24" i="32"/>
  <c r="CA24" i="32"/>
  <c r="CA47" i="32"/>
  <c r="BU23" i="32"/>
  <c r="CA23" i="32"/>
  <c r="BX23" i="32"/>
  <c r="BU27" i="32"/>
  <c r="CA41" i="32"/>
  <c r="BU41" i="32"/>
  <c r="CA29" i="32"/>
  <c r="CA43" i="32"/>
  <c r="BU43" i="32"/>
  <c r="BU38" i="32"/>
  <c r="BX43" i="32"/>
  <c r="BU50" i="32"/>
  <c r="CA31" i="32"/>
  <c r="CA33" i="32"/>
  <c r="BX33" i="32"/>
  <c r="CA42" i="32"/>
  <c r="CA44" i="32"/>
  <c r="BX44" i="32"/>
  <c r="BU44" i="32"/>
  <c r="BX46" i="32"/>
  <c r="BU46" i="32"/>
  <c r="BU29" i="32"/>
  <c r="BU31" i="32"/>
  <c r="AW58" i="32" l="1"/>
  <c r="AW59" i="32" s="1"/>
  <c r="BB58" i="32"/>
  <c r="BB59" i="32" s="1"/>
  <c r="BP51" i="32"/>
  <c r="BN51" i="32"/>
  <c r="BM52" i="32"/>
  <c r="BT51" i="32"/>
  <c r="BR51" i="32"/>
  <c r="BO52" i="32"/>
  <c r="BQ51" i="32"/>
  <c r="BS52" i="32"/>
  <c r="BL51" i="32"/>
  <c r="AM52" i="32"/>
  <c r="AC52" i="32"/>
  <c r="N52" i="32"/>
  <c r="I52" i="32"/>
  <c r="BW31" i="32"/>
  <c r="BV31" i="32"/>
  <c r="BW29" i="32"/>
  <c r="BV29" i="32"/>
  <c r="BW34" i="32"/>
  <c r="BV34" i="32"/>
  <c r="BW42" i="32"/>
  <c r="BV42" i="32"/>
  <c r="BW28" i="32"/>
  <c r="BV28" i="32"/>
  <c r="BW37" i="32"/>
  <c r="BV37" i="32"/>
  <c r="BW27" i="32"/>
  <c r="BV27" i="32"/>
  <c r="BW44" i="32"/>
  <c r="BV44" i="32"/>
  <c r="BW39" i="32"/>
  <c r="BV39" i="32"/>
  <c r="BW32" i="32"/>
  <c r="BV32" i="32"/>
  <c r="BW25" i="32"/>
  <c r="BV25" i="32"/>
  <c r="BW47" i="32"/>
  <c r="BV47" i="32"/>
  <c r="BW33" i="32"/>
  <c r="BV33" i="32"/>
  <c r="BW41" i="32"/>
  <c r="BV41" i="32"/>
  <c r="BW40" i="32"/>
  <c r="BV40" i="32"/>
  <c r="BW46" i="32"/>
  <c r="BV46" i="32"/>
  <c r="BW50" i="32"/>
  <c r="BV50" i="32"/>
  <c r="BW23" i="32"/>
  <c r="BV23" i="32"/>
  <c r="BW30" i="32"/>
  <c r="BV30" i="32"/>
  <c r="BW35" i="32"/>
  <c r="BV35" i="32"/>
  <c r="BW36" i="32"/>
  <c r="BV36" i="32"/>
  <c r="BW24" i="32"/>
  <c r="BV24" i="32"/>
  <c r="BW45" i="32"/>
  <c r="BV45" i="32"/>
  <c r="BW49" i="32"/>
  <c r="BV49" i="32"/>
  <c r="BW26" i="32"/>
  <c r="BV26" i="32"/>
  <c r="BW48" i="32"/>
  <c r="BV48" i="32"/>
  <c r="BW38" i="32"/>
  <c r="BV38" i="32"/>
  <c r="BW43" i="32"/>
  <c r="BV43" i="32"/>
  <c r="AR17" i="32"/>
  <c r="AT17" i="32" s="1"/>
  <c r="AW17" i="32"/>
  <c r="AY17" i="32" s="1"/>
  <c r="CB27" i="32"/>
  <c r="AM18" i="32"/>
  <c r="CB36" i="32"/>
  <c r="CB48" i="32"/>
  <c r="CB26" i="32"/>
  <c r="BY27" i="32"/>
  <c r="BY31" i="32"/>
  <c r="CA22" i="32"/>
  <c r="CC22" i="32" s="1"/>
  <c r="BY41" i="32"/>
  <c r="BU22" i="32"/>
  <c r="BV22" i="32" s="1"/>
  <c r="CB25" i="32"/>
  <c r="BX22" i="32"/>
  <c r="BY25" i="32"/>
  <c r="BZ27" i="32"/>
  <c r="CB23" i="32"/>
  <c r="CC23" i="32"/>
  <c r="CC28" i="32"/>
  <c r="CB28" i="32"/>
  <c r="BY49" i="32"/>
  <c r="BZ49" i="32"/>
  <c r="BZ38" i="32"/>
  <c r="BY38" i="32"/>
  <c r="BZ45" i="32"/>
  <c r="BY45" i="32"/>
  <c r="CB44" i="32"/>
  <c r="CC44" i="32"/>
  <c r="BZ43" i="32"/>
  <c r="BY43" i="32"/>
  <c r="BY33" i="32"/>
  <c r="BZ33" i="32"/>
  <c r="CB38" i="32"/>
  <c r="BZ42" i="32"/>
  <c r="BY42" i="32"/>
  <c r="BY47" i="32"/>
  <c r="BZ47" i="32"/>
  <c r="CC33" i="32"/>
  <c r="CB33" i="32"/>
  <c r="CB39" i="32"/>
  <c r="CC31" i="32"/>
  <c r="CB31" i="32"/>
  <c r="CC29" i="32"/>
  <c r="CB29" i="32"/>
  <c r="CC47" i="32"/>
  <c r="CB47" i="32"/>
  <c r="BY40" i="32"/>
  <c r="BZ40" i="32"/>
  <c r="CC24" i="32"/>
  <c r="CB24" i="32"/>
  <c r="CC34" i="32"/>
  <c r="CB34" i="32"/>
  <c r="BZ30" i="32"/>
  <c r="BY30" i="32"/>
  <c r="CC41" i="32"/>
  <c r="CB41" i="32"/>
  <c r="BY35" i="32"/>
  <c r="BZ35" i="32"/>
  <c r="CB32" i="32"/>
  <c r="CC32" i="32"/>
  <c r="CB30" i="32"/>
  <c r="CC30" i="32"/>
  <c r="BZ46" i="32"/>
  <c r="BY46" i="32"/>
  <c r="BZ24" i="32"/>
  <c r="BY24" i="32"/>
  <c r="BY26" i="32"/>
  <c r="BZ26" i="32"/>
  <c r="BZ32" i="32"/>
  <c r="BY32" i="32"/>
  <c r="BZ34" i="32"/>
  <c r="BY34" i="32"/>
  <c r="BY36" i="32"/>
  <c r="BZ36" i="32"/>
  <c r="BY23" i="32"/>
  <c r="BZ23" i="32"/>
  <c r="BZ28" i="32"/>
  <c r="BY28" i="32"/>
  <c r="CC40" i="32"/>
  <c r="CB40" i="32"/>
  <c r="BZ44" i="32"/>
  <c r="BY44" i="32"/>
  <c r="CC49" i="32"/>
  <c r="CB49" i="32"/>
  <c r="CC45" i="32"/>
  <c r="CB45" i="32"/>
  <c r="CC42" i="32"/>
  <c r="CB42" i="32"/>
  <c r="BY50" i="32"/>
  <c r="BY48" i="32"/>
  <c r="BZ48" i="32"/>
  <c r="BY37" i="32"/>
  <c r="BZ37" i="32"/>
  <c r="CC43" i="32"/>
  <c r="CB43" i="32"/>
  <c r="BB52" i="32"/>
  <c r="CC46" i="32"/>
  <c r="CB46" i="32"/>
  <c r="CC37" i="32"/>
  <c r="CB37" i="32"/>
  <c r="BY29" i="32"/>
  <c r="BZ39" i="32"/>
  <c r="BY39" i="32"/>
  <c r="CB50" i="32"/>
  <c r="CC50" i="32"/>
  <c r="CC35" i="32"/>
  <c r="CB35" i="32"/>
  <c r="BX51" i="32" l="1"/>
  <c r="CA51" i="32"/>
  <c r="BU51" i="32"/>
  <c r="BW51" i="32" s="1"/>
  <c r="BW22" i="32"/>
  <c r="BY22" i="32"/>
  <c r="BZ22" i="32"/>
  <c r="CB22" i="32"/>
  <c r="V50" i="30"/>
  <c r="V49" i="30"/>
  <c r="V48" i="30"/>
  <c r="V47" i="30"/>
  <c r="V46" i="30"/>
  <c r="V45" i="30"/>
  <c r="V44" i="30"/>
  <c r="V43" i="30"/>
  <c r="V42" i="30"/>
  <c r="V41" i="30"/>
  <c r="V40" i="30"/>
  <c r="V39" i="30"/>
  <c r="V38" i="30"/>
  <c r="V37" i="30"/>
  <c r="V36" i="30"/>
  <c r="V35" i="30"/>
  <c r="V34" i="30"/>
  <c r="V33" i="30"/>
  <c r="V32" i="30"/>
  <c r="V31" i="30"/>
  <c r="V30" i="30"/>
  <c r="V29" i="30"/>
  <c r="V28" i="30"/>
  <c r="V27" i="30"/>
  <c r="Q50" i="30"/>
  <c r="Q49" i="30"/>
  <c r="Q48" i="30"/>
  <c r="Q47" i="30"/>
  <c r="Q46" i="30"/>
  <c r="Q45" i="30"/>
  <c r="Q44" i="30"/>
  <c r="Q43" i="30"/>
  <c r="Q42" i="30"/>
  <c r="Q41" i="30"/>
  <c r="Q40" i="30"/>
  <c r="Q39" i="30"/>
  <c r="Q38" i="30"/>
  <c r="Q37" i="30"/>
  <c r="Q36" i="30"/>
  <c r="Q35" i="30"/>
  <c r="Q34" i="30"/>
  <c r="Q33" i="30"/>
  <c r="Q32" i="30"/>
  <c r="Q31" i="30"/>
  <c r="Q30" i="30"/>
  <c r="Q29" i="30"/>
  <c r="Q28" i="30"/>
  <c r="Q27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Q51" i="29"/>
  <c r="Q50" i="29"/>
  <c r="Q49" i="29"/>
  <c r="Q48" i="29"/>
  <c r="Q47" i="29"/>
  <c r="Q46" i="29"/>
  <c r="Q45" i="29"/>
  <c r="Q44" i="29"/>
  <c r="Q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8" i="29"/>
  <c r="Q27" i="29"/>
  <c r="Q26" i="29"/>
  <c r="Q25" i="29"/>
  <c r="Q24" i="29"/>
  <c r="V51" i="29"/>
  <c r="V50" i="29"/>
  <c r="V49" i="29"/>
  <c r="V48" i="29"/>
  <c r="V47" i="29"/>
  <c r="V46" i="29"/>
  <c r="V45" i="29"/>
  <c r="V44" i="29"/>
  <c r="V43" i="29"/>
  <c r="V42" i="29"/>
  <c r="V41" i="29"/>
  <c r="V40" i="29"/>
  <c r="V39" i="29"/>
  <c r="V38" i="29"/>
  <c r="V37" i="29"/>
  <c r="V36" i="29"/>
  <c r="V35" i="29"/>
  <c r="V34" i="29"/>
  <c r="V33" i="29"/>
  <c r="V32" i="29"/>
  <c r="V31" i="29"/>
  <c r="V30" i="29"/>
  <c r="V29" i="29"/>
  <c r="V28" i="29"/>
  <c r="V27" i="29"/>
  <c r="V26" i="29"/>
  <c r="V25" i="29"/>
  <c r="V24" i="29"/>
  <c r="AA51" i="29"/>
  <c r="AA50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25" i="29"/>
  <c r="AA24" i="29"/>
  <c r="AA23" i="29"/>
  <c r="V23" i="29"/>
  <c r="Q23" i="29"/>
  <c r="L23" i="29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Q51" i="28"/>
  <c r="Q50" i="28"/>
  <c r="Q49" i="28"/>
  <c r="Q48" i="28"/>
  <c r="Q47" i="28"/>
  <c r="Q46" i="28"/>
  <c r="Q45" i="28"/>
  <c r="Q44" i="28"/>
  <c r="Q43" i="28"/>
  <c r="Q42" i="28"/>
  <c r="Q41" i="28"/>
  <c r="Q40" i="28"/>
  <c r="Q39" i="28"/>
  <c r="Q38" i="28"/>
  <c r="Q37" i="28"/>
  <c r="Q36" i="28"/>
  <c r="Q35" i="28"/>
  <c r="Q34" i="28"/>
  <c r="Q33" i="28"/>
  <c r="Q32" i="28"/>
  <c r="Q31" i="28"/>
  <c r="Q30" i="28"/>
  <c r="Q29" i="28"/>
  <c r="Q28" i="28"/>
  <c r="Q27" i="28"/>
  <c r="Q26" i="28"/>
  <c r="Q25" i="28"/>
  <c r="V51" i="28"/>
  <c r="V50" i="28"/>
  <c r="V49" i="28"/>
  <c r="V48" i="28"/>
  <c r="V47" i="28"/>
  <c r="V46" i="28"/>
  <c r="V45" i="28"/>
  <c r="V44" i="28"/>
  <c r="V43" i="28"/>
  <c r="V42" i="28"/>
  <c r="V41" i="28"/>
  <c r="V40" i="28"/>
  <c r="V39" i="28"/>
  <c r="V38" i="28"/>
  <c r="V37" i="28"/>
  <c r="V36" i="28"/>
  <c r="V35" i="28"/>
  <c r="V34" i="28"/>
  <c r="V33" i="28"/>
  <c r="V32" i="28"/>
  <c r="V31" i="28"/>
  <c r="V30" i="28"/>
  <c r="V29" i="28"/>
  <c r="V28" i="28"/>
  <c r="V27" i="28"/>
  <c r="V26" i="28"/>
  <c r="V25" i="28"/>
  <c r="V24" i="28"/>
  <c r="AA51" i="28"/>
  <c r="AA50" i="28"/>
  <c r="AA49" i="28"/>
  <c r="AA48" i="28"/>
  <c r="AA47" i="28"/>
  <c r="AA46" i="28"/>
  <c r="AA45" i="28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25" i="28"/>
  <c r="AF51" i="28"/>
  <c r="AF50" i="28"/>
  <c r="AF49" i="28"/>
  <c r="AF48" i="28"/>
  <c r="AF47" i="28"/>
  <c r="AF46" i="28"/>
  <c r="AF45" i="28"/>
  <c r="AF44" i="28"/>
  <c r="AF43" i="28"/>
  <c r="AF42" i="28"/>
  <c r="AF41" i="28"/>
  <c r="AF40" i="28"/>
  <c r="AF39" i="28"/>
  <c r="AF38" i="28"/>
  <c r="AF37" i="28"/>
  <c r="AF36" i="28"/>
  <c r="AF35" i="28"/>
  <c r="AF34" i="28"/>
  <c r="AF33" i="28"/>
  <c r="AF32" i="28"/>
  <c r="AF31" i="28"/>
  <c r="AF30" i="28"/>
  <c r="AF29" i="28"/>
  <c r="AF28" i="28"/>
  <c r="AF27" i="28"/>
  <c r="AF26" i="28"/>
  <c r="AF25" i="28"/>
  <c r="AF24" i="28"/>
  <c r="AF23" i="28"/>
  <c r="V23" i="28"/>
  <c r="L51" i="27"/>
  <c r="L50" i="27"/>
  <c r="L49" i="27"/>
  <c r="L48" i="27"/>
  <c r="L47" i="27"/>
  <c r="L46" i="27"/>
  <c r="L45" i="27"/>
  <c r="L44" i="27"/>
  <c r="L43" i="27"/>
  <c r="L42" i="27"/>
  <c r="L41" i="27"/>
  <c r="L40" i="27"/>
  <c r="L39" i="27"/>
  <c r="L38" i="27"/>
  <c r="L37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Q51" i="27"/>
  <c r="Q50" i="27"/>
  <c r="Q49" i="27"/>
  <c r="Q48" i="27"/>
  <c r="Q47" i="27"/>
  <c r="Q46" i="27"/>
  <c r="Q45" i="27"/>
  <c r="Q44" i="27"/>
  <c r="Q43" i="27"/>
  <c r="Q42" i="27"/>
  <c r="Q41" i="27"/>
  <c r="Q40" i="27"/>
  <c r="Q39" i="27"/>
  <c r="Q38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V51" i="27"/>
  <c r="V50" i="27"/>
  <c r="V49" i="27"/>
  <c r="V48" i="27"/>
  <c r="V47" i="27"/>
  <c r="V46" i="27"/>
  <c r="V45" i="27"/>
  <c r="V44" i="27"/>
  <c r="V43" i="27"/>
  <c r="V42" i="27"/>
  <c r="V41" i="27"/>
  <c r="V40" i="27"/>
  <c r="V39" i="27"/>
  <c r="V38" i="27"/>
  <c r="V37" i="27"/>
  <c r="V36" i="27"/>
  <c r="V35" i="27"/>
  <c r="V34" i="27"/>
  <c r="V33" i="27"/>
  <c r="V32" i="27"/>
  <c r="V31" i="27"/>
  <c r="V30" i="27"/>
  <c r="V29" i="27"/>
  <c r="V28" i="27"/>
  <c r="V27" i="27"/>
  <c r="V26" i="27"/>
  <c r="V25" i="27"/>
  <c r="V24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25" i="27"/>
  <c r="AA24" i="27"/>
  <c r="AF51" i="27"/>
  <c r="AF50" i="27"/>
  <c r="AF49" i="27"/>
  <c r="AF48" i="27"/>
  <c r="AF47" i="27"/>
  <c r="AF46" i="27"/>
  <c r="AF45" i="27"/>
  <c r="AF44" i="27"/>
  <c r="AF43" i="27"/>
  <c r="AF42" i="27"/>
  <c r="AF41" i="27"/>
  <c r="AF40" i="27"/>
  <c r="AF39" i="27"/>
  <c r="AF38" i="27"/>
  <c r="AF37" i="27"/>
  <c r="AF36" i="27"/>
  <c r="AF35" i="27"/>
  <c r="AF34" i="27"/>
  <c r="AF33" i="27"/>
  <c r="AF32" i="27"/>
  <c r="AF31" i="27"/>
  <c r="AF30" i="27"/>
  <c r="AF29" i="27"/>
  <c r="AF28" i="27"/>
  <c r="AF27" i="27"/>
  <c r="AF26" i="27"/>
  <c r="AF25" i="27"/>
  <c r="AF24" i="27"/>
  <c r="AK51" i="27"/>
  <c r="AK50" i="27"/>
  <c r="AK49" i="27"/>
  <c r="AK48" i="27"/>
  <c r="AK47" i="27"/>
  <c r="AK46" i="27"/>
  <c r="AK45" i="27"/>
  <c r="AK44" i="27"/>
  <c r="AK43" i="27"/>
  <c r="AK42" i="27"/>
  <c r="AK41" i="27"/>
  <c r="AK40" i="27"/>
  <c r="AK39" i="27"/>
  <c r="AK38" i="27"/>
  <c r="AK37" i="27"/>
  <c r="AK36" i="27"/>
  <c r="AK35" i="27"/>
  <c r="AK34" i="27"/>
  <c r="AK33" i="27"/>
  <c r="AK32" i="27"/>
  <c r="AK31" i="27"/>
  <c r="AK30" i="27"/>
  <c r="AK29" i="27"/>
  <c r="AK28" i="27"/>
  <c r="AK27" i="27"/>
  <c r="AK26" i="27"/>
  <c r="AK25" i="27"/>
  <c r="AK24" i="27"/>
  <c r="AK23" i="27"/>
  <c r="AF23" i="27"/>
  <c r="AA23" i="27"/>
  <c r="V23" i="27"/>
  <c r="Q23" i="27"/>
  <c r="L23" i="27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V51" i="26"/>
  <c r="V50" i="26"/>
  <c r="V49" i="26"/>
  <c r="V48" i="26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27" i="26"/>
  <c r="V26" i="26"/>
  <c r="V25" i="26"/>
  <c r="V24" i="26"/>
  <c r="AA51" i="26"/>
  <c r="AA50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4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K51" i="26"/>
  <c r="AK50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30" i="26"/>
  <c r="AK29" i="26"/>
  <c r="AK28" i="26"/>
  <c r="AK27" i="26"/>
  <c r="AK26" i="26"/>
  <c r="AK25" i="26"/>
  <c r="AK24" i="26"/>
  <c r="AP51" i="26"/>
  <c r="AP50" i="26"/>
  <c r="AP49" i="26"/>
  <c r="AP48" i="26"/>
  <c r="AP47" i="26"/>
  <c r="AP46" i="26"/>
  <c r="AP45" i="26"/>
  <c r="AP44" i="26"/>
  <c r="AP43" i="26"/>
  <c r="AP42" i="26"/>
  <c r="AP41" i="26"/>
  <c r="AP40" i="26"/>
  <c r="AP39" i="26"/>
  <c r="AP38" i="26"/>
  <c r="AP37" i="26"/>
  <c r="AP36" i="26"/>
  <c r="AP35" i="26"/>
  <c r="AP34" i="26"/>
  <c r="AP33" i="26"/>
  <c r="AP32" i="26"/>
  <c r="AP31" i="26"/>
  <c r="AP30" i="26"/>
  <c r="AP29" i="26"/>
  <c r="AP28" i="26"/>
  <c r="AP27" i="26"/>
  <c r="AP26" i="26"/>
  <c r="AP25" i="26"/>
  <c r="AP24" i="26"/>
  <c r="AP23" i="26"/>
  <c r="AK23" i="26"/>
  <c r="AF23" i="26"/>
  <c r="AA23" i="26"/>
  <c r="V23" i="26"/>
  <c r="Q23" i="26"/>
  <c r="L23" i="26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V51" i="22"/>
  <c r="V50" i="22"/>
  <c r="V49" i="22"/>
  <c r="V48" i="22"/>
  <c r="V47" i="22"/>
  <c r="V46" i="22"/>
  <c r="V45" i="22"/>
  <c r="V44" i="22"/>
  <c r="V43" i="22"/>
  <c r="V42" i="22"/>
  <c r="V41" i="22"/>
  <c r="V40" i="22"/>
  <c r="V39" i="22"/>
  <c r="V38" i="22"/>
  <c r="V37" i="22"/>
  <c r="V36" i="22"/>
  <c r="V35" i="22"/>
  <c r="V34" i="22"/>
  <c r="V33" i="22"/>
  <c r="V32" i="22"/>
  <c r="V31" i="22"/>
  <c r="V30" i="22"/>
  <c r="V29" i="22"/>
  <c r="V28" i="22"/>
  <c r="V27" i="22"/>
  <c r="V26" i="22"/>
  <c r="V25" i="22"/>
  <c r="V24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F51" i="22"/>
  <c r="AF50" i="22"/>
  <c r="AF49" i="22"/>
  <c r="AF48" i="22"/>
  <c r="AF47" i="22"/>
  <c r="AF46" i="22"/>
  <c r="AF45" i="22"/>
  <c r="AF44" i="22"/>
  <c r="AF43" i="22"/>
  <c r="AF42" i="22"/>
  <c r="AF41" i="22"/>
  <c r="AF40" i="22"/>
  <c r="AF39" i="22"/>
  <c r="AF38" i="22"/>
  <c r="AF37" i="22"/>
  <c r="AF36" i="22"/>
  <c r="AF35" i="22"/>
  <c r="AF34" i="22"/>
  <c r="AF33" i="22"/>
  <c r="AF32" i="22"/>
  <c r="AF31" i="22"/>
  <c r="AF30" i="22"/>
  <c r="AF29" i="22"/>
  <c r="AF28" i="22"/>
  <c r="AF27" i="22"/>
  <c r="AF26" i="22"/>
  <c r="AF25" i="22"/>
  <c r="AF24" i="22"/>
  <c r="AK51" i="22"/>
  <c r="AK50" i="22"/>
  <c r="AK49" i="22"/>
  <c r="AK48" i="22"/>
  <c r="AK47" i="22"/>
  <c r="AK46" i="22"/>
  <c r="AK45" i="22"/>
  <c r="AK44" i="22"/>
  <c r="AK43" i="22"/>
  <c r="AK42" i="22"/>
  <c r="AK41" i="22"/>
  <c r="AK40" i="22"/>
  <c r="AK39" i="22"/>
  <c r="AK38" i="22"/>
  <c r="AK37" i="22"/>
  <c r="AK36" i="22"/>
  <c r="AK35" i="22"/>
  <c r="AK34" i="22"/>
  <c r="AK33" i="22"/>
  <c r="AK32" i="22"/>
  <c r="AK31" i="22"/>
  <c r="AK30" i="22"/>
  <c r="AK29" i="22"/>
  <c r="AK28" i="22"/>
  <c r="AK27" i="22"/>
  <c r="AK26" i="22"/>
  <c r="AK25" i="22"/>
  <c r="AK24" i="22"/>
  <c r="AP51" i="22"/>
  <c r="AP50" i="22"/>
  <c r="AP49" i="22"/>
  <c r="AP48" i="22"/>
  <c r="AP47" i="22"/>
  <c r="AP46" i="22"/>
  <c r="AP45" i="22"/>
  <c r="AP44" i="22"/>
  <c r="AP43" i="22"/>
  <c r="AP42" i="22"/>
  <c r="AP41" i="22"/>
  <c r="AP40" i="22"/>
  <c r="AP39" i="22"/>
  <c r="AP38" i="22"/>
  <c r="AP37" i="22"/>
  <c r="AP36" i="22"/>
  <c r="AP35" i="22"/>
  <c r="AP34" i="22"/>
  <c r="AP33" i="22"/>
  <c r="AP32" i="22"/>
  <c r="AP31" i="22"/>
  <c r="AP30" i="22"/>
  <c r="AP29" i="22"/>
  <c r="AP28" i="22"/>
  <c r="AP27" i="22"/>
  <c r="AP26" i="22"/>
  <c r="AP25" i="22"/>
  <c r="AP24" i="22"/>
  <c r="AU51" i="22"/>
  <c r="AU50" i="22"/>
  <c r="AU49" i="22"/>
  <c r="AU48" i="22"/>
  <c r="AU47" i="22"/>
  <c r="AU46" i="22"/>
  <c r="AU45" i="22"/>
  <c r="AU44" i="22"/>
  <c r="AU43" i="22"/>
  <c r="AU42" i="22"/>
  <c r="AU41" i="22"/>
  <c r="AU40" i="22"/>
  <c r="AU39" i="22"/>
  <c r="AU38" i="22"/>
  <c r="AU37" i="22"/>
  <c r="AU36" i="22"/>
  <c r="AU35" i="22"/>
  <c r="AU34" i="22"/>
  <c r="AU33" i="22"/>
  <c r="AU32" i="22"/>
  <c r="AU31" i="22"/>
  <c r="AU30" i="22"/>
  <c r="AU29" i="22"/>
  <c r="AU28" i="22"/>
  <c r="AU27" i="22"/>
  <c r="AU26" i="22"/>
  <c r="AU25" i="22"/>
  <c r="AU24" i="22"/>
  <c r="AU23" i="22"/>
  <c r="AP23" i="22"/>
  <c r="AK23" i="22"/>
  <c r="AF23" i="22"/>
  <c r="AA23" i="22"/>
  <c r="V23" i="22"/>
  <c r="Q23" i="22"/>
  <c r="L23" i="22"/>
  <c r="AZ51" i="20"/>
  <c r="AZ50" i="20"/>
  <c r="AZ49" i="20"/>
  <c r="AZ48" i="20"/>
  <c r="AZ47" i="20"/>
  <c r="AZ46" i="20"/>
  <c r="AZ45" i="20"/>
  <c r="AZ44" i="20"/>
  <c r="AZ43" i="20"/>
  <c r="AZ42" i="20"/>
  <c r="AZ41" i="20"/>
  <c r="AZ40" i="20"/>
  <c r="AZ39" i="20"/>
  <c r="AZ38" i="20"/>
  <c r="AZ37" i="20"/>
  <c r="AZ36" i="20"/>
  <c r="AZ35" i="20"/>
  <c r="AZ34" i="20"/>
  <c r="AZ33" i="20"/>
  <c r="AZ32" i="20"/>
  <c r="AZ31" i="20"/>
  <c r="AZ30" i="20"/>
  <c r="AZ29" i="20"/>
  <c r="AZ28" i="20"/>
  <c r="AZ27" i="20"/>
  <c r="AZ26" i="20"/>
  <c r="AZ25" i="20"/>
  <c r="AZ24" i="20"/>
  <c r="AZ23" i="20"/>
  <c r="AU51" i="20"/>
  <c r="AU50" i="20"/>
  <c r="AU49" i="20"/>
  <c r="AU48" i="20"/>
  <c r="AU47" i="20"/>
  <c r="AU46" i="20"/>
  <c r="AU45" i="20"/>
  <c r="AU44" i="20"/>
  <c r="AU43" i="20"/>
  <c r="AU42" i="20"/>
  <c r="AU41" i="20"/>
  <c r="AU40" i="20"/>
  <c r="AU39" i="20"/>
  <c r="AU38" i="20"/>
  <c r="AU37" i="20"/>
  <c r="AU36" i="20"/>
  <c r="AU35" i="20"/>
  <c r="AU34" i="20"/>
  <c r="AU33" i="20"/>
  <c r="AU32" i="20"/>
  <c r="AU31" i="20"/>
  <c r="AU30" i="20"/>
  <c r="AU29" i="20"/>
  <c r="AU28" i="20"/>
  <c r="AU27" i="20"/>
  <c r="AU26" i="20"/>
  <c r="AU25" i="20"/>
  <c r="AU24" i="20"/>
  <c r="AU23" i="20"/>
  <c r="AP51" i="20"/>
  <c r="AP50" i="20"/>
  <c r="AP49" i="20"/>
  <c r="AP48" i="20"/>
  <c r="AP47" i="20"/>
  <c r="AP46" i="20"/>
  <c r="AP45" i="20"/>
  <c r="AP44" i="20"/>
  <c r="AP43" i="20"/>
  <c r="AP42" i="20"/>
  <c r="AP41" i="20"/>
  <c r="AP40" i="20"/>
  <c r="AP39" i="20"/>
  <c r="AP38" i="20"/>
  <c r="AP37" i="20"/>
  <c r="AP36" i="20"/>
  <c r="AP35" i="20"/>
  <c r="AP34" i="20"/>
  <c r="AP33" i="20"/>
  <c r="AP32" i="20"/>
  <c r="AP31" i="20"/>
  <c r="AP30" i="20"/>
  <c r="AP29" i="20"/>
  <c r="AP28" i="20"/>
  <c r="AP27" i="20"/>
  <c r="AP26" i="20"/>
  <c r="AP25" i="20"/>
  <c r="AP24" i="20"/>
  <c r="AP23" i="20"/>
  <c r="AK51" i="20"/>
  <c r="AK50" i="20"/>
  <c r="AK49" i="20"/>
  <c r="AK48" i="20"/>
  <c r="AK47" i="20"/>
  <c r="AK46" i="20"/>
  <c r="AK45" i="20"/>
  <c r="AK44" i="20"/>
  <c r="AK43" i="20"/>
  <c r="AK42" i="20"/>
  <c r="AK41" i="20"/>
  <c r="AK40" i="20"/>
  <c r="AK39" i="20"/>
  <c r="AK38" i="20"/>
  <c r="AK37" i="20"/>
  <c r="AK36" i="20"/>
  <c r="AK35" i="20"/>
  <c r="AK34" i="20"/>
  <c r="AK33" i="20"/>
  <c r="AK32" i="20"/>
  <c r="AK31" i="20"/>
  <c r="AK30" i="20"/>
  <c r="AK29" i="20"/>
  <c r="AK28" i="20"/>
  <c r="AK27" i="20"/>
  <c r="AK26" i="20"/>
  <c r="AK25" i="20"/>
  <c r="AK24" i="20"/>
  <c r="AK23" i="20"/>
  <c r="AF51" i="20"/>
  <c r="AF50" i="20"/>
  <c r="AF49" i="20"/>
  <c r="AF48" i="20"/>
  <c r="AF47" i="20"/>
  <c r="AF46" i="20"/>
  <c r="AF45" i="20"/>
  <c r="AF44" i="20"/>
  <c r="AF43" i="20"/>
  <c r="AF42" i="20"/>
  <c r="AF41" i="20"/>
  <c r="AF40" i="20"/>
  <c r="AF39" i="20"/>
  <c r="AF38" i="20"/>
  <c r="AF37" i="20"/>
  <c r="AF36" i="20"/>
  <c r="AF35" i="20"/>
  <c r="AF34" i="20"/>
  <c r="AF33" i="20"/>
  <c r="AF32" i="20"/>
  <c r="AF31" i="20"/>
  <c r="AF30" i="20"/>
  <c r="AF29" i="20"/>
  <c r="AF28" i="20"/>
  <c r="AF27" i="20"/>
  <c r="AF26" i="20"/>
  <c r="AF25" i="20"/>
  <c r="AF24" i="20"/>
  <c r="AF23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25" i="20"/>
  <c r="AA24" i="20"/>
  <c r="AA23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Q51" i="20"/>
  <c r="Q50" i="20"/>
  <c r="Q49" i="20"/>
  <c r="Q48" i="20"/>
  <c r="Q47" i="20"/>
  <c r="Q46" i="20"/>
  <c r="Q45" i="20"/>
  <c r="Q44" i="20"/>
  <c r="Q43" i="20"/>
  <c r="Q42" i="20"/>
  <c r="Q41" i="20"/>
  <c r="Q40" i="20"/>
  <c r="Q39" i="20"/>
  <c r="Q38" i="20"/>
  <c r="Q37" i="20"/>
  <c r="Q36" i="20"/>
  <c r="Q35" i="20"/>
  <c r="Q34" i="20"/>
  <c r="Q33" i="20"/>
  <c r="Q32" i="20"/>
  <c r="Q31" i="20"/>
  <c r="Q30" i="20"/>
  <c r="Q29" i="20"/>
  <c r="Q28" i="20"/>
  <c r="Q27" i="20"/>
  <c r="Q26" i="20"/>
  <c r="Q25" i="20"/>
  <c r="Q24" i="20"/>
  <c r="Q23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BY51" i="32" l="1"/>
  <c r="CB51" i="32"/>
  <c r="CE22" i="32"/>
  <c r="CE39" i="32"/>
  <c r="CE27" i="32"/>
  <c r="CE50" i="32"/>
  <c r="CE38" i="32"/>
  <c r="CE26" i="32"/>
  <c r="CE49" i="32"/>
  <c r="CE37" i="32"/>
  <c r="CE25" i="32"/>
  <c r="CE48" i="32"/>
  <c r="CE36" i="32"/>
  <c r="CE24" i="32"/>
  <c r="CE47" i="32"/>
  <c r="CE35" i="32"/>
  <c r="CE23" i="32"/>
  <c r="CE46" i="32"/>
  <c r="CE34" i="32"/>
  <c r="CE45" i="32"/>
  <c r="CE33" i="32"/>
  <c r="CE44" i="32"/>
  <c r="CE32" i="32"/>
  <c r="CE43" i="32"/>
  <c r="CE31" i="32"/>
  <c r="CE42" i="32"/>
  <c r="CE30" i="32"/>
  <c r="CE41" i="32"/>
  <c r="CE29" i="32"/>
  <c r="CE40" i="32"/>
  <c r="CE28" i="32"/>
  <c r="L59" i="30"/>
  <c r="I59" i="30"/>
  <c r="AE50" i="30"/>
  <c r="AD50" i="30"/>
  <c r="AC50" i="30"/>
  <c r="AE49" i="30"/>
  <c r="AD49" i="30"/>
  <c r="AC49" i="30"/>
  <c r="AE48" i="30"/>
  <c r="AD48" i="30"/>
  <c r="AC48" i="30"/>
  <c r="AE47" i="30"/>
  <c r="AD47" i="30"/>
  <c r="AC47" i="30"/>
  <c r="AE46" i="30"/>
  <c r="AD46" i="30"/>
  <c r="AC46" i="30"/>
  <c r="AE45" i="30"/>
  <c r="AD45" i="30"/>
  <c r="AC45" i="30"/>
  <c r="AE44" i="30"/>
  <c r="AD44" i="30"/>
  <c r="AC44" i="30"/>
  <c r="AE43" i="30"/>
  <c r="AD43" i="30"/>
  <c r="AC43" i="30"/>
  <c r="AE42" i="30"/>
  <c r="AD42" i="30"/>
  <c r="AC42" i="30"/>
  <c r="AE41" i="30"/>
  <c r="AD41" i="30"/>
  <c r="AC41" i="30"/>
  <c r="AE40" i="30"/>
  <c r="AD40" i="30"/>
  <c r="AC40" i="30"/>
  <c r="AE39" i="30"/>
  <c r="AD39" i="30"/>
  <c r="AC39" i="30"/>
  <c r="AE38" i="30"/>
  <c r="AD38" i="30"/>
  <c r="AC38" i="30"/>
  <c r="AE37" i="30"/>
  <c r="AD37" i="30"/>
  <c r="AC37" i="30"/>
  <c r="AE36" i="30"/>
  <c r="AD36" i="30"/>
  <c r="AC36" i="30"/>
  <c r="AE35" i="30"/>
  <c r="AD35" i="30"/>
  <c r="AC35" i="30"/>
  <c r="AE34" i="30"/>
  <c r="AD34" i="30"/>
  <c r="AC34" i="30"/>
  <c r="AE33" i="30"/>
  <c r="AD33" i="30"/>
  <c r="AC33" i="30"/>
  <c r="AE32" i="30"/>
  <c r="AD32" i="30"/>
  <c r="AC32" i="30"/>
  <c r="AE31" i="30"/>
  <c r="AD31" i="30"/>
  <c r="AC31" i="30"/>
  <c r="AE30" i="30"/>
  <c r="AD30" i="30"/>
  <c r="AC30" i="30"/>
  <c r="AE29" i="30"/>
  <c r="AD29" i="30"/>
  <c r="AC29" i="30"/>
  <c r="AE28" i="30"/>
  <c r="AD28" i="30"/>
  <c r="AC28" i="30"/>
  <c r="AE27" i="30"/>
  <c r="AD27" i="30"/>
  <c r="AC27" i="30"/>
  <c r="AE26" i="30"/>
  <c r="AD26" i="30"/>
  <c r="AC26" i="30"/>
  <c r="AE25" i="30"/>
  <c r="AD25" i="30"/>
  <c r="AC25" i="30"/>
  <c r="AE24" i="30"/>
  <c r="AD24" i="30"/>
  <c r="AC24" i="30"/>
  <c r="B25" i="30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AD19" i="30"/>
  <c r="AE19" i="30" s="1"/>
  <c r="N11" i="30"/>
  <c r="S11" i="30" s="1"/>
  <c r="T8" i="30"/>
  <c r="D59" i="30" s="1"/>
  <c r="N60" i="28"/>
  <c r="M60" i="29"/>
  <c r="AI19" i="29"/>
  <c r="AJ19" i="29" s="1"/>
  <c r="AK19" i="29" s="1"/>
  <c r="N11" i="29"/>
  <c r="S11" i="29" s="1"/>
  <c r="X11" i="29" s="1"/>
  <c r="I60" i="29"/>
  <c r="AK51" i="29"/>
  <c r="AJ51" i="29"/>
  <c r="AI51" i="29"/>
  <c r="AH51" i="29"/>
  <c r="AK50" i="29"/>
  <c r="AJ50" i="29"/>
  <c r="AI50" i="29"/>
  <c r="AK49" i="29"/>
  <c r="AJ49" i="29"/>
  <c r="AI49" i="29"/>
  <c r="AH49" i="29"/>
  <c r="AK48" i="29"/>
  <c r="AJ48" i="29"/>
  <c r="AI48" i="29"/>
  <c r="AH48" i="29"/>
  <c r="AK47" i="29"/>
  <c r="AJ47" i="29"/>
  <c r="AI47" i="29"/>
  <c r="AH47" i="29"/>
  <c r="AK46" i="29"/>
  <c r="AJ46" i="29"/>
  <c r="AI46" i="29"/>
  <c r="AH46" i="29"/>
  <c r="AK45" i="29"/>
  <c r="AJ45" i="29"/>
  <c r="AI45" i="29"/>
  <c r="AH45" i="29"/>
  <c r="AK44" i="29"/>
  <c r="AJ44" i="29"/>
  <c r="AI44" i="29"/>
  <c r="AH44" i="29"/>
  <c r="AK43" i="29"/>
  <c r="AJ43" i="29"/>
  <c r="AI43" i="29"/>
  <c r="AH43" i="29"/>
  <c r="AK42" i="29"/>
  <c r="AJ42" i="29"/>
  <c r="AI42" i="29"/>
  <c r="AK41" i="29"/>
  <c r="AJ41" i="29"/>
  <c r="AI41" i="29"/>
  <c r="AK40" i="29"/>
  <c r="AJ40" i="29"/>
  <c r="AI40" i="29"/>
  <c r="AH40" i="29"/>
  <c r="AK39" i="29"/>
  <c r="AJ39" i="29"/>
  <c r="AI39" i="29"/>
  <c r="AH39" i="29"/>
  <c r="AK38" i="29"/>
  <c r="AJ38" i="29"/>
  <c r="AI38" i="29"/>
  <c r="AH38" i="29"/>
  <c r="AK37" i="29"/>
  <c r="AJ37" i="29"/>
  <c r="AI37" i="29"/>
  <c r="AH37" i="29"/>
  <c r="AK36" i="29"/>
  <c r="AJ36" i="29"/>
  <c r="AI36" i="29"/>
  <c r="AH36" i="29"/>
  <c r="AK35" i="29"/>
  <c r="AJ35" i="29"/>
  <c r="AI35" i="29"/>
  <c r="AH35" i="29"/>
  <c r="AK34" i="29"/>
  <c r="AJ34" i="29"/>
  <c r="AI34" i="29"/>
  <c r="AH34" i="29"/>
  <c r="AK33" i="29"/>
  <c r="AJ33" i="29"/>
  <c r="AI33" i="29"/>
  <c r="AH33" i="29"/>
  <c r="AK32" i="29"/>
  <c r="AJ32" i="29"/>
  <c r="AI32" i="29"/>
  <c r="AH32" i="29"/>
  <c r="AK31" i="29"/>
  <c r="AJ31" i="29"/>
  <c r="AI31" i="29"/>
  <c r="AH31" i="29"/>
  <c r="AK30" i="29"/>
  <c r="AJ30" i="29"/>
  <c r="AI30" i="29"/>
  <c r="AH30" i="29"/>
  <c r="AK29" i="29"/>
  <c r="AJ29" i="29"/>
  <c r="AI29" i="29"/>
  <c r="AH29" i="29"/>
  <c r="AK28" i="29"/>
  <c r="AJ28" i="29"/>
  <c r="AI28" i="29"/>
  <c r="AH28" i="29"/>
  <c r="AK27" i="29"/>
  <c r="AJ27" i="29"/>
  <c r="AI27" i="29"/>
  <c r="AH27" i="29"/>
  <c r="AK26" i="29"/>
  <c r="AJ26" i="29"/>
  <c r="AI26" i="29"/>
  <c r="AH26" i="29"/>
  <c r="AK25" i="29"/>
  <c r="AJ25" i="29"/>
  <c r="AI25" i="29"/>
  <c r="AH25" i="29"/>
  <c r="AK24" i="29"/>
  <c r="AJ24" i="29"/>
  <c r="AI24" i="29"/>
  <c r="AH24" i="29"/>
  <c r="B24" i="29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Y8" i="29"/>
  <c r="D60" i="29" s="1"/>
  <c r="I60" i="28"/>
  <c r="AQ51" i="28"/>
  <c r="AP51" i="28"/>
  <c r="AO51" i="28"/>
  <c r="AN51" i="28"/>
  <c r="AM51" i="28"/>
  <c r="AQ50" i="28"/>
  <c r="AP50" i="28"/>
  <c r="AO50" i="28"/>
  <c r="AN50" i="28"/>
  <c r="AM50" i="28"/>
  <c r="AQ49" i="28"/>
  <c r="AP49" i="28"/>
  <c r="AO49" i="28"/>
  <c r="AN49" i="28"/>
  <c r="AM49" i="28"/>
  <c r="AQ48" i="28"/>
  <c r="AP48" i="28"/>
  <c r="AO48" i="28"/>
  <c r="AN48" i="28"/>
  <c r="AM48" i="28"/>
  <c r="AQ47" i="28"/>
  <c r="AP47" i="28"/>
  <c r="AO47" i="28"/>
  <c r="AN47" i="28"/>
  <c r="AM47" i="28"/>
  <c r="AQ46" i="28"/>
  <c r="AP46" i="28"/>
  <c r="AO46" i="28"/>
  <c r="AN46" i="28"/>
  <c r="AM46" i="28"/>
  <c r="AQ45" i="28"/>
  <c r="AP45" i="28"/>
  <c r="AO45" i="28"/>
  <c r="AN45" i="28"/>
  <c r="AM45" i="28"/>
  <c r="AQ44" i="28"/>
  <c r="AP44" i="28"/>
  <c r="AO44" i="28"/>
  <c r="AN44" i="28"/>
  <c r="AM44" i="28"/>
  <c r="AQ43" i="28"/>
  <c r="AP43" i="28"/>
  <c r="AO43" i="28"/>
  <c r="AN43" i="28"/>
  <c r="AM43" i="28"/>
  <c r="AQ42" i="28"/>
  <c r="AP42" i="28"/>
  <c r="AO42" i="28"/>
  <c r="AN42" i="28"/>
  <c r="AM42" i="28"/>
  <c r="AQ41" i="28"/>
  <c r="AP41" i="28"/>
  <c r="AO41" i="28"/>
  <c r="AN41" i="28"/>
  <c r="AM41" i="28"/>
  <c r="AQ40" i="28"/>
  <c r="AP40" i="28"/>
  <c r="AO40" i="28"/>
  <c r="AN40" i="28"/>
  <c r="AM40" i="28"/>
  <c r="AQ39" i="28"/>
  <c r="AP39" i="28"/>
  <c r="AO39" i="28"/>
  <c r="AN39" i="28"/>
  <c r="AM39" i="28"/>
  <c r="AQ38" i="28"/>
  <c r="AP38" i="28"/>
  <c r="AO38" i="28"/>
  <c r="AN38" i="28"/>
  <c r="AM38" i="28"/>
  <c r="AQ37" i="28"/>
  <c r="AP37" i="28"/>
  <c r="AO37" i="28"/>
  <c r="AN37" i="28"/>
  <c r="AM37" i="28"/>
  <c r="AQ36" i="28"/>
  <c r="AP36" i="28"/>
  <c r="AO36" i="28"/>
  <c r="AN36" i="28"/>
  <c r="AM36" i="28"/>
  <c r="AQ35" i="28"/>
  <c r="AP35" i="28"/>
  <c r="AO35" i="28"/>
  <c r="AN35" i="28"/>
  <c r="AM35" i="28"/>
  <c r="AQ34" i="28"/>
  <c r="AP34" i="28"/>
  <c r="AO34" i="28"/>
  <c r="AN34" i="28"/>
  <c r="AM34" i="28"/>
  <c r="AQ33" i="28"/>
  <c r="AP33" i="28"/>
  <c r="AO33" i="28"/>
  <c r="AN33" i="28"/>
  <c r="AM33" i="28"/>
  <c r="AQ32" i="28"/>
  <c r="AP32" i="28"/>
  <c r="AO32" i="28"/>
  <c r="AN32" i="28"/>
  <c r="AM32" i="28"/>
  <c r="AQ31" i="28"/>
  <c r="AP31" i="28"/>
  <c r="AO31" i="28"/>
  <c r="AN31" i="28"/>
  <c r="AM31" i="28"/>
  <c r="AQ30" i="28"/>
  <c r="AP30" i="28"/>
  <c r="AO30" i="28"/>
  <c r="AN30" i="28"/>
  <c r="AM30" i="28"/>
  <c r="AQ29" i="28"/>
  <c r="AP29" i="28"/>
  <c r="AO29" i="28"/>
  <c r="AN29" i="28"/>
  <c r="AM29" i="28"/>
  <c r="AQ28" i="28"/>
  <c r="AO28" i="28"/>
  <c r="AN28" i="28"/>
  <c r="AQ27" i="28"/>
  <c r="AP27" i="28"/>
  <c r="AO27" i="28"/>
  <c r="AN27" i="28"/>
  <c r="AM27" i="28"/>
  <c r="AQ26" i="28"/>
  <c r="AP26" i="28"/>
  <c r="AO26" i="28"/>
  <c r="AN26" i="28"/>
  <c r="AM26" i="28"/>
  <c r="AQ25" i="28"/>
  <c r="AO25" i="28"/>
  <c r="AM25" i="28"/>
  <c r="AQ24" i="28"/>
  <c r="AP24" i="28"/>
  <c r="AO24" i="28"/>
  <c r="AN24" i="28"/>
  <c r="AM24" i="28"/>
  <c r="B24" i="28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AP23" i="28"/>
  <c r="AN23" i="28"/>
  <c r="AN19" i="28"/>
  <c r="AO19" i="28" s="1"/>
  <c r="N11" i="28"/>
  <c r="S11" i="28" s="1"/>
  <c r="AD8" i="28"/>
  <c r="D60" i="28" s="1"/>
  <c r="N60" i="27"/>
  <c r="I60" i="27"/>
  <c r="AW51" i="27"/>
  <c r="AV51" i="27"/>
  <c r="AU51" i="27"/>
  <c r="AT51" i="27"/>
  <c r="AS51" i="27"/>
  <c r="AR51" i="27"/>
  <c r="AW50" i="27"/>
  <c r="AV50" i="27"/>
  <c r="AU50" i="27"/>
  <c r="AT50" i="27"/>
  <c r="AS50" i="27"/>
  <c r="AR50" i="27"/>
  <c r="AW49" i="27"/>
  <c r="AV49" i="27"/>
  <c r="AU49" i="27"/>
  <c r="AT49" i="27"/>
  <c r="AS49" i="27"/>
  <c r="AR49" i="27"/>
  <c r="AW48" i="27"/>
  <c r="AV48" i="27"/>
  <c r="AU48" i="27"/>
  <c r="AT48" i="27"/>
  <c r="AS48" i="27"/>
  <c r="AR48" i="27"/>
  <c r="AW47" i="27"/>
  <c r="AV47" i="27"/>
  <c r="AU47" i="27"/>
  <c r="AT47" i="27"/>
  <c r="AS47" i="27"/>
  <c r="AR47" i="27"/>
  <c r="AW46" i="27"/>
  <c r="AV46" i="27"/>
  <c r="AU46" i="27"/>
  <c r="AT46" i="27"/>
  <c r="AS46" i="27"/>
  <c r="AR46" i="27"/>
  <c r="AW45" i="27"/>
  <c r="AV45" i="27"/>
  <c r="AU45" i="27"/>
  <c r="AT45" i="27"/>
  <c r="AS45" i="27"/>
  <c r="AR45" i="27"/>
  <c r="AW44" i="27"/>
  <c r="AV44" i="27"/>
  <c r="AU44" i="27"/>
  <c r="AT44" i="27"/>
  <c r="AS44" i="27"/>
  <c r="AR44" i="27"/>
  <c r="AW43" i="27"/>
  <c r="AV43" i="27"/>
  <c r="AU43" i="27"/>
  <c r="AT43" i="27"/>
  <c r="AS43" i="27"/>
  <c r="AR43" i="27"/>
  <c r="AW42" i="27"/>
  <c r="AV42" i="27"/>
  <c r="AU42" i="27"/>
  <c r="AT42" i="27"/>
  <c r="AS42" i="27"/>
  <c r="AR42" i="27"/>
  <c r="AW41" i="27"/>
  <c r="AV41" i="27"/>
  <c r="AU41" i="27"/>
  <c r="AT41" i="27"/>
  <c r="AS41" i="27"/>
  <c r="AR41" i="27"/>
  <c r="AW40" i="27"/>
  <c r="AV40" i="27"/>
  <c r="AU40" i="27"/>
  <c r="AT40" i="27"/>
  <c r="AS40" i="27"/>
  <c r="AR40" i="27"/>
  <c r="AW39" i="27"/>
  <c r="AV39" i="27"/>
  <c r="AU39" i="27"/>
  <c r="AT39" i="27"/>
  <c r="AS39" i="27"/>
  <c r="AR39" i="27"/>
  <c r="AW38" i="27"/>
  <c r="AV38" i="27"/>
  <c r="AU38" i="27"/>
  <c r="AT38" i="27"/>
  <c r="AS38" i="27"/>
  <c r="AR38" i="27"/>
  <c r="AW37" i="27"/>
  <c r="AV37" i="27"/>
  <c r="AU37" i="27"/>
  <c r="AT37" i="27"/>
  <c r="AS37" i="27"/>
  <c r="AR37" i="27"/>
  <c r="AW36" i="27"/>
  <c r="AV36" i="27"/>
  <c r="AU36" i="27"/>
  <c r="AT36" i="27"/>
  <c r="AS36" i="27"/>
  <c r="AR36" i="27"/>
  <c r="AW35" i="27"/>
  <c r="AV35" i="27"/>
  <c r="AU35" i="27"/>
  <c r="AT35" i="27"/>
  <c r="AS35" i="27"/>
  <c r="AR35" i="27"/>
  <c r="AW34" i="27"/>
  <c r="AV34" i="27"/>
  <c r="AU34" i="27"/>
  <c r="AT34" i="27"/>
  <c r="AS34" i="27"/>
  <c r="AR34" i="27"/>
  <c r="AW33" i="27"/>
  <c r="AV33" i="27"/>
  <c r="AU33" i="27"/>
  <c r="AT33" i="27"/>
  <c r="AS33" i="27"/>
  <c r="AR33" i="27"/>
  <c r="AW32" i="27"/>
  <c r="AV32" i="27"/>
  <c r="AU32" i="27"/>
  <c r="AT32" i="27"/>
  <c r="AS32" i="27"/>
  <c r="AR32" i="27"/>
  <c r="AW31" i="27"/>
  <c r="AV31" i="27"/>
  <c r="AU31" i="27"/>
  <c r="AT31" i="27"/>
  <c r="AS31" i="27"/>
  <c r="AR31" i="27"/>
  <c r="AW30" i="27"/>
  <c r="AV30" i="27"/>
  <c r="AU30" i="27"/>
  <c r="AT30" i="27"/>
  <c r="AS30" i="27"/>
  <c r="AR30" i="27"/>
  <c r="AW29" i="27"/>
  <c r="AV29" i="27"/>
  <c r="AU29" i="27"/>
  <c r="AT29" i="27"/>
  <c r="AS29" i="27"/>
  <c r="AR29" i="27"/>
  <c r="AW28" i="27"/>
  <c r="AV28" i="27"/>
  <c r="AU28" i="27"/>
  <c r="AT28" i="27"/>
  <c r="AS28" i="27"/>
  <c r="AR28" i="27"/>
  <c r="AW27" i="27"/>
  <c r="AV27" i="27"/>
  <c r="AU27" i="27"/>
  <c r="AT27" i="27"/>
  <c r="AS27" i="27"/>
  <c r="AR27" i="27"/>
  <c r="AW26" i="27"/>
  <c r="AV26" i="27"/>
  <c r="AU26" i="27"/>
  <c r="AT26" i="27"/>
  <c r="AS26" i="27"/>
  <c r="AR26" i="27"/>
  <c r="AW25" i="27"/>
  <c r="AV25" i="27"/>
  <c r="AU25" i="27"/>
  <c r="AT25" i="27"/>
  <c r="AS25" i="27"/>
  <c r="AR25" i="27"/>
  <c r="AW24" i="27"/>
  <c r="AV24" i="27"/>
  <c r="AU24" i="27"/>
  <c r="AT24" i="27"/>
  <c r="AS24" i="27"/>
  <c r="AR24" i="27"/>
  <c r="B24" i="27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AS19" i="27"/>
  <c r="AT19" i="27" s="1"/>
  <c r="N11" i="27"/>
  <c r="S11" i="27" s="1"/>
  <c r="X11" i="27" s="1"/>
  <c r="AI8" i="27"/>
  <c r="D60" i="27" s="1"/>
  <c r="N60" i="26"/>
  <c r="I60" i="26"/>
  <c r="BC51" i="26"/>
  <c r="BB51" i="26"/>
  <c r="BA51" i="26"/>
  <c r="AZ51" i="26"/>
  <c r="AY51" i="26"/>
  <c r="AX51" i="26"/>
  <c r="AW51" i="26"/>
  <c r="BC50" i="26"/>
  <c r="BB50" i="26"/>
  <c r="BA50" i="26"/>
  <c r="AZ50" i="26"/>
  <c r="AY50" i="26"/>
  <c r="AX50" i="26"/>
  <c r="AW50" i="26"/>
  <c r="BC49" i="26"/>
  <c r="BB49" i="26"/>
  <c r="BA49" i="26"/>
  <c r="AZ49" i="26"/>
  <c r="AY49" i="26"/>
  <c r="AX49" i="26"/>
  <c r="AW49" i="26"/>
  <c r="BC48" i="26"/>
  <c r="BB48" i="26"/>
  <c r="BA48" i="26"/>
  <c r="AZ48" i="26"/>
  <c r="AY48" i="26"/>
  <c r="AX48" i="26"/>
  <c r="AW48" i="26"/>
  <c r="BC47" i="26"/>
  <c r="BB47" i="26"/>
  <c r="BA47" i="26"/>
  <c r="AZ47" i="26"/>
  <c r="AY47" i="26"/>
  <c r="AX47" i="26"/>
  <c r="AW47" i="26"/>
  <c r="BC46" i="26"/>
  <c r="BB46" i="26"/>
  <c r="BA46" i="26"/>
  <c r="AZ46" i="26"/>
  <c r="AY46" i="26"/>
  <c r="AX46" i="26"/>
  <c r="AW46" i="26"/>
  <c r="BC45" i="26"/>
  <c r="BB45" i="26"/>
  <c r="BA45" i="26"/>
  <c r="AZ45" i="26"/>
  <c r="AY45" i="26"/>
  <c r="AX45" i="26"/>
  <c r="AW45" i="26"/>
  <c r="BC44" i="26"/>
  <c r="BB44" i="26"/>
  <c r="BA44" i="26"/>
  <c r="AZ44" i="26"/>
  <c r="AY44" i="26"/>
  <c r="AX44" i="26"/>
  <c r="AW44" i="26"/>
  <c r="BC43" i="26"/>
  <c r="BB43" i="26"/>
  <c r="BA43" i="26"/>
  <c r="AZ43" i="26"/>
  <c r="AY43" i="26"/>
  <c r="AX43" i="26"/>
  <c r="AW43" i="26"/>
  <c r="BC42" i="26"/>
  <c r="BB42" i="26"/>
  <c r="BA42" i="26"/>
  <c r="AZ42" i="26"/>
  <c r="AY42" i="26"/>
  <c r="AX42" i="26"/>
  <c r="AW42" i="26"/>
  <c r="BC41" i="26"/>
  <c r="BB41" i="26"/>
  <c r="BA41" i="26"/>
  <c r="AZ41" i="26"/>
  <c r="AY41" i="26"/>
  <c r="AX41" i="26"/>
  <c r="AW41" i="26"/>
  <c r="BC40" i="26"/>
  <c r="BB40" i="26"/>
  <c r="BA40" i="26"/>
  <c r="AZ40" i="26"/>
  <c r="AY40" i="26"/>
  <c r="AX40" i="26"/>
  <c r="AW40" i="26"/>
  <c r="BC39" i="26"/>
  <c r="BB39" i="26"/>
  <c r="BA39" i="26"/>
  <c r="AZ39" i="26"/>
  <c r="AY39" i="26"/>
  <c r="AX39" i="26"/>
  <c r="AW39" i="26"/>
  <c r="BC38" i="26"/>
  <c r="BB38" i="26"/>
  <c r="BA38" i="26"/>
  <c r="AZ38" i="26"/>
  <c r="AY38" i="26"/>
  <c r="AX38" i="26"/>
  <c r="AW38" i="26"/>
  <c r="BC37" i="26"/>
  <c r="BB37" i="26"/>
  <c r="BA37" i="26"/>
  <c r="AZ37" i="26"/>
  <c r="AY37" i="26"/>
  <c r="AX37" i="26"/>
  <c r="AW37" i="26"/>
  <c r="BC36" i="26"/>
  <c r="BB36" i="26"/>
  <c r="BA36" i="26"/>
  <c r="AZ36" i="26"/>
  <c r="AY36" i="26"/>
  <c r="AX36" i="26"/>
  <c r="AW36" i="26"/>
  <c r="BC35" i="26"/>
  <c r="BB35" i="26"/>
  <c r="BA35" i="26"/>
  <c r="AZ35" i="26"/>
  <c r="AY35" i="26"/>
  <c r="AX35" i="26"/>
  <c r="AW35" i="26"/>
  <c r="BC34" i="26"/>
  <c r="BB34" i="26"/>
  <c r="BA34" i="26"/>
  <c r="AZ34" i="26"/>
  <c r="AY34" i="26"/>
  <c r="AX34" i="26"/>
  <c r="AW34" i="26"/>
  <c r="BC33" i="26"/>
  <c r="BB33" i="26"/>
  <c r="BA33" i="26"/>
  <c r="AZ33" i="26"/>
  <c r="AY33" i="26"/>
  <c r="AX33" i="26"/>
  <c r="AW33" i="26"/>
  <c r="BC32" i="26"/>
  <c r="BB32" i="26"/>
  <c r="BA32" i="26"/>
  <c r="AZ32" i="26"/>
  <c r="AY32" i="26"/>
  <c r="AX32" i="26"/>
  <c r="AW32" i="26"/>
  <c r="BC31" i="26"/>
  <c r="BB31" i="26"/>
  <c r="BA31" i="26"/>
  <c r="AZ31" i="26"/>
  <c r="AY31" i="26"/>
  <c r="AX31" i="26"/>
  <c r="AW31" i="26"/>
  <c r="BC30" i="26"/>
  <c r="BB30" i="26"/>
  <c r="BA30" i="26"/>
  <c r="AZ30" i="26"/>
  <c r="AY30" i="26"/>
  <c r="AX30" i="26"/>
  <c r="AW30" i="26"/>
  <c r="BC29" i="26"/>
  <c r="BB29" i="26"/>
  <c r="BA29" i="26"/>
  <c r="AZ29" i="26"/>
  <c r="AY29" i="26"/>
  <c r="AX29" i="26"/>
  <c r="AW29" i="26"/>
  <c r="BC28" i="26"/>
  <c r="BB28" i="26"/>
  <c r="BA28" i="26"/>
  <c r="AZ28" i="26"/>
  <c r="AY28" i="26"/>
  <c r="AX28" i="26"/>
  <c r="AW28" i="26"/>
  <c r="BC27" i="26"/>
  <c r="BB27" i="26"/>
  <c r="BA27" i="26"/>
  <c r="AZ27" i="26"/>
  <c r="AY27" i="26"/>
  <c r="AX27" i="26"/>
  <c r="AW27" i="26"/>
  <c r="BC26" i="26"/>
  <c r="BB26" i="26"/>
  <c r="BA26" i="26"/>
  <c r="AZ26" i="26"/>
  <c r="AY26" i="26"/>
  <c r="AX26" i="26"/>
  <c r="AW26" i="26"/>
  <c r="BC25" i="26"/>
  <c r="BB25" i="26"/>
  <c r="BA25" i="26"/>
  <c r="AZ25" i="26"/>
  <c r="AY25" i="26"/>
  <c r="AX25" i="26"/>
  <c r="AW25" i="26"/>
  <c r="BC24" i="26"/>
  <c r="BB24" i="26"/>
  <c r="BA24" i="26"/>
  <c r="AZ24" i="26"/>
  <c r="AY24" i="26"/>
  <c r="AX24" i="26"/>
  <c r="AW24" i="26"/>
  <c r="B24" i="26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AX19" i="26"/>
  <c r="AY19" i="26" s="1"/>
  <c r="AZ19" i="26" s="1"/>
  <c r="BA19" i="26" s="1"/>
  <c r="N11" i="26"/>
  <c r="S11" i="26" s="1"/>
  <c r="X11" i="26" s="1"/>
  <c r="AN8" i="26"/>
  <c r="D60" i="26" s="1"/>
  <c r="AP25" i="28" l="1"/>
  <c r="X52" i="28"/>
  <c r="X53" i="28" s="1"/>
  <c r="I52" i="28"/>
  <c r="AN25" i="28"/>
  <c r="AN53" i="28" s="1"/>
  <c r="N52" i="28"/>
  <c r="N53" i="28" s="1"/>
  <c r="AQ23" i="28"/>
  <c r="AQ53" i="28" s="1"/>
  <c r="AC52" i="28"/>
  <c r="AO23" i="28"/>
  <c r="AO53" i="28" s="1"/>
  <c r="S52" i="28"/>
  <c r="AT23" i="27"/>
  <c r="AT53" i="27" s="1"/>
  <c r="S52" i="27"/>
  <c r="S53" i="27" s="1"/>
  <c r="AU23" i="27"/>
  <c r="AU53" i="27" s="1"/>
  <c r="X52" i="27"/>
  <c r="X53" i="27" s="1"/>
  <c r="AW23" i="27"/>
  <c r="AW53" i="27" s="1"/>
  <c r="AH52" i="27"/>
  <c r="AV23" i="27"/>
  <c r="AV52" i="27" s="1"/>
  <c r="AC52" i="27"/>
  <c r="AC53" i="27" s="1"/>
  <c r="AR23" i="27"/>
  <c r="AR53" i="27" s="1"/>
  <c r="I52" i="27"/>
  <c r="AW23" i="26"/>
  <c r="AW52" i="26" s="1"/>
  <c r="I52" i="26"/>
  <c r="AZ23" i="26"/>
  <c r="AZ52" i="26" s="1"/>
  <c r="X52" i="26"/>
  <c r="X53" i="26" s="1"/>
  <c r="BA23" i="26"/>
  <c r="BA52" i="26" s="1"/>
  <c r="AC52" i="26"/>
  <c r="AC53" i="26" s="1"/>
  <c r="BB23" i="26"/>
  <c r="BB52" i="26" s="1"/>
  <c r="AH52" i="26"/>
  <c r="AX23" i="26"/>
  <c r="AX52" i="26" s="1"/>
  <c r="N52" i="26"/>
  <c r="N53" i="26" s="1"/>
  <c r="AY23" i="26"/>
  <c r="AY53" i="26" s="1"/>
  <c r="S52" i="26"/>
  <c r="S53" i="26" s="1"/>
  <c r="BC23" i="26"/>
  <c r="BC52" i="26" s="1"/>
  <c r="AM52" i="26"/>
  <c r="AS23" i="27"/>
  <c r="AS53" i="27" s="1"/>
  <c r="N52" i="27"/>
  <c r="N53" i="27" s="1"/>
  <c r="AC23" i="30"/>
  <c r="AC52" i="30" s="1"/>
  <c r="I51" i="30"/>
  <c r="AD23" i="30"/>
  <c r="AD51" i="30" s="1"/>
  <c r="N51" i="30"/>
  <c r="N52" i="30" s="1"/>
  <c r="AE23" i="30"/>
  <c r="AE52" i="30" s="1"/>
  <c r="S51" i="30"/>
  <c r="AK23" i="29"/>
  <c r="AK53" i="29" s="1"/>
  <c r="X52" i="29"/>
  <c r="AH23" i="29"/>
  <c r="I52" i="29"/>
  <c r="AI23" i="29"/>
  <c r="AI52" i="29" s="1"/>
  <c r="N52" i="29"/>
  <c r="N53" i="29" s="1"/>
  <c r="AJ23" i="29"/>
  <c r="AJ52" i="29" s="1"/>
  <c r="S52" i="29"/>
  <c r="AD52" i="30"/>
  <c r="AP28" i="28"/>
  <c r="AM28" i="28"/>
  <c r="AM23" i="28"/>
  <c r="CE20" i="32"/>
  <c r="AH41" i="29"/>
  <c r="AL41" i="29" s="1"/>
  <c r="AM41" i="29" s="1"/>
  <c r="AH50" i="29"/>
  <c r="AN50" i="29" s="1"/>
  <c r="AP50" i="29" s="1"/>
  <c r="AH42" i="29"/>
  <c r="AN42" i="29" s="1"/>
  <c r="AP42" i="29" s="1"/>
  <c r="AK50" i="30"/>
  <c r="AM50" i="30" s="1"/>
  <c r="AN29" i="29"/>
  <c r="AP29" i="29" s="1"/>
  <c r="AL40" i="29"/>
  <c r="AM40" i="29" s="1"/>
  <c r="AN30" i="29"/>
  <c r="AP30" i="29" s="1"/>
  <c r="AZ44" i="27"/>
  <c r="BB44" i="27" s="1"/>
  <c r="BB19" i="26"/>
  <c r="BC19" i="26" s="1"/>
  <c r="AH49" i="30"/>
  <c r="AJ49" i="30" s="1"/>
  <c r="BC20" i="26"/>
  <c r="AK43" i="30"/>
  <c r="AM43" i="30" s="1"/>
  <c r="AK39" i="30"/>
  <c r="AM39" i="30" s="1"/>
  <c r="AK27" i="30"/>
  <c r="AM27" i="30" s="1"/>
  <c r="AK49" i="30"/>
  <c r="AM49" i="30" s="1"/>
  <c r="AF42" i="30"/>
  <c r="AG42" i="30" s="1"/>
  <c r="AH45" i="30"/>
  <c r="AJ45" i="30" s="1"/>
  <c r="AK45" i="30"/>
  <c r="AM45" i="30" s="1"/>
  <c r="AH25" i="30"/>
  <c r="AF25" i="30"/>
  <c r="AH32" i="30"/>
  <c r="AJ32" i="30" s="1"/>
  <c r="AH31" i="30"/>
  <c r="AJ31" i="30" s="1"/>
  <c r="AH37" i="30"/>
  <c r="AJ37" i="30" s="1"/>
  <c r="AF36" i="30"/>
  <c r="AG36" i="30" s="1"/>
  <c r="AH50" i="30"/>
  <c r="AJ50" i="30" s="1"/>
  <c r="AH26" i="30"/>
  <c r="AF31" i="30"/>
  <c r="AG31" i="30" s="1"/>
  <c r="AH38" i="30"/>
  <c r="AF44" i="30"/>
  <c r="AG44" i="30" s="1"/>
  <c r="AF50" i="30"/>
  <c r="AG50" i="30" s="1"/>
  <c r="AK33" i="30"/>
  <c r="AM33" i="30" s="1"/>
  <c r="AF24" i="30"/>
  <c r="AF30" i="30"/>
  <c r="AG30" i="30" s="1"/>
  <c r="AK47" i="30"/>
  <c r="AM47" i="30" s="1"/>
  <c r="AH47" i="30"/>
  <c r="AJ47" i="30" s="1"/>
  <c r="AF47" i="30"/>
  <c r="AG47" i="30" s="1"/>
  <c r="AK48" i="30"/>
  <c r="AM48" i="30" s="1"/>
  <c r="AH48" i="30"/>
  <c r="AJ48" i="30" s="1"/>
  <c r="AK24" i="30"/>
  <c r="AM24" i="30" s="1"/>
  <c r="AH24" i="30"/>
  <c r="AJ24" i="30" s="1"/>
  <c r="AK30" i="30"/>
  <c r="AM30" i="30" s="1"/>
  <c r="AH30" i="30"/>
  <c r="AJ30" i="30" s="1"/>
  <c r="AK44" i="30"/>
  <c r="AM44" i="30" s="1"/>
  <c r="AK35" i="30"/>
  <c r="AM35" i="30" s="1"/>
  <c r="AH35" i="30"/>
  <c r="AJ35" i="30" s="1"/>
  <c r="AF35" i="30"/>
  <c r="AG35" i="30" s="1"/>
  <c r="AK46" i="30"/>
  <c r="AM46" i="30" s="1"/>
  <c r="AH46" i="30"/>
  <c r="AJ46" i="30" s="1"/>
  <c r="AF46" i="30"/>
  <c r="AG46" i="30" s="1"/>
  <c r="AH27" i="30"/>
  <c r="AJ27" i="30" s="1"/>
  <c r="AK41" i="30"/>
  <c r="AM41" i="30" s="1"/>
  <c r="AH41" i="30"/>
  <c r="AJ41" i="30" s="1"/>
  <c r="AF41" i="30"/>
  <c r="AG41" i="30" s="1"/>
  <c r="AK25" i="30"/>
  <c r="AM25" i="30" s="1"/>
  <c r="AF26" i="30"/>
  <c r="AK26" i="30"/>
  <c r="AM26" i="30" s="1"/>
  <c r="AF33" i="30"/>
  <c r="AG33" i="30" s="1"/>
  <c r="AF37" i="30"/>
  <c r="AG37" i="30" s="1"/>
  <c r="AK36" i="30"/>
  <c r="AM36" i="30" s="1"/>
  <c r="AH36" i="30"/>
  <c r="AJ36" i="30" s="1"/>
  <c r="AH44" i="30"/>
  <c r="AJ44" i="30" s="1"/>
  <c r="AK34" i="30"/>
  <c r="AM34" i="30" s="1"/>
  <c r="AH34" i="30"/>
  <c r="AJ34" i="30" s="1"/>
  <c r="AF34" i="30"/>
  <c r="AG34" i="30" s="1"/>
  <c r="AK37" i="30"/>
  <c r="AM37" i="30" s="1"/>
  <c r="AF38" i="30"/>
  <c r="AG38" i="30" s="1"/>
  <c r="AK38" i="30"/>
  <c r="AM38" i="30" s="1"/>
  <c r="AH43" i="30"/>
  <c r="AJ43" i="30" s="1"/>
  <c r="AK29" i="30"/>
  <c r="AM29" i="30" s="1"/>
  <c r="AH29" i="30"/>
  <c r="AJ29" i="30" s="1"/>
  <c r="AF29" i="30"/>
  <c r="AG29" i="30" s="1"/>
  <c r="AK40" i="30"/>
  <c r="AM40" i="30" s="1"/>
  <c r="AH40" i="30"/>
  <c r="AJ40" i="30" s="1"/>
  <c r="AF40" i="30"/>
  <c r="AG40" i="30" s="1"/>
  <c r="AK28" i="30"/>
  <c r="AM28" i="30" s="1"/>
  <c r="AH28" i="30"/>
  <c r="AJ28" i="30" s="1"/>
  <c r="AF28" i="30"/>
  <c r="AG28" i="30" s="1"/>
  <c r="AK31" i="30"/>
  <c r="AM31" i="30" s="1"/>
  <c r="AF32" i="30"/>
  <c r="AG32" i="30" s="1"/>
  <c r="AK32" i="30"/>
  <c r="AM32" i="30" s="1"/>
  <c r="AH39" i="30"/>
  <c r="AJ39" i="30" s="1"/>
  <c r="AF43" i="30"/>
  <c r="AG43" i="30" s="1"/>
  <c r="AK42" i="30"/>
  <c r="AM42" i="30" s="1"/>
  <c r="AH42" i="30"/>
  <c r="AJ42" i="30" s="1"/>
  <c r="AF48" i="30"/>
  <c r="AG48" i="30" s="1"/>
  <c r="AF49" i="30"/>
  <c r="AG49" i="30" s="1"/>
  <c r="AF27" i="30"/>
  <c r="AG27" i="30" s="1"/>
  <c r="AF39" i="30"/>
  <c r="AG39" i="30" s="1"/>
  <c r="AF45" i="30"/>
  <c r="AG45" i="30" s="1"/>
  <c r="AH33" i="30"/>
  <c r="AJ33" i="30" s="1"/>
  <c r="AP19" i="28"/>
  <c r="AQ19" i="28" s="1"/>
  <c r="AN33" i="29"/>
  <c r="AP33" i="29" s="1"/>
  <c r="AQ25" i="29"/>
  <c r="AS25" i="29" s="1"/>
  <c r="AQ27" i="29"/>
  <c r="AS27" i="29" s="1"/>
  <c r="AQ47" i="29"/>
  <c r="AS47" i="29" s="1"/>
  <c r="AN34" i="29"/>
  <c r="AP34" i="29" s="1"/>
  <c r="AQ39" i="29"/>
  <c r="AS39" i="29" s="1"/>
  <c r="AQ35" i="29"/>
  <c r="AS35" i="29" s="1"/>
  <c r="AQ29" i="29"/>
  <c r="AS29" i="29" s="1"/>
  <c r="AQ44" i="29"/>
  <c r="AS44" i="29" s="1"/>
  <c r="AL48" i="29"/>
  <c r="AM48" i="29" s="1"/>
  <c r="AQ32" i="29"/>
  <c r="AS32" i="29" s="1"/>
  <c r="AQ30" i="29"/>
  <c r="AS30" i="29" s="1"/>
  <c r="AN24" i="29"/>
  <c r="AP24" i="29" s="1"/>
  <c r="AN43" i="29"/>
  <c r="AP43" i="29" s="1"/>
  <c r="AL45" i="29"/>
  <c r="AM45" i="29" s="1"/>
  <c r="AL44" i="29"/>
  <c r="AM44" i="29" s="1"/>
  <c r="AL24" i="29"/>
  <c r="AM24" i="29" s="1"/>
  <c r="AL32" i="29"/>
  <c r="AM32" i="29" s="1"/>
  <c r="AN49" i="29"/>
  <c r="AP49" i="29" s="1"/>
  <c r="AL49" i="29"/>
  <c r="AM49" i="29" s="1"/>
  <c r="AQ49" i="29"/>
  <c r="AS49" i="29" s="1"/>
  <c r="AL28" i="29"/>
  <c r="AM28" i="29" s="1"/>
  <c r="AQ28" i="29"/>
  <c r="AS28" i="29" s="1"/>
  <c r="AN28" i="29"/>
  <c r="AP28" i="29" s="1"/>
  <c r="AQ31" i="29"/>
  <c r="AS31" i="29" s="1"/>
  <c r="AN51" i="29"/>
  <c r="AP51" i="29" s="1"/>
  <c r="AL51" i="29"/>
  <c r="AM51" i="29" s="1"/>
  <c r="AQ51" i="29"/>
  <c r="AS51" i="29" s="1"/>
  <c r="AN45" i="29"/>
  <c r="AP45" i="29" s="1"/>
  <c r="AQ37" i="29"/>
  <c r="AS37" i="29" s="1"/>
  <c r="AL37" i="29"/>
  <c r="AM37" i="29" s="1"/>
  <c r="AN38" i="29"/>
  <c r="AP38" i="29" s="1"/>
  <c r="AL38" i="29"/>
  <c r="AM38" i="29" s="1"/>
  <c r="AQ38" i="29"/>
  <c r="AS38" i="29" s="1"/>
  <c r="AL43" i="29"/>
  <c r="AM43" i="29" s="1"/>
  <c r="AQ43" i="29"/>
  <c r="AS43" i="29" s="1"/>
  <c r="AL31" i="29"/>
  <c r="AM31" i="29" s="1"/>
  <c r="AQ36" i="29"/>
  <c r="AS36" i="29" s="1"/>
  <c r="AN36" i="29"/>
  <c r="AP36" i="29" s="1"/>
  <c r="AN25" i="29"/>
  <c r="AP25" i="29" s="1"/>
  <c r="AL36" i="29"/>
  <c r="AM36" i="29" s="1"/>
  <c r="AQ46" i="29"/>
  <c r="AS46" i="29" s="1"/>
  <c r="AL47" i="29"/>
  <c r="AM47" i="29" s="1"/>
  <c r="AQ40" i="29"/>
  <c r="AS40" i="29" s="1"/>
  <c r="AN44" i="29"/>
  <c r="AP44" i="29" s="1"/>
  <c r="AN26" i="29"/>
  <c r="AP26" i="29" s="1"/>
  <c r="AL26" i="29"/>
  <c r="AM26" i="29" s="1"/>
  <c r="AN32" i="29"/>
  <c r="AP32" i="29" s="1"/>
  <c r="AL35" i="29"/>
  <c r="AM35" i="29" s="1"/>
  <c r="AL46" i="29"/>
  <c r="AM46" i="29" s="1"/>
  <c r="AL29" i="29"/>
  <c r="AM29" i="29" s="1"/>
  <c r="AL30" i="29"/>
  <c r="AM30" i="29" s="1"/>
  <c r="AN37" i="29"/>
  <c r="AP37" i="29" s="1"/>
  <c r="AQ48" i="29"/>
  <c r="AS48" i="29" s="1"/>
  <c r="AN48" i="29"/>
  <c r="AP48" i="29" s="1"/>
  <c r="AL25" i="29"/>
  <c r="AM25" i="29" s="1"/>
  <c r="AQ26" i="29"/>
  <c r="AS26" i="29" s="1"/>
  <c r="AN31" i="29"/>
  <c r="AP31" i="29" s="1"/>
  <c r="AN35" i="29"/>
  <c r="AP35" i="29" s="1"/>
  <c r="AQ45" i="29"/>
  <c r="AS45" i="29" s="1"/>
  <c r="AN46" i="29"/>
  <c r="AP46" i="29" s="1"/>
  <c r="AN27" i="29"/>
  <c r="AP27" i="29" s="1"/>
  <c r="AL27" i="29"/>
  <c r="AM27" i="29" s="1"/>
  <c r="AQ33" i="29"/>
  <c r="AS33" i="29" s="1"/>
  <c r="AL33" i="29"/>
  <c r="AM33" i="29" s="1"/>
  <c r="AN39" i="29"/>
  <c r="AP39" i="29" s="1"/>
  <c r="AL39" i="29"/>
  <c r="AM39" i="29" s="1"/>
  <c r="AN40" i="29"/>
  <c r="AP40" i="29" s="1"/>
  <c r="AQ24" i="29"/>
  <c r="AS24" i="29" s="1"/>
  <c r="AN47" i="29"/>
  <c r="AP47" i="29" s="1"/>
  <c r="AQ34" i="29"/>
  <c r="AS34" i="29" s="1"/>
  <c r="AL34" i="29"/>
  <c r="AM34" i="29" s="1"/>
  <c r="AW31" i="28"/>
  <c r="AY31" i="28" s="1"/>
  <c r="X11" i="28"/>
  <c r="AC11" i="28" s="1"/>
  <c r="AT34" i="28"/>
  <c r="AV34" i="28" s="1"/>
  <c r="AR35" i="28"/>
  <c r="AS35" i="28" s="1"/>
  <c r="AT46" i="28"/>
  <c r="AV46" i="28" s="1"/>
  <c r="AR50" i="28"/>
  <c r="AS50" i="28" s="1"/>
  <c r="AR38" i="28"/>
  <c r="AS38" i="28" s="1"/>
  <c r="AT49" i="28"/>
  <c r="AR44" i="28"/>
  <c r="AS44" i="28" s="1"/>
  <c r="AR41" i="28"/>
  <c r="AS41" i="28" s="1"/>
  <c r="AW37" i="28"/>
  <c r="AY37" i="28" s="1"/>
  <c r="AR26" i="28"/>
  <c r="AS26" i="28" s="1"/>
  <c r="AR29" i="28"/>
  <c r="AS29" i="28" s="1"/>
  <c r="AR31" i="28"/>
  <c r="AS31" i="28" s="1"/>
  <c r="AW36" i="28"/>
  <c r="AY36" i="28" s="1"/>
  <c r="AR36" i="28"/>
  <c r="AS36" i="28" s="1"/>
  <c r="AT36" i="28"/>
  <c r="AV36" i="28" s="1"/>
  <c r="AT37" i="28"/>
  <c r="AV37" i="28" s="1"/>
  <c r="AT47" i="28"/>
  <c r="AV47" i="28" s="1"/>
  <c r="AW47" i="28"/>
  <c r="AY47" i="28" s="1"/>
  <c r="AW32" i="28"/>
  <c r="AY32" i="28" s="1"/>
  <c r="AT32" i="28"/>
  <c r="AV32" i="28" s="1"/>
  <c r="AR43" i="28"/>
  <c r="AS43" i="28" s="1"/>
  <c r="AR40" i="28"/>
  <c r="AS40" i="28" s="1"/>
  <c r="AT29" i="28"/>
  <c r="AV29" i="28" s="1"/>
  <c r="AW29" i="28"/>
  <c r="AY29" i="28" s="1"/>
  <c r="AW45" i="28"/>
  <c r="AY45" i="28" s="1"/>
  <c r="AT45" i="28"/>
  <c r="AV45" i="28" s="1"/>
  <c r="AR45" i="28"/>
  <c r="AS45" i="28" s="1"/>
  <c r="AW39" i="28"/>
  <c r="AY39" i="28" s="1"/>
  <c r="AR39" i="28"/>
  <c r="AS39" i="28" s="1"/>
  <c r="AT39" i="28"/>
  <c r="AV39" i="28" s="1"/>
  <c r="AT40" i="28"/>
  <c r="AV40" i="28" s="1"/>
  <c r="AW33" i="28"/>
  <c r="AY33" i="28" s="1"/>
  <c r="AT33" i="28"/>
  <c r="AV33" i="28" s="1"/>
  <c r="AR33" i="28"/>
  <c r="AS33" i="28" s="1"/>
  <c r="AW43" i="28"/>
  <c r="AY43" i="28" s="1"/>
  <c r="AR32" i="28"/>
  <c r="AS32" i="28" s="1"/>
  <c r="AW42" i="28"/>
  <c r="AY42" i="28" s="1"/>
  <c r="AT42" i="28"/>
  <c r="AV42" i="28" s="1"/>
  <c r="AR42" i="28"/>
  <c r="AS42" i="28" s="1"/>
  <c r="AW40" i="28"/>
  <c r="AY40" i="28" s="1"/>
  <c r="AW44" i="28"/>
  <c r="AY44" i="28" s="1"/>
  <c r="AT44" i="28"/>
  <c r="AV44" i="28" s="1"/>
  <c r="AW51" i="28"/>
  <c r="AY51" i="28" s="1"/>
  <c r="AR51" i="28"/>
  <c r="AS51" i="28" s="1"/>
  <c r="AT51" i="28"/>
  <c r="AV51" i="28" s="1"/>
  <c r="AT35" i="28"/>
  <c r="AV35" i="28" s="1"/>
  <c r="AW35" i="28"/>
  <c r="AY35" i="28" s="1"/>
  <c r="AR46" i="28"/>
  <c r="AS46" i="28" s="1"/>
  <c r="AW46" i="28"/>
  <c r="AY46" i="28" s="1"/>
  <c r="AW48" i="28"/>
  <c r="AY48" i="28" s="1"/>
  <c r="AR48" i="28"/>
  <c r="AS48" i="28" s="1"/>
  <c r="AT48" i="28"/>
  <c r="AV48" i="28" s="1"/>
  <c r="AW30" i="28"/>
  <c r="AY30" i="28" s="1"/>
  <c r="AR30" i="28"/>
  <c r="AS30" i="28" s="1"/>
  <c r="AT30" i="28"/>
  <c r="AV30" i="28" s="1"/>
  <c r="AT31" i="28"/>
  <c r="AV31" i="28" s="1"/>
  <c r="AW41" i="28"/>
  <c r="AY41" i="28" s="1"/>
  <c r="AT41" i="28"/>
  <c r="AV41" i="28" s="1"/>
  <c r="AR49" i="28"/>
  <c r="AS49" i="28" s="1"/>
  <c r="AW49" i="28"/>
  <c r="AY49" i="28" s="1"/>
  <c r="AW27" i="28"/>
  <c r="AY27" i="28" s="1"/>
  <c r="AR27" i="28"/>
  <c r="AS27" i="28" s="1"/>
  <c r="AT27" i="28"/>
  <c r="AV27" i="28" s="1"/>
  <c r="AT24" i="28"/>
  <c r="AV24" i="28" s="1"/>
  <c r="AR37" i="28"/>
  <c r="AS37" i="28" s="1"/>
  <c r="AW50" i="28"/>
  <c r="AY50" i="28" s="1"/>
  <c r="AT50" i="28"/>
  <c r="AV50" i="28" s="1"/>
  <c r="AR34" i="28"/>
  <c r="AS34" i="28" s="1"/>
  <c r="AT43" i="28"/>
  <c r="AV43" i="28" s="1"/>
  <c r="AT26" i="28"/>
  <c r="AV26" i="28" s="1"/>
  <c r="AW26" i="28"/>
  <c r="AY26" i="28" s="1"/>
  <c r="AW34" i="28"/>
  <c r="AY34" i="28" s="1"/>
  <c r="AT38" i="28"/>
  <c r="AV38" i="28" s="1"/>
  <c r="AW38" i="28"/>
  <c r="AY38" i="28" s="1"/>
  <c r="AR47" i="28"/>
  <c r="AS47" i="28" s="1"/>
  <c r="AU19" i="27"/>
  <c r="AV19" i="27" s="1"/>
  <c r="AW19" i="27" s="1"/>
  <c r="AZ32" i="27"/>
  <c r="BB32" i="27" s="1"/>
  <c r="AC11" i="27"/>
  <c r="AH11" i="27" s="1"/>
  <c r="AX27" i="27"/>
  <c r="AY27" i="27" s="1"/>
  <c r="AX46" i="27"/>
  <c r="AY46" i="27" s="1"/>
  <c r="AX25" i="27"/>
  <c r="AY25" i="27" s="1"/>
  <c r="AX34" i="27"/>
  <c r="AY34" i="27" s="1"/>
  <c r="AZ47" i="27"/>
  <c r="BB47" i="27" s="1"/>
  <c r="AZ35" i="27"/>
  <c r="BB35" i="27" s="1"/>
  <c r="AZ25" i="27"/>
  <c r="BB25" i="27" s="1"/>
  <c r="BC26" i="27"/>
  <c r="BE26" i="27" s="1"/>
  <c r="AX51" i="27"/>
  <c r="AY51" i="27" s="1"/>
  <c r="BC24" i="27"/>
  <c r="BE24" i="27" s="1"/>
  <c r="BC36" i="27"/>
  <c r="BE36" i="27" s="1"/>
  <c r="BC43" i="27"/>
  <c r="BE43" i="27" s="1"/>
  <c r="BC50" i="27"/>
  <c r="BE50" i="27" s="1"/>
  <c r="AZ27" i="27"/>
  <c r="BC45" i="27"/>
  <c r="BE45" i="27" s="1"/>
  <c r="AZ30" i="27"/>
  <c r="BB30" i="27" s="1"/>
  <c r="AX30" i="27"/>
  <c r="AY30" i="27" s="1"/>
  <c r="BC30" i="27"/>
  <c r="BE30" i="27" s="1"/>
  <c r="AZ31" i="27"/>
  <c r="BB31" i="27" s="1"/>
  <c r="AX31" i="27"/>
  <c r="AY31" i="27" s="1"/>
  <c r="AZ39" i="27"/>
  <c r="BB39" i="27" s="1"/>
  <c r="AX39" i="27"/>
  <c r="AY39" i="27" s="1"/>
  <c r="BC48" i="27"/>
  <c r="BE48" i="27" s="1"/>
  <c r="AX33" i="27"/>
  <c r="AY33" i="27" s="1"/>
  <c r="AZ33" i="27"/>
  <c r="BB33" i="27" s="1"/>
  <c r="AX47" i="27"/>
  <c r="AY47" i="27" s="1"/>
  <c r="AX40" i="27"/>
  <c r="AY40" i="27" s="1"/>
  <c r="BC40" i="27"/>
  <c r="BE40" i="27" s="1"/>
  <c r="AZ40" i="27"/>
  <c r="BB40" i="27" s="1"/>
  <c r="AZ42" i="27"/>
  <c r="BB42" i="27" s="1"/>
  <c r="AX42" i="27"/>
  <c r="AY42" i="27" s="1"/>
  <c r="BC32" i="27"/>
  <c r="BE32" i="27" s="1"/>
  <c r="AX32" i="27"/>
  <c r="AY32" i="27" s="1"/>
  <c r="AZ51" i="27"/>
  <c r="BB51" i="27" s="1"/>
  <c r="AX35" i="27"/>
  <c r="AY35" i="27" s="1"/>
  <c r="AX45" i="27"/>
  <c r="AY45" i="27" s="1"/>
  <c r="AZ45" i="27"/>
  <c r="BB45" i="27" s="1"/>
  <c r="BC29" i="27"/>
  <c r="BE29" i="27" s="1"/>
  <c r="AX29" i="27"/>
  <c r="AY29" i="27" s="1"/>
  <c r="BC33" i="27"/>
  <c r="BE33" i="27" s="1"/>
  <c r="BC35" i="27"/>
  <c r="BE35" i="27" s="1"/>
  <c r="AX28" i="27"/>
  <c r="AY28" i="27" s="1"/>
  <c r="BC28" i="27"/>
  <c r="BE28" i="27" s="1"/>
  <c r="AZ28" i="27"/>
  <c r="BB28" i="27" s="1"/>
  <c r="BC31" i="27"/>
  <c r="BE31" i="27" s="1"/>
  <c r="BC38" i="27"/>
  <c r="BE38" i="27" s="1"/>
  <c r="AZ37" i="27"/>
  <c r="BB37" i="27" s="1"/>
  <c r="AX37" i="27"/>
  <c r="AY37" i="27" s="1"/>
  <c r="BC41" i="27"/>
  <c r="BE41" i="27" s="1"/>
  <c r="AZ41" i="27"/>
  <c r="BB41" i="27" s="1"/>
  <c r="AX41" i="27"/>
  <c r="AY41" i="27" s="1"/>
  <c r="BC42" i="27"/>
  <c r="BE42" i="27" s="1"/>
  <c r="BC47" i="27"/>
  <c r="BE47" i="27" s="1"/>
  <c r="AZ49" i="27"/>
  <c r="BB49" i="27" s="1"/>
  <c r="AX49" i="27"/>
  <c r="AY49" i="27" s="1"/>
  <c r="AZ43" i="27"/>
  <c r="BB43" i="27" s="1"/>
  <c r="AX43" i="27"/>
  <c r="AY43" i="27" s="1"/>
  <c r="BC44" i="27"/>
  <c r="BE44" i="27" s="1"/>
  <c r="BC34" i="27"/>
  <c r="BE34" i="27" s="1"/>
  <c r="AZ34" i="27"/>
  <c r="BB34" i="27" s="1"/>
  <c r="BC46" i="27"/>
  <c r="BE46" i="27" s="1"/>
  <c r="AZ46" i="27"/>
  <c r="BB46" i="27" s="1"/>
  <c r="BC25" i="27"/>
  <c r="BE25" i="27" s="1"/>
  <c r="AZ24" i="27"/>
  <c r="BB24" i="27" s="1"/>
  <c r="AX24" i="27"/>
  <c r="AY24" i="27" s="1"/>
  <c r="BC27" i="27"/>
  <c r="BE27" i="27" s="1"/>
  <c r="BC37" i="27"/>
  <c r="BE37" i="27" s="1"/>
  <c r="BC49" i="27"/>
  <c r="BE49" i="27" s="1"/>
  <c r="BC51" i="27"/>
  <c r="BE51" i="27" s="1"/>
  <c r="AZ26" i="27"/>
  <c r="BB26" i="27" s="1"/>
  <c r="AX26" i="27"/>
  <c r="AY26" i="27" s="1"/>
  <c r="AZ36" i="27"/>
  <c r="BB36" i="27" s="1"/>
  <c r="AX36" i="27"/>
  <c r="AY36" i="27" s="1"/>
  <c r="BC39" i="27"/>
  <c r="BE39" i="27" s="1"/>
  <c r="AZ48" i="27"/>
  <c r="BB48" i="27" s="1"/>
  <c r="AX48" i="27"/>
  <c r="AY48" i="27" s="1"/>
  <c r="AZ50" i="27"/>
  <c r="BB50" i="27" s="1"/>
  <c r="AX50" i="27"/>
  <c r="AY50" i="27" s="1"/>
  <c r="AZ38" i="27"/>
  <c r="BB38" i="27" s="1"/>
  <c r="AX38" i="27"/>
  <c r="AY38" i="27" s="1"/>
  <c r="AX44" i="27"/>
  <c r="AY44" i="27" s="1"/>
  <c r="AZ29" i="27"/>
  <c r="BB29" i="27" s="1"/>
  <c r="BF46" i="26"/>
  <c r="BH46" i="26" s="1"/>
  <c r="BF27" i="26"/>
  <c r="BH27" i="26" s="1"/>
  <c r="AC11" i="26"/>
  <c r="AH11" i="26" s="1"/>
  <c r="AM11" i="26" s="1"/>
  <c r="BF43" i="26"/>
  <c r="BH43" i="26" s="1"/>
  <c r="BI34" i="26"/>
  <c r="BK34" i="26" s="1"/>
  <c r="BD38" i="26"/>
  <c r="BE38" i="26" s="1"/>
  <c r="BF41" i="26"/>
  <c r="BH41" i="26" s="1"/>
  <c r="BF49" i="26"/>
  <c r="BH49" i="26" s="1"/>
  <c r="BD50" i="26"/>
  <c r="BE50" i="26" s="1"/>
  <c r="BI26" i="26"/>
  <c r="BK26" i="26" s="1"/>
  <c r="BD29" i="26"/>
  <c r="BE29" i="26" s="1"/>
  <c r="BF34" i="26"/>
  <c r="BH34" i="26" s="1"/>
  <c r="BI36" i="26"/>
  <c r="BK36" i="26" s="1"/>
  <c r="BI41" i="26"/>
  <c r="BK41" i="26" s="1"/>
  <c r="BI47" i="26"/>
  <c r="BK47" i="26" s="1"/>
  <c r="BI30" i="26"/>
  <c r="BK30" i="26" s="1"/>
  <c r="BF51" i="26"/>
  <c r="BH51" i="26" s="1"/>
  <c r="BD51" i="26"/>
  <c r="BE51" i="26" s="1"/>
  <c r="BI28" i="26"/>
  <c r="BK28" i="26" s="1"/>
  <c r="BF28" i="26"/>
  <c r="BH28" i="26" s="1"/>
  <c r="BD28" i="26"/>
  <c r="BE28" i="26" s="1"/>
  <c r="BF48" i="26"/>
  <c r="BH48" i="26" s="1"/>
  <c r="BI48" i="26"/>
  <c r="BK48" i="26" s="1"/>
  <c r="BD30" i="26"/>
  <c r="BE30" i="26" s="1"/>
  <c r="BI39" i="26"/>
  <c r="BK39" i="26" s="1"/>
  <c r="BD39" i="26"/>
  <c r="BE39" i="26" s="1"/>
  <c r="BF44" i="26"/>
  <c r="BH44" i="26" s="1"/>
  <c r="BI44" i="26"/>
  <c r="BK44" i="26" s="1"/>
  <c r="BI35" i="26"/>
  <c r="BK35" i="26" s="1"/>
  <c r="BD27" i="26"/>
  <c r="BE27" i="26" s="1"/>
  <c r="BF32" i="26"/>
  <c r="BH32" i="26" s="1"/>
  <c r="BI32" i="26"/>
  <c r="BK32" i="26" s="1"/>
  <c r="BD32" i="26"/>
  <c r="BE32" i="26" s="1"/>
  <c r="BF37" i="26"/>
  <c r="BH37" i="26" s="1"/>
  <c r="BF38" i="26"/>
  <c r="BH38" i="26" s="1"/>
  <c r="BI33" i="26"/>
  <c r="BK33" i="26" s="1"/>
  <c r="BD40" i="26"/>
  <c r="BE40" i="26" s="1"/>
  <c r="BD48" i="26"/>
  <c r="BE48" i="26" s="1"/>
  <c r="BF25" i="26"/>
  <c r="BH25" i="26" s="1"/>
  <c r="BF26" i="26"/>
  <c r="BH26" i="26" s="1"/>
  <c r="BD26" i="26"/>
  <c r="BE26" i="26" s="1"/>
  <c r="BF40" i="26"/>
  <c r="BH40" i="26" s="1"/>
  <c r="BF42" i="26"/>
  <c r="BH42" i="26" s="1"/>
  <c r="BI42" i="26"/>
  <c r="BK42" i="26" s="1"/>
  <c r="BD42" i="26"/>
  <c r="BE42" i="26" s="1"/>
  <c r="BD45" i="26"/>
  <c r="BE45" i="26" s="1"/>
  <c r="BF45" i="26"/>
  <c r="BH45" i="26" s="1"/>
  <c r="BI46" i="26"/>
  <c r="BK46" i="26" s="1"/>
  <c r="BD46" i="26"/>
  <c r="BE46" i="26" s="1"/>
  <c r="BF36" i="26"/>
  <c r="BH36" i="26" s="1"/>
  <c r="BD36" i="26"/>
  <c r="BE36" i="26" s="1"/>
  <c r="BI49" i="26"/>
  <c r="BK49" i="26" s="1"/>
  <c r="BD49" i="26"/>
  <c r="BE49" i="26" s="1"/>
  <c r="BD47" i="26"/>
  <c r="BE47" i="26" s="1"/>
  <c r="BF47" i="26"/>
  <c r="BH47" i="26" s="1"/>
  <c r="BF50" i="26"/>
  <c r="BH50" i="26" s="1"/>
  <c r="BI50" i="26"/>
  <c r="BK50" i="26" s="1"/>
  <c r="BI31" i="26"/>
  <c r="BK31" i="26" s="1"/>
  <c r="BD31" i="26"/>
  <c r="BE31" i="26" s="1"/>
  <c r="BF31" i="26"/>
  <c r="BH31" i="26" s="1"/>
  <c r="BF39" i="26"/>
  <c r="BH39" i="26" s="1"/>
  <c r="BD34" i="26"/>
  <c r="BE34" i="26" s="1"/>
  <c r="BI38" i="26"/>
  <c r="BK38" i="26" s="1"/>
  <c r="BI40" i="26"/>
  <c r="BK40" i="26" s="1"/>
  <c r="BD44" i="26"/>
  <c r="BE44" i="26" s="1"/>
  <c r="BD41" i="26"/>
  <c r="BE41" i="26" s="1"/>
  <c r="BF35" i="26"/>
  <c r="BH35" i="26" s="1"/>
  <c r="BI37" i="26"/>
  <c r="BK37" i="26" s="1"/>
  <c r="BD37" i="26"/>
  <c r="BE37" i="26" s="1"/>
  <c r="BI51" i="26"/>
  <c r="BK51" i="26" s="1"/>
  <c r="BI27" i="26"/>
  <c r="BK27" i="26" s="1"/>
  <c r="BI25" i="26"/>
  <c r="BK25" i="26" s="1"/>
  <c r="BD25" i="26"/>
  <c r="BE25" i="26" s="1"/>
  <c r="BI45" i="26"/>
  <c r="BK45" i="26" s="1"/>
  <c r="BI24" i="26"/>
  <c r="BK24" i="26" s="1"/>
  <c r="BF30" i="26"/>
  <c r="BH30" i="26" s="1"/>
  <c r="BD35" i="26"/>
  <c r="BE35" i="26" s="1"/>
  <c r="BI43" i="26"/>
  <c r="BK43" i="26" s="1"/>
  <c r="BD43" i="26"/>
  <c r="BE43" i="26" s="1"/>
  <c r="AP52" i="28" l="1"/>
  <c r="AT25" i="28"/>
  <c r="AV25" i="28" s="1"/>
  <c r="AR25" i="28"/>
  <c r="AS25" i="28" s="1"/>
  <c r="AW25" i="28"/>
  <c r="AY25" i="28" s="1"/>
  <c r="AN52" i="28"/>
  <c r="AV53" i="27"/>
  <c r="AY52" i="26"/>
  <c r="BI52" i="26" s="1"/>
  <c r="AH59" i="26"/>
  <c r="AH60" i="26" s="1"/>
  <c r="AM59" i="26"/>
  <c r="AM60" i="26" s="1"/>
  <c r="BC53" i="26"/>
  <c r="S58" i="30"/>
  <c r="S59" i="30" s="1"/>
  <c r="AF59" i="28"/>
  <c r="AF60" i="28" s="1"/>
  <c r="AC59" i="28"/>
  <c r="AC60" i="28" s="1"/>
  <c r="AT52" i="27"/>
  <c r="AH59" i="27"/>
  <c r="AH60" i="27" s="1"/>
  <c r="AC59" i="27"/>
  <c r="AC60" i="27" s="1"/>
  <c r="V58" i="30"/>
  <c r="V59" i="30" s="1"/>
  <c r="X59" i="29"/>
  <c r="X60" i="29" s="1"/>
  <c r="AA59" i="29"/>
  <c r="AA60" i="29" s="1"/>
  <c r="AZ53" i="26"/>
  <c r="BA53" i="26"/>
  <c r="AW53" i="26"/>
  <c r="AU52" i="27"/>
  <c r="AQ23" i="29"/>
  <c r="AS23" i="29" s="1"/>
  <c r="AJ53" i="29"/>
  <c r="AI53" i="29"/>
  <c r="AK52" i="29"/>
  <c r="AQ52" i="28"/>
  <c r="AO52" i="28"/>
  <c r="AW52" i="27"/>
  <c r="AS52" i="27"/>
  <c r="BB53" i="26"/>
  <c r="BD23" i="26"/>
  <c r="BE23" i="26" s="1"/>
  <c r="AF23" i="30"/>
  <c r="AE51" i="30"/>
  <c r="AK23" i="30"/>
  <c r="AM23" i="30" s="1"/>
  <c r="AH23" i="30"/>
  <c r="AJ23" i="30" s="1"/>
  <c r="AR52" i="27"/>
  <c r="AX53" i="26"/>
  <c r="AC51" i="30"/>
  <c r="AJ26" i="30"/>
  <c r="AG24" i="30"/>
  <c r="AJ25" i="30"/>
  <c r="AG26" i="30"/>
  <c r="AG25" i="30"/>
  <c r="AM53" i="28"/>
  <c r="AP53" i="28"/>
  <c r="AR28" i="28"/>
  <c r="AS28" i="28" s="1"/>
  <c r="AW28" i="28"/>
  <c r="AY28" i="28" s="1"/>
  <c r="AT28" i="28"/>
  <c r="AV28" i="28" s="1"/>
  <c r="AL42" i="29"/>
  <c r="AM42" i="29" s="1"/>
  <c r="AH52" i="29"/>
  <c r="AM52" i="28"/>
  <c r="AQ41" i="29"/>
  <c r="AS41" i="29" s="1"/>
  <c r="AQ50" i="29"/>
  <c r="AS50" i="29" s="1"/>
  <c r="AL50" i="29"/>
  <c r="AM50" i="29" s="1"/>
  <c r="AQ42" i="29"/>
  <c r="AS42" i="29" s="1"/>
  <c r="I52" i="30"/>
  <c r="AN41" i="29"/>
  <c r="AP41" i="29" s="1"/>
  <c r="I53" i="29"/>
  <c r="AR44" i="29"/>
  <c r="I53" i="28"/>
  <c r="I53" i="27"/>
  <c r="I53" i="26"/>
  <c r="AR27" i="29"/>
  <c r="S53" i="29"/>
  <c r="S53" i="28"/>
  <c r="BA25" i="27"/>
  <c r="BG27" i="26"/>
  <c r="AH53" i="26"/>
  <c r="BJ41" i="26"/>
  <c r="AM18" i="26"/>
  <c r="AO18" i="26" s="1"/>
  <c r="AM19" i="26"/>
  <c r="AL49" i="30"/>
  <c r="AI38" i="30"/>
  <c r="AJ38" i="30"/>
  <c r="AI26" i="30"/>
  <c r="AI50" i="30"/>
  <c r="AL50" i="30"/>
  <c r="AI31" i="30"/>
  <c r="AI25" i="30"/>
  <c r="AI33" i="30"/>
  <c r="AI43" i="30"/>
  <c r="AI46" i="30"/>
  <c r="AI47" i="30"/>
  <c r="AL31" i="30"/>
  <c r="AL46" i="30"/>
  <c r="AL43" i="30"/>
  <c r="AL30" i="30"/>
  <c r="AI41" i="30"/>
  <c r="AI48" i="30"/>
  <c r="AL41" i="30"/>
  <c r="AL44" i="30"/>
  <c r="AI39" i="30"/>
  <c r="AL29" i="30"/>
  <c r="AI27" i="30"/>
  <c r="AL32" i="30"/>
  <c r="AI45" i="30"/>
  <c r="AL26" i="30"/>
  <c r="AL38" i="30"/>
  <c r="AL25" i="30"/>
  <c r="AI30" i="30"/>
  <c r="AI32" i="30"/>
  <c r="AL47" i="30"/>
  <c r="AI28" i="30"/>
  <c r="AL37" i="30"/>
  <c r="AI35" i="30"/>
  <c r="AI29" i="30"/>
  <c r="AL48" i="30"/>
  <c r="AL28" i="30"/>
  <c r="AI36" i="30"/>
  <c r="AL35" i="30"/>
  <c r="AL45" i="30"/>
  <c r="AI34" i="30"/>
  <c r="AL36" i="30"/>
  <c r="AL39" i="30"/>
  <c r="AI24" i="30"/>
  <c r="AI42" i="30"/>
  <c r="AI40" i="30"/>
  <c r="AL34" i="30"/>
  <c r="AL24" i="30"/>
  <c r="AL33" i="30"/>
  <c r="AL42" i="30"/>
  <c r="AL40" i="30"/>
  <c r="AI44" i="30"/>
  <c r="S52" i="30"/>
  <c r="AI49" i="30"/>
  <c r="AI37" i="30"/>
  <c r="AL27" i="30"/>
  <c r="AR23" i="28"/>
  <c r="AS23" i="28" s="1"/>
  <c r="AU49" i="28"/>
  <c r="AV49" i="28"/>
  <c r="AX37" i="28"/>
  <c r="AO34" i="29"/>
  <c r="AR32" i="29"/>
  <c r="AO43" i="29"/>
  <c r="AO24" i="29"/>
  <c r="AR39" i="29"/>
  <c r="AR30" i="29"/>
  <c r="AO30" i="29"/>
  <c r="AO35" i="29"/>
  <c r="AR26" i="29"/>
  <c r="AR40" i="29"/>
  <c r="AO39" i="29"/>
  <c r="AO48" i="29"/>
  <c r="AO36" i="29"/>
  <c r="AR48" i="29"/>
  <c r="AR46" i="29"/>
  <c r="AR36" i="29"/>
  <c r="AO45" i="29"/>
  <c r="AR33" i="29"/>
  <c r="AR25" i="29"/>
  <c r="AO25" i="29"/>
  <c r="AO27" i="29"/>
  <c r="AO37" i="29"/>
  <c r="AO32" i="29"/>
  <c r="AN23" i="29"/>
  <c r="AP23" i="29" s="1"/>
  <c r="AL23" i="29"/>
  <c r="AM23" i="29" s="1"/>
  <c r="AR51" i="29"/>
  <c r="AR34" i="29"/>
  <c r="AO46" i="29"/>
  <c r="AO33" i="29"/>
  <c r="AO47" i="29"/>
  <c r="AR45" i="29"/>
  <c r="AR35" i="29"/>
  <c r="AR38" i="29"/>
  <c r="AO51" i="29"/>
  <c r="AR24" i="29"/>
  <c r="AO26" i="29"/>
  <c r="AR43" i="29"/>
  <c r="AR49" i="29"/>
  <c r="AO31" i="29"/>
  <c r="AO44" i="29"/>
  <c r="AO38" i="29"/>
  <c r="AR31" i="29"/>
  <c r="AO49" i="29"/>
  <c r="AO40" i="29"/>
  <c r="X53" i="29"/>
  <c r="AR37" i="29"/>
  <c r="AO28" i="29"/>
  <c r="AR47" i="29"/>
  <c r="AO29" i="29"/>
  <c r="AR29" i="29"/>
  <c r="AR28" i="29"/>
  <c r="AX31" i="28"/>
  <c r="AT23" i="28"/>
  <c r="AX35" i="28"/>
  <c r="AW23" i="28"/>
  <c r="AY23" i="28" s="1"/>
  <c r="AX49" i="28"/>
  <c r="AU35" i="28"/>
  <c r="AU43" i="28"/>
  <c r="AU41" i="28"/>
  <c r="AU48" i="28"/>
  <c r="AR24" i="28"/>
  <c r="AS24" i="28" s="1"/>
  <c r="AU46" i="28"/>
  <c r="AX36" i="28"/>
  <c r="AX42" i="28"/>
  <c r="AU40" i="28"/>
  <c r="AX26" i="28"/>
  <c r="AX27" i="28"/>
  <c r="AU39" i="28"/>
  <c r="AU32" i="28"/>
  <c r="AU26" i="28"/>
  <c r="AX43" i="28"/>
  <c r="AX39" i="28"/>
  <c r="AU33" i="28"/>
  <c r="AW24" i="28"/>
  <c r="AY24" i="28" s="1"/>
  <c r="AU27" i="28"/>
  <c r="AC53" i="28"/>
  <c r="AX32" i="28"/>
  <c r="AU50" i="28"/>
  <c r="AU31" i="28"/>
  <c r="AX48" i="28"/>
  <c r="AU44" i="28"/>
  <c r="AX33" i="28"/>
  <c r="AX47" i="28"/>
  <c r="AX38" i="28"/>
  <c r="AX30" i="28"/>
  <c r="AX29" i="28"/>
  <c r="AU36" i="28"/>
  <c r="AU29" i="28"/>
  <c r="AX34" i="28"/>
  <c r="AU42" i="28"/>
  <c r="AX50" i="28"/>
  <c r="AU30" i="28"/>
  <c r="AX46" i="28"/>
  <c r="AX44" i="28"/>
  <c r="AU45" i="28"/>
  <c r="AU47" i="28"/>
  <c r="AU34" i="28"/>
  <c r="AU38" i="28"/>
  <c r="AU51" i="28"/>
  <c r="AX41" i="28"/>
  <c r="AX51" i="28"/>
  <c r="AX40" i="28"/>
  <c r="AX45" i="28"/>
  <c r="AU37" i="28"/>
  <c r="BA27" i="27"/>
  <c r="BB27" i="27"/>
  <c r="BD24" i="27"/>
  <c r="BA35" i="27"/>
  <c r="BD36" i="27"/>
  <c r="BA44" i="27"/>
  <c r="BA32" i="27"/>
  <c r="BD47" i="27"/>
  <c r="BD41" i="27"/>
  <c r="BD45" i="27"/>
  <c r="BD25" i="27"/>
  <c r="BD44" i="27"/>
  <c r="BD40" i="27"/>
  <c r="BA31" i="27"/>
  <c r="BD49" i="27"/>
  <c r="BD28" i="27"/>
  <c r="BD37" i="27"/>
  <c r="BA50" i="27"/>
  <c r="BD27" i="27"/>
  <c r="BA46" i="27"/>
  <c r="BD42" i="27"/>
  <c r="BA33" i="27"/>
  <c r="BD46" i="27"/>
  <c r="BD50" i="27"/>
  <c r="BA43" i="27"/>
  <c r="BD31" i="27"/>
  <c r="AX23" i="27"/>
  <c r="AY23" i="27" s="1"/>
  <c r="BC23" i="27"/>
  <c r="BE23" i="27" s="1"/>
  <c r="AZ23" i="27"/>
  <c r="BB23" i="27" s="1"/>
  <c r="BA51" i="27"/>
  <c r="AH53" i="27"/>
  <c r="BD43" i="27"/>
  <c r="BA49" i="27"/>
  <c r="BA45" i="27"/>
  <c r="BD32" i="27"/>
  <c r="BA48" i="27"/>
  <c r="BA24" i="27"/>
  <c r="BA34" i="27"/>
  <c r="BA41" i="27"/>
  <c r="BD35" i="27"/>
  <c r="BD48" i="27"/>
  <c r="BD39" i="27"/>
  <c r="BD34" i="27"/>
  <c r="BD33" i="27"/>
  <c r="BA42" i="27"/>
  <c r="BA39" i="27"/>
  <c r="BA29" i="27"/>
  <c r="BA36" i="27"/>
  <c r="BA37" i="27"/>
  <c r="BA40" i="27"/>
  <c r="BD30" i="27"/>
  <c r="BA26" i="27"/>
  <c r="BD38" i="27"/>
  <c r="BD29" i="27"/>
  <c r="BA47" i="27"/>
  <c r="BA30" i="27"/>
  <c r="BA38" i="27"/>
  <c r="BD51" i="27"/>
  <c r="BA28" i="27"/>
  <c r="BD26" i="27"/>
  <c r="BJ26" i="26"/>
  <c r="BF24" i="26"/>
  <c r="BH24" i="26" s="1"/>
  <c r="BG41" i="26"/>
  <c r="BI29" i="26"/>
  <c r="BK29" i="26" s="1"/>
  <c r="BF29" i="26"/>
  <c r="BH29" i="26" s="1"/>
  <c r="BJ36" i="26"/>
  <c r="BG34" i="26"/>
  <c r="BI23" i="26"/>
  <c r="BK23" i="26" s="1"/>
  <c r="BG31" i="26"/>
  <c r="BJ48" i="26"/>
  <c r="BJ25" i="26"/>
  <c r="BJ35" i="26"/>
  <c r="BG48" i="26"/>
  <c r="BG38" i="26"/>
  <c r="AM53" i="26"/>
  <c r="BD33" i="26"/>
  <c r="BE33" i="26" s="1"/>
  <c r="BG35" i="26"/>
  <c r="BG50" i="26"/>
  <c r="BG36" i="26"/>
  <c r="BJ42" i="26"/>
  <c r="BG42" i="26"/>
  <c r="BJ32" i="26"/>
  <c r="BG28" i="26"/>
  <c r="BJ30" i="26"/>
  <c r="BD24" i="26"/>
  <c r="BE24" i="26" s="1"/>
  <c r="BJ27" i="26"/>
  <c r="BG40" i="26"/>
  <c r="BJ28" i="26"/>
  <c r="BG44" i="26"/>
  <c r="BJ38" i="26"/>
  <c r="BJ49" i="26"/>
  <c r="BJ39" i="26"/>
  <c r="BJ34" i="26"/>
  <c r="BJ31" i="26"/>
  <c r="BG32" i="26"/>
  <c r="BJ44" i="26"/>
  <c r="BJ43" i="26"/>
  <c r="BJ51" i="26"/>
  <c r="BJ40" i="26"/>
  <c r="BG26" i="26"/>
  <c r="BF23" i="26"/>
  <c r="BH23" i="26" s="1"/>
  <c r="BG51" i="26"/>
  <c r="BG49" i="26"/>
  <c r="BG30" i="26"/>
  <c r="BF33" i="26"/>
  <c r="BH33" i="26" s="1"/>
  <c r="BG25" i="26"/>
  <c r="BJ37" i="26"/>
  <c r="BJ46" i="26"/>
  <c r="BJ47" i="26"/>
  <c r="BG43" i="26"/>
  <c r="BJ50" i="26"/>
  <c r="BG37" i="26"/>
  <c r="BG47" i="26"/>
  <c r="BJ45" i="26"/>
  <c r="BG39" i="26"/>
  <c r="BG45" i="26"/>
  <c r="BG46" i="26"/>
  <c r="AU25" i="28" l="1"/>
  <c r="AX25" i="28"/>
  <c r="BD52" i="26"/>
  <c r="BE52" i="26" s="1"/>
  <c r="BF52" i="26"/>
  <c r="BA43" i="28"/>
  <c r="BA41" i="28"/>
  <c r="BA51" i="28"/>
  <c r="BA42" i="28"/>
  <c r="BA52" i="28"/>
  <c r="BA40" i="28"/>
  <c r="BA49" i="28"/>
  <c r="BA50" i="28"/>
  <c r="BA48" i="28"/>
  <c r="BA45" i="28"/>
  <c r="BA46" i="28"/>
  <c r="BA47" i="28"/>
  <c r="BA44" i="28"/>
  <c r="BM44" i="26"/>
  <c r="BM43" i="26"/>
  <c r="BM42" i="26"/>
  <c r="BM51" i="26"/>
  <c r="BM41" i="26"/>
  <c r="BM40" i="26"/>
  <c r="BM39" i="26"/>
  <c r="BM38" i="26"/>
  <c r="BM50" i="26"/>
  <c r="BM47" i="26"/>
  <c r="BM37" i="26"/>
  <c r="BM49" i="26"/>
  <c r="BM46" i="26"/>
  <c r="BM45" i="26"/>
  <c r="BM48" i="26"/>
  <c r="BG49" i="27"/>
  <c r="BG37" i="27"/>
  <c r="BG48" i="27"/>
  <c r="BG36" i="27"/>
  <c r="BG47" i="27"/>
  <c r="BG44" i="27"/>
  <c r="BG43" i="27"/>
  <c r="BG35" i="27"/>
  <c r="BG45" i="27"/>
  <c r="BG46" i="27"/>
  <c r="BG42" i="27"/>
  <c r="BG41" i="27"/>
  <c r="BG40" i="27"/>
  <c r="BG52" i="27"/>
  <c r="BG39" i="27"/>
  <c r="BG38" i="27"/>
  <c r="BG51" i="27"/>
  <c r="BG50" i="27"/>
  <c r="AU42" i="29"/>
  <c r="AU40" i="29"/>
  <c r="AU51" i="29"/>
  <c r="AU39" i="29"/>
  <c r="AU38" i="29"/>
  <c r="AU37" i="29"/>
  <c r="AU48" i="29"/>
  <c r="AU46" i="29"/>
  <c r="AU41" i="29"/>
  <c r="AU50" i="29"/>
  <c r="AU49" i="29"/>
  <c r="AU47" i="29"/>
  <c r="AU45" i="29"/>
  <c r="AU44" i="29"/>
  <c r="AU43" i="29"/>
  <c r="AZ52" i="27"/>
  <c r="BC52" i="27"/>
  <c r="AF51" i="30"/>
  <c r="AL23" i="30"/>
  <c r="AH51" i="30"/>
  <c r="AX52" i="27"/>
  <c r="AY52" i="27" s="1"/>
  <c r="AK51" i="30"/>
  <c r="AI23" i="30"/>
  <c r="AU28" i="28"/>
  <c r="AO42" i="29"/>
  <c r="AX28" i="28"/>
  <c r="AQ52" i="29"/>
  <c r="AL52" i="29"/>
  <c r="AM52" i="29" s="1"/>
  <c r="AN52" i="29"/>
  <c r="AW52" i="28"/>
  <c r="AR52" i="28"/>
  <c r="AS52" i="28" s="1"/>
  <c r="AT52" i="28"/>
  <c r="AR41" i="29"/>
  <c r="BM30" i="26"/>
  <c r="BM36" i="26"/>
  <c r="BM32" i="26"/>
  <c r="BM33" i="26"/>
  <c r="BM34" i="26"/>
  <c r="BM35" i="26"/>
  <c r="BG27" i="27"/>
  <c r="BG25" i="27"/>
  <c r="BG23" i="27"/>
  <c r="BG26" i="27"/>
  <c r="BG24" i="27"/>
  <c r="BG34" i="27"/>
  <c r="BG33" i="27"/>
  <c r="BG32" i="27"/>
  <c r="BG31" i="27"/>
  <c r="BG30" i="27"/>
  <c r="BG29" i="27"/>
  <c r="BG28" i="27"/>
  <c r="BA30" i="28"/>
  <c r="BA29" i="28"/>
  <c r="BA28" i="28"/>
  <c r="BA39" i="28"/>
  <c r="BA27" i="28"/>
  <c r="BA38" i="28"/>
  <c r="BA26" i="28"/>
  <c r="BA37" i="28"/>
  <c r="BA25" i="28"/>
  <c r="BA34" i="28"/>
  <c r="BA33" i="28"/>
  <c r="BA32" i="28"/>
  <c r="BA31" i="28"/>
  <c r="BA36" i="28"/>
  <c r="BA24" i="28"/>
  <c r="BA35" i="28"/>
  <c r="BA23" i="28"/>
  <c r="AU25" i="29"/>
  <c r="AU36" i="29"/>
  <c r="AU24" i="29"/>
  <c r="AU33" i="29"/>
  <c r="AU31" i="29"/>
  <c r="AU29" i="29"/>
  <c r="AU27" i="29"/>
  <c r="AU26" i="29"/>
  <c r="AU35" i="29"/>
  <c r="AU23" i="29"/>
  <c r="AU34" i="29"/>
  <c r="AU32" i="29"/>
  <c r="AU30" i="29"/>
  <c r="AU28" i="29"/>
  <c r="BM23" i="26"/>
  <c r="BM28" i="26"/>
  <c r="BM31" i="26"/>
  <c r="BM24" i="26"/>
  <c r="BM25" i="26"/>
  <c r="BM27" i="26"/>
  <c r="BM29" i="26"/>
  <c r="BM26" i="26"/>
  <c r="AO50" i="29"/>
  <c r="AR50" i="29"/>
  <c r="AR42" i="29"/>
  <c r="BG29" i="26"/>
  <c r="BJ29" i="26"/>
  <c r="AO41" i="29"/>
  <c r="AV23" i="28"/>
  <c r="AU23" i="28"/>
  <c r="BJ33" i="26"/>
  <c r="AO23" i="29"/>
  <c r="AR23" i="29"/>
  <c r="AX23" i="28"/>
  <c r="AX24" i="28"/>
  <c r="AU24" i="28"/>
  <c r="BA23" i="27"/>
  <c r="BD23" i="27"/>
  <c r="BJ23" i="26"/>
  <c r="BJ24" i="26"/>
  <c r="BG33" i="26"/>
  <c r="BG24" i="26"/>
  <c r="BG23" i="26"/>
  <c r="BG52" i="26" l="1"/>
  <c r="BJ52" i="26"/>
  <c r="AI51" i="30"/>
  <c r="AL51" i="30"/>
  <c r="BD52" i="27"/>
  <c r="BA52" i="27"/>
  <c r="AO52" i="29"/>
  <c r="AR52" i="29"/>
  <c r="AU52" i="28"/>
  <c r="AX52" i="28"/>
  <c r="BA21" i="28"/>
  <c r="BM21" i="26"/>
  <c r="BG21" i="27"/>
  <c r="AU21" i="29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36" i="22"/>
  <c r="BE37" i="22"/>
  <c r="BE38" i="22"/>
  <c r="BE39" i="22"/>
  <c r="BE40" i="22"/>
  <c r="BE41" i="22"/>
  <c r="BE42" i="22"/>
  <c r="BE43" i="22"/>
  <c r="BE44" i="22"/>
  <c r="BE45" i="22"/>
  <c r="BE46" i="22"/>
  <c r="BE47" i="22"/>
  <c r="BE48" i="22"/>
  <c r="BE49" i="22"/>
  <c r="BE50" i="22"/>
  <c r="BE51" i="22"/>
  <c r="N60" i="22"/>
  <c r="I60" i="22"/>
  <c r="BI51" i="22"/>
  <c r="BH51" i="22"/>
  <c r="BG51" i="22"/>
  <c r="BF51" i="22"/>
  <c r="BD51" i="22"/>
  <c r="BC51" i="22"/>
  <c r="BB51" i="22"/>
  <c r="BI50" i="22"/>
  <c r="BH50" i="22"/>
  <c r="BG50" i="22"/>
  <c r="BF50" i="22"/>
  <c r="BD50" i="22"/>
  <c r="BC50" i="22"/>
  <c r="BB50" i="22"/>
  <c r="BI49" i="22"/>
  <c r="BH49" i="22"/>
  <c r="BG49" i="22"/>
  <c r="BF49" i="22"/>
  <c r="BD49" i="22"/>
  <c r="BC49" i="22"/>
  <c r="BB49" i="22"/>
  <c r="BI48" i="22"/>
  <c r="BH48" i="22"/>
  <c r="BG48" i="22"/>
  <c r="BF48" i="22"/>
  <c r="BD48" i="22"/>
  <c r="BC48" i="22"/>
  <c r="BB48" i="22"/>
  <c r="BI47" i="22"/>
  <c r="BH47" i="22"/>
  <c r="BG47" i="22"/>
  <c r="BF47" i="22"/>
  <c r="BD47" i="22"/>
  <c r="BC47" i="22"/>
  <c r="BB47" i="22"/>
  <c r="BI46" i="22"/>
  <c r="BH46" i="22"/>
  <c r="BG46" i="22"/>
  <c r="BF46" i="22"/>
  <c r="BD46" i="22"/>
  <c r="BC46" i="22"/>
  <c r="BB46" i="22"/>
  <c r="BI45" i="22"/>
  <c r="BH45" i="22"/>
  <c r="BG45" i="22"/>
  <c r="BF45" i="22"/>
  <c r="BD45" i="22"/>
  <c r="BC45" i="22"/>
  <c r="BB45" i="22"/>
  <c r="BI44" i="22"/>
  <c r="BH44" i="22"/>
  <c r="BG44" i="22"/>
  <c r="BF44" i="22"/>
  <c r="BD44" i="22"/>
  <c r="BC44" i="22"/>
  <c r="BB44" i="22"/>
  <c r="BI43" i="22"/>
  <c r="BH43" i="22"/>
  <c r="BG43" i="22"/>
  <c r="BF43" i="22"/>
  <c r="BD43" i="22"/>
  <c r="BC43" i="22"/>
  <c r="BB43" i="22"/>
  <c r="BI42" i="22"/>
  <c r="BH42" i="22"/>
  <c r="BG42" i="22"/>
  <c r="BF42" i="22"/>
  <c r="BD42" i="22"/>
  <c r="BC42" i="22"/>
  <c r="BB42" i="22"/>
  <c r="BI41" i="22"/>
  <c r="BH41" i="22"/>
  <c r="BG41" i="22"/>
  <c r="BF41" i="22"/>
  <c r="BD41" i="22"/>
  <c r="BC41" i="22"/>
  <c r="BB41" i="22"/>
  <c r="BI40" i="22"/>
  <c r="BH40" i="22"/>
  <c r="BG40" i="22"/>
  <c r="BF40" i="22"/>
  <c r="BD40" i="22"/>
  <c r="BC40" i="22"/>
  <c r="BB40" i="22"/>
  <c r="BI39" i="22"/>
  <c r="BH39" i="22"/>
  <c r="BG39" i="22"/>
  <c r="BF39" i="22"/>
  <c r="BD39" i="22"/>
  <c r="BC39" i="22"/>
  <c r="BB39" i="22"/>
  <c r="BI38" i="22"/>
  <c r="BH38" i="22"/>
  <c r="BG38" i="22"/>
  <c r="BF38" i="22"/>
  <c r="BD38" i="22"/>
  <c r="BC38" i="22"/>
  <c r="BB38" i="22"/>
  <c r="BI37" i="22"/>
  <c r="BH37" i="22"/>
  <c r="BG37" i="22"/>
  <c r="BF37" i="22"/>
  <c r="BD37" i="22"/>
  <c r="BC37" i="22"/>
  <c r="BB37" i="22"/>
  <c r="BI36" i="22"/>
  <c r="BH36" i="22"/>
  <c r="BG36" i="22"/>
  <c r="BF36" i="22"/>
  <c r="BD36" i="22"/>
  <c r="BC36" i="22"/>
  <c r="BB36" i="22"/>
  <c r="BI35" i="22"/>
  <c r="BH35" i="22"/>
  <c r="BG35" i="22"/>
  <c r="BF35" i="22"/>
  <c r="BD35" i="22"/>
  <c r="BC35" i="22"/>
  <c r="BB35" i="22"/>
  <c r="BI34" i="22"/>
  <c r="BH34" i="22"/>
  <c r="BG34" i="22"/>
  <c r="BF34" i="22"/>
  <c r="BD34" i="22"/>
  <c r="BC34" i="22"/>
  <c r="BB34" i="22"/>
  <c r="BI33" i="22"/>
  <c r="BH33" i="22"/>
  <c r="BG33" i="22"/>
  <c r="BF33" i="22"/>
  <c r="BD33" i="22"/>
  <c r="BC33" i="22"/>
  <c r="BB33" i="22"/>
  <c r="BI32" i="22"/>
  <c r="BH32" i="22"/>
  <c r="BG32" i="22"/>
  <c r="BF32" i="22"/>
  <c r="BD32" i="22"/>
  <c r="BC32" i="22"/>
  <c r="BB32" i="22"/>
  <c r="BI31" i="22"/>
  <c r="BH31" i="22"/>
  <c r="BG31" i="22"/>
  <c r="BF31" i="22"/>
  <c r="BD31" i="22"/>
  <c r="BC31" i="22"/>
  <c r="BB31" i="22"/>
  <c r="BI30" i="22"/>
  <c r="BH30" i="22"/>
  <c r="BG30" i="22"/>
  <c r="BF30" i="22"/>
  <c r="BD30" i="22"/>
  <c r="BC30" i="22"/>
  <c r="BB30" i="22"/>
  <c r="BI29" i="22"/>
  <c r="BH29" i="22"/>
  <c r="BG29" i="22"/>
  <c r="BF29" i="22"/>
  <c r="BD29" i="22"/>
  <c r="BC29" i="22"/>
  <c r="BB29" i="22"/>
  <c r="BI28" i="22"/>
  <c r="BH28" i="22"/>
  <c r="BG28" i="22"/>
  <c r="BF28" i="22"/>
  <c r="BD28" i="22"/>
  <c r="BC28" i="22"/>
  <c r="BB28" i="22"/>
  <c r="BI27" i="22"/>
  <c r="BH27" i="22"/>
  <c r="BG27" i="22"/>
  <c r="BF27" i="22"/>
  <c r="BD27" i="22"/>
  <c r="BC27" i="22"/>
  <c r="BB27" i="22"/>
  <c r="BI26" i="22"/>
  <c r="BH26" i="22"/>
  <c r="BG26" i="22"/>
  <c r="BF26" i="22"/>
  <c r="BD26" i="22"/>
  <c r="BC26" i="22"/>
  <c r="BB26" i="22"/>
  <c r="BI25" i="22"/>
  <c r="BH25" i="22"/>
  <c r="BG25" i="22"/>
  <c r="BF25" i="22"/>
  <c r="BD25" i="22"/>
  <c r="BC25" i="22"/>
  <c r="BB25" i="22"/>
  <c r="BI24" i="22"/>
  <c r="BH24" i="22"/>
  <c r="BG24" i="22"/>
  <c r="BF24" i="22"/>
  <c r="BD24" i="22"/>
  <c r="BC24" i="22"/>
  <c r="BB24" i="22"/>
  <c r="B24" i="22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C19" i="22"/>
  <c r="BD19" i="22" s="1"/>
  <c r="BE19" i="22" s="1"/>
  <c r="BF19" i="22" s="1"/>
  <c r="N11" i="22"/>
  <c r="S11" i="22" s="1"/>
  <c r="AS8" i="22"/>
  <c r="D60" i="22" s="1"/>
  <c r="BO24" i="20"/>
  <c r="BO25" i="20"/>
  <c r="BO26" i="20"/>
  <c r="BO27" i="20"/>
  <c r="BO28" i="20"/>
  <c r="BO29" i="20"/>
  <c r="BO30" i="20"/>
  <c r="BO31" i="20"/>
  <c r="BO32" i="20"/>
  <c r="BO33" i="20"/>
  <c r="BO34" i="20"/>
  <c r="BO35" i="20"/>
  <c r="BO36" i="20"/>
  <c r="BO37" i="20"/>
  <c r="BO38" i="20"/>
  <c r="BO39" i="20"/>
  <c r="BO40" i="20"/>
  <c r="BO41" i="20"/>
  <c r="BO42" i="20"/>
  <c r="BO43" i="20"/>
  <c r="BO44" i="20"/>
  <c r="BO45" i="20"/>
  <c r="BO46" i="20"/>
  <c r="BO47" i="20"/>
  <c r="BO48" i="20"/>
  <c r="BO49" i="20"/>
  <c r="BO50" i="20"/>
  <c r="BO51" i="20"/>
  <c r="BN24" i="20"/>
  <c r="BN25" i="20"/>
  <c r="BN26" i="20"/>
  <c r="BN27" i="20"/>
  <c r="BN28" i="20"/>
  <c r="BN29" i="20"/>
  <c r="BN30" i="20"/>
  <c r="BN31" i="20"/>
  <c r="BN32" i="20"/>
  <c r="BN33" i="20"/>
  <c r="BN34" i="20"/>
  <c r="BN35" i="20"/>
  <c r="BN36" i="20"/>
  <c r="BN37" i="20"/>
  <c r="BN38" i="20"/>
  <c r="BN39" i="20"/>
  <c r="BN40" i="20"/>
  <c r="BN41" i="20"/>
  <c r="BN42" i="20"/>
  <c r="BN43" i="20"/>
  <c r="BN44" i="20"/>
  <c r="BN45" i="20"/>
  <c r="BN46" i="20"/>
  <c r="BN47" i="20"/>
  <c r="BN48" i="20"/>
  <c r="BN49" i="20"/>
  <c r="BN50" i="20"/>
  <c r="BN51" i="20"/>
  <c r="BM24" i="20"/>
  <c r="BM25" i="20"/>
  <c r="BM26" i="20"/>
  <c r="BM27" i="20"/>
  <c r="BM28" i="20"/>
  <c r="BM29" i="20"/>
  <c r="BM30" i="20"/>
  <c r="BM31" i="20"/>
  <c r="BM32" i="20"/>
  <c r="BM33" i="20"/>
  <c r="BM34" i="20"/>
  <c r="BM35" i="20"/>
  <c r="BM36" i="20"/>
  <c r="BM37" i="20"/>
  <c r="BM38" i="20"/>
  <c r="BM39" i="20"/>
  <c r="BM40" i="20"/>
  <c r="BM41" i="20"/>
  <c r="BM42" i="20"/>
  <c r="BM43" i="20"/>
  <c r="BM44" i="20"/>
  <c r="BM45" i="20"/>
  <c r="BM46" i="20"/>
  <c r="BM47" i="20"/>
  <c r="BM48" i="20"/>
  <c r="BM49" i="20"/>
  <c r="BM50" i="20"/>
  <c r="BM51" i="20"/>
  <c r="BL24" i="20"/>
  <c r="BL25" i="20"/>
  <c r="BL26" i="20"/>
  <c r="BL27" i="20"/>
  <c r="BL28" i="20"/>
  <c r="BL29" i="20"/>
  <c r="BL30" i="20"/>
  <c r="BL31" i="20"/>
  <c r="BL32" i="20"/>
  <c r="BL33" i="20"/>
  <c r="BL34" i="20"/>
  <c r="BL35" i="20"/>
  <c r="BL36" i="20"/>
  <c r="BL37" i="20"/>
  <c r="BL38" i="20"/>
  <c r="BL39" i="20"/>
  <c r="BL40" i="20"/>
  <c r="BL41" i="20"/>
  <c r="BL42" i="20"/>
  <c r="BL43" i="20"/>
  <c r="BL44" i="20"/>
  <c r="BL45" i="20"/>
  <c r="BL46" i="20"/>
  <c r="BL47" i="20"/>
  <c r="BL48" i="20"/>
  <c r="BL49" i="20"/>
  <c r="BL50" i="20"/>
  <c r="BL51" i="20"/>
  <c r="BK24" i="20"/>
  <c r="BK25" i="20"/>
  <c r="BK26" i="20"/>
  <c r="BK27" i="20"/>
  <c r="BK28" i="20"/>
  <c r="BK29" i="20"/>
  <c r="BK30" i="20"/>
  <c r="BK31" i="20"/>
  <c r="BK32" i="20"/>
  <c r="BK33" i="20"/>
  <c r="BK34" i="20"/>
  <c r="BK35" i="20"/>
  <c r="BK36" i="20"/>
  <c r="BK37" i="20"/>
  <c r="BK38" i="20"/>
  <c r="BK39" i="20"/>
  <c r="BK40" i="20"/>
  <c r="BK41" i="20"/>
  <c r="BK42" i="20"/>
  <c r="BK43" i="20"/>
  <c r="BK44" i="20"/>
  <c r="BK45" i="20"/>
  <c r="BK46" i="20"/>
  <c r="BK47" i="20"/>
  <c r="BK48" i="20"/>
  <c r="BK49" i="20"/>
  <c r="BK50" i="20"/>
  <c r="BK51" i="20"/>
  <c r="BJ24" i="20"/>
  <c r="BJ25" i="20"/>
  <c r="BJ26" i="20"/>
  <c r="BJ27" i="20"/>
  <c r="BJ28" i="20"/>
  <c r="BJ29" i="20"/>
  <c r="BJ30" i="20"/>
  <c r="BJ31" i="20"/>
  <c r="BJ32" i="20"/>
  <c r="BJ33" i="20"/>
  <c r="BJ34" i="20"/>
  <c r="BJ35" i="20"/>
  <c r="BJ36" i="20"/>
  <c r="BJ37" i="20"/>
  <c r="BJ38" i="20"/>
  <c r="BJ39" i="20"/>
  <c r="BJ40" i="20"/>
  <c r="BJ41" i="20"/>
  <c r="BJ42" i="20"/>
  <c r="BJ43" i="20"/>
  <c r="BJ44" i="20"/>
  <c r="BJ45" i="20"/>
  <c r="BJ46" i="20"/>
  <c r="BJ47" i="20"/>
  <c r="BJ48" i="20"/>
  <c r="BJ49" i="20"/>
  <c r="BJ50" i="20"/>
  <c r="BJ51" i="20"/>
  <c r="BI24" i="20"/>
  <c r="BI25" i="20"/>
  <c r="BI26" i="20"/>
  <c r="BI27" i="20"/>
  <c r="BI28" i="20"/>
  <c r="BI29" i="20"/>
  <c r="BI30" i="20"/>
  <c r="BI31" i="20"/>
  <c r="BI32" i="20"/>
  <c r="BI33" i="20"/>
  <c r="BI34" i="20"/>
  <c r="BI35" i="20"/>
  <c r="BI36" i="20"/>
  <c r="BI37" i="20"/>
  <c r="BI38" i="20"/>
  <c r="BI39" i="20"/>
  <c r="BI40" i="20"/>
  <c r="BI41" i="20"/>
  <c r="BI42" i="20"/>
  <c r="BI43" i="20"/>
  <c r="BI44" i="20"/>
  <c r="BI45" i="20"/>
  <c r="BI46" i="20"/>
  <c r="BI47" i="20"/>
  <c r="BI48" i="20"/>
  <c r="BI49" i="20"/>
  <c r="BI50" i="20"/>
  <c r="BI51" i="20"/>
  <c r="BH24" i="20"/>
  <c r="BH25" i="20"/>
  <c r="BH26" i="20"/>
  <c r="BH27" i="20"/>
  <c r="BH28" i="20"/>
  <c r="BH29" i="20"/>
  <c r="BH30" i="20"/>
  <c r="BH31" i="20"/>
  <c r="BH32" i="20"/>
  <c r="BH33" i="20"/>
  <c r="BH34" i="20"/>
  <c r="BH35" i="20"/>
  <c r="BH36" i="20"/>
  <c r="BH37" i="20"/>
  <c r="BH38" i="20"/>
  <c r="BH39" i="20"/>
  <c r="BH40" i="20"/>
  <c r="BH41" i="20"/>
  <c r="BH42" i="20"/>
  <c r="BH43" i="20"/>
  <c r="BH44" i="20"/>
  <c r="BH45" i="20"/>
  <c r="BH46" i="20"/>
  <c r="BH47" i="20"/>
  <c r="BH48" i="20"/>
  <c r="BH49" i="20"/>
  <c r="BH50" i="20"/>
  <c r="BH51" i="20"/>
  <c r="BG24" i="20"/>
  <c r="BG26" i="20"/>
  <c r="BG27" i="20"/>
  <c r="BG28" i="20"/>
  <c r="BG29" i="20"/>
  <c r="BG30" i="20"/>
  <c r="BG31" i="20"/>
  <c r="BG32" i="20"/>
  <c r="BG33" i="20"/>
  <c r="BG34" i="20"/>
  <c r="BG35" i="20"/>
  <c r="BG36" i="20"/>
  <c r="BG37" i="20"/>
  <c r="BG38" i="20"/>
  <c r="BG39" i="20"/>
  <c r="BG40" i="20"/>
  <c r="BG41" i="20"/>
  <c r="BG42" i="20"/>
  <c r="BG43" i="20"/>
  <c r="BG44" i="20"/>
  <c r="BG45" i="20"/>
  <c r="BG46" i="20"/>
  <c r="BG47" i="20"/>
  <c r="BG48" i="20"/>
  <c r="BG49" i="20"/>
  <c r="BG50" i="20"/>
  <c r="BG51" i="20"/>
  <c r="BG25" i="20"/>
  <c r="AW19" i="20" l="1"/>
  <c r="BK23" i="20"/>
  <c r="BK53" i="20" s="1"/>
  <c r="AC52" i="20"/>
  <c r="AC53" i="20" s="1"/>
  <c r="BG23" i="20"/>
  <c r="BG53" i="20" s="1"/>
  <c r="BN23" i="20"/>
  <c r="BN53" i="20" s="1"/>
  <c r="AR52" i="20"/>
  <c r="BJ23" i="20"/>
  <c r="BJ52" i="20" s="1"/>
  <c r="X52" i="20"/>
  <c r="X53" i="20" s="1"/>
  <c r="BO23" i="20"/>
  <c r="BO53" i="20" s="1"/>
  <c r="AW52" i="20"/>
  <c r="BI23" i="20"/>
  <c r="BI53" i="20" s="1"/>
  <c r="S52" i="20"/>
  <c r="BL23" i="20"/>
  <c r="BL53" i="20" s="1"/>
  <c r="AH52" i="20"/>
  <c r="BM23" i="20"/>
  <c r="BM53" i="20" s="1"/>
  <c r="AM52" i="20"/>
  <c r="BH23" i="20"/>
  <c r="BH53" i="20" s="1"/>
  <c r="N52" i="20"/>
  <c r="BC23" i="22"/>
  <c r="BC53" i="22" s="1"/>
  <c r="N52" i="22"/>
  <c r="N53" i="22" s="1"/>
  <c r="BH23" i="22"/>
  <c r="BH52" i="22" s="1"/>
  <c r="AM52" i="22"/>
  <c r="AM53" i="22" s="1"/>
  <c r="BI23" i="22"/>
  <c r="BI52" i="22" s="1"/>
  <c r="AR52" i="22"/>
  <c r="AM19" i="22"/>
  <c r="BF23" i="22"/>
  <c r="BF52" i="22" s="1"/>
  <c r="AC52" i="22"/>
  <c r="AC53" i="22" s="1"/>
  <c r="BG23" i="22"/>
  <c r="BG53" i="22" s="1"/>
  <c r="AH52" i="22"/>
  <c r="AH53" i="22" s="1"/>
  <c r="AR19" i="22"/>
  <c r="BD23" i="22"/>
  <c r="BD53" i="22" s="1"/>
  <c r="S52" i="22"/>
  <c r="S53" i="22" s="1"/>
  <c r="BE23" i="22"/>
  <c r="BE52" i="22" s="1"/>
  <c r="X52" i="22"/>
  <c r="X53" i="22" s="1"/>
  <c r="BB23" i="22"/>
  <c r="BB53" i="22" s="1"/>
  <c r="I52" i="22"/>
  <c r="AW21" i="20"/>
  <c r="AR21" i="20"/>
  <c r="AM21" i="20"/>
  <c r="AM19" i="20"/>
  <c r="AM21" i="22"/>
  <c r="AR21" i="22"/>
  <c r="AR19" i="20"/>
  <c r="BI20" i="22"/>
  <c r="BH20" i="22"/>
  <c r="BG19" i="22"/>
  <c r="BH19" i="22" s="1"/>
  <c r="BI19" i="22" s="1"/>
  <c r="BJ36" i="22"/>
  <c r="BK36" i="22" s="1"/>
  <c r="X11" i="22"/>
  <c r="AC11" i="22" s="1"/>
  <c r="AH11" i="22" s="1"/>
  <c r="AM11" i="22" s="1"/>
  <c r="AR11" i="22" s="1"/>
  <c r="BL29" i="22"/>
  <c r="BN29" i="22" s="1"/>
  <c r="BL49" i="22"/>
  <c r="BN49" i="22" s="1"/>
  <c r="BO44" i="22"/>
  <c r="BQ44" i="22" s="1"/>
  <c r="BO33" i="22"/>
  <c r="BQ33" i="22" s="1"/>
  <c r="BJ48" i="22"/>
  <c r="BK48" i="22" s="1"/>
  <c r="BL51" i="22"/>
  <c r="BN51" i="22" s="1"/>
  <c r="BO31" i="22"/>
  <c r="BQ31" i="22" s="1"/>
  <c r="BL47" i="22"/>
  <c r="BN47" i="22" s="1"/>
  <c r="BL38" i="22"/>
  <c r="BN38" i="22" s="1"/>
  <c r="BO28" i="22"/>
  <c r="BQ28" i="22" s="1"/>
  <c r="BJ26" i="22"/>
  <c r="BK26" i="22" s="1"/>
  <c r="BO26" i="22"/>
  <c r="BQ26" i="22" s="1"/>
  <c r="BL26" i="22"/>
  <c r="BN26" i="22" s="1"/>
  <c r="BJ43" i="22"/>
  <c r="BK43" i="22" s="1"/>
  <c r="BO43" i="22"/>
  <c r="BQ43" i="22" s="1"/>
  <c r="BL43" i="22"/>
  <c r="BN43" i="22" s="1"/>
  <c r="BL40" i="22"/>
  <c r="BN40" i="22" s="1"/>
  <c r="BJ40" i="22"/>
  <c r="BK40" i="22" s="1"/>
  <c r="BL50" i="22"/>
  <c r="BN50" i="22" s="1"/>
  <c r="BJ25" i="22"/>
  <c r="BK25" i="22" s="1"/>
  <c r="BO25" i="22"/>
  <c r="BQ25" i="22" s="1"/>
  <c r="BL25" i="22"/>
  <c r="BN25" i="22" s="1"/>
  <c r="BJ39" i="22"/>
  <c r="BK39" i="22" s="1"/>
  <c r="BL39" i="22"/>
  <c r="BN39" i="22" s="1"/>
  <c r="BL41" i="22"/>
  <c r="BN41" i="22" s="1"/>
  <c r="BO41" i="22"/>
  <c r="BQ41" i="22" s="1"/>
  <c r="BL30" i="22"/>
  <c r="BN30" i="22" s="1"/>
  <c r="BJ30" i="22"/>
  <c r="BK30" i="22" s="1"/>
  <c r="BO30" i="22"/>
  <c r="BL37" i="22"/>
  <c r="BN37" i="22" s="1"/>
  <c r="BO46" i="22"/>
  <c r="BQ46" i="22" s="1"/>
  <c r="BL46" i="22"/>
  <c r="BN46" i="22" s="1"/>
  <c r="BJ46" i="22"/>
  <c r="BK46" i="22" s="1"/>
  <c r="BJ32" i="22"/>
  <c r="BK32" i="22" s="1"/>
  <c r="BJ28" i="22"/>
  <c r="BK28" i="22" s="1"/>
  <c r="BO35" i="22"/>
  <c r="BQ35" i="22" s="1"/>
  <c r="BJ35" i="22"/>
  <c r="BK35" i="22" s="1"/>
  <c r="BL35" i="22"/>
  <c r="BN35" i="22" s="1"/>
  <c r="BO24" i="22"/>
  <c r="BQ24" i="22" s="1"/>
  <c r="BO38" i="22"/>
  <c r="BQ38" i="22" s="1"/>
  <c r="BJ38" i="22"/>
  <c r="BK38" i="22" s="1"/>
  <c r="BO39" i="22"/>
  <c r="BQ39" i="22" s="1"/>
  <c r="BJ44" i="22"/>
  <c r="BK44" i="22" s="1"/>
  <c r="BJ27" i="22"/>
  <c r="BK27" i="22" s="1"/>
  <c r="BL32" i="22"/>
  <c r="BN32" i="22" s="1"/>
  <c r="BL36" i="22"/>
  <c r="BN36" i="22" s="1"/>
  <c r="BO36" i="22"/>
  <c r="BQ36" i="22" s="1"/>
  <c r="BO47" i="22"/>
  <c r="BQ47" i="22" s="1"/>
  <c r="BJ47" i="22"/>
  <c r="BK47" i="22" s="1"/>
  <c r="BJ29" i="22"/>
  <c r="BK29" i="22" s="1"/>
  <c r="BJ37" i="22"/>
  <c r="BK37" i="22" s="1"/>
  <c r="BO37" i="22"/>
  <c r="BL42" i="22"/>
  <c r="BN42" i="22" s="1"/>
  <c r="BJ42" i="22"/>
  <c r="BK42" i="22" s="1"/>
  <c r="BL45" i="22"/>
  <c r="BN45" i="22" s="1"/>
  <c r="BJ45" i="22"/>
  <c r="BK45" i="22" s="1"/>
  <c r="BJ51" i="22"/>
  <c r="BK51" i="22" s="1"/>
  <c r="BJ31" i="22"/>
  <c r="BK31" i="22" s="1"/>
  <c r="BO34" i="22"/>
  <c r="BQ34" i="22" s="1"/>
  <c r="BL34" i="22"/>
  <c r="BN34" i="22" s="1"/>
  <c r="BJ49" i="22"/>
  <c r="BK49" i="22" s="1"/>
  <c r="BO49" i="22"/>
  <c r="BQ49" i="22" s="1"/>
  <c r="BO29" i="22"/>
  <c r="BQ29" i="22" s="1"/>
  <c r="BO42" i="22"/>
  <c r="BQ42" i="22" s="1"/>
  <c r="BL24" i="22"/>
  <c r="BN24" i="22" s="1"/>
  <c r="BL33" i="22"/>
  <c r="BN33" i="22" s="1"/>
  <c r="BJ33" i="22"/>
  <c r="BK33" i="22" s="1"/>
  <c r="BJ41" i="22"/>
  <c r="BK41" i="22" s="1"/>
  <c r="BL28" i="22"/>
  <c r="BN28" i="22" s="1"/>
  <c r="BO32" i="22"/>
  <c r="BQ32" i="22" s="1"/>
  <c r="BO40" i="22"/>
  <c r="BQ40" i="22" s="1"/>
  <c r="BO45" i="22"/>
  <c r="BQ45" i="22" s="1"/>
  <c r="BO50" i="22"/>
  <c r="BQ50" i="22" s="1"/>
  <c r="BJ50" i="22"/>
  <c r="BK50" i="22" s="1"/>
  <c r="BO51" i="22"/>
  <c r="BL31" i="22"/>
  <c r="BN31" i="22" s="1"/>
  <c r="BJ34" i="22"/>
  <c r="BK34" i="22" s="1"/>
  <c r="BL44" i="22"/>
  <c r="BN44" i="22" s="1"/>
  <c r="BL48" i="22"/>
  <c r="BN48" i="22" s="1"/>
  <c r="BO48" i="22"/>
  <c r="BQ48" i="22" s="1"/>
  <c r="BL52" i="20" l="1"/>
  <c r="BM52" i="20"/>
  <c r="BG52" i="20"/>
  <c r="BK52" i="20"/>
  <c r="AW59" i="20"/>
  <c r="AR59" i="20"/>
  <c r="AR59" i="22"/>
  <c r="AR60" i="22" s="1"/>
  <c r="AM59" i="22"/>
  <c r="AM60" i="22" s="1"/>
  <c r="BI53" i="22"/>
  <c r="BO52" i="20"/>
  <c r="BN52" i="20"/>
  <c r="BH53" i="22"/>
  <c r="BJ53" i="20"/>
  <c r="BC52" i="22"/>
  <c r="BD52" i="22"/>
  <c r="BE53" i="22"/>
  <c r="BH52" i="20"/>
  <c r="BI52" i="20"/>
  <c r="BJ23" i="22"/>
  <c r="BK23" i="22" s="1"/>
  <c r="BG52" i="22"/>
  <c r="BF53" i="22"/>
  <c r="BB52" i="22"/>
  <c r="I53" i="22"/>
  <c r="BP37" i="22"/>
  <c r="BQ37" i="22"/>
  <c r="BP30" i="22"/>
  <c r="BQ30" i="22"/>
  <c r="BP51" i="22"/>
  <c r="BQ51" i="22"/>
  <c r="BP49" i="22"/>
  <c r="BP39" i="22"/>
  <c r="BP36" i="22"/>
  <c r="BJ24" i="22"/>
  <c r="BK24" i="22" s="1"/>
  <c r="AM18" i="22"/>
  <c r="AO18" i="22" s="1"/>
  <c r="BP28" i="22"/>
  <c r="BP29" i="22"/>
  <c r="BO23" i="22"/>
  <c r="BQ23" i="22" s="1"/>
  <c r="BP45" i="22"/>
  <c r="BP26" i="22"/>
  <c r="BP40" i="22"/>
  <c r="BP44" i="22"/>
  <c r="BP48" i="22"/>
  <c r="BP32" i="22"/>
  <c r="BM29" i="22"/>
  <c r="BM47" i="22"/>
  <c r="BP46" i="22"/>
  <c r="BL23" i="22"/>
  <c r="BN23" i="22" s="1"/>
  <c r="BP34" i="22"/>
  <c r="BM51" i="22"/>
  <c r="BP43" i="22"/>
  <c r="BM41" i="22"/>
  <c r="BM49" i="22"/>
  <c r="BM43" i="22"/>
  <c r="AR18" i="22"/>
  <c r="AT18" i="22" s="1"/>
  <c r="BM50" i="22"/>
  <c r="BM48" i="22"/>
  <c r="BM28" i="22"/>
  <c r="BM31" i="22"/>
  <c r="BM45" i="22"/>
  <c r="BM36" i="22"/>
  <c r="BM37" i="22"/>
  <c r="BP33" i="22"/>
  <c r="BM33" i="22"/>
  <c r="BM34" i="22"/>
  <c r="BM32" i="22"/>
  <c r="BO27" i="22"/>
  <c r="BL27" i="22"/>
  <c r="BN27" i="22" s="1"/>
  <c r="BM25" i="22"/>
  <c r="BM42" i="22"/>
  <c r="BP35" i="22"/>
  <c r="BM30" i="22"/>
  <c r="BP25" i="22"/>
  <c r="BP50" i="22"/>
  <c r="BP41" i="22"/>
  <c r="BP42" i="22"/>
  <c r="BP38" i="22"/>
  <c r="BP31" i="22"/>
  <c r="BM26" i="22"/>
  <c r="BM44" i="22"/>
  <c r="AR53" i="22"/>
  <c r="BM39" i="22"/>
  <c r="BM40" i="22"/>
  <c r="BP47" i="22"/>
  <c r="BM35" i="22"/>
  <c r="BM46" i="22"/>
  <c r="BM38" i="22"/>
  <c r="AR18" i="20"/>
  <c r="AT18" i="20" s="1"/>
  <c r="AM18" i="20"/>
  <c r="AO18" i="20" s="1"/>
  <c r="AW18" i="20"/>
  <c r="AY18" i="20" s="1"/>
  <c r="N60" i="20"/>
  <c r="I60" i="20"/>
  <c r="B24" i="20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H19" i="20"/>
  <c r="BI19" i="20" s="1"/>
  <c r="N11" i="20"/>
  <c r="S11" i="20" s="1"/>
  <c r="AX8" i="20"/>
  <c r="D60" i="20" s="1"/>
  <c r="BS43" i="22" l="1"/>
  <c r="BS41" i="22"/>
  <c r="BS39" i="22"/>
  <c r="BS42" i="22"/>
  <c r="BS40" i="22"/>
  <c r="BS37" i="22"/>
  <c r="BS51" i="22"/>
  <c r="BS38" i="22"/>
  <c r="BS49" i="22"/>
  <c r="BS50" i="22"/>
  <c r="BS45" i="22"/>
  <c r="BS47" i="22"/>
  <c r="BS36" i="22"/>
  <c r="BS44" i="22"/>
  <c r="BS48" i="22"/>
  <c r="BS46" i="22"/>
  <c r="BU52" i="20"/>
  <c r="BJ52" i="22"/>
  <c r="BK52" i="22" s="1"/>
  <c r="BL52" i="22"/>
  <c r="BO52" i="22"/>
  <c r="BP52" i="20"/>
  <c r="BQ52" i="20" s="1"/>
  <c r="BR52" i="20"/>
  <c r="BS26" i="22"/>
  <c r="BS24" i="22"/>
  <c r="BS32" i="22"/>
  <c r="BS30" i="22"/>
  <c r="BS25" i="22"/>
  <c r="BS35" i="22"/>
  <c r="BS23" i="22"/>
  <c r="BS34" i="22"/>
  <c r="BS33" i="22"/>
  <c r="BS31" i="22"/>
  <c r="BS29" i="22"/>
  <c r="BS28" i="22"/>
  <c r="BS27" i="22"/>
  <c r="BP27" i="22"/>
  <c r="BQ27" i="22"/>
  <c r="BP23" i="22"/>
  <c r="BM24" i="22"/>
  <c r="BP24" i="22"/>
  <c r="BM23" i="22"/>
  <c r="BM27" i="22"/>
  <c r="BU31" i="20"/>
  <c r="BW31" i="20" s="1"/>
  <c r="BR31" i="20"/>
  <c r="BP31" i="20"/>
  <c r="BQ31" i="20" s="1"/>
  <c r="BR32" i="20"/>
  <c r="BP32" i="20"/>
  <c r="BQ32" i="20" s="1"/>
  <c r="BU32" i="20"/>
  <c r="BW32" i="20" s="1"/>
  <c r="BR27" i="20"/>
  <c r="BP27" i="20"/>
  <c r="BQ27" i="20" s="1"/>
  <c r="BU27" i="20"/>
  <c r="BW27" i="20" s="1"/>
  <c r="BR33" i="20"/>
  <c r="BP33" i="20"/>
  <c r="BQ33" i="20" s="1"/>
  <c r="BU33" i="20"/>
  <c r="BW33" i="20" s="1"/>
  <c r="BP39" i="20"/>
  <c r="BQ39" i="20" s="1"/>
  <c r="BU39" i="20"/>
  <c r="BW39" i="20" s="1"/>
  <c r="BR39" i="20"/>
  <c r="BU45" i="20"/>
  <c r="BW45" i="20" s="1"/>
  <c r="BR45" i="20"/>
  <c r="BP45" i="20"/>
  <c r="BQ45" i="20" s="1"/>
  <c r="BR51" i="20"/>
  <c r="BU51" i="20"/>
  <c r="BW51" i="20" s="1"/>
  <c r="BP51" i="20"/>
  <c r="BQ51" i="20" s="1"/>
  <c r="BR28" i="20"/>
  <c r="BP28" i="20"/>
  <c r="BQ28" i="20" s="1"/>
  <c r="BU28" i="20"/>
  <c r="BW28" i="20" s="1"/>
  <c r="BR34" i="20"/>
  <c r="BU34" i="20"/>
  <c r="BW34" i="20" s="1"/>
  <c r="BP34" i="20"/>
  <c r="BQ34" i="20" s="1"/>
  <c r="BR40" i="20"/>
  <c r="BP40" i="20"/>
  <c r="BQ40" i="20" s="1"/>
  <c r="BU40" i="20"/>
  <c r="BW40" i="20" s="1"/>
  <c r="BU46" i="20"/>
  <c r="BW46" i="20" s="1"/>
  <c r="BR46" i="20"/>
  <c r="BP46" i="20"/>
  <c r="BQ46" i="20" s="1"/>
  <c r="BP37" i="20"/>
  <c r="BQ37" i="20" s="1"/>
  <c r="BU37" i="20"/>
  <c r="BW37" i="20" s="1"/>
  <c r="BR37" i="20"/>
  <c r="BP43" i="20"/>
  <c r="BQ43" i="20" s="1"/>
  <c r="BU43" i="20"/>
  <c r="BW43" i="20" s="1"/>
  <c r="BR43" i="20"/>
  <c r="BP49" i="20"/>
  <c r="BQ49" i="20" s="1"/>
  <c r="BR49" i="20"/>
  <c r="BU49" i="20"/>
  <c r="BW49" i="20" s="1"/>
  <c r="BR26" i="20"/>
  <c r="BU26" i="20"/>
  <c r="BW26" i="20" s="1"/>
  <c r="BP26" i="20"/>
  <c r="BQ26" i="20" s="1"/>
  <c r="BP38" i="20"/>
  <c r="BQ38" i="20" s="1"/>
  <c r="BR38" i="20"/>
  <c r="BU38" i="20"/>
  <c r="BW38" i="20" s="1"/>
  <c r="BU44" i="20"/>
  <c r="BW44" i="20" s="1"/>
  <c r="BP44" i="20"/>
  <c r="BQ44" i="20" s="1"/>
  <c r="BR44" i="20"/>
  <c r="BP50" i="20"/>
  <c r="BQ50" i="20" s="1"/>
  <c r="BU50" i="20"/>
  <c r="BR50" i="20"/>
  <c r="BR29" i="20"/>
  <c r="BP29" i="20"/>
  <c r="BQ29" i="20" s="1"/>
  <c r="BU29" i="20"/>
  <c r="BW29" i="20" s="1"/>
  <c r="BR35" i="20"/>
  <c r="BU35" i="20"/>
  <c r="BW35" i="20" s="1"/>
  <c r="BP35" i="20"/>
  <c r="BQ35" i="20" s="1"/>
  <c r="BR41" i="20"/>
  <c r="BP41" i="20"/>
  <c r="BQ41" i="20" s="1"/>
  <c r="BU41" i="20"/>
  <c r="BW41" i="20" s="1"/>
  <c r="BR47" i="20"/>
  <c r="BP47" i="20"/>
  <c r="BQ47" i="20" s="1"/>
  <c r="BU47" i="20"/>
  <c r="BW47" i="20" s="1"/>
  <c r="BR30" i="20"/>
  <c r="BU30" i="20"/>
  <c r="BW30" i="20" s="1"/>
  <c r="BP30" i="20"/>
  <c r="BQ30" i="20" s="1"/>
  <c r="BR36" i="20"/>
  <c r="BU36" i="20"/>
  <c r="BW36" i="20" s="1"/>
  <c r="BP36" i="20"/>
  <c r="BQ36" i="20" s="1"/>
  <c r="BR42" i="20"/>
  <c r="BU42" i="20"/>
  <c r="BW42" i="20" s="1"/>
  <c r="BP42" i="20"/>
  <c r="BQ42" i="20" s="1"/>
  <c r="BR48" i="20"/>
  <c r="BP48" i="20"/>
  <c r="BQ48" i="20" s="1"/>
  <c r="BU48" i="20"/>
  <c r="BW48" i="20" s="1"/>
  <c r="BR25" i="20"/>
  <c r="BP25" i="20"/>
  <c r="BQ25" i="20" s="1"/>
  <c r="BU25" i="20"/>
  <c r="BW25" i="20" s="1"/>
  <c r="BU24" i="20"/>
  <c r="BW24" i="20" s="1"/>
  <c r="BP24" i="20"/>
  <c r="BR24" i="20"/>
  <c r="BP23" i="20"/>
  <c r="BQ23" i="20" s="1"/>
  <c r="BJ19" i="20"/>
  <c r="BK19" i="20" s="1"/>
  <c r="BL19" i="20" s="1"/>
  <c r="BM19" i="20" s="1"/>
  <c r="BN19" i="20" s="1"/>
  <c r="BO19" i="20" s="1"/>
  <c r="X11" i="20"/>
  <c r="AC11" i="20" s="1"/>
  <c r="AH11" i="20" s="1"/>
  <c r="AM11" i="20" s="1"/>
  <c r="AR11" i="20" s="1"/>
  <c r="AW11" i="20" s="1"/>
  <c r="N53" i="20"/>
  <c r="BO20" i="20"/>
  <c r="BM20" i="20"/>
  <c r="BN20" i="20"/>
  <c r="AH53" i="20"/>
  <c r="AM53" i="20"/>
  <c r="S53" i="20"/>
  <c r="BV52" i="20" l="1"/>
  <c r="BS52" i="20"/>
  <c r="BP52" i="22"/>
  <c r="BM52" i="22"/>
  <c r="AR53" i="20"/>
  <c r="AW60" i="20"/>
  <c r="BS21" i="22"/>
  <c r="I53" i="20"/>
  <c r="AR60" i="20"/>
  <c r="BV50" i="20"/>
  <c r="BW50" i="20"/>
  <c r="BV49" i="20"/>
  <c r="BV47" i="20"/>
  <c r="BV40" i="20"/>
  <c r="BV32" i="20"/>
  <c r="BR23" i="20"/>
  <c r="BT23" i="20" s="1"/>
  <c r="BU23" i="20"/>
  <c r="BW23" i="20" s="1"/>
  <c r="BV48" i="20"/>
  <c r="BV43" i="20"/>
  <c r="BV27" i="20"/>
  <c r="BV39" i="20"/>
  <c r="BV28" i="20"/>
  <c r="BV26" i="20"/>
  <c r="BV46" i="20"/>
  <c r="BV42" i="20"/>
  <c r="BV34" i="20"/>
  <c r="BV38" i="20"/>
  <c r="BV37" i="20"/>
  <c r="BV33" i="20"/>
  <c r="BV30" i="20"/>
  <c r="BT48" i="20"/>
  <c r="BS48" i="20"/>
  <c r="BT47" i="20"/>
  <c r="BS47" i="20"/>
  <c r="BT40" i="20"/>
  <c r="BS40" i="20"/>
  <c r="BV45" i="20"/>
  <c r="BS32" i="20"/>
  <c r="BT32" i="20"/>
  <c r="BT42" i="20"/>
  <c r="BS42" i="20"/>
  <c r="BS41" i="20"/>
  <c r="BT41" i="20"/>
  <c r="BV44" i="20"/>
  <c r="BT34" i="20"/>
  <c r="BS34" i="20"/>
  <c r="BS39" i="20"/>
  <c r="BT39" i="20"/>
  <c r="BS37" i="20"/>
  <c r="BT37" i="20"/>
  <c r="BT31" i="20"/>
  <c r="BS31" i="20"/>
  <c r="BQ24" i="20"/>
  <c r="BY27" i="20" s="1"/>
  <c r="BV36" i="20"/>
  <c r="BV35" i="20"/>
  <c r="BS38" i="20"/>
  <c r="BT38" i="20"/>
  <c r="BV31" i="20"/>
  <c r="BT36" i="20"/>
  <c r="BS36" i="20"/>
  <c r="BT35" i="20"/>
  <c r="BS35" i="20"/>
  <c r="BT28" i="20"/>
  <c r="BS28" i="20"/>
  <c r="BV29" i="20"/>
  <c r="BS30" i="20"/>
  <c r="BT30" i="20"/>
  <c r="BS29" i="20"/>
  <c r="BT29" i="20"/>
  <c r="BT26" i="20"/>
  <c r="BS26" i="20"/>
  <c r="BT50" i="20"/>
  <c r="BS50" i="20"/>
  <c r="BV51" i="20"/>
  <c r="BS49" i="20"/>
  <c r="BT49" i="20"/>
  <c r="BS51" i="20"/>
  <c r="BT51" i="20"/>
  <c r="BS27" i="20"/>
  <c r="BT27" i="20"/>
  <c r="BT46" i="20"/>
  <c r="BS46" i="20"/>
  <c r="BT33" i="20"/>
  <c r="BS33" i="20"/>
  <c r="BV41" i="20"/>
  <c r="BT44" i="20"/>
  <c r="BS44" i="20"/>
  <c r="BT43" i="20"/>
  <c r="BS43" i="20"/>
  <c r="BS45" i="20"/>
  <c r="BT45" i="20"/>
  <c r="BV25" i="20"/>
  <c r="BS25" i="20"/>
  <c r="BT25" i="20"/>
  <c r="BS24" i="20"/>
  <c r="BV24" i="20"/>
  <c r="BT24" i="20"/>
  <c r="AW53" i="20"/>
  <c r="BY50" i="20" l="1"/>
  <c r="BY39" i="20"/>
  <c r="BY51" i="20"/>
  <c r="BY49" i="20"/>
  <c r="BY44" i="20"/>
  <c r="BY41" i="20"/>
  <c r="BY45" i="20"/>
  <c r="BY46" i="20"/>
  <c r="BY42" i="20"/>
  <c r="BY43" i="20"/>
  <c r="BY38" i="20"/>
  <c r="BY47" i="20"/>
  <c r="BY40" i="20"/>
  <c r="BY48" i="20"/>
  <c r="BY31" i="20"/>
  <c r="BY24" i="20"/>
  <c r="BY34" i="20"/>
  <c r="BY35" i="20"/>
  <c r="BY25" i="20"/>
  <c r="BY28" i="20"/>
  <c r="BY37" i="20"/>
  <c r="BY36" i="20"/>
  <c r="BY29" i="20"/>
  <c r="BY26" i="20"/>
  <c r="BY32" i="20"/>
  <c r="BY33" i="20"/>
  <c r="BY23" i="20"/>
  <c r="BY30" i="20"/>
  <c r="BS23" i="20"/>
  <c r="BV23" i="20"/>
  <c r="BY21" i="20" l="1"/>
  <c r="AG23" i="30" l="1"/>
  <c r="AG51" i="30"/>
  <c r="AO42" i="30" l="1"/>
  <c r="AO41" i="30"/>
  <c r="AO48" i="30"/>
  <c r="AO40" i="30"/>
  <c r="AO49" i="30"/>
  <c r="AO36" i="30"/>
  <c r="AO39" i="30"/>
  <c r="AO38" i="30"/>
  <c r="AO50" i="30"/>
  <c r="AO37" i="30"/>
  <c r="AO45" i="30"/>
  <c r="AO44" i="30"/>
  <c r="AO46" i="30"/>
  <c r="AO43" i="30"/>
  <c r="AO47" i="30"/>
  <c r="AO30" i="30"/>
  <c r="AO34" i="30"/>
  <c r="AO33" i="30"/>
  <c r="AO32" i="30"/>
  <c r="AO23" i="30"/>
  <c r="AO26" i="30"/>
  <c r="AO29" i="30"/>
  <c r="AO27" i="30"/>
  <c r="AO24" i="30"/>
  <c r="AO28" i="30"/>
  <c r="AO25" i="30"/>
  <c r="AO35" i="30"/>
  <c r="AO31" i="30"/>
  <c r="AO21" i="30" l="1"/>
  <c r="BA20" i="26" l="1"/>
  <c r="X21" i="28"/>
  <c r="AP20" i="28"/>
  <c r="AW20" i="27"/>
  <c r="AH21" i="27"/>
  <c r="X21" i="27"/>
  <c r="AU20" i="27"/>
  <c r="AK20" i="29"/>
  <c r="X21" i="29"/>
  <c r="BB20" i="26"/>
  <c r="AQ20" i="28"/>
  <c r="AC21" i="28"/>
  <c r="AC20" i="32"/>
  <c r="BP19" i="32"/>
  <c r="BF20" i="22"/>
  <c r="AC21" i="22"/>
  <c r="BJ20" i="20"/>
  <c r="X21" i="20"/>
  <c r="BK20" i="20"/>
  <c r="AC21" i="20"/>
  <c r="AC21" i="27"/>
  <c r="AV20" i="27"/>
  <c r="BE20" i="22"/>
  <c r="X21" i="22"/>
  <c r="BQ19" i="32"/>
  <c r="AH20" i="32"/>
  <c r="AH21" i="20"/>
  <c r="BL20" i="20"/>
  <c r="X20" i="32"/>
  <c r="BO19" i="32"/>
  <c r="AH21" i="22"/>
  <c r="BG20" i="22"/>
  <c r="AZ20" i="26"/>
  <c r="S21" i="28"/>
  <c r="AO20" i="28"/>
  <c r="AE20" i="30"/>
  <c r="S21" i="30"/>
  <c r="AJ20" i="29"/>
  <c r="S21" i="29"/>
  <c r="S21" i="20"/>
  <c r="BI20" i="20"/>
  <c r="S21" i="27"/>
  <c r="AT20" i="27"/>
  <c r="AY20" i="26"/>
  <c r="BD20" i="22"/>
  <c r="S21" i="22"/>
  <c r="S20" i="32"/>
  <c r="BN19" i="32"/>
  <c r="N21" i="20"/>
  <c r="BH20" i="20"/>
  <c r="AN20" i="28"/>
  <c r="N21" i="28"/>
  <c r="BC20" i="22"/>
  <c r="N21" i="22"/>
  <c r="AS20" i="27"/>
  <c r="N21" i="27"/>
  <c r="N21" i="30"/>
  <c r="AD20" i="30"/>
  <c r="N21" i="29"/>
  <c r="AI20" i="29"/>
  <c r="AX20" i="26"/>
  <c r="N20" i="32"/>
  <c r="BM19" i="32"/>
  <c r="AC18" i="27" l="1"/>
  <c r="AE18" i="27" s="1"/>
  <c r="AC19" i="27"/>
  <c r="AC19" i="28"/>
  <c r="AC18" i="28"/>
  <c r="AE18" i="28" s="1"/>
  <c r="AH19" i="22"/>
  <c r="AH18" i="22"/>
  <c r="AJ18" i="22" s="1"/>
  <c r="X19" i="29"/>
  <c r="X18" i="29"/>
  <c r="Z18" i="29" s="1"/>
  <c r="X19" i="28"/>
  <c r="X18" i="28"/>
  <c r="Z18" i="28" s="1"/>
  <c r="AH17" i="32"/>
  <c r="AJ17" i="32" s="1"/>
  <c r="AH18" i="32"/>
  <c r="AC19" i="20"/>
  <c r="AC18" i="20"/>
  <c r="AE18" i="20" s="1"/>
  <c r="AC19" i="22"/>
  <c r="AC18" i="22"/>
  <c r="AE18" i="22" s="1"/>
  <c r="X19" i="27"/>
  <c r="X18" i="27"/>
  <c r="Z18" i="27" s="1"/>
  <c r="X18" i="32"/>
  <c r="X17" i="32"/>
  <c r="Z17" i="32" s="1"/>
  <c r="X19" i="26"/>
  <c r="X18" i="26"/>
  <c r="Z18" i="26" s="1"/>
  <c r="AH19" i="26"/>
  <c r="AH18" i="26"/>
  <c r="AJ18" i="26" s="1"/>
  <c r="AC19" i="26"/>
  <c r="AC18" i="26"/>
  <c r="AE18" i="26" s="1"/>
  <c r="X19" i="20"/>
  <c r="X18" i="20"/>
  <c r="Z18" i="20" s="1"/>
  <c r="AC18" i="32"/>
  <c r="AC17" i="32"/>
  <c r="AE17" i="32" s="1"/>
  <c r="AH19" i="20"/>
  <c r="AH18" i="20"/>
  <c r="AJ18" i="20" s="1"/>
  <c r="X18" i="22"/>
  <c r="Z18" i="22" s="1"/>
  <c r="X19" i="22"/>
  <c r="AH18" i="27"/>
  <c r="AJ18" i="27" s="1"/>
  <c r="AH19" i="27"/>
  <c r="S19" i="29"/>
  <c r="S18" i="29"/>
  <c r="U18" i="29" s="1"/>
  <c r="S19" i="22"/>
  <c r="S18" i="22"/>
  <c r="U18" i="22" s="1"/>
  <c r="S18" i="20"/>
  <c r="U18" i="20" s="1"/>
  <c r="S19" i="20"/>
  <c r="S19" i="30"/>
  <c r="S18" i="30"/>
  <c r="U18" i="30" s="1"/>
  <c r="S19" i="27"/>
  <c r="S18" i="27"/>
  <c r="U18" i="27" s="1"/>
  <c r="S18" i="26"/>
  <c r="U18" i="26" s="1"/>
  <c r="S19" i="26"/>
  <c r="S19" i="28"/>
  <c r="S18" i="28"/>
  <c r="U18" i="28" s="1"/>
  <c r="S18" i="32"/>
  <c r="S17" i="32"/>
  <c r="U17" i="32" s="1"/>
  <c r="AC20" i="30"/>
  <c r="I21" i="30"/>
  <c r="I20" i="32"/>
  <c r="BL19" i="32"/>
  <c r="N18" i="27"/>
  <c r="P18" i="27" s="1"/>
  <c r="N19" i="27"/>
  <c r="I21" i="27"/>
  <c r="AR20" i="27"/>
  <c r="N19" i="28"/>
  <c r="N18" i="28"/>
  <c r="P18" i="28" s="1"/>
  <c r="N19" i="29"/>
  <c r="N18" i="29"/>
  <c r="P18" i="29" s="1"/>
  <c r="AH20" i="29"/>
  <c r="I21" i="29"/>
  <c r="AW20" i="26"/>
  <c r="I21" i="20"/>
  <c r="BG20" i="20"/>
  <c r="N18" i="32"/>
  <c r="N17" i="32"/>
  <c r="P17" i="32" s="1"/>
  <c r="BB20" i="22"/>
  <c r="I21" i="22"/>
  <c r="N18" i="30"/>
  <c r="P18" i="30" s="1"/>
  <c r="N19" i="30"/>
  <c r="N18" i="22"/>
  <c r="P18" i="22" s="1"/>
  <c r="N19" i="22"/>
  <c r="I21" i="28"/>
  <c r="AM20" i="28"/>
  <c r="N18" i="26"/>
  <c r="P18" i="26" s="1"/>
  <c r="N19" i="26"/>
  <c r="N19" i="20"/>
  <c r="N18" i="20"/>
  <c r="P18" i="20" s="1"/>
  <c r="I18" i="20" l="1"/>
  <c r="K18" i="20" s="1"/>
  <c r="I19" i="20"/>
  <c r="AS52" i="29"/>
  <c r="AP52" i="29"/>
  <c r="BH52" i="26"/>
  <c r="BK52" i="26"/>
  <c r="I18" i="32"/>
  <c r="I17" i="32"/>
  <c r="K17" i="32" s="1"/>
  <c r="CC51" i="32"/>
  <c r="BZ51" i="32"/>
  <c r="I18" i="22"/>
  <c r="K18" i="22" s="1"/>
  <c r="I19" i="22"/>
  <c r="I19" i="26"/>
  <c r="I18" i="26"/>
  <c r="K18" i="26" s="1"/>
  <c r="AV52" i="28"/>
  <c r="AY52" i="28"/>
  <c r="BN52" i="22"/>
  <c r="BQ52" i="22"/>
  <c r="I19" i="28"/>
  <c r="I18" i="28"/>
  <c r="K18" i="28" s="1"/>
  <c r="I18" i="30"/>
  <c r="K18" i="30" s="1"/>
  <c r="I19" i="30"/>
  <c r="BE52" i="27"/>
  <c r="BB52" i="27"/>
  <c r="BW52" i="20"/>
  <c r="BT52" i="20"/>
  <c r="I19" i="29"/>
  <c r="I18" i="29"/>
  <c r="K18" i="29" s="1"/>
  <c r="I18" i="27"/>
  <c r="K18" i="27" s="1"/>
  <c r="I19" i="27"/>
  <c r="AJ51" i="30"/>
  <c r="AM51" i="30"/>
</calcChain>
</file>

<file path=xl/sharedStrings.xml><?xml version="1.0" encoding="utf-8"?>
<sst xmlns="http://schemas.openxmlformats.org/spreadsheetml/2006/main" count="782" uniqueCount="58">
  <si>
    <t>Date</t>
  </si>
  <si>
    <t>Est. Budget PR</t>
  </si>
  <si>
    <t>PT MAKMUR SEJAHTERA WISESA</t>
  </si>
  <si>
    <t>COMPARATIVE QUOTATION SUMMARY</t>
  </si>
  <si>
    <t>PR No</t>
  </si>
  <si>
    <t>:</t>
  </si>
  <si>
    <t>324/MSW/J/CQS-PP-01/10/2022</t>
  </si>
  <si>
    <t xml:space="preserve">Account Code </t>
  </si>
  <si>
    <r>
      <rPr>
        <u/>
        <sz val="8"/>
        <color theme="1"/>
        <rFont val="Palatino Linotype"/>
        <family val="1"/>
      </rPr>
      <t>Selected Supplier :</t>
    </r>
    <r>
      <rPr>
        <sz val="8"/>
        <color theme="1"/>
        <rFont val="Palatino Linotype"/>
        <family val="1"/>
      </rPr>
      <t xml:space="preserve">
</t>
    </r>
  </si>
  <si>
    <t>Supplier</t>
  </si>
  <si>
    <t xml:space="preserve">Justification :
</t>
  </si>
  <si>
    <t>Address</t>
  </si>
  <si>
    <t>No Quo</t>
  </si>
  <si>
    <t>Attn</t>
  </si>
  <si>
    <t>Estimated Cost :</t>
  </si>
  <si>
    <t>Quotation Date</t>
  </si>
  <si>
    <t>Valid Until</t>
  </si>
  <si>
    <t>Payment Term</t>
  </si>
  <si>
    <t>Total</t>
  </si>
  <si>
    <t>%</t>
  </si>
  <si>
    <t>Delivery Term</t>
  </si>
  <si>
    <t>Franco</t>
  </si>
  <si>
    <t>No</t>
  </si>
  <si>
    <t>Description</t>
  </si>
  <si>
    <t>Qty</t>
  </si>
  <si>
    <t>Unit</t>
  </si>
  <si>
    <t>Unit Price</t>
  </si>
  <si>
    <t>Spec</t>
  </si>
  <si>
    <t>Remarks</t>
  </si>
  <si>
    <t>Previous Budget</t>
  </si>
  <si>
    <t>Est. Total Budget</t>
  </si>
  <si>
    <t>Company</t>
  </si>
  <si>
    <t>Lowest Price</t>
  </si>
  <si>
    <t>Second Lowest</t>
  </si>
  <si>
    <t>Third Lowest</t>
  </si>
  <si>
    <t>Kalkulasi</t>
  </si>
  <si>
    <t>Grand Total 
Excl. PPn 11%</t>
  </si>
  <si>
    <t>Grand Total 
Incl. PPn 11%</t>
  </si>
  <si>
    <t>Total Selected Items
Excl. PPn 11%</t>
  </si>
  <si>
    <t>Note</t>
  </si>
  <si>
    <t xml:space="preserve">
- Excl. VAT 11%</t>
  </si>
  <si>
    <t>Prepared by,</t>
  </si>
  <si>
    <t>Technical Reviewed by Users / Engineers</t>
  </si>
  <si>
    <t>Approval by,</t>
  </si>
  <si>
    <t>Responsible Engineer</t>
  </si>
  <si>
    <t>Zulkifli Bastiandi</t>
  </si>
  <si>
    <t>Edy Suprayitno</t>
  </si>
  <si>
    <t>Date         :</t>
  </si>
  <si>
    <t>Kin Kitra Kencana, PT</t>
  </si>
  <si>
    <t>221/MSW/J/CQS-PP-01/IX/2025</t>
  </si>
  <si>
    <t>Subject prior to sales</t>
  </si>
  <si>
    <t/>
  </si>
  <si>
    <t>021/MSW/J/CQS-PP-01/II/2026</t>
  </si>
  <si>
    <t>Agustinus Sutyo Adi</t>
  </si>
  <si>
    <t>Date:</t>
  </si>
  <si>
    <t>Procurement Review by,</t>
  </si>
  <si>
    <t>Proc &amp; Log Review by,</t>
  </si>
  <si>
    <t>Teuku Syamsul Rizal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</si>
</sst>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dd\ mmm\ yy"/>
    <numFmt numFmtId="168" formatCode="#\ &quot;&quot;"/>
    <numFmt numFmtId="169" formatCode="&quot;No CQS :&quot;\ @"/>
    <numFmt numFmtId="170" formatCode="&quot;Date       :&quot;\ dd\ mmm\ yy"/>
    <numFmt numFmtId="171" formatCode="&quot;Terms &amp; Condition :&quot;\ @"/>
    <numFmt numFmtId="172" formatCode="_(* #,##0.00_);_(* \(#,##0.00\);_(* &quot;&quot;??_);_(@_)"/>
    <numFmt numFmtId="173" formatCode="_-* &quot;Rp&quot;\ #,###;_(* &quot;-&quot;\);"/>
    <numFmt numFmtId="174" formatCode="_(&quot;Target Valid Date Quotation&quot;\ \:\ dd\ mmm\ yy_);;_(* &quot;-&quot;??_);_(@_)"/>
    <numFmt numFmtId="175" formatCode="0;\-0;&quot;-&quot;"/>
    <numFmt numFmtId="176" formatCode="_(* #,##0_);_(* \(#,##0\);_(* &quot;-&quot;??_);_(@_)"/>
    <numFmt numFmtId="177" formatCode="@\ &quot;days&quot;"/>
    <numFmt numFmtId="178" formatCode="_(* #,##0_);_(* \(#,##0\);_(* &quot;&quot;??_);_(@_)"/>
    <numFmt numFmtId="179" formatCode="&quot;Closing Date :&quot;\ dd\ mmm\ yy"/>
    <numFmt numFmtId="180" formatCode="&quot;$&quot;\ #,###;\-\ \$\ #,###;&quot;-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b/>
      <sz val="18"/>
      <color theme="3"/>
      <name val="Calibri Light"/>
      <family val="2"/>
      <scheme val="major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theme="1"/>
      <name val="Palatino Linotype"/>
      <family val="1"/>
    </font>
    <font>
      <sz val="8"/>
      <color theme="1"/>
      <name val="Palatino Linotype"/>
      <family val="1"/>
    </font>
    <font>
      <u/>
      <sz val="8"/>
      <color theme="10"/>
      <name val="Palatino Linotype"/>
      <family val="1"/>
    </font>
    <font>
      <b/>
      <sz val="10"/>
      <color theme="1"/>
      <name val="Palatino Linotype"/>
      <family val="1"/>
    </font>
    <font>
      <b/>
      <sz val="70"/>
      <color theme="1"/>
      <name val="Palatino Linotype"/>
      <family val="1"/>
    </font>
    <font>
      <sz val="10"/>
      <color theme="1"/>
      <name val="Palatino Linotype"/>
      <family val="1"/>
    </font>
    <font>
      <u/>
      <sz val="8"/>
      <color theme="1"/>
      <name val="Palatino Linotype"/>
      <family val="1"/>
    </font>
    <font>
      <sz val="10"/>
      <color indexed="8"/>
      <name val="Palatino Linotype"/>
      <family val="1"/>
    </font>
    <font>
      <b/>
      <sz val="15"/>
      <color theme="1"/>
      <name val="Palatino Linotype"/>
      <family val="1"/>
    </font>
    <font>
      <sz val="15"/>
      <color theme="1"/>
      <name val="Palatino Linotype"/>
      <family val="1"/>
    </font>
    <font>
      <b/>
      <sz val="15"/>
      <color rgb="FF002060"/>
      <name val="Palatino Linotype"/>
      <family val="1"/>
    </font>
    <font>
      <sz val="20"/>
      <color theme="1"/>
      <name val="Palatino Linotype"/>
      <family val="1"/>
    </font>
    <font>
      <sz val="8"/>
      <name val="Palatino Linotype"/>
      <family val="1"/>
    </font>
    <font>
      <b/>
      <sz val="30"/>
      <color theme="1"/>
      <name val="Palatino Linotype"/>
      <family val="1"/>
    </font>
    <font>
      <sz val="7"/>
      <color theme="1"/>
      <name val="Palatino Linotype"/>
      <family val="1"/>
    </font>
    <font>
      <b/>
      <sz val="60"/>
      <color theme="1"/>
      <name val="Palatino Linotype"/>
      <family val="1"/>
    </font>
    <font>
      <b/>
      <sz val="50"/>
      <color theme="1"/>
      <name val="Palatino Linotype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63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8" fillId="32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164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2">
    <xf numFmtId="0" fontId="0" fillId="0" borderId="0" xfId="0"/>
    <xf numFmtId="0" fontId="41" fillId="33" borderId="0" xfId="0" applyFont="1" applyFill="1" applyAlignment="1">
      <alignment vertical="center"/>
    </xf>
    <xf numFmtId="0" fontId="42" fillId="33" borderId="0" xfId="631" applyFont="1" applyFill="1" applyAlignment="1">
      <alignment horizontal="center" vertical="center"/>
    </xf>
    <xf numFmtId="0" fontId="41" fillId="33" borderId="0" xfId="0" applyFont="1" applyFill="1" applyAlignment="1">
      <alignment vertical="center" wrapText="1"/>
    </xf>
    <xf numFmtId="0" fontId="40" fillId="33" borderId="0" xfId="0" applyFont="1" applyFill="1" applyAlignment="1">
      <alignment vertical="center"/>
    </xf>
    <xf numFmtId="0" fontId="40" fillId="33" borderId="0" xfId="0" applyFont="1" applyFill="1" applyAlignment="1">
      <alignment vertical="center" wrapText="1"/>
    </xf>
    <xf numFmtId="0" fontId="44" fillId="33" borderId="19" xfId="0" applyFont="1" applyFill="1" applyBorder="1" applyAlignment="1">
      <alignment vertical="center"/>
    </xf>
    <xf numFmtId="0" fontId="44" fillId="33" borderId="20" xfId="0" applyFont="1" applyFill="1" applyBorder="1" applyAlignment="1">
      <alignment vertical="center"/>
    </xf>
    <xf numFmtId="0" fontId="44" fillId="33" borderId="0" xfId="0" applyFont="1" applyFill="1" applyAlignment="1">
      <alignment vertical="center"/>
    </xf>
    <xf numFmtId="0" fontId="44" fillId="33" borderId="22" xfId="0" applyFont="1" applyFill="1" applyBorder="1" applyAlignment="1">
      <alignment vertical="center"/>
    </xf>
    <xf numFmtId="0" fontId="45" fillId="33" borderId="0" xfId="0" applyFont="1" applyFill="1" applyAlignment="1">
      <alignment horizontal="left" vertical="center"/>
    </xf>
    <xf numFmtId="0" fontId="45" fillId="33" borderId="0" xfId="0" applyFont="1" applyFill="1" applyAlignment="1">
      <alignment horizontal="center" vertical="center"/>
    </xf>
    <xf numFmtId="0" fontId="45" fillId="33" borderId="0" xfId="0" applyFont="1" applyFill="1" applyAlignment="1">
      <alignment vertical="center"/>
    </xf>
    <xf numFmtId="0" fontId="45" fillId="33" borderId="0" xfId="0" applyFont="1" applyFill="1" applyAlignment="1">
      <alignment vertical="center" wrapText="1"/>
    </xf>
    <xf numFmtId="0" fontId="45" fillId="33" borderId="0" xfId="0" quotePrefix="1" applyFont="1" applyFill="1" applyAlignment="1">
      <alignment horizontal="right" vertical="center"/>
    </xf>
    <xf numFmtId="0" fontId="45" fillId="33" borderId="0" xfId="0" quotePrefix="1" applyFont="1" applyFill="1" applyAlignment="1">
      <alignment horizontal="center" vertical="center"/>
    </xf>
    <xf numFmtId="0" fontId="45" fillId="33" borderId="0" xfId="0" applyFont="1" applyFill="1" applyAlignment="1">
      <alignment horizontal="right" vertical="center"/>
    </xf>
    <xf numFmtId="0" fontId="45" fillId="33" borderId="0" xfId="0" quotePrefix="1" applyFont="1" applyFill="1" applyAlignment="1">
      <alignment horizontal="left" vertical="center"/>
    </xf>
    <xf numFmtId="0" fontId="45" fillId="33" borderId="22" xfId="0" quotePrefix="1" applyFont="1" applyFill="1" applyBorder="1" applyAlignment="1">
      <alignment horizontal="left" vertical="center"/>
    </xf>
    <xf numFmtId="0" fontId="40" fillId="33" borderId="0" xfId="0" applyFont="1" applyFill="1" applyAlignment="1">
      <alignment horizontal="center" vertical="center"/>
    </xf>
    <xf numFmtId="0" fontId="40" fillId="33" borderId="26" xfId="0" applyFont="1" applyFill="1" applyBorder="1" applyAlignment="1">
      <alignment vertical="center"/>
    </xf>
    <xf numFmtId="0" fontId="40" fillId="33" borderId="22" xfId="0" applyFont="1" applyFill="1" applyBorder="1" applyAlignment="1">
      <alignment vertical="center"/>
    </xf>
    <xf numFmtId="168" fontId="45" fillId="33" borderId="63" xfId="0" applyNumberFormat="1" applyFont="1" applyFill="1" applyBorder="1" applyAlignment="1">
      <alignment horizontal="center" vertical="center" wrapText="1"/>
    </xf>
    <xf numFmtId="0" fontId="46" fillId="33" borderId="21" xfId="0" applyFont="1" applyFill="1" applyBorder="1" applyAlignment="1">
      <alignment vertical="center"/>
    </xf>
    <xf numFmtId="0" fontId="41" fillId="33" borderId="15" xfId="0" applyFont="1" applyFill="1" applyBorder="1" applyAlignment="1">
      <alignment vertical="center"/>
    </xf>
    <xf numFmtId="0" fontId="41" fillId="33" borderId="84" xfId="0" applyFont="1" applyFill="1" applyBorder="1" applyAlignment="1">
      <alignment horizontal="center" vertical="center"/>
    </xf>
    <xf numFmtId="166" fontId="41" fillId="33" borderId="25" xfId="0" applyNumberFormat="1" applyFont="1" applyFill="1" applyBorder="1" applyAlignment="1">
      <alignment vertical="center"/>
    </xf>
    <xf numFmtId="166" fontId="41" fillId="33" borderId="26" xfId="0" applyNumberFormat="1" applyFont="1" applyFill="1" applyBorder="1" applyAlignment="1">
      <alignment vertical="center"/>
    </xf>
    <xf numFmtId="166" fontId="41" fillId="33" borderId="38" xfId="0" applyNumberFormat="1" applyFont="1" applyFill="1" applyBorder="1" applyAlignment="1">
      <alignment vertical="center"/>
    </xf>
    <xf numFmtId="0" fontId="41" fillId="33" borderId="32" xfId="0" applyFont="1" applyFill="1" applyBorder="1" applyAlignment="1">
      <alignment horizontal="center" vertical="center"/>
    </xf>
    <xf numFmtId="0" fontId="41" fillId="33" borderId="28" xfId="0" applyFont="1" applyFill="1" applyBorder="1" applyAlignment="1">
      <alignment horizontal="center" vertical="center"/>
    </xf>
    <xf numFmtId="0" fontId="41" fillId="33" borderId="12" xfId="0" applyFont="1" applyFill="1" applyBorder="1" applyAlignment="1">
      <alignment horizontal="center" vertical="center"/>
    </xf>
    <xf numFmtId="0" fontId="41" fillId="33" borderId="40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 wrapText="1"/>
    </xf>
    <xf numFmtId="0" fontId="41" fillId="33" borderId="61" xfId="0" applyFont="1" applyFill="1" applyBorder="1" applyAlignment="1">
      <alignment horizontal="center" vertical="center"/>
    </xf>
    <xf numFmtId="0" fontId="41" fillId="33" borderId="48" xfId="0" applyFont="1" applyFill="1" applyBorder="1" applyAlignment="1">
      <alignment horizontal="center" vertical="center"/>
    </xf>
    <xf numFmtId="0" fontId="41" fillId="33" borderId="47" xfId="0" applyFont="1" applyFill="1" applyBorder="1" applyAlignment="1">
      <alignment horizontal="center" vertical="center"/>
    </xf>
    <xf numFmtId="0" fontId="41" fillId="0" borderId="79" xfId="0" applyFont="1" applyBorder="1" applyAlignment="1">
      <alignment horizontal="center" vertical="center"/>
    </xf>
    <xf numFmtId="0" fontId="41" fillId="33" borderId="0" xfId="0" applyFont="1" applyFill="1" applyAlignment="1">
      <alignment horizontal="center" vertical="center"/>
    </xf>
    <xf numFmtId="0" fontId="41" fillId="33" borderId="77" xfId="0" applyFont="1" applyFill="1" applyBorder="1" applyAlignment="1">
      <alignment horizontal="center" vertical="center"/>
    </xf>
    <xf numFmtId="1" fontId="41" fillId="33" borderId="35" xfId="0" applyNumberFormat="1" applyFont="1" applyFill="1" applyBorder="1" applyAlignment="1">
      <alignment horizontal="center" vertical="center"/>
    </xf>
    <xf numFmtId="0" fontId="41" fillId="33" borderId="43" xfId="0" applyFont="1" applyFill="1" applyBorder="1" applyAlignment="1">
      <alignment horizontal="center" vertical="center" wrapText="1"/>
    </xf>
    <xf numFmtId="164" fontId="41" fillId="33" borderId="78" xfId="630" applyFont="1" applyFill="1" applyBorder="1" applyAlignment="1">
      <alignment horizontal="center" vertical="center"/>
    </xf>
    <xf numFmtId="164" fontId="41" fillId="33" borderId="35" xfId="630" applyFont="1" applyFill="1" applyBorder="1" applyAlignment="1">
      <alignment horizontal="center" vertical="center"/>
    </xf>
    <xf numFmtId="0" fontId="41" fillId="33" borderId="35" xfId="0" applyFont="1" applyFill="1" applyBorder="1" applyAlignment="1">
      <alignment vertical="center" wrapText="1"/>
    </xf>
    <xf numFmtId="0" fontId="49" fillId="33" borderId="0" xfId="0" applyFont="1" applyFill="1" applyAlignment="1">
      <alignment vertical="center"/>
    </xf>
    <xf numFmtId="0" fontId="41" fillId="33" borderId="16" xfId="0" applyFont="1" applyFill="1" applyBorder="1" applyAlignment="1">
      <alignment vertical="center"/>
    </xf>
    <xf numFmtId="0" fontId="41" fillId="33" borderId="24" xfId="0" applyFont="1" applyFill="1" applyBorder="1" applyAlignment="1">
      <alignment vertical="center"/>
    </xf>
    <xf numFmtId="0" fontId="41" fillId="33" borderId="0" xfId="0" applyFont="1" applyFill="1" applyAlignment="1">
      <alignment horizontal="left" vertical="center"/>
    </xf>
    <xf numFmtId="0" fontId="52" fillId="33" borderId="74" xfId="0" applyFont="1" applyFill="1" applyBorder="1" applyAlignment="1">
      <alignment vertical="center"/>
    </xf>
    <xf numFmtId="0" fontId="52" fillId="33" borderId="14" xfId="0" applyFont="1" applyFill="1" applyBorder="1" applyAlignment="1">
      <alignment vertical="center"/>
    </xf>
    <xf numFmtId="0" fontId="41" fillId="33" borderId="25" xfId="0" applyFont="1" applyFill="1" applyBorder="1" applyAlignment="1">
      <alignment vertical="center"/>
    </xf>
    <xf numFmtId="0" fontId="41" fillId="33" borderId="26" xfId="0" applyFont="1" applyFill="1" applyBorder="1" applyAlignment="1">
      <alignment vertical="center"/>
    </xf>
    <xf numFmtId="0" fontId="41" fillId="33" borderId="26" xfId="0" applyFont="1" applyFill="1" applyBorder="1" applyAlignment="1">
      <alignment horizontal="center" vertical="center" wrapText="1"/>
    </xf>
    <xf numFmtId="0" fontId="41" fillId="33" borderId="26" xfId="0" applyFont="1" applyFill="1" applyBorder="1" applyAlignment="1">
      <alignment vertical="center" wrapText="1"/>
    </xf>
    <xf numFmtId="0" fontId="41" fillId="33" borderId="62" xfId="0" applyFont="1" applyFill="1" applyBorder="1" applyAlignment="1">
      <alignment vertical="center"/>
    </xf>
    <xf numFmtId="0" fontId="40" fillId="33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16" fontId="40" fillId="0" borderId="0" xfId="0" applyNumberFormat="1" applyFont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33" borderId="0" xfId="0" applyNumberFormat="1" applyFont="1" applyFill="1" applyAlignment="1">
      <alignment vertical="center"/>
    </xf>
    <xf numFmtId="172" fontId="40" fillId="0" borderId="0" xfId="0" applyNumberFormat="1" applyFont="1" applyAlignment="1">
      <alignment vertical="center"/>
    </xf>
    <xf numFmtId="0" fontId="41" fillId="33" borderId="42" xfId="0" applyFont="1" applyFill="1" applyBorder="1" applyAlignment="1">
      <alignment vertical="center"/>
    </xf>
    <xf numFmtId="0" fontId="52" fillId="33" borderId="10" xfId="0" applyFont="1" applyFill="1" applyBorder="1" applyAlignment="1">
      <alignment vertical="center"/>
    </xf>
    <xf numFmtId="176" fontId="41" fillId="35" borderId="0" xfId="632" applyNumberFormat="1" applyFont="1" applyFill="1" applyAlignment="1">
      <alignment horizontal="center" vertical="center"/>
    </xf>
    <xf numFmtId="0" fontId="52" fillId="33" borderId="14" xfId="0" applyFont="1" applyFill="1" applyBorder="1" applyAlignment="1">
      <alignment horizontal="left" vertical="center"/>
    </xf>
    <xf numFmtId="9" fontId="41" fillId="33" borderId="0" xfId="633" applyFont="1" applyFill="1" applyAlignment="1">
      <alignment horizontal="center" vertical="center"/>
    </xf>
    <xf numFmtId="9" fontId="40" fillId="33" borderId="0" xfId="633" applyFont="1" applyFill="1" applyAlignment="1">
      <alignment horizontal="center" vertical="center"/>
    </xf>
    <xf numFmtId="9" fontId="45" fillId="33" borderId="0" xfId="633" applyFont="1" applyFill="1" applyAlignment="1">
      <alignment horizontal="center" vertical="center"/>
    </xf>
    <xf numFmtId="9" fontId="49" fillId="33" borderId="0" xfId="633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1" fillId="33" borderId="0" xfId="0" applyFont="1" applyFill="1" applyAlignment="1">
      <alignment horizontal="center" vertical="center" wrapText="1"/>
    </xf>
    <xf numFmtId="9" fontId="41" fillId="36" borderId="84" xfId="633" applyFont="1" applyFill="1" applyBorder="1" applyAlignment="1">
      <alignment horizontal="center" vertical="center"/>
    </xf>
    <xf numFmtId="178" fontId="41" fillId="33" borderId="84" xfId="632" applyNumberFormat="1" applyFont="1" applyFill="1" applyBorder="1" applyAlignment="1">
      <alignment vertical="center"/>
    </xf>
    <xf numFmtId="0" fontId="45" fillId="33" borderId="0" xfId="0" applyFont="1" applyFill="1" applyAlignment="1">
      <alignment horizontal="center" vertical="center" wrapText="1"/>
    </xf>
    <xf numFmtId="0" fontId="41" fillId="33" borderId="84" xfId="0" applyFont="1" applyFill="1" applyBorder="1" applyAlignment="1">
      <alignment horizontal="center" vertical="center" wrapText="1"/>
    </xf>
    <xf numFmtId="0" fontId="49" fillId="33" borderId="0" xfId="0" applyFont="1" applyFill="1" applyAlignment="1">
      <alignment horizontal="center" vertical="center" wrapText="1"/>
    </xf>
    <xf numFmtId="0" fontId="41" fillId="37" borderId="84" xfId="0" applyFont="1" applyFill="1" applyBorder="1" applyAlignment="1">
      <alignment horizontal="center" vertical="center" wrapText="1"/>
    </xf>
    <xf numFmtId="178" fontId="41" fillId="0" borderId="84" xfId="632" applyNumberFormat="1" applyFont="1" applyFill="1" applyBorder="1" applyAlignment="1">
      <alignment horizontal="center" vertical="center"/>
    </xf>
    <xf numFmtId="178" fontId="41" fillId="38" borderId="84" xfId="632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9" fontId="45" fillId="33" borderId="0" xfId="633" applyFont="1" applyFill="1" applyBorder="1" applyAlignment="1">
      <alignment horizontal="center" vertical="center"/>
    </xf>
    <xf numFmtId="179" fontId="41" fillId="33" borderId="0" xfId="0" applyNumberFormat="1" applyFont="1" applyFill="1" applyAlignment="1">
      <alignment vertical="center"/>
    </xf>
    <xf numFmtId="164" fontId="50" fillId="33" borderId="16" xfId="630" applyFont="1" applyFill="1" applyBorder="1" applyAlignment="1">
      <alignment horizontal="center" vertical="center"/>
    </xf>
    <xf numFmtId="0" fontId="41" fillId="33" borderId="10" xfId="0" applyFont="1" applyFill="1" applyBorder="1" applyAlignment="1">
      <alignment horizontal="left" vertical="top"/>
    </xf>
    <xf numFmtId="0" fontId="41" fillId="33" borderId="0" xfId="0" applyFont="1" applyFill="1" applyAlignment="1">
      <alignment vertical="top" wrapText="1"/>
    </xf>
    <xf numFmtId="4" fontId="41" fillId="35" borderId="0" xfId="0" applyNumberFormat="1" applyFont="1" applyFill="1" applyAlignment="1">
      <alignment vertical="center"/>
    </xf>
    <xf numFmtId="9" fontId="41" fillId="38" borderId="84" xfId="633" applyFont="1" applyFill="1" applyBorder="1" applyAlignment="1">
      <alignment horizontal="center" vertical="center"/>
    </xf>
    <xf numFmtId="0" fontId="41" fillId="33" borderId="35" xfId="0" applyFont="1" applyFill="1" applyBorder="1" applyAlignment="1">
      <alignment horizontal="center" vertical="center" wrapText="1"/>
    </xf>
    <xf numFmtId="0" fontId="41" fillId="33" borderId="35" xfId="0" applyFont="1" applyFill="1" applyBorder="1" applyAlignment="1">
      <alignment horizontal="center" vertical="center"/>
    </xf>
    <xf numFmtId="165" fontId="41" fillId="0" borderId="84" xfId="632" applyFont="1" applyFill="1" applyBorder="1" applyAlignment="1">
      <alignment horizontal="center" vertical="center"/>
    </xf>
    <xf numFmtId="176" fontId="41" fillId="35" borderId="0" xfId="632" applyNumberFormat="1" applyFont="1" applyFill="1" applyAlignment="1">
      <alignment horizontal="center" vertical="center" wrapText="1"/>
    </xf>
    <xf numFmtId="167" fontId="41" fillId="35" borderId="0" xfId="0" applyNumberFormat="1" applyFont="1" applyFill="1" applyAlignment="1">
      <alignment horizontal="center" vertical="center"/>
    </xf>
    <xf numFmtId="176" fontId="41" fillId="33" borderId="0" xfId="632" applyNumberFormat="1" applyFont="1" applyFill="1" applyAlignment="1">
      <alignment vertical="center"/>
    </xf>
    <xf numFmtId="176" fontId="40" fillId="33" borderId="0" xfId="632" applyNumberFormat="1" applyFont="1" applyFill="1" applyAlignment="1">
      <alignment vertical="center"/>
    </xf>
    <xf numFmtId="176" fontId="45" fillId="33" borderId="0" xfId="632" applyNumberFormat="1" applyFont="1" applyFill="1" applyAlignment="1">
      <alignment vertical="center"/>
    </xf>
    <xf numFmtId="176" fontId="49" fillId="33" borderId="0" xfId="632" applyNumberFormat="1" applyFont="1" applyFill="1" applyAlignment="1">
      <alignment vertical="center"/>
    </xf>
    <xf numFmtId="176" fontId="41" fillId="33" borderId="0" xfId="632" applyNumberFormat="1" applyFont="1" applyFill="1" applyAlignment="1">
      <alignment horizontal="left" vertical="center"/>
    </xf>
    <xf numFmtId="0" fontId="41" fillId="33" borderId="96" xfId="0" applyFont="1" applyFill="1" applyBorder="1" applyAlignment="1">
      <alignment vertical="center"/>
    </xf>
    <xf numFmtId="0" fontId="41" fillId="33" borderId="96" xfId="0" applyFont="1" applyFill="1" applyBorder="1" applyAlignment="1">
      <alignment horizontal="center" vertical="center"/>
    </xf>
    <xf numFmtId="176" fontId="41" fillId="33" borderId="97" xfId="632" applyNumberFormat="1" applyFont="1" applyFill="1" applyBorder="1" applyAlignment="1">
      <alignment horizontal="center" vertical="center"/>
    </xf>
    <xf numFmtId="0" fontId="41" fillId="33" borderId="97" xfId="0" applyFont="1" applyFill="1" applyBorder="1" applyAlignment="1">
      <alignment horizontal="center" vertical="center" wrapText="1"/>
    </xf>
    <xf numFmtId="0" fontId="41" fillId="33" borderId="96" xfId="0" applyFont="1" applyFill="1" applyBorder="1" applyAlignment="1">
      <alignment horizontal="center" vertical="center" wrapText="1"/>
    </xf>
    <xf numFmtId="0" fontId="49" fillId="33" borderId="0" xfId="0" applyFont="1" applyFill="1" applyAlignment="1">
      <alignment vertical="center" wrapText="1"/>
    </xf>
    <xf numFmtId="0" fontId="41" fillId="33" borderId="0" xfId="0" applyFont="1" applyFill="1" applyAlignment="1">
      <alignment horizontal="left" vertical="center" wrapText="1"/>
    </xf>
    <xf numFmtId="0" fontId="41" fillId="33" borderId="97" xfId="0" applyFont="1" applyFill="1" applyBorder="1" applyAlignment="1">
      <alignment horizontal="center" vertical="center"/>
    </xf>
    <xf numFmtId="0" fontId="41" fillId="37" borderId="101" xfId="0" applyFont="1" applyFill="1" applyBorder="1" applyAlignment="1">
      <alignment horizontal="center" vertical="center" wrapText="1"/>
    </xf>
    <xf numFmtId="9" fontId="41" fillId="38" borderId="87" xfId="633" applyFont="1" applyFill="1" applyBorder="1" applyAlignment="1">
      <alignment horizontal="center" vertical="center"/>
    </xf>
    <xf numFmtId="1" fontId="52" fillId="0" borderId="35" xfId="0" applyNumberFormat="1" applyFont="1" applyBorder="1" applyAlignment="1">
      <alignment horizontal="center" vertical="center"/>
    </xf>
    <xf numFmtId="0" fontId="52" fillId="0" borderId="43" xfId="0" applyFont="1" applyBorder="1" applyAlignment="1">
      <alignment horizontal="center" vertical="center" wrapText="1"/>
    </xf>
    <xf numFmtId="178" fontId="45" fillId="34" borderId="0" xfId="0" applyNumberFormat="1" applyFont="1" applyFill="1" applyAlignment="1">
      <alignment vertical="center"/>
    </xf>
    <xf numFmtId="9" fontId="41" fillId="39" borderId="84" xfId="633" applyFont="1" applyFill="1" applyBorder="1" applyAlignment="1">
      <alignment horizontal="center" vertical="center"/>
    </xf>
    <xf numFmtId="178" fontId="41" fillId="34" borderId="0" xfId="0" applyNumberFormat="1" applyFont="1" applyFill="1" applyAlignment="1">
      <alignment vertical="center"/>
    </xf>
    <xf numFmtId="0" fontId="41" fillId="40" borderId="0" xfId="0" applyFont="1" applyFill="1" applyAlignment="1">
      <alignment horizontal="center" vertical="center"/>
    </xf>
    <xf numFmtId="0" fontId="45" fillId="33" borderId="0" xfId="0" quotePrefix="1" applyFont="1" applyFill="1" applyAlignment="1">
      <alignment vertical="center"/>
    </xf>
    <xf numFmtId="0" fontId="45" fillId="33" borderId="22" xfId="0" quotePrefix="1" applyFont="1" applyFill="1" applyBorder="1" applyAlignment="1">
      <alignment vertical="center"/>
    </xf>
    <xf numFmtId="180" fontId="45" fillId="33" borderId="15" xfId="0" applyNumberFormat="1" applyFont="1" applyFill="1" applyBorder="1" applyAlignment="1">
      <alignment horizontal="right" vertical="center" wrapText="1"/>
    </xf>
    <xf numFmtId="0" fontId="41" fillId="33" borderId="21" xfId="0" applyFont="1" applyFill="1" applyBorder="1" applyAlignment="1">
      <alignment horizontal="center" vertical="center"/>
    </xf>
    <xf numFmtId="0" fontId="41" fillId="33" borderId="0" xfId="0" applyFont="1" applyFill="1" applyAlignment="1">
      <alignment horizontal="center" vertical="center"/>
    </xf>
    <xf numFmtId="176" fontId="41" fillId="33" borderId="34" xfId="0" applyNumberFormat="1" applyFont="1" applyFill="1" applyBorder="1" applyAlignment="1">
      <alignment horizontal="center" vertical="center"/>
    </xf>
    <xf numFmtId="0" fontId="41" fillId="33" borderId="34" xfId="0" applyFont="1" applyFill="1" applyBorder="1" applyAlignment="1">
      <alignment horizontal="center" vertical="center"/>
    </xf>
    <xf numFmtId="0" fontId="41" fillId="38" borderId="85" xfId="0" applyFont="1" applyFill="1" applyBorder="1" applyAlignment="1">
      <alignment horizontal="center" vertical="center"/>
    </xf>
    <xf numFmtId="0" fontId="41" fillId="38" borderId="86" xfId="0" applyFont="1" applyFill="1" applyBorder="1" applyAlignment="1">
      <alignment horizontal="center" vertical="center"/>
    </xf>
    <xf numFmtId="0" fontId="41" fillId="38" borderId="87" xfId="0" applyFont="1" applyFill="1" applyBorder="1" applyAlignment="1">
      <alignment horizontal="center" vertical="center"/>
    </xf>
    <xf numFmtId="168" fontId="41" fillId="33" borderId="51" xfId="0" applyNumberFormat="1" applyFont="1" applyFill="1" applyBorder="1" applyAlignment="1">
      <alignment horizontal="center" vertical="center" wrapText="1"/>
    </xf>
    <xf numFmtId="168" fontId="41" fillId="33" borderId="10" xfId="0" applyNumberFormat="1" applyFont="1" applyFill="1" applyBorder="1" applyAlignment="1">
      <alignment horizontal="center" vertical="center" wrapText="1"/>
    </xf>
    <xf numFmtId="168" fontId="41" fillId="33" borderId="30" xfId="0" applyNumberFormat="1" applyFont="1" applyFill="1" applyBorder="1" applyAlignment="1">
      <alignment horizontal="center" vertical="center" wrapText="1"/>
    </xf>
    <xf numFmtId="168" fontId="41" fillId="33" borderId="39" xfId="0" applyNumberFormat="1" applyFont="1" applyFill="1" applyBorder="1" applyAlignment="1">
      <alignment horizontal="center" vertical="center" wrapText="1"/>
    </xf>
    <xf numFmtId="168" fontId="41" fillId="33" borderId="0" xfId="0" applyNumberFormat="1" applyFont="1" applyFill="1" applyAlignment="1">
      <alignment horizontal="center" vertical="center" wrapText="1"/>
    </xf>
    <xf numFmtId="168" fontId="41" fillId="33" borderId="22" xfId="0" applyNumberFormat="1" applyFont="1" applyFill="1" applyBorder="1" applyAlignment="1">
      <alignment horizontal="center" vertical="center" wrapText="1"/>
    </xf>
    <xf numFmtId="0" fontId="41" fillId="33" borderId="39" xfId="0" applyFont="1" applyFill="1" applyBorder="1" applyAlignment="1">
      <alignment horizontal="center" vertical="center" wrapText="1"/>
    </xf>
    <xf numFmtId="0" fontId="41" fillId="33" borderId="0" xfId="0" applyFont="1" applyFill="1" applyAlignment="1">
      <alignment horizontal="center" vertical="center" wrapText="1"/>
    </xf>
    <xf numFmtId="0" fontId="41" fillId="33" borderId="22" xfId="0" applyFont="1" applyFill="1" applyBorder="1" applyAlignment="1">
      <alignment horizontal="center" vertical="center" wrapText="1"/>
    </xf>
    <xf numFmtId="0" fontId="41" fillId="33" borderId="60" xfId="0" applyFont="1" applyFill="1" applyBorder="1" applyAlignment="1">
      <alignment horizontal="center" vertical="center" wrapText="1"/>
    </xf>
    <xf numFmtId="0" fontId="41" fillId="33" borderId="56" xfId="0" applyFont="1" applyFill="1" applyBorder="1" applyAlignment="1">
      <alignment horizontal="center" vertical="center" wrapText="1"/>
    </xf>
    <xf numFmtId="0" fontId="41" fillId="33" borderId="82" xfId="0" applyFont="1" applyFill="1" applyBorder="1" applyAlignment="1">
      <alignment horizontal="center" vertical="center" wrapText="1"/>
    </xf>
    <xf numFmtId="0" fontId="45" fillId="33" borderId="16" xfId="0" applyFont="1" applyFill="1" applyBorder="1" applyAlignment="1">
      <alignment horizontal="center" vertical="center" wrapText="1"/>
    </xf>
    <xf numFmtId="0" fontId="45" fillId="33" borderId="24" xfId="0" applyFont="1" applyFill="1" applyBorder="1" applyAlignment="1">
      <alignment horizontal="center" vertical="center" wrapText="1"/>
    </xf>
    <xf numFmtId="176" fontId="41" fillId="36" borderId="13" xfId="632" applyNumberFormat="1" applyFont="1" applyFill="1" applyBorder="1" applyAlignment="1">
      <alignment horizontal="center" vertical="center"/>
    </xf>
    <xf numFmtId="176" fontId="41" fillId="36" borderId="95" xfId="632" applyNumberFormat="1" applyFont="1" applyFill="1" applyBorder="1" applyAlignment="1">
      <alignment horizontal="center" vertical="center"/>
    </xf>
    <xf numFmtId="164" fontId="50" fillId="33" borderId="42" xfId="630" applyFont="1" applyFill="1" applyBorder="1" applyAlignment="1">
      <alignment horizontal="center" vertical="center"/>
    </xf>
    <xf numFmtId="164" fontId="50" fillId="33" borderId="16" xfId="630" applyFont="1" applyFill="1" applyBorder="1" applyAlignment="1">
      <alignment horizontal="center" vertical="center"/>
    </xf>
    <xf numFmtId="164" fontId="50" fillId="33" borderId="45" xfId="630" applyFont="1" applyFill="1" applyBorder="1" applyAlignment="1">
      <alignment horizontal="center" vertical="center"/>
    </xf>
    <xf numFmtId="0" fontId="45" fillId="33" borderId="45" xfId="0" applyFont="1" applyFill="1" applyBorder="1" applyAlignment="1">
      <alignment horizontal="center" vertical="center" wrapText="1"/>
    </xf>
    <xf numFmtId="168" fontId="41" fillId="33" borderId="54" xfId="0" applyNumberFormat="1" applyFont="1" applyFill="1" applyBorder="1" applyAlignment="1">
      <alignment horizontal="center" vertical="center" wrapText="1"/>
    </xf>
    <xf numFmtId="168" fontId="41" fillId="33" borderId="52" xfId="0" applyNumberFormat="1" applyFont="1" applyFill="1" applyBorder="1" applyAlignment="1">
      <alignment horizontal="center" vertical="center" wrapText="1"/>
    </xf>
    <xf numFmtId="0" fontId="41" fillId="33" borderId="52" xfId="0" applyFont="1" applyFill="1" applyBorder="1" applyAlignment="1">
      <alignment horizontal="center" vertical="center" wrapText="1"/>
    </xf>
    <xf numFmtId="0" fontId="41" fillId="33" borderId="59" xfId="0" applyFont="1" applyFill="1" applyBorder="1" applyAlignment="1">
      <alignment horizontal="center" vertical="center" wrapText="1"/>
    </xf>
    <xf numFmtId="0" fontId="41" fillId="33" borderId="35" xfId="0" applyFont="1" applyFill="1" applyBorder="1" applyAlignment="1">
      <alignment horizontal="center" vertical="center" wrapText="1"/>
    </xf>
    <xf numFmtId="0" fontId="41" fillId="33" borderId="43" xfId="0" applyFont="1" applyFill="1" applyBorder="1" applyAlignment="1">
      <alignment horizontal="center" vertical="center" wrapText="1"/>
    </xf>
    <xf numFmtId="0" fontId="41" fillId="33" borderId="71" xfId="0" applyFont="1" applyFill="1" applyBorder="1" applyAlignment="1">
      <alignment horizontal="center" vertical="center"/>
    </xf>
    <xf numFmtId="0" fontId="41" fillId="33" borderId="33" xfId="0" applyFont="1" applyFill="1" applyBorder="1" applyAlignment="1">
      <alignment horizontal="center" vertical="center"/>
    </xf>
    <xf numFmtId="0" fontId="41" fillId="33" borderId="73" xfId="0" applyFont="1" applyFill="1" applyBorder="1" applyAlignment="1">
      <alignment horizontal="center" vertical="center"/>
    </xf>
    <xf numFmtId="164" fontId="50" fillId="33" borderId="24" xfId="630" applyFont="1" applyFill="1" applyBorder="1" applyAlignment="1">
      <alignment horizontal="center" vertical="center"/>
    </xf>
    <xf numFmtId="0" fontId="41" fillId="33" borderId="34" xfId="0" applyFont="1" applyFill="1" applyBorder="1" applyAlignment="1">
      <alignment horizontal="center" vertical="center" wrapText="1"/>
    </xf>
    <xf numFmtId="0" fontId="41" fillId="33" borderId="13" xfId="0" applyFont="1" applyFill="1" applyBorder="1" applyAlignment="1">
      <alignment horizontal="center" vertical="center"/>
    </xf>
    <xf numFmtId="164" fontId="40" fillId="33" borderId="0" xfId="0" applyNumberFormat="1" applyFont="1" applyFill="1" applyAlignment="1">
      <alignment horizontal="center" vertical="center"/>
    </xf>
    <xf numFmtId="0" fontId="40" fillId="33" borderId="0" xfId="0" applyFont="1" applyFill="1" applyAlignment="1">
      <alignment horizontal="center" vertical="center"/>
    </xf>
    <xf numFmtId="0" fontId="41" fillId="33" borderId="42" xfId="0" applyFont="1" applyFill="1" applyBorder="1" applyAlignment="1">
      <alignment horizontal="left" vertical="center"/>
    </xf>
    <xf numFmtId="0" fontId="41" fillId="33" borderId="16" xfId="0" applyFont="1" applyFill="1" applyBorder="1" applyAlignment="1">
      <alignment horizontal="left" vertical="center"/>
    </xf>
    <xf numFmtId="0" fontId="41" fillId="33" borderId="42" xfId="0" applyFont="1" applyFill="1" applyBorder="1" applyAlignment="1">
      <alignment horizontal="center" vertical="center"/>
    </xf>
    <xf numFmtId="0" fontId="41" fillId="33" borderId="16" xfId="0" applyFont="1" applyFill="1" applyBorder="1" applyAlignment="1">
      <alignment horizontal="center" vertical="center"/>
    </xf>
    <xf numFmtId="0" fontId="52" fillId="33" borderId="10" xfId="0" applyFont="1" applyFill="1" applyBorder="1" applyAlignment="1">
      <alignment horizontal="left" vertical="center"/>
    </xf>
    <xf numFmtId="0" fontId="41" fillId="33" borderId="42" xfId="0" applyFont="1" applyFill="1" applyBorder="1" applyAlignment="1">
      <alignment vertical="center"/>
    </xf>
    <xf numFmtId="0" fontId="41" fillId="33" borderId="16" xfId="0" applyFont="1" applyFill="1" applyBorder="1" applyAlignment="1">
      <alignment vertical="center"/>
    </xf>
    <xf numFmtId="0" fontId="41" fillId="33" borderId="45" xfId="0" applyFont="1" applyFill="1" applyBorder="1" applyAlignment="1">
      <alignment vertical="center"/>
    </xf>
    <xf numFmtId="0" fontId="52" fillId="33" borderId="14" xfId="0" applyFont="1" applyFill="1" applyBorder="1" applyAlignment="1">
      <alignment horizontal="left" vertical="center"/>
    </xf>
    <xf numFmtId="0" fontId="40" fillId="33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52" fillId="33" borderId="63" xfId="0" applyFont="1" applyFill="1" applyBorder="1" applyAlignment="1">
      <alignment horizontal="left" vertical="center"/>
    </xf>
    <xf numFmtId="0" fontId="52" fillId="33" borderId="65" xfId="0" applyFont="1" applyFill="1" applyBorder="1" applyAlignment="1">
      <alignment horizontal="left" vertical="center"/>
    </xf>
    <xf numFmtId="0" fontId="41" fillId="33" borderId="24" xfId="0" applyFont="1" applyFill="1" applyBorder="1" applyAlignment="1">
      <alignment horizontal="center" vertical="center"/>
    </xf>
    <xf numFmtId="171" fontId="41" fillId="33" borderId="53" xfId="0" applyNumberFormat="1" applyFont="1" applyFill="1" applyBorder="1" applyAlignment="1">
      <alignment horizontal="left" vertical="top" wrapText="1"/>
    </xf>
    <xf numFmtId="171" fontId="41" fillId="33" borderId="34" xfId="0" applyNumberFormat="1" applyFont="1" applyFill="1" applyBorder="1" applyAlignment="1">
      <alignment horizontal="left" vertical="top" wrapText="1"/>
    </xf>
    <xf numFmtId="171" fontId="41" fillId="33" borderId="37" xfId="0" applyNumberFormat="1" applyFont="1" applyFill="1" applyBorder="1" applyAlignment="1">
      <alignment horizontal="left" vertical="top" wrapText="1"/>
    </xf>
    <xf numFmtId="0" fontId="41" fillId="33" borderId="36" xfId="0" applyFont="1" applyFill="1" applyBorder="1" applyAlignment="1">
      <alignment horizontal="left" vertical="center"/>
    </xf>
    <xf numFmtId="0" fontId="41" fillId="33" borderId="34" xfId="0" applyFont="1" applyFill="1" applyBorder="1" applyAlignment="1">
      <alignment horizontal="left" vertical="center"/>
    </xf>
    <xf numFmtId="0" fontId="41" fillId="33" borderId="13" xfId="0" applyFont="1" applyFill="1" applyBorder="1" applyAlignment="1">
      <alignment horizontal="left" vertical="center"/>
    </xf>
    <xf numFmtId="0" fontId="52" fillId="33" borderId="30" xfId="0" applyFont="1" applyFill="1" applyBorder="1" applyAlignment="1">
      <alignment horizontal="left" vertical="center"/>
    </xf>
    <xf numFmtId="167" fontId="52" fillId="33" borderId="14" xfId="0" applyNumberFormat="1" applyFont="1" applyFill="1" applyBorder="1" applyAlignment="1">
      <alignment horizontal="left" vertical="center"/>
    </xf>
    <xf numFmtId="167" fontId="52" fillId="33" borderId="64" xfId="0" applyNumberFormat="1" applyFont="1" applyFill="1" applyBorder="1" applyAlignment="1">
      <alignment horizontal="left" vertical="center"/>
    </xf>
    <xf numFmtId="0" fontId="52" fillId="33" borderId="14" xfId="0" applyFont="1" applyFill="1" applyBorder="1" applyAlignment="1">
      <alignment horizontal="center" vertical="center"/>
    </xf>
    <xf numFmtId="0" fontId="41" fillId="33" borderId="32" xfId="0" applyFont="1" applyFill="1" applyBorder="1" applyAlignment="1">
      <alignment horizontal="center" vertical="top"/>
    </xf>
    <xf numFmtId="0" fontId="41" fillId="33" borderId="28" xfId="0" applyFont="1" applyFill="1" applyBorder="1" applyAlignment="1">
      <alignment horizontal="center" vertical="top"/>
    </xf>
    <xf numFmtId="0" fontId="41" fillId="33" borderId="12" xfId="0" applyFont="1" applyFill="1" applyBorder="1" applyAlignment="1">
      <alignment horizontal="center" vertical="top"/>
    </xf>
    <xf numFmtId="0" fontId="41" fillId="33" borderId="51" xfId="0" applyFont="1" applyFill="1" applyBorder="1" applyAlignment="1">
      <alignment horizontal="left" vertical="center"/>
    </xf>
    <xf numFmtId="0" fontId="41" fillId="33" borderId="10" xfId="0" applyFont="1" applyFill="1" applyBorder="1" applyAlignment="1">
      <alignment horizontal="left" vertical="center"/>
    </xf>
    <xf numFmtId="0" fontId="41" fillId="33" borderId="63" xfId="0" applyFont="1" applyFill="1" applyBorder="1" applyAlignment="1">
      <alignment horizontal="left" vertical="center"/>
    </xf>
    <xf numFmtId="0" fontId="41" fillId="33" borderId="14" xfId="0" applyFont="1" applyFill="1" applyBorder="1" applyAlignment="1">
      <alignment horizontal="left" vertical="center"/>
    </xf>
    <xf numFmtId="0" fontId="41" fillId="33" borderId="24" xfId="0" applyFont="1" applyFill="1" applyBorder="1" applyAlignment="1">
      <alignment vertical="center"/>
    </xf>
    <xf numFmtId="0" fontId="41" fillId="33" borderId="51" xfId="0" applyFont="1" applyFill="1" applyBorder="1" applyAlignment="1">
      <alignment horizontal="left" vertical="top"/>
    </xf>
    <xf numFmtId="0" fontId="41" fillId="33" borderId="10" xfId="0" applyFont="1" applyFill="1" applyBorder="1" applyAlignment="1">
      <alignment horizontal="left" vertical="top"/>
    </xf>
    <xf numFmtId="0" fontId="41" fillId="33" borderId="54" xfId="0" applyFont="1" applyFill="1" applyBorder="1" applyAlignment="1">
      <alignment horizontal="left" vertical="top"/>
    </xf>
    <xf numFmtId="0" fontId="41" fillId="33" borderId="30" xfId="0" applyFont="1" applyFill="1" applyBorder="1" applyAlignment="1">
      <alignment horizontal="left" vertical="top"/>
    </xf>
    <xf numFmtId="0" fontId="54" fillId="0" borderId="29" xfId="0" applyFont="1" applyBorder="1" applyAlignment="1">
      <alignment horizontal="left" vertical="top" wrapText="1"/>
    </xf>
    <xf numFmtId="0" fontId="54" fillId="0" borderId="10" xfId="0" applyFont="1" applyBorder="1" applyAlignment="1">
      <alignment horizontal="left" vertical="top" wrapText="1"/>
    </xf>
    <xf numFmtId="171" fontId="41" fillId="33" borderId="41" xfId="0" applyNumberFormat="1" applyFont="1" applyFill="1" applyBorder="1" applyAlignment="1">
      <alignment horizontal="left" vertical="top" wrapText="1"/>
    </xf>
    <xf numFmtId="171" fontId="41" fillId="33" borderId="31" xfId="0" applyNumberFormat="1" applyFont="1" applyFill="1" applyBorder="1" applyAlignment="1">
      <alignment horizontal="left" vertical="top" wrapText="1"/>
    </xf>
    <xf numFmtId="171" fontId="41" fillId="33" borderId="27" xfId="0" applyNumberFormat="1" applyFont="1" applyFill="1" applyBorder="1" applyAlignment="1">
      <alignment horizontal="left" vertical="top" wrapText="1"/>
    </xf>
    <xf numFmtId="0" fontId="52" fillId="33" borderId="23" xfId="0" applyFont="1" applyFill="1" applyBorder="1" applyAlignment="1">
      <alignment horizontal="left" vertical="center"/>
    </xf>
    <xf numFmtId="0" fontId="52" fillId="33" borderId="31" xfId="0" applyFont="1" applyFill="1" applyBorder="1" applyAlignment="1">
      <alignment horizontal="left" vertical="center"/>
    </xf>
    <xf numFmtId="0" fontId="52" fillId="33" borderId="27" xfId="0" applyFont="1" applyFill="1" applyBorder="1" applyAlignment="1">
      <alignment horizontal="left" vertical="center"/>
    </xf>
    <xf numFmtId="0" fontId="52" fillId="33" borderId="51" xfId="0" applyFont="1" applyFill="1" applyBorder="1" applyAlignment="1">
      <alignment horizontal="left" vertical="center"/>
    </xf>
    <xf numFmtId="0" fontId="52" fillId="33" borderId="10" xfId="0" applyFont="1" applyFill="1" applyBorder="1" applyAlignment="1">
      <alignment horizontal="center" vertical="center"/>
    </xf>
    <xf numFmtId="0" fontId="51" fillId="33" borderId="29" xfId="0" applyFont="1" applyFill="1" applyBorder="1" applyAlignment="1">
      <alignment horizontal="center" vertical="center"/>
    </xf>
    <xf numFmtId="0" fontId="51" fillId="33" borderId="10" xfId="0" applyFont="1" applyFill="1" applyBorder="1" applyAlignment="1">
      <alignment horizontal="center" vertical="center"/>
    </xf>
    <xf numFmtId="0" fontId="51" fillId="33" borderId="54" xfId="0" applyFont="1" applyFill="1" applyBorder="1" applyAlignment="1">
      <alignment horizontal="center" vertical="center"/>
    </xf>
    <xf numFmtId="0" fontId="41" fillId="33" borderId="51" xfId="0" quotePrefix="1" applyFont="1" applyFill="1" applyBorder="1" applyAlignment="1">
      <alignment horizontal="left" vertical="top" wrapText="1"/>
    </xf>
    <xf numFmtId="0" fontId="41" fillId="33" borderId="81" xfId="0" applyFont="1" applyFill="1" applyBorder="1" applyAlignment="1">
      <alignment horizontal="center" vertical="center" wrapText="1"/>
    </xf>
    <xf numFmtId="0" fontId="41" fillId="33" borderId="83" xfId="0" applyFont="1" applyFill="1" applyBorder="1" applyAlignment="1">
      <alignment horizontal="center" vertical="center" wrapText="1"/>
    </xf>
    <xf numFmtId="0" fontId="49" fillId="33" borderId="29" xfId="0" applyFont="1" applyFill="1" applyBorder="1" applyAlignment="1">
      <alignment horizontal="center" vertical="center"/>
    </xf>
    <xf numFmtId="0" fontId="49" fillId="33" borderId="10" xfId="0" applyFont="1" applyFill="1" applyBorder="1" applyAlignment="1">
      <alignment horizontal="center" vertical="center"/>
    </xf>
    <xf numFmtId="0" fontId="49" fillId="33" borderId="21" xfId="0" applyFont="1" applyFill="1" applyBorder="1" applyAlignment="1">
      <alignment horizontal="center" vertical="center"/>
    </xf>
    <xf numFmtId="0" fontId="49" fillId="33" borderId="0" xfId="0" applyFont="1" applyFill="1" applyAlignment="1">
      <alignment horizontal="center" vertical="center"/>
    </xf>
    <xf numFmtId="0" fontId="41" fillId="33" borderId="35" xfId="0" applyFont="1" applyFill="1" applyBorder="1" applyAlignment="1">
      <alignment horizontal="left" vertical="center" wrapText="1"/>
    </xf>
    <xf numFmtId="0" fontId="41" fillId="37" borderId="84" xfId="0" applyFont="1" applyFill="1" applyBorder="1" applyAlignment="1">
      <alignment horizontal="center" vertical="center"/>
    </xf>
    <xf numFmtId="0" fontId="41" fillId="33" borderId="28" xfId="0" applyFont="1" applyFill="1" applyBorder="1" applyAlignment="1">
      <alignment horizontal="center" vertical="center"/>
    </xf>
    <xf numFmtId="0" fontId="41" fillId="33" borderId="12" xfId="0" applyFont="1" applyFill="1" applyBorder="1" applyAlignment="1">
      <alignment horizontal="center" vertical="center"/>
    </xf>
    <xf numFmtId="0" fontId="41" fillId="33" borderId="72" xfId="0" applyFont="1" applyFill="1" applyBorder="1" applyAlignment="1">
      <alignment horizontal="center" vertical="center"/>
    </xf>
    <xf numFmtId="175" fontId="41" fillId="36" borderId="84" xfId="0" applyNumberFormat="1" applyFont="1" applyFill="1" applyBorder="1" applyAlignment="1">
      <alignment horizontal="center" vertical="center" wrapText="1"/>
    </xf>
    <xf numFmtId="0" fontId="41" fillId="38" borderId="100" xfId="0" applyFont="1" applyFill="1" applyBorder="1" applyAlignment="1">
      <alignment horizontal="center" vertical="center"/>
    </xf>
    <xf numFmtId="0" fontId="41" fillId="38" borderId="98" xfId="0" applyFont="1" applyFill="1" applyBorder="1" applyAlignment="1">
      <alignment horizontal="center" vertical="center"/>
    </xf>
    <xf numFmtId="0" fontId="41" fillId="38" borderId="99" xfId="0" applyFont="1" applyFill="1" applyBorder="1" applyAlignment="1">
      <alignment horizontal="center" vertical="center"/>
    </xf>
    <xf numFmtId="0" fontId="41" fillId="33" borderId="53" xfId="0" applyFont="1" applyFill="1" applyBorder="1" applyAlignment="1">
      <alignment horizontal="center" vertical="center"/>
    </xf>
    <xf numFmtId="0" fontId="41" fillId="33" borderId="37" xfId="0" applyFont="1" applyFill="1" applyBorder="1" applyAlignment="1">
      <alignment horizontal="center" vertical="center"/>
    </xf>
    <xf numFmtId="0" fontId="41" fillId="33" borderId="79" xfId="0" applyFont="1" applyFill="1" applyBorder="1" applyAlignment="1">
      <alignment horizontal="center" vertical="center"/>
    </xf>
    <xf numFmtId="0" fontId="41" fillId="33" borderId="80" xfId="0" applyFont="1" applyFill="1" applyBorder="1" applyAlignment="1">
      <alignment horizontal="center" vertical="center"/>
    </xf>
    <xf numFmtId="0" fontId="41" fillId="33" borderId="28" xfId="0" applyFont="1" applyFill="1" applyBorder="1" applyAlignment="1">
      <alignment horizontal="center" vertical="center" wrapText="1"/>
    </xf>
    <xf numFmtId="0" fontId="41" fillId="33" borderId="12" xfId="0" applyFont="1" applyFill="1" applyBorder="1" applyAlignment="1">
      <alignment horizontal="center" vertical="center" wrapText="1"/>
    </xf>
    <xf numFmtId="0" fontId="41" fillId="33" borderId="44" xfId="0" applyFont="1" applyFill="1" applyBorder="1" applyAlignment="1">
      <alignment horizontal="center" vertical="center"/>
    </xf>
    <xf numFmtId="173" fontId="48" fillId="33" borderId="21" xfId="630" applyNumberFormat="1" applyFont="1" applyFill="1" applyBorder="1" applyAlignment="1">
      <alignment horizontal="center" vertical="center"/>
    </xf>
    <xf numFmtId="173" fontId="48" fillId="33" borderId="0" xfId="630" applyNumberFormat="1" applyFont="1" applyFill="1" applyBorder="1" applyAlignment="1">
      <alignment horizontal="center" vertical="center"/>
    </xf>
    <xf numFmtId="173" fontId="48" fillId="33" borderId="15" xfId="630" applyNumberFormat="1" applyFont="1" applyFill="1" applyBorder="1" applyAlignment="1">
      <alignment horizontal="center" vertical="center"/>
    </xf>
    <xf numFmtId="0" fontId="47" fillId="33" borderId="16" xfId="40" applyFont="1" applyFill="1" applyBorder="1" applyAlignment="1">
      <alignment horizontal="center" vertical="center"/>
    </xf>
    <xf numFmtId="0" fontId="47" fillId="33" borderId="33" xfId="40" applyFont="1" applyFill="1" applyBorder="1" applyAlignment="1">
      <alignment horizontal="center" vertical="center"/>
    </xf>
    <xf numFmtId="167" fontId="41" fillId="33" borderId="67" xfId="0" applyNumberFormat="1" applyFont="1" applyFill="1" applyBorder="1" applyAlignment="1">
      <alignment horizontal="center" vertical="center"/>
    </xf>
    <xf numFmtId="167" fontId="41" fillId="33" borderId="68" xfId="0" applyNumberFormat="1" applyFont="1" applyFill="1" applyBorder="1" applyAlignment="1">
      <alignment horizontal="center" vertical="center"/>
    </xf>
    <xf numFmtId="167" fontId="41" fillId="33" borderId="70" xfId="0" applyNumberFormat="1" applyFont="1" applyFill="1" applyBorder="1" applyAlignment="1">
      <alignment horizontal="center" vertical="center"/>
    </xf>
    <xf numFmtId="177" fontId="41" fillId="33" borderId="42" xfId="0" applyNumberFormat="1" applyFont="1" applyFill="1" applyBorder="1" applyAlignment="1">
      <alignment horizontal="center" vertical="center"/>
    </xf>
    <xf numFmtId="177" fontId="41" fillId="33" borderId="16" xfId="0" applyNumberFormat="1" applyFont="1" applyFill="1" applyBorder="1" applyAlignment="1">
      <alignment horizontal="center" vertical="center"/>
    </xf>
    <xf numFmtId="174" fontId="41" fillId="0" borderId="16" xfId="0" applyNumberFormat="1" applyFont="1" applyBorder="1" applyAlignment="1">
      <alignment horizontal="center" vertical="center"/>
    </xf>
    <xf numFmtId="174" fontId="41" fillId="0" borderId="45" xfId="0" applyNumberFormat="1" applyFont="1" applyBorder="1" applyAlignment="1">
      <alignment horizontal="center" vertical="center"/>
    </xf>
    <xf numFmtId="174" fontId="41" fillId="0" borderId="24" xfId="0" applyNumberFormat="1" applyFont="1" applyBorder="1" applyAlignment="1">
      <alignment horizontal="center" vertical="center"/>
    </xf>
    <xf numFmtId="167" fontId="41" fillId="33" borderId="69" xfId="0" applyNumberFormat="1" applyFont="1" applyFill="1" applyBorder="1" applyAlignment="1">
      <alignment horizontal="center" vertical="center"/>
    </xf>
    <xf numFmtId="0" fontId="47" fillId="33" borderId="14" xfId="40" applyFont="1" applyFill="1" applyBorder="1" applyAlignment="1">
      <alignment horizontal="center" vertical="center"/>
    </xf>
    <xf numFmtId="0" fontId="45" fillId="33" borderId="58" xfId="0" applyFont="1" applyFill="1" applyBorder="1" applyAlignment="1">
      <alignment horizontal="center" vertical="center"/>
    </xf>
    <xf numFmtId="0" fontId="45" fillId="33" borderId="59" xfId="0" applyFont="1" applyFill="1" applyBorder="1" applyAlignment="1">
      <alignment horizontal="center" vertical="center"/>
    </xf>
    <xf numFmtId="0" fontId="41" fillId="33" borderId="48" xfId="0" applyFont="1" applyFill="1" applyBorder="1" applyAlignment="1">
      <alignment horizontal="center" vertical="center" wrapText="1"/>
    </xf>
    <xf numFmtId="0" fontId="41" fillId="33" borderId="46" xfId="0" applyFont="1" applyFill="1" applyBorder="1" applyAlignment="1">
      <alignment horizontal="center" vertical="center" wrapText="1"/>
    </xf>
    <xf numFmtId="0" fontId="41" fillId="33" borderId="49" xfId="0" applyFont="1" applyFill="1" applyBorder="1" applyAlignment="1">
      <alignment horizontal="center" vertical="center" wrapText="1"/>
    </xf>
    <xf numFmtId="0" fontId="45" fillId="33" borderId="21" xfId="0" applyFont="1" applyFill="1" applyBorder="1" applyAlignment="1">
      <alignment horizontal="left" vertical="center"/>
    </xf>
    <xf numFmtId="0" fontId="45" fillId="33" borderId="0" xfId="0" applyFont="1" applyFill="1" applyAlignment="1">
      <alignment horizontal="left" vertical="center"/>
    </xf>
    <xf numFmtId="170" fontId="45" fillId="33" borderId="0" xfId="0" applyNumberFormat="1" applyFont="1" applyFill="1" applyAlignment="1">
      <alignment horizontal="left" vertical="center"/>
    </xf>
    <xf numFmtId="170" fontId="45" fillId="33" borderId="22" xfId="0" applyNumberFormat="1" applyFont="1" applyFill="1" applyBorder="1" applyAlignment="1">
      <alignment horizontal="left" vertical="center"/>
    </xf>
    <xf numFmtId="0" fontId="46" fillId="33" borderId="21" xfId="0" applyFont="1" applyFill="1" applyBorder="1" applyAlignment="1">
      <alignment horizontal="left" vertical="top" wrapText="1"/>
    </xf>
    <xf numFmtId="0" fontId="46" fillId="33" borderId="0" xfId="0" applyFont="1" applyFill="1" applyAlignment="1">
      <alignment horizontal="left" vertical="top" wrapText="1"/>
    </xf>
    <xf numFmtId="0" fontId="46" fillId="33" borderId="15" xfId="0" applyFont="1" applyFill="1" applyBorder="1" applyAlignment="1">
      <alignment horizontal="left" vertical="top" wrapText="1"/>
    </xf>
    <xf numFmtId="0" fontId="45" fillId="33" borderId="27" xfId="0" applyFont="1" applyFill="1" applyBorder="1" applyAlignment="1">
      <alignment horizontal="center" vertical="center"/>
    </xf>
    <xf numFmtId="0" fontId="45" fillId="33" borderId="54" xfId="0" applyFont="1" applyFill="1" applyBorder="1" applyAlignment="1">
      <alignment horizontal="center" vertical="center"/>
    </xf>
    <xf numFmtId="0" fontId="45" fillId="33" borderId="11" xfId="0" applyFont="1" applyFill="1" applyBorder="1" applyAlignment="1">
      <alignment horizontal="center" vertical="center"/>
    </xf>
    <xf numFmtId="0" fontId="45" fillId="33" borderId="52" xfId="0" applyFont="1" applyFill="1" applyBorder="1" applyAlignment="1">
      <alignment horizontal="center" vertical="center"/>
    </xf>
    <xf numFmtId="0" fontId="41" fillId="33" borderId="21" xfId="0" quotePrefix="1" applyFont="1" applyFill="1" applyBorder="1" applyAlignment="1">
      <alignment horizontal="left" vertical="top" wrapText="1"/>
    </xf>
    <xf numFmtId="0" fontId="41" fillId="33" borderId="0" xfId="0" applyFont="1" applyFill="1" applyAlignment="1">
      <alignment horizontal="left" vertical="top" wrapText="1"/>
    </xf>
    <xf numFmtId="0" fontId="41" fillId="33" borderId="15" xfId="0" applyFont="1" applyFill="1" applyBorder="1" applyAlignment="1">
      <alignment horizontal="left" vertical="top" wrapText="1"/>
    </xf>
    <xf numFmtId="0" fontId="41" fillId="33" borderId="21" xfId="0" applyFont="1" applyFill="1" applyBorder="1" applyAlignment="1">
      <alignment horizontal="left" vertical="top" wrapText="1"/>
    </xf>
    <xf numFmtId="0" fontId="41" fillId="33" borderId="55" xfId="0" applyFont="1" applyFill="1" applyBorder="1" applyAlignment="1">
      <alignment horizontal="left" vertical="top" wrapText="1"/>
    </xf>
    <xf numFmtId="0" fontId="41" fillId="33" borderId="56" xfId="0" applyFont="1" applyFill="1" applyBorder="1" applyAlignment="1">
      <alignment horizontal="left" vertical="top" wrapText="1"/>
    </xf>
    <xf numFmtId="0" fontId="41" fillId="33" borderId="57" xfId="0" applyFont="1" applyFill="1" applyBorder="1" applyAlignment="1">
      <alignment horizontal="left" vertical="top" wrapText="1"/>
    </xf>
    <xf numFmtId="0" fontId="43" fillId="33" borderId="18" xfId="0" applyFont="1" applyFill="1" applyBorder="1" applyAlignment="1">
      <alignment horizontal="left" vertical="center" wrapText="1"/>
    </xf>
    <xf numFmtId="0" fontId="43" fillId="33" borderId="19" xfId="0" applyFont="1" applyFill="1" applyBorder="1" applyAlignment="1">
      <alignment horizontal="left" vertical="center" wrapText="1"/>
    </xf>
    <xf numFmtId="0" fontId="43" fillId="33" borderId="21" xfId="0" applyFont="1" applyFill="1" applyBorder="1" applyAlignment="1">
      <alignment horizontal="left" vertical="center" wrapText="1"/>
    </xf>
    <xf numFmtId="0" fontId="43" fillId="33" borderId="0" xfId="0" applyFont="1" applyFill="1" applyAlignment="1">
      <alignment horizontal="left" vertical="center" wrapText="1"/>
    </xf>
    <xf numFmtId="0" fontId="55" fillId="33" borderId="19" xfId="0" applyFont="1" applyFill="1" applyBorder="1" applyAlignment="1">
      <alignment horizontal="center" vertical="center"/>
    </xf>
    <xf numFmtId="0" fontId="55" fillId="33" borderId="0" xfId="0" applyFont="1" applyFill="1" applyAlignment="1">
      <alignment horizontal="center" vertical="center"/>
    </xf>
    <xf numFmtId="169" fontId="45" fillId="33" borderId="0" xfId="0" quotePrefix="1" applyNumberFormat="1" applyFont="1" applyFill="1" applyAlignment="1">
      <alignment horizontal="left" vertical="center"/>
    </xf>
    <xf numFmtId="169" fontId="45" fillId="33" borderId="22" xfId="0" quotePrefix="1" applyNumberFormat="1" applyFont="1" applyFill="1" applyBorder="1" applyAlignment="1">
      <alignment horizontal="left" vertical="center"/>
    </xf>
    <xf numFmtId="0" fontId="41" fillId="33" borderId="50" xfId="0" applyFont="1" applyFill="1" applyBorder="1" applyAlignment="1">
      <alignment horizontal="center" vertical="center" wrapText="1"/>
    </xf>
    <xf numFmtId="0" fontId="41" fillId="33" borderId="21" xfId="0" applyFont="1" applyFill="1" applyBorder="1" applyAlignment="1">
      <alignment horizontal="center" vertical="center" wrapText="1"/>
    </xf>
    <xf numFmtId="0" fontId="41" fillId="33" borderId="15" xfId="0" applyFont="1" applyFill="1" applyBorder="1" applyAlignment="1">
      <alignment horizontal="center" vertical="center" wrapText="1"/>
    </xf>
    <xf numFmtId="0" fontId="41" fillId="33" borderId="18" xfId="0" applyFont="1" applyFill="1" applyBorder="1" applyAlignment="1">
      <alignment horizontal="left" vertical="top" wrapText="1"/>
    </xf>
    <xf numFmtId="0" fontId="41" fillId="33" borderId="19" xfId="0" applyFont="1" applyFill="1" applyBorder="1" applyAlignment="1">
      <alignment horizontal="left" vertical="top"/>
    </xf>
    <xf numFmtId="0" fontId="41" fillId="33" borderId="66" xfId="0" applyFont="1" applyFill="1" applyBorder="1" applyAlignment="1">
      <alignment horizontal="left" vertical="top"/>
    </xf>
    <xf numFmtId="0" fontId="45" fillId="33" borderId="75" xfId="0" applyFont="1" applyFill="1" applyBorder="1" applyAlignment="1">
      <alignment horizontal="center" vertical="center"/>
    </xf>
    <xf numFmtId="0" fontId="45" fillId="33" borderId="76" xfId="0" applyFont="1" applyFill="1" applyBorder="1" applyAlignment="1">
      <alignment horizontal="center" vertical="center"/>
    </xf>
    <xf numFmtId="0" fontId="45" fillId="33" borderId="12" xfId="0" applyFont="1" applyFill="1" applyBorder="1" applyAlignment="1">
      <alignment horizontal="center" vertical="center"/>
    </xf>
    <xf numFmtId="0" fontId="45" fillId="33" borderId="64" xfId="0" applyFont="1" applyFill="1" applyBorder="1" applyAlignment="1">
      <alignment horizontal="center" vertical="center"/>
    </xf>
    <xf numFmtId="0" fontId="45" fillId="0" borderId="0" xfId="48" applyFont="1" applyAlignment="1">
      <alignment horizontal="left" vertical="center" wrapText="1"/>
    </xf>
    <xf numFmtId="176" fontId="41" fillId="33" borderId="13" xfId="0" applyNumberFormat="1" applyFont="1" applyFill="1" applyBorder="1" applyAlignment="1">
      <alignment horizontal="center" vertical="center"/>
    </xf>
    <xf numFmtId="0" fontId="41" fillId="33" borderId="95" xfId="0" applyFont="1" applyFill="1" applyBorder="1" applyAlignment="1">
      <alignment horizontal="center" vertical="center"/>
    </xf>
    <xf numFmtId="0" fontId="40" fillId="33" borderId="21" xfId="0" applyFont="1" applyFill="1" applyBorder="1" applyAlignment="1">
      <alignment horizontal="left" vertical="center"/>
    </xf>
    <xf numFmtId="0" fontId="40" fillId="33" borderId="0" xfId="0" applyFont="1" applyFill="1" applyAlignment="1">
      <alignment horizontal="left" vertical="center"/>
    </xf>
    <xf numFmtId="0" fontId="41" fillId="33" borderId="45" xfId="0" applyFont="1" applyFill="1" applyBorder="1" applyAlignment="1">
      <alignment horizontal="left" vertical="center"/>
    </xf>
    <xf numFmtId="0" fontId="41" fillId="33" borderId="45" xfId="0" applyFont="1" applyFill="1" applyBorder="1" applyAlignment="1">
      <alignment horizontal="center" vertical="center"/>
    </xf>
    <xf numFmtId="0" fontId="52" fillId="33" borderId="64" xfId="0" applyFont="1" applyFill="1" applyBorder="1" applyAlignment="1">
      <alignment horizontal="left" vertical="center"/>
    </xf>
    <xf numFmtId="0" fontId="52" fillId="33" borderId="54" xfId="0" applyFont="1" applyFill="1" applyBorder="1" applyAlignment="1">
      <alignment horizontal="left" vertical="center"/>
    </xf>
    <xf numFmtId="0" fontId="41" fillId="33" borderId="111" xfId="0" applyFont="1" applyFill="1" applyBorder="1" applyAlignment="1">
      <alignment vertical="center"/>
    </xf>
    <xf numFmtId="0" fontId="41" fillId="33" borderId="33" xfId="0" applyFont="1" applyFill="1" applyBorder="1" applyAlignment="1">
      <alignment vertical="center"/>
    </xf>
    <xf numFmtId="0" fontId="41" fillId="33" borderId="72" xfId="0" applyFont="1" applyFill="1" applyBorder="1" applyAlignment="1">
      <alignment vertical="center"/>
    </xf>
    <xf numFmtId="167" fontId="41" fillId="33" borderId="89" xfId="0" applyNumberFormat="1" applyFont="1" applyFill="1" applyBorder="1" applyAlignment="1">
      <alignment horizontal="center" vertical="center"/>
    </xf>
    <xf numFmtId="167" fontId="41" fillId="33" borderId="90" xfId="0" applyNumberFormat="1" applyFont="1" applyFill="1" applyBorder="1" applyAlignment="1">
      <alignment horizontal="center" vertical="center"/>
    </xf>
    <xf numFmtId="167" fontId="41" fillId="33" borderId="91" xfId="0" applyNumberFormat="1" applyFont="1" applyFill="1" applyBorder="1" applyAlignment="1">
      <alignment horizontal="center" vertical="center"/>
    </xf>
    <xf numFmtId="0" fontId="41" fillId="33" borderId="47" xfId="0" applyFont="1" applyFill="1" applyBorder="1" applyAlignment="1">
      <alignment horizontal="center" vertical="center"/>
    </xf>
    <xf numFmtId="0" fontId="41" fillId="33" borderId="49" xfId="0" applyFont="1" applyFill="1" applyBorder="1" applyAlignment="1">
      <alignment horizontal="center" vertical="center"/>
    </xf>
    <xf numFmtId="0" fontId="41" fillId="33" borderId="27" xfId="0" applyFont="1" applyFill="1" applyBorder="1" applyAlignment="1">
      <alignment horizontal="center" vertical="center" wrapText="1"/>
    </xf>
    <xf numFmtId="0" fontId="41" fillId="33" borderId="54" xfId="0" applyFont="1" applyFill="1" applyBorder="1" applyAlignment="1">
      <alignment horizontal="center" vertical="center" wrapText="1"/>
    </xf>
    <xf numFmtId="0" fontId="41" fillId="33" borderId="92" xfId="0" applyFont="1" applyFill="1" applyBorder="1" applyAlignment="1">
      <alignment horizontal="center" vertical="center" wrapText="1"/>
    </xf>
    <xf numFmtId="0" fontId="41" fillId="33" borderId="93" xfId="0" applyFont="1" applyFill="1" applyBorder="1" applyAlignment="1">
      <alignment horizontal="center" vertical="center" wrapText="1"/>
    </xf>
    <xf numFmtId="0" fontId="41" fillId="33" borderId="94" xfId="0" applyFont="1" applyFill="1" applyBorder="1" applyAlignment="1">
      <alignment horizontal="center" vertical="center" wrapText="1"/>
    </xf>
    <xf numFmtId="0" fontId="41" fillId="33" borderId="42" xfId="0" applyFont="1" applyFill="1" applyBorder="1" applyAlignment="1">
      <alignment horizontal="left" vertical="top"/>
    </xf>
    <xf numFmtId="0" fontId="41" fillId="33" borderId="16" xfId="0" applyFont="1" applyFill="1" applyBorder="1" applyAlignment="1">
      <alignment horizontal="left" vertical="top"/>
    </xf>
    <xf numFmtId="0" fontId="41" fillId="33" borderId="45" xfId="0" applyFont="1" applyFill="1" applyBorder="1" applyAlignment="1">
      <alignment horizontal="left" vertical="top"/>
    </xf>
    <xf numFmtId="0" fontId="41" fillId="33" borderId="64" xfId="0" applyFont="1" applyFill="1" applyBorder="1" applyAlignment="1">
      <alignment horizontal="left" vertical="center"/>
    </xf>
    <xf numFmtId="171" fontId="41" fillId="33" borderId="42" xfId="0" applyNumberFormat="1" applyFont="1" applyFill="1" applyBorder="1" applyAlignment="1">
      <alignment horizontal="left" vertical="top" wrapText="1"/>
    </xf>
    <xf numFmtId="171" fontId="41" fillId="33" borderId="16" xfId="0" applyNumberFormat="1" applyFont="1" applyFill="1" applyBorder="1" applyAlignment="1">
      <alignment horizontal="left" vertical="top" wrapText="1"/>
    </xf>
    <xf numFmtId="171" fontId="41" fillId="33" borderId="45" xfId="0" applyNumberFormat="1" applyFont="1" applyFill="1" applyBorder="1" applyAlignment="1">
      <alignment horizontal="left" vertical="top" wrapText="1"/>
    </xf>
    <xf numFmtId="0" fontId="41" fillId="33" borderId="63" xfId="0" applyFont="1" applyFill="1" applyBorder="1" applyAlignment="1">
      <alignment vertical="center"/>
    </xf>
    <xf numFmtId="0" fontId="41" fillId="33" borderId="14" xfId="0" applyFont="1" applyFill="1" applyBorder="1" applyAlignment="1">
      <alignment vertical="center"/>
    </xf>
    <xf numFmtId="0" fontId="41" fillId="33" borderId="64" xfId="0" applyFont="1" applyFill="1" applyBorder="1" applyAlignment="1">
      <alignment vertical="center"/>
    </xf>
    <xf numFmtId="0" fontId="41" fillId="33" borderId="81" xfId="0" applyFont="1" applyFill="1" applyBorder="1" applyAlignment="1">
      <alignment horizontal="left" vertical="center" wrapText="1"/>
    </xf>
    <xf numFmtId="0" fontId="41" fillId="33" borderId="106" xfId="0" applyFont="1" applyFill="1" applyBorder="1" applyAlignment="1">
      <alignment horizontal="left" vertical="center" wrapText="1"/>
    </xf>
    <xf numFmtId="0" fontId="41" fillId="33" borderId="107" xfId="0" applyFont="1" applyFill="1" applyBorder="1" applyAlignment="1">
      <alignment horizontal="left" vertical="center" wrapText="1"/>
    </xf>
    <xf numFmtId="0" fontId="52" fillId="0" borderId="81" xfId="0" applyFont="1" applyBorder="1" applyAlignment="1">
      <alignment horizontal="left" vertical="center" wrapText="1"/>
    </xf>
    <xf numFmtId="0" fontId="52" fillId="0" borderId="106" xfId="0" applyFont="1" applyBorder="1" applyAlignment="1">
      <alignment horizontal="left" vertical="center" wrapText="1"/>
    </xf>
    <xf numFmtId="0" fontId="52" fillId="0" borderId="107" xfId="0" applyFont="1" applyBorder="1" applyAlignment="1">
      <alignment horizontal="left" vertical="center" wrapText="1"/>
    </xf>
    <xf numFmtId="0" fontId="41" fillId="33" borderId="103" xfId="0" applyFont="1" applyFill="1" applyBorder="1" applyAlignment="1">
      <alignment horizontal="left" vertical="center" wrapText="1"/>
    </xf>
    <xf numFmtId="0" fontId="41" fillId="33" borderId="104" xfId="0" applyFont="1" applyFill="1" applyBorder="1" applyAlignment="1">
      <alignment horizontal="left" vertical="center" wrapText="1"/>
    </xf>
    <xf numFmtId="0" fontId="41" fillId="33" borderId="105" xfId="0" applyFont="1" applyFill="1" applyBorder="1" applyAlignment="1">
      <alignment horizontal="left" vertical="center" wrapText="1"/>
    </xf>
    <xf numFmtId="171" fontId="41" fillId="33" borderId="88" xfId="0" applyNumberFormat="1" applyFont="1" applyFill="1" applyBorder="1" applyAlignment="1">
      <alignment horizontal="left" vertical="top" wrapText="1"/>
    </xf>
    <xf numFmtId="0" fontId="52" fillId="33" borderId="10" xfId="0" applyFont="1" applyFill="1" applyBorder="1" applyAlignment="1">
      <alignment vertical="center"/>
    </xf>
    <xf numFmtId="0" fontId="41" fillId="33" borderId="51" xfId="0" applyFont="1" applyFill="1" applyBorder="1" applyAlignment="1">
      <alignment vertical="center"/>
    </xf>
    <xf numFmtId="0" fontId="41" fillId="33" borderId="10" xfId="0" applyFont="1" applyFill="1" applyBorder="1" applyAlignment="1">
      <alignment vertical="center"/>
    </xf>
    <xf numFmtId="0" fontId="41" fillId="33" borderId="54" xfId="0" applyFont="1" applyFill="1" applyBorder="1" applyAlignment="1">
      <alignment vertical="center"/>
    </xf>
    <xf numFmtId="0" fontId="52" fillId="33" borderId="14" xfId="0" applyFont="1" applyFill="1" applyBorder="1" applyAlignment="1">
      <alignment vertical="center"/>
    </xf>
    <xf numFmtId="0" fontId="52" fillId="33" borderId="42" xfId="0" applyFont="1" applyFill="1" applyBorder="1" applyAlignment="1">
      <alignment horizontal="center" vertical="center"/>
    </xf>
    <xf numFmtId="0" fontId="52" fillId="33" borderId="16" xfId="0" applyFont="1" applyFill="1" applyBorder="1" applyAlignment="1">
      <alignment horizontal="center" vertical="center"/>
    </xf>
    <xf numFmtId="0" fontId="52" fillId="33" borderId="45" xfId="0" applyFont="1" applyFill="1" applyBorder="1" applyAlignment="1">
      <alignment horizontal="center" vertical="center"/>
    </xf>
    <xf numFmtId="0" fontId="52" fillId="33" borderId="51" xfId="0" applyFont="1" applyFill="1" applyBorder="1" applyAlignment="1">
      <alignment vertical="center"/>
    </xf>
    <xf numFmtId="0" fontId="52" fillId="33" borderId="63" xfId="0" applyFont="1" applyFill="1" applyBorder="1" applyAlignment="1">
      <alignment vertical="center"/>
    </xf>
    <xf numFmtId="0" fontId="52" fillId="33" borderId="65" xfId="0" applyFont="1" applyFill="1" applyBorder="1" applyAlignment="1">
      <alignment vertical="center"/>
    </xf>
    <xf numFmtId="176" fontId="41" fillId="33" borderId="34" xfId="632" applyNumberFormat="1" applyFont="1" applyFill="1" applyBorder="1" applyAlignment="1">
      <alignment horizontal="center" vertical="center"/>
    </xf>
    <xf numFmtId="0" fontId="56" fillId="33" borderId="19" xfId="0" applyFont="1" applyFill="1" applyBorder="1" applyAlignment="1">
      <alignment horizontal="center" vertical="center"/>
    </xf>
    <xf numFmtId="0" fontId="56" fillId="33" borderId="0" xfId="0" applyFont="1" applyFill="1" applyAlignment="1">
      <alignment horizontal="center" vertical="center"/>
    </xf>
    <xf numFmtId="0" fontId="41" fillId="33" borderId="54" xfId="0" applyFont="1" applyFill="1" applyBorder="1" applyAlignment="1">
      <alignment horizontal="left" vertical="center"/>
    </xf>
    <xf numFmtId="0" fontId="53" fillId="33" borderId="19" xfId="0" applyFont="1" applyFill="1" applyBorder="1" applyAlignment="1">
      <alignment horizontal="center" vertical="center"/>
    </xf>
    <xf numFmtId="0" fontId="53" fillId="33" borderId="0" xfId="0" applyFont="1" applyFill="1" applyAlignment="1">
      <alignment horizontal="center" vertical="center"/>
    </xf>
    <xf numFmtId="169" fontId="45" fillId="33" borderId="0" xfId="0" quotePrefix="1" applyNumberFormat="1" applyFont="1" applyFill="1" applyAlignment="1">
      <alignment horizontal="left" vertical="center" wrapText="1"/>
    </xf>
    <xf numFmtId="169" fontId="45" fillId="33" borderId="22" xfId="0" quotePrefix="1" applyNumberFormat="1" applyFont="1" applyFill="1" applyBorder="1" applyAlignment="1">
      <alignment horizontal="left" vertical="center" wrapText="1"/>
    </xf>
    <xf numFmtId="0" fontId="41" fillId="33" borderId="109" xfId="0" applyFont="1" applyFill="1" applyBorder="1" applyAlignment="1">
      <alignment horizontal="center" vertical="center" wrapText="1"/>
    </xf>
    <xf numFmtId="0" fontId="41" fillId="33" borderId="108" xfId="0" applyFont="1" applyFill="1" applyBorder="1" applyAlignment="1">
      <alignment horizontal="center" vertical="center" wrapText="1"/>
    </xf>
    <xf numFmtId="0" fontId="41" fillId="33" borderId="110" xfId="0" applyFont="1" applyFill="1" applyBorder="1" applyAlignment="1">
      <alignment horizontal="center" vertical="center" wrapText="1"/>
    </xf>
    <xf numFmtId="0" fontId="41" fillId="33" borderId="42" xfId="0" applyFont="1" applyFill="1" applyBorder="1" applyAlignment="1">
      <alignment horizontal="left" vertical="top" wrapText="1"/>
    </xf>
    <xf numFmtId="0" fontId="41" fillId="33" borderId="24" xfId="0" applyFont="1" applyFill="1" applyBorder="1" applyAlignment="1">
      <alignment horizontal="left" vertical="top"/>
    </xf>
    <xf numFmtId="0" fontId="52" fillId="33" borderId="54" xfId="0" applyFont="1" applyFill="1" applyBorder="1" applyAlignment="1">
      <alignment vertical="center"/>
    </xf>
    <xf numFmtId="0" fontId="52" fillId="33" borderId="64" xfId="0" applyFont="1" applyFill="1" applyBorder="1" applyAlignment="1">
      <alignment vertical="center"/>
    </xf>
    <xf numFmtId="0" fontId="51" fillId="33" borderId="102" xfId="0" applyFont="1" applyFill="1" applyBorder="1" applyAlignment="1">
      <alignment horizontal="center" vertical="center"/>
    </xf>
    <xf numFmtId="0" fontId="51" fillId="33" borderId="16" xfId="0" applyFont="1" applyFill="1" applyBorder="1" applyAlignment="1">
      <alignment horizontal="center" vertical="center"/>
    </xf>
    <xf numFmtId="0" fontId="51" fillId="33" borderId="45" xfId="0" applyFont="1" applyFill="1" applyBorder="1" applyAlignment="1">
      <alignment horizontal="center" vertical="center"/>
    </xf>
    <xf numFmtId="0" fontId="41" fillId="33" borderId="42" xfId="0" quotePrefix="1" applyFont="1" applyFill="1" applyBorder="1" applyAlignment="1">
      <alignment horizontal="left" vertical="top" wrapText="1"/>
    </xf>
  </cellXfs>
  <cellStyles count="634">
    <cellStyle name="20% - Accent1" xfId="17" builtinId="30" customBuiltin="1"/>
    <cellStyle name="20% - Accent1 10" xfId="170" xr:uid="{00000000-0005-0000-0000-000001000000}"/>
    <cellStyle name="20% - Accent1 11" xfId="184" xr:uid="{00000000-0005-0000-0000-000002000000}"/>
    <cellStyle name="20% - Accent1 12" xfId="198" xr:uid="{00000000-0005-0000-0000-000003000000}"/>
    <cellStyle name="20% - Accent1 13" xfId="212" xr:uid="{00000000-0005-0000-0000-000004000000}"/>
    <cellStyle name="20% - Accent1 14" xfId="226" xr:uid="{00000000-0005-0000-0000-000005000000}"/>
    <cellStyle name="20% - Accent1 15" xfId="240" xr:uid="{00000000-0005-0000-0000-000006000000}"/>
    <cellStyle name="20% - Accent1 16" xfId="254" xr:uid="{00000000-0005-0000-0000-000007000000}"/>
    <cellStyle name="20% - Accent1 17" xfId="268" xr:uid="{00000000-0005-0000-0000-000008000000}"/>
    <cellStyle name="20% - Accent1 18" xfId="282" xr:uid="{00000000-0005-0000-0000-000009000000}"/>
    <cellStyle name="20% - Accent1 19" xfId="296" xr:uid="{00000000-0005-0000-0000-00000A000000}"/>
    <cellStyle name="20% - Accent1 2" xfId="58" xr:uid="{00000000-0005-0000-0000-00000B000000}"/>
    <cellStyle name="20% - Accent1 20" xfId="310" xr:uid="{00000000-0005-0000-0000-00000C000000}"/>
    <cellStyle name="20% - Accent1 21" xfId="324" xr:uid="{00000000-0005-0000-0000-00000D000000}"/>
    <cellStyle name="20% - Accent1 22" xfId="338" xr:uid="{00000000-0005-0000-0000-00000E000000}"/>
    <cellStyle name="20% - Accent1 23" xfId="352" xr:uid="{00000000-0005-0000-0000-00000F000000}"/>
    <cellStyle name="20% - Accent1 24" xfId="366" xr:uid="{00000000-0005-0000-0000-000010000000}"/>
    <cellStyle name="20% - Accent1 25" xfId="380" xr:uid="{00000000-0005-0000-0000-000011000000}"/>
    <cellStyle name="20% - Accent1 26" xfId="394" xr:uid="{00000000-0005-0000-0000-000012000000}"/>
    <cellStyle name="20% - Accent1 27" xfId="408" xr:uid="{00000000-0005-0000-0000-000013000000}"/>
    <cellStyle name="20% - Accent1 28" xfId="422" xr:uid="{00000000-0005-0000-0000-000014000000}"/>
    <cellStyle name="20% - Accent1 29" xfId="436" xr:uid="{00000000-0005-0000-0000-000015000000}"/>
    <cellStyle name="20% - Accent1 3" xfId="72" xr:uid="{00000000-0005-0000-0000-000016000000}"/>
    <cellStyle name="20% - Accent1 30" xfId="450" xr:uid="{00000000-0005-0000-0000-000017000000}"/>
    <cellStyle name="20% - Accent1 31" xfId="464" xr:uid="{00000000-0005-0000-0000-000018000000}"/>
    <cellStyle name="20% - Accent1 32" xfId="478" xr:uid="{00000000-0005-0000-0000-000019000000}"/>
    <cellStyle name="20% - Accent1 33" xfId="492" xr:uid="{00000000-0005-0000-0000-00001A000000}"/>
    <cellStyle name="20% - Accent1 34" xfId="506" xr:uid="{00000000-0005-0000-0000-00001B000000}"/>
    <cellStyle name="20% - Accent1 35" xfId="520" xr:uid="{00000000-0005-0000-0000-00001C000000}"/>
    <cellStyle name="20% - Accent1 36" xfId="534" xr:uid="{00000000-0005-0000-0000-00001D000000}"/>
    <cellStyle name="20% - Accent1 37" xfId="565" xr:uid="{00000000-0005-0000-0000-00001E000000}"/>
    <cellStyle name="20% - Accent1 38" xfId="590" xr:uid="{00000000-0005-0000-0000-00001F000000}"/>
    <cellStyle name="20% - Accent1 39" xfId="604" xr:uid="{00000000-0005-0000-0000-000020000000}"/>
    <cellStyle name="20% - Accent1 4" xfId="86" xr:uid="{00000000-0005-0000-0000-000021000000}"/>
    <cellStyle name="20% - Accent1 40" xfId="618" xr:uid="{00000000-0005-0000-0000-000022000000}"/>
    <cellStyle name="20% - Accent1 5" xfId="100" xr:uid="{00000000-0005-0000-0000-000023000000}"/>
    <cellStyle name="20% - Accent1 6" xfId="114" xr:uid="{00000000-0005-0000-0000-000024000000}"/>
    <cellStyle name="20% - Accent1 7" xfId="128" xr:uid="{00000000-0005-0000-0000-000025000000}"/>
    <cellStyle name="20% - Accent1 8" xfId="142" xr:uid="{00000000-0005-0000-0000-000026000000}"/>
    <cellStyle name="20% - Accent1 9" xfId="156" xr:uid="{00000000-0005-0000-0000-000027000000}"/>
    <cellStyle name="20% - Accent2" xfId="21" builtinId="34" customBuiltin="1"/>
    <cellStyle name="20% - Accent2 10" xfId="172" xr:uid="{00000000-0005-0000-0000-000029000000}"/>
    <cellStyle name="20% - Accent2 11" xfId="186" xr:uid="{00000000-0005-0000-0000-00002A000000}"/>
    <cellStyle name="20% - Accent2 12" xfId="200" xr:uid="{00000000-0005-0000-0000-00002B000000}"/>
    <cellStyle name="20% - Accent2 13" xfId="214" xr:uid="{00000000-0005-0000-0000-00002C000000}"/>
    <cellStyle name="20% - Accent2 14" xfId="228" xr:uid="{00000000-0005-0000-0000-00002D000000}"/>
    <cellStyle name="20% - Accent2 15" xfId="242" xr:uid="{00000000-0005-0000-0000-00002E000000}"/>
    <cellStyle name="20% - Accent2 16" xfId="256" xr:uid="{00000000-0005-0000-0000-00002F000000}"/>
    <cellStyle name="20% - Accent2 17" xfId="270" xr:uid="{00000000-0005-0000-0000-000030000000}"/>
    <cellStyle name="20% - Accent2 18" xfId="284" xr:uid="{00000000-0005-0000-0000-000031000000}"/>
    <cellStyle name="20% - Accent2 19" xfId="298" xr:uid="{00000000-0005-0000-0000-000032000000}"/>
    <cellStyle name="20% - Accent2 2" xfId="60" xr:uid="{00000000-0005-0000-0000-000033000000}"/>
    <cellStyle name="20% - Accent2 20" xfId="312" xr:uid="{00000000-0005-0000-0000-000034000000}"/>
    <cellStyle name="20% - Accent2 21" xfId="326" xr:uid="{00000000-0005-0000-0000-000035000000}"/>
    <cellStyle name="20% - Accent2 22" xfId="340" xr:uid="{00000000-0005-0000-0000-000036000000}"/>
    <cellStyle name="20% - Accent2 23" xfId="354" xr:uid="{00000000-0005-0000-0000-000037000000}"/>
    <cellStyle name="20% - Accent2 24" xfId="368" xr:uid="{00000000-0005-0000-0000-000038000000}"/>
    <cellStyle name="20% - Accent2 25" xfId="382" xr:uid="{00000000-0005-0000-0000-000039000000}"/>
    <cellStyle name="20% - Accent2 26" xfId="396" xr:uid="{00000000-0005-0000-0000-00003A000000}"/>
    <cellStyle name="20% - Accent2 27" xfId="410" xr:uid="{00000000-0005-0000-0000-00003B000000}"/>
    <cellStyle name="20% - Accent2 28" xfId="424" xr:uid="{00000000-0005-0000-0000-00003C000000}"/>
    <cellStyle name="20% - Accent2 29" xfId="438" xr:uid="{00000000-0005-0000-0000-00003D000000}"/>
    <cellStyle name="20% - Accent2 3" xfId="74" xr:uid="{00000000-0005-0000-0000-00003E000000}"/>
    <cellStyle name="20% - Accent2 30" xfId="452" xr:uid="{00000000-0005-0000-0000-00003F000000}"/>
    <cellStyle name="20% - Accent2 31" xfId="466" xr:uid="{00000000-0005-0000-0000-000040000000}"/>
    <cellStyle name="20% - Accent2 32" xfId="480" xr:uid="{00000000-0005-0000-0000-000041000000}"/>
    <cellStyle name="20% - Accent2 33" xfId="494" xr:uid="{00000000-0005-0000-0000-000042000000}"/>
    <cellStyle name="20% - Accent2 34" xfId="508" xr:uid="{00000000-0005-0000-0000-000043000000}"/>
    <cellStyle name="20% - Accent2 35" xfId="522" xr:uid="{00000000-0005-0000-0000-000044000000}"/>
    <cellStyle name="20% - Accent2 36" xfId="536" xr:uid="{00000000-0005-0000-0000-000045000000}"/>
    <cellStyle name="20% - Accent2 37" xfId="569" xr:uid="{00000000-0005-0000-0000-000046000000}"/>
    <cellStyle name="20% - Accent2 38" xfId="592" xr:uid="{00000000-0005-0000-0000-000047000000}"/>
    <cellStyle name="20% - Accent2 39" xfId="606" xr:uid="{00000000-0005-0000-0000-000048000000}"/>
    <cellStyle name="20% - Accent2 4" xfId="88" xr:uid="{00000000-0005-0000-0000-000049000000}"/>
    <cellStyle name="20% - Accent2 40" xfId="620" xr:uid="{00000000-0005-0000-0000-00004A000000}"/>
    <cellStyle name="20% - Accent2 5" xfId="102" xr:uid="{00000000-0005-0000-0000-00004B000000}"/>
    <cellStyle name="20% - Accent2 6" xfId="116" xr:uid="{00000000-0005-0000-0000-00004C000000}"/>
    <cellStyle name="20% - Accent2 7" xfId="130" xr:uid="{00000000-0005-0000-0000-00004D000000}"/>
    <cellStyle name="20% - Accent2 8" xfId="144" xr:uid="{00000000-0005-0000-0000-00004E000000}"/>
    <cellStyle name="20% - Accent2 9" xfId="158" xr:uid="{00000000-0005-0000-0000-00004F000000}"/>
    <cellStyle name="20% - Accent3" xfId="25" builtinId="38" customBuiltin="1"/>
    <cellStyle name="20% - Accent3 10" xfId="174" xr:uid="{00000000-0005-0000-0000-000051000000}"/>
    <cellStyle name="20% - Accent3 11" xfId="188" xr:uid="{00000000-0005-0000-0000-000052000000}"/>
    <cellStyle name="20% - Accent3 12" xfId="202" xr:uid="{00000000-0005-0000-0000-000053000000}"/>
    <cellStyle name="20% - Accent3 13" xfId="216" xr:uid="{00000000-0005-0000-0000-000054000000}"/>
    <cellStyle name="20% - Accent3 14" xfId="230" xr:uid="{00000000-0005-0000-0000-000055000000}"/>
    <cellStyle name="20% - Accent3 15" xfId="244" xr:uid="{00000000-0005-0000-0000-000056000000}"/>
    <cellStyle name="20% - Accent3 16" xfId="258" xr:uid="{00000000-0005-0000-0000-000057000000}"/>
    <cellStyle name="20% - Accent3 17" xfId="272" xr:uid="{00000000-0005-0000-0000-000058000000}"/>
    <cellStyle name="20% - Accent3 18" xfId="286" xr:uid="{00000000-0005-0000-0000-000059000000}"/>
    <cellStyle name="20% - Accent3 19" xfId="300" xr:uid="{00000000-0005-0000-0000-00005A000000}"/>
    <cellStyle name="20% - Accent3 2" xfId="62" xr:uid="{00000000-0005-0000-0000-00005B000000}"/>
    <cellStyle name="20% - Accent3 20" xfId="314" xr:uid="{00000000-0005-0000-0000-00005C000000}"/>
    <cellStyle name="20% - Accent3 21" xfId="328" xr:uid="{00000000-0005-0000-0000-00005D000000}"/>
    <cellStyle name="20% - Accent3 22" xfId="342" xr:uid="{00000000-0005-0000-0000-00005E000000}"/>
    <cellStyle name="20% - Accent3 23" xfId="356" xr:uid="{00000000-0005-0000-0000-00005F000000}"/>
    <cellStyle name="20% - Accent3 24" xfId="370" xr:uid="{00000000-0005-0000-0000-000060000000}"/>
    <cellStyle name="20% - Accent3 25" xfId="384" xr:uid="{00000000-0005-0000-0000-000061000000}"/>
    <cellStyle name="20% - Accent3 26" xfId="398" xr:uid="{00000000-0005-0000-0000-000062000000}"/>
    <cellStyle name="20% - Accent3 27" xfId="412" xr:uid="{00000000-0005-0000-0000-000063000000}"/>
    <cellStyle name="20% - Accent3 28" xfId="426" xr:uid="{00000000-0005-0000-0000-000064000000}"/>
    <cellStyle name="20% - Accent3 29" xfId="440" xr:uid="{00000000-0005-0000-0000-000065000000}"/>
    <cellStyle name="20% - Accent3 3" xfId="76" xr:uid="{00000000-0005-0000-0000-000066000000}"/>
    <cellStyle name="20% - Accent3 30" xfId="454" xr:uid="{00000000-0005-0000-0000-000067000000}"/>
    <cellStyle name="20% - Accent3 31" xfId="468" xr:uid="{00000000-0005-0000-0000-000068000000}"/>
    <cellStyle name="20% - Accent3 32" xfId="482" xr:uid="{00000000-0005-0000-0000-000069000000}"/>
    <cellStyle name="20% - Accent3 33" xfId="496" xr:uid="{00000000-0005-0000-0000-00006A000000}"/>
    <cellStyle name="20% - Accent3 34" xfId="510" xr:uid="{00000000-0005-0000-0000-00006B000000}"/>
    <cellStyle name="20% - Accent3 35" xfId="524" xr:uid="{00000000-0005-0000-0000-00006C000000}"/>
    <cellStyle name="20% - Accent3 36" xfId="538" xr:uid="{00000000-0005-0000-0000-00006D000000}"/>
    <cellStyle name="20% - Accent3 37" xfId="573" xr:uid="{00000000-0005-0000-0000-00006E000000}"/>
    <cellStyle name="20% - Accent3 38" xfId="594" xr:uid="{00000000-0005-0000-0000-00006F000000}"/>
    <cellStyle name="20% - Accent3 39" xfId="608" xr:uid="{00000000-0005-0000-0000-000070000000}"/>
    <cellStyle name="20% - Accent3 4" xfId="90" xr:uid="{00000000-0005-0000-0000-000071000000}"/>
    <cellStyle name="20% - Accent3 40" xfId="622" xr:uid="{00000000-0005-0000-0000-000072000000}"/>
    <cellStyle name="20% - Accent3 5" xfId="104" xr:uid="{00000000-0005-0000-0000-000073000000}"/>
    <cellStyle name="20% - Accent3 6" xfId="118" xr:uid="{00000000-0005-0000-0000-000074000000}"/>
    <cellStyle name="20% - Accent3 7" xfId="132" xr:uid="{00000000-0005-0000-0000-000075000000}"/>
    <cellStyle name="20% - Accent3 8" xfId="146" xr:uid="{00000000-0005-0000-0000-000076000000}"/>
    <cellStyle name="20% - Accent3 9" xfId="160" xr:uid="{00000000-0005-0000-0000-000077000000}"/>
    <cellStyle name="20% - Accent4" xfId="29" builtinId="42" customBuiltin="1"/>
    <cellStyle name="20% - Accent4 10" xfId="176" xr:uid="{00000000-0005-0000-0000-000079000000}"/>
    <cellStyle name="20% - Accent4 11" xfId="190" xr:uid="{00000000-0005-0000-0000-00007A000000}"/>
    <cellStyle name="20% - Accent4 12" xfId="204" xr:uid="{00000000-0005-0000-0000-00007B000000}"/>
    <cellStyle name="20% - Accent4 13" xfId="218" xr:uid="{00000000-0005-0000-0000-00007C000000}"/>
    <cellStyle name="20% - Accent4 14" xfId="232" xr:uid="{00000000-0005-0000-0000-00007D000000}"/>
    <cellStyle name="20% - Accent4 15" xfId="246" xr:uid="{00000000-0005-0000-0000-00007E000000}"/>
    <cellStyle name="20% - Accent4 16" xfId="260" xr:uid="{00000000-0005-0000-0000-00007F000000}"/>
    <cellStyle name="20% - Accent4 17" xfId="274" xr:uid="{00000000-0005-0000-0000-000080000000}"/>
    <cellStyle name="20% - Accent4 18" xfId="288" xr:uid="{00000000-0005-0000-0000-000081000000}"/>
    <cellStyle name="20% - Accent4 19" xfId="302" xr:uid="{00000000-0005-0000-0000-000082000000}"/>
    <cellStyle name="20% - Accent4 2" xfId="64" xr:uid="{00000000-0005-0000-0000-000083000000}"/>
    <cellStyle name="20% - Accent4 20" xfId="316" xr:uid="{00000000-0005-0000-0000-000084000000}"/>
    <cellStyle name="20% - Accent4 21" xfId="330" xr:uid="{00000000-0005-0000-0000-000085000000}"/>
    <cellStyle name="20% - Accent4 22" xfId="344" xr:uid="{00000000-0005-0000-0000-000086000000}"/>
    <cellStyle name="20% - Accent4 23" xfId="358" xr:uid="{00000000-0005-0000-0000-000087000000}"/>
    <cellStyle name="20% - Accent4 24" xfId="372" xr:uid="{00000000-0005-0000-0000-000088000000}"/>
    <cellStyle name="20% - Accent4 25" xfId="386" xr:uid="{00000000-0005-0000-0000-000089000000}"/>
    <cellStyle name="20% - Accent4 26" xfId="400" xr:uid="{00000000-0005-0000-0000-00008A000000}"/>
    <cellStyle name="20% - Accent4 27" xfId="414" xr:uid="{00000000-0005-0000-0000-00008B000000}"/>
    <cellStyle name="20% - Accent4 28" xfId="428" xr:uid="{00000000-0005-0000-0000-00008C000000}"/>
    <cellStyle name="20% - Accent4 29" xfId="442" xr:uid="{00000000-0005-0000-0000-00008D000000}"/>
    <cellStyle name="20% - Accent4 3" xfId="78" xr:uid="{00000000-0005-0000-0000-00008E000000}"/>
    <cellStyle name="20% - Accent4 30" xfId="456" xr:uid="{00000000-0005-0000-0000-00008F000000}"/>
    <cellStyle name="20% - Accent4 31" xfId="470" xr:uid="{00000000-0005-0000-0000-000090000000}"/>
    <cellStyle name="20% - Accent4 32" xfId="484" xr:uid="{00000000-0005-0000-0000-000091000000}"/>
    <cellStyle name="20% - Accent4 33" xfId="498" xr:uid="{00000000-0005-0000-0000-000092000000}"/>
    <cellStyle name="20% - Accent4 34" xfId="512" xr:uid="{00000000-0005-0000-0000-000093000000}"/>
    <cellStyle name="20% - Accent4 35" xfId="526" xr:uid="{00000000-0005-0000-0000-000094000000}"/>
    <cellStyle name="20% - Accent4 36" xfId="540" xr:uid="{00000000-0005-0000-0000-000095000000}"/>
    <cellStyle name="20% - Accent4 37" xfId="577" xr:uid="{00000000-0005-0000-0000-000096000000}"/>
    <cellStyle name="20% - Accent4 38" xfId="596" xr:uid="{00000000-0005-0000-0000-000097000000}"/>
    <cellStyle name="20% - Accent4 39" xfId="610" xr:uid="{00000000-0005-0000-0000-000098000000}"/>
    <cellStyle name="20% - Accent4 4" xfId="92" xr:uid="{00000000-0005-0000-0000-000099000000}"/>
    <cellStyle name="20% - Accent4 40" xfId="624" xr:uid="{00000000-0005-0000-0000-00009A000000}"/>
    <cellStyle name="20% - Accent4 5" xfId="106" xr:uid="{00000000-0005-0000-0000-00009B000000}"/>
    <cellStyle name="20% - Accent4 6" xfId="120" xr:uid="{00000000-0005-0000-0000-00009C000000}"/>
    <cellStyle name="20% - Accent4 7" xfId="134" xr:uid="{00000000-0005-0000-0000-00009D000000}"/>
    <cellStyle name="20% - Accent4 8" xfId="148" xr:uid="{00000000-0005-0000-0000-00009E000000}"/>
    <cellStyle name="20% - Accent4 9" xfId="162" xr:uid="{00000000-0005-0000-0000-00009F000000}"/>
    <cellStyle name="20% - Accent5" xfId="33" builtinId="46" customBuiltin="1"/>
    <cellStyle name="20% - Accent5 10" xfId="178" xr:uid="{00000000-0005-0000-0000-0000A1000000}"/>
    <cellStyle name="20% - Accent5 11" xfId="192" xr:uid="{00000000-0005-0000-0000-0000A2000000}"/>
    <cellStyle name="20% - Accent5 12" xfId="206" xr:uid="{00000000-0005-0000-0000-0000A3000000}"/>
    <cellStyle name="20% - Accent5 13" xfId="220" xr:uid="{00000000-0005-0000-0000-0000A4000000}"/>
    <cellStyle name="20% - Accent5 14" xfId="234" xr:uid="{00000000-0005-0000-0000-0000A5000000}"/>
    <cellStyle name="20% - Accent5 15" xfId="248" xr:uid="{00000000-0005-0000-0000-0000A6000000}"/>
    <cellStyle name="20% - Accent5 16" xfId="262" xr:uid="{00000000-0005-0000-0000-0000A7000000}"/>
    <cellStyle name="20% - Accent5 17" xfId="276" xr:uid="{00000000-0005-0000-0000-0000A8000000}"/>
    <cellStyle name="20% - Accent5 18" xfId="290" xr:uid="{00000000-0005-0000-0000-0000A9000000}"/>
    <cellStyle name="20% - Accent5 19" xfId="304" xr:uid="{00000000-0005-0000-0000-0000AA000000}"/>
    <cellStyle name="20% - Accent5 2" xfId="66" xr:uid="{00000000-0005-0000-0000-0000AB000000}"/>
    <cellStyle name="20% - Accent5 20" xfId="318" xr:uid="{00000000-0005-0000-0000-0000AC000000}"/>
    <cellStyle name="20% - Accent5 21" xfId="332" xr:uid="{00000000-0005-0000-0000-0000AD000000}"/>
    <cellStyle name="20% - Accent5 22" xfId="346" xr:uid="{00000000-0005-0000-0000-0000AE000000}"/>
    <cellStyle name="20% - Accent5 23" xfId="360" xr:uid="{00000000-0005-0000-0000-0000AF000000}"/>
    <cellStyle name="20% - Accent5 24" xfId="374" xr:uid="{00000000-0005-0000-0000-0000B0000000}"/>
    <cellStyle name="20% - Accent5 25" xfId="388" xr:uid="{00000000-0005-0000-0000-0000B1000000}"/>
    <cellStyle name="20% - Accent5 26" xfId="402" xr:uid="{00000000-0005-0000-0000-0000B2000000}"/>
    <cellStyle name="20% - Accent5 27" xfId="416" xr:uid="{00000000-0005-0000-0000-0000B3000000}"/>
    <cellStyle name="20% - Accent5 28" xfId="430" xr:uid="{00000000-0005-0000-0000-0000B4000000}"/>
    <cellStyle name="20% - Accent5 29" xfId="444" xr:uid="{00000000-0005-0000-0000-0000B5000000}"/>
    <cellStyle name="20% - Accent5 3" xfId="80" xr:uid="{00000000-0005-0000-0000-0000B6000000}"/>
    <cellStyle name="20% - Accent5 30" xfId="458" xr:uid="{00000000-0005-0000-0000-0000B7000000}"/>
    <cellStyle name="20% - Accent5 31" xfId="472" xr:uid="{00000000-0005-0000-0000-0000B8000000}"/>
    <cellStyle name="20% - Accent5 32" xfId="486" xr:uid="{00000000-0005-0000-0000-0000B9000000}"/>
    <cellStyle name="20% - Accent5 33" xfId="500" xr:uid="{00000000-0005-0000-0000-0000BA000000}"/>
    <cellStyle name="20% - Accent5 34" xfId="514" xr:uid="{00000000-0005-0000-0000-0000BB000000}"/>
    <cellStyle name="20% - Accent5 35" xfId="528" xr:uid="{00000000-0005-0000-0000-0000BC000000}"/>
    <cellStyle name="20% - Accent5 36" xfId="542" xr:uid="{00000000-0005-0000-0000-0000BD000000}"/>
    <cellStyle name="20% - Accent5 37" xfId="581" xr:uid="{00000000-0005-0000-0000-0000BE000000}"/>
    <cellStyle name="20% - Accent5 38" xfId="598" xr:uid="{00000000-0005-0000-0000-0000BF000000}"/>
    <cellStyle name="20% - Accent5 39" xfId="612" xr:uid="{00000000-0005-0000-0000-0000C0000000}"/>
    <cellStyle name="20% - Accent5 4" xfId="94" xr:uid="{00000000-0005-0000-0000-0000C1000000}"/>
    <cellStyle name="20% - Accent5 40" xfId="626" xr:uid="{00000000-0005-0000-0000-0000C2000000}"/>
    <cellStyle name="20% - Accent5 5" xfId="108" xr:uid="{00000000-0005-0000-0000-0000C3000000}"/>
    <cellStyle name="20% - Accent5 6" xfId="122" xr:uid="{00000000-0005-0000-0000-0000C4000000}"/>
    <cellStyle name="20% - Accent5 7" xfId="136" xr:uid="{00000000-0005-0000-0000-0000C5000000}"/>
    <cellStyle name="20% - Accent5 8" xfId="150" xr:uid="{00000000-0005-0000-0000-0000C6000000}"/>
    <cellStyle name="20% - Accent5 9" xfId="164" xr:uid="{00000000-0005-0000-0000-0000C7000000}"/>
    <cellStyle name="20% - Accent6" xfId="37" builtinId="50" customBuiltin="1"/>
    <cellStyle name="20% - Accent6 10" xfId="180" xr:uid="{00000000-0005-0000-0000-0000C9000000}"/>
    <cellStyle name="20% - Accent6 11" xfId="194" xr:uid="{00000000-0005-0000-0000-0000CA000000}"/>
    <cellStyle name="20% - Accent6 12" xfId="208" xr:uid="{00000000-0005-0000-0000-0000CB000000}"/>
    <cellStyle name="20% - Accent6 13" xfId="222" xr:uid="{00000000-0005-0000-0000-0000CC000000}"/>
    <cellStyle name="20% - Accent6 14" xfId="236" xr:uid="{00000000-0005-0000-0000-0000CD000000}"/>
    <cellStyle name="20% - Accent6 15" xfId="250" xr:uid="{00000000-0005-0000-0000-0000CE000000}"/>
    <cellStyle name="20% - Accent6 16" xfId="264" xr:uid="{00000000-0005-0000-0000-0000CF000000}"/>
    <cellStyle name="20% - Accent6 17" xfId="278" xr:uid="{00000000-0005-0000-0000-0000D0000000}"/>
    <cellStyle name="20% - Accent6 18" xfId="292" xr:uid="{00000000-0005-0000-0000-0000D1000000}"/>
    <cellStyle name="20% - Accent6 19" xfId="306" xr:uid="{00000000-0005-0000-0000-0000D2000000}"/>
    <cellStyle name="20% - Accent6 2" xfId="68" xr:uid="{00000000-0005-0000-0000-0000D3000000}"/>
    <cellStyle name="20% - Accent6 20" xfId="320" xr:uid="{00000000-0005-0000-0000-0000D4000000}"/>
    <cellStyle name="20% - Accent6 21" xfId="334" xr:uid="{00000000-0005-0000-0000-0000D5000000}"/>
    <cellStyle name="20% - Accent6 22" xfId="348" xr:uid="{00000000-0005-0000-0000-0000D6000000}"/>
    <cellStyle name="20% - Accent6 23" xfId="362" xr:uid="{00000000-0005-0000-0000-0000D7000000}"/>
    <cellStyle name="20% - Accent6 24" xfId="376" xr:uid="{00000000-0005-0000-0000-0000D8000000}"/>
    <cellStyle name="20% - Accent6 25" xfId="390" xr:uid="{00000000-0005-0000-0000-0000D9000000}"/>
    <cellStyle name="20% - Accent6 26" xfId="404" xr:uid="{00000000-0005-0000-0000-0000DA000000}"/>
    <cellStyle name="20% - Accent6 27" xfId="418" xr:uid="{00000000-0005-0000-0000-0000DB000000}"/>
    <cellStyle name="20% - Accent6 28" xfId="432" xr:uid="{00000000-0005-0000-0000-0000DC000000}"/>
    <cellStyle name="20% - Accent6 29" xfId="446" xr:uid="{00000000-0005-0000-0000-0000DD000000}"/>
    <cellStyle name="20% - Accent6 3" xfId="82" xr:uid="{00000000-0005-0000-0000-0000DE000000}"/>
    <cellStyle name="20% - Accent6 30" xfId="460" xr:uid="{00000000-0005-0000-0000-0000DF000000}"/>
    <cellStyle name="20% - Accent6 31" xfId="474" xr:uid="{00000000-0005-0000-0000-0000E0000000}"/>
    <cellStyle name="20% - Accent6 32" xfId="488" xr:uid="{00000000-0005-0000-0000-0000E1000000}"/>
    <cellStyle name="20% - Accent6 33" xfId="502" xr:uid="{00000000-0005-0000-0000-0000E2000000}"/>
    <cellStyle name="20% - Accent6 34" xfId="516" xr:uid="{00000000-0005-0000-0000-0000E3000000}"/>
    <cellStyle name="20% - Accent6 35" xfId="530" xr:uid="{00000000-0005-0000-0000-0000E4000000}"/>
    <cellStyle name="20% - Accent6 36" xfId="544" xr:uid="{00000000-0005-0000-0000-0000E5000000}"/>
    <cellStyle name="20% - Accent6 37" xfId="585" xr:uid="{00000000-0005-0000-0000-0000E6000000}"/>
    <cellStyle name="20% - Accent6 38" xfId="600" xr:uid="{00000000-0005-0000-0000-0000E7000000}"/>
    <cellStyle name="20% - Accent6 39" xfId="614" xr:uid="{00000000-0005-0000-0000-0000E8000000}"/>
    <cellStyle name="20% - Accent6 4" xfId="96" xr:uid="{00000000-0005-0000-0000-0000E9000000}"/>
    <cellStyle name="20% - Accent6 40" xfId="628" xr:uid="{00000000-0005-0000-0000-0000EA000000}"/>
    <cellStyle name="20% - Accent6 5" xfId="110" xr:uid="{00000000-0005-0000-0000-0000EB000000}"/>
    <cellStyle name="20% - Accent6 6" xfId="124" xr:uid="{00000000-0005-0000-0000-0000EC000000}"/>
    <cellStyle name="20% - Accent6 7" xfId="138" xr:uid="{00000000-0005-0000-0000-0000ED000000}"/>
    <cellStyle name="20% - Accent6 8" xfId="152" xr:uid="{00000000-0005-0000-0000-0000EE000000}"/>
    <cellStyle name="20% - Accent6 9" xfId="166" xr:uid="{00000000-0005-0000-0000-0000EF000000}"/>
    <cellStyle name="40% - Accent1" xfId="18" builtinId="31" customBuiltin="1"/>
    <cellStyle name="40% - Accent1 10" xfId="171" xr:uid="{00000000-0005-0000-0000-0000F1000000}"/>
    <cellStyle name="40% - Accent1 11" xfId="185" xr:uid="{00000000-0005-0000-0000-0000F2000000}"/>
    <cellStyle name="40% - Accent1 12" xfId="199" xr:uid="{00000000-0005-0000-0000-0000F3000000}"/>
    <cellStyle name="40% - Accent1 13" xfId="213" xr:uid="{00000000-0005-0000-0000-0000F4000000}"/>
    <cellStyle name="40% - Accent1 14" xfId="227" xr:uid="{00000000-0005-0000-0000-0000F5000000}"/>
    <cellStyle name="40% - Accent1 15" xfId="241" xr:uid="{00000000-0005-0000-0000-0000F6000000}"/>
    <cellStyle name="40% - Accent1 16" xfId="255" xr:uid="{00000000-0005-0000-0000-0000F7000000}"/>
    <cellStyle name="40% - Accent1 17" xfId="269" xr:uid="{00000000-0005-0000-0000-0000F8000000}"/>
    <cellStyle name="40% - Accent1 18" xfId="283" xr:uid="{00000000-0005-0000-0000-0000F9000000}"/>
    <cellStyle name="40% - Accent1 19" xfId="297" xr:uid="{00000000-0005-0000-0000-0000FA000000}"/>
    <cellStyle name="40% - Accent1 2" xfId="59" xr:uid="{00000000-0005-0000-0000-0000FB000000}"/>
    <cellStyle name="40% - Accent1 20" xfId="311" xr:uid="{00000000-0005-0000-0000-0000FC000000}"/>
    <cellStyle name="40% - Accent1 21" xfId="325" xr:uid="{00000000-0005-0000-0000-0000FD000000}"/>
    <cellStyle name="40% - Accent1 22" xfId="339" xr:uid="{00000000-0005-0000-0000-0000FE000000}"/>
    <cellStyle name="40% - Accent1 23" xfId="353" xr:uid="{00000000-0005-0000-0000-0000FF000000}"/>
    <cellStyle name="40% - Accent1 24" xfId="367" xr:uid="{00000000-0005-0000-0000-000000010000}"/>
    <cellStyle name="40% - Accent1 25" xfId="381" xr:uid="{00000000-0005-0000-0000-000001010000}"/>
    <cellStyle name="40% - Accent1 26" xfId="395" xr:uid="{00000000-0005-0000-0000-000002010000}"/>
    <cellStyle name="40% - Accent1 27" xfId="409" xr:uid="{00000000-0005-0000-0000-000003010000}"/>
    <cellStyle name="40% - Accent1 28" xfId="423" xr:uid="{00000000-0005-0000-0000-000004010000}"/>
    <cellStyle name="40% - Accent1 29" xfId="437" xr:uid="{00000000-0005-0000-0000-000005010000}"/>
    <cellStyle name="40% - Accent1 3" xfId="73" xr:uid="{00000000-0005-0000-0000-000006010000}"/>
    <cellStyle name="40% - Accent1 30" xfId="451" xr:uid="{00000000-0005-0000-0000-000007010000}"/>
    <cellStyle name="40% - Accent1 31" xfId="465" xr:uid="{00000000-0005-0000-0000-000008010000}"/>
    <cellStyle name="40% - Accent1 32" xfId="479" xr:uid="{00000000-0005-0000-0000-000009010000}"/>
    <cellStyle name="40% - Accent1 33" xfId="493" xr:uid="{00000000-0005-0000-0000-00000A010000}"/>
    <cellStyle name="40% - Accent1 34" xfId="507" xr:uid="{00000000-0005-0000-0000-00000B010000}"/>
    <cellStyle name="40% - Accent1 35" xfId="521" xr:uid="{00000000-0005-0000-0000-00000C010000}"/>
    <cellStyle name="40% - Accent1 36" xfId="535" xr:uid="{00000000-0005-0000-0000-00000D010000}"/>
    <cellStyle name="40% - Accent1 37" xfId="566" xr:uid="{00000000-0005-0000-0000-00000E010000}"/>
    <cellStyle name="40% - Accent1 38" xfId="591" xr:uid="{00000000-0005-0000-0000-00000F010000}"/>
    <cellStyle name="40% - Accent1 39" xfId="605" xr:uid="{00000000-0005-0000-0000-000010010000}"/>
    <cellStyle name="40% - Accent1 4" xfId="87" xr:uid="{00000000-0005-0000-0000-000011010000}"/>
    <cellStyle name="40% - Accent1 40" xfId="619" xr:uid="{00000000-0005-0000-0000-000012010000}"/>
    <cellStyle name="40% - Accent1 5" xfId="101" xr:uid="{00000000-0005-0000-0000-000013010000}"/>
    <cellStyle name="40% - Accent1 6" xfId="115" xr:uid="{00000000-0005-0000-0000-000014010000}"/>
    <cellStyle name="40% - Accent1 7" xfId="129" xr:uid="{00000000-0005-0000-0000-000015010000}"/>
    <cellStyle name="40% - Accent1 8" xfId="143" xr:uid="{00000000-0005-0000-0000-000016010000}"/>
    <cellStyle name="40% - Accent1 9" xfId="157" xr:uid="{00000000-0005-0000-0000-000017010000}"/>
    <cellStyle name="40% - Accent2" xfId="22" builtinId="35" customBuiltin="1"/>
    <cellStyle name="40% - Accent2 10" xfId="173" xr:uid="{00000000-0005-0000-0000-000019010000}"/>
    <cellStyle name="40% - Accent2 11" xfId="187" xr:uid="{00000000-0005-0000-0000-00001A010000}"/>
    <cellStyle name="40% - Accent2 12" xfId="201" xr:uid="{00000000-0005-0000-0000-00001B010000}"/>
    <cellStyle name="40% - Accent2 13" xfId="215" xr:uid="{00000000-0005-0000-0000-00001C010000}"/>
    <cellStyle name="40% - Accent2 14" xfId="229" xr:uid="{00000000-0005-0000-0000-00001D010000}"/>
    <cellStyle name="40% - Accent2 15" xfId="243" xr:uid="{00000000-0005-0000-0000-00001E010000}"/>
    <cellStyle name="40% - Accent2 16" xfId="257" xr:uid="{00000000-0005-0000-0000-00001F010000}"/>
    <cellStyle name="40% - Accent2 17" xfId="271" xr:uid="{00000000-0005-0000-0000-000020010000}"/>
    <cellStyle name="40% - Accent2 18" xfId="285" xr:uid="{00000000-0005-0000-0000-000021010000}"/>
    <cellStyle name="40% - Accent2 19" xfId="299" xr:uid="{00000000-0005-0000-0000-000022010000}"/>
    <cellStyle name="40% - Accent2 2" xfId="61" xr:uid="{00000000-0005-0000-0000-000023010000}"/>
    <cellStyle name="40% - Accent2 20" xfId="313" xr:uid="{00000000-0005-0000-0000-000024010000}"/>
    <cellStyle name="40% - Accent2 21" xfId="327" xr:uid="{00000000-0005-0000-0000-000025010000}"/>
    <cellStyle name="40% - Accent2 22" xfId="341" xr:uid="{00000000-0005-0000-0000-000026010000}"/>
    <cellStyle name="40% - Accent2 23" xfId="355" xr:uid="{00000000-0005-0000-0000-000027010000}"/>
    <cellStyle name="40% - Accent2 24" xfId="369" xr:uid="{00000000-0005-0000-0000-000028010000}"/>
    <cellStyle name="40% - Accent2 25" xfId="383" xr:uid="{00000000-0005-0000-0000-000029010000}"/>
    <cellStyle name="40% - Accent2 26" xfId="397" xr:uid="{00000000-0005-0000-0000-00002A010000}"/>
    <cellStyle name="40% - Accent2 27" xfId="411" xr:uid="{00000000-0005-0000-0000-00002B010000}"/>
    <cellStyle name="40% - Accent2 28" xfId="425" xr:uid="{00000000-0005-0000-0000-00002C010000}"/>
    <cellStyle name="40% - Accent2 29" xfId="439" xr:uid="{00000000-0005-0000-0000-00002D010000}"/>
    <cellStyle name="40% - Accent2 3" xfId="75" xr:uid="{00000000-0005-0000-0000-00002E010000}"/>
    <cellStyle name="40% - Accent2 30" xfId="453" xr:uid="{00000000-0005-0000-0000-00002F010000}"/>
    <cellStyle name="40% - Accent2 31" xfId="467" xr:uid="{00000000-0005-0000-0000-000030010000}"/>
    <cellStyle name="40% - Accent2 32" xfId="481" xr:uid="{00000000-0005-0000-0000-000031010000}"/>
    <cellStyle name="40% - Accent2 33" xfId="495" xr:uid="{00000000-0005-0000-0000-000032010000}"/>
    <cellStyle name="40% - Accent2 34" xfId="509" xr:uid="{00000000-0005-0000-0000-000033010000}"/>
    <cellStyle name="40% - Accent2 35" xfId="523" xr:uid="{00000000-0005-0000-0000-000034010000}"/>
    <cellStyle name="40% - Accent2 36" xfId="537" xr:uid="{00000000-0005-0000-0000-000035010000}"/>
    <cellStyle name="40% - Accent2 37" xfId="570" xr:uid="{00000000-0005-0000-0000-000036010000}"/>
    <cellStyle name="40% - Accent2 38" xfId="593" xr:uid="{00000000-0005-0000-0000-000037010000}"/>
    <cellStyle name="40% - Accent2 39" xfId="607" xr:uid="{00000000-0005-0000-0000-000038010000}"/>
    <cellStyle name="40% - Accent2 4" xfId="89" xr:uid="{00000000-0005-0000-0000-000039010000}"/>
    <cellStyle name="40% - Accent2 40" xfId="621" xr:uid="{00000000-0005-0000-0000-00003A010000}"/>
    <cellStyle name="40% - Accent2 5" xfId="103" xr:uid="{00000000-0005-0000-0000-00003B010000}"/>
    <cellStyle name="40% - Accent2 6" xfId="117" xr:uid="{00000000-0005-0000-0000-00003C010000}"/>
    <cellStyle name="40% - Accent2 7" xfId="131" xr:uid="{00000000-0005-0000-0000-00003D010000}"/>
    <cellStyle name="40% - Accent2 8" xfId="145" xr:uid="{00000000-0005-0000-0000-00003E010000}"/>
    <cellStyle name="40% - Accent2 9" xfId="159" xr:uid="{00000000-0005-0000-0000-00003F010000}"/>
    <cellStyle name="40% - Accent3" xfId="26" builtinId="39" customBuiltin="1"/>
    <cellStyle name="40% - Accent3 10" xfId="175" xr:uid="{00000000-0005-0000-0000-000041010000}"/>
    <cellStyle name="40% - Accent3 11" xfId="189" xr:uid="{00000000-0005-0000-0000-000042010000}"/>
    <cellStyle name="40% - Accent3 12" xfId="203" xr:uid="{00000000-0005-0000-0000-000043010000}"/>
    <cellStyle name="40% - Accent3 13" xfId="217" xr:uid="{00000000-0005-0000-0000-000044010000}"/>
    <cellStyle name="40% - Accent3 14" xfId="231" xr:uid="{00000000-0005-0000-0000-000045010000}"/>
    <cellStyle name="40% - Accent3 15" xfId="245" xr:uid="{00000000-0005-0000-0000-000046010000}"/>
    <cellStyle name="40% - Accent3 16" xfId="259" xr:uid="{00000000-0005-0000-0000-000047010000}"/>
    <cellStyle name="40% - Accent3 17" xfId="273" xr:uid="{00000000-0005-0000-0000-000048010000}"/>
    <cellStyle name="40% - Accent3 18" xfId="287" xr:uid="{00000000-0005-0000-0000-000049010000}"/>
    <cellStyle name="40% - Accent3 19" xfId="301" xr:uid="{00000000-0005-0000-0000-00004A010000}"/>
    <cellStyle name="40% - Accent3 2" xfId="63" xr:uid="{00000000-0005-0000-0000-00004B010000}"/>
    <cellStyle name="40% - Accent3 20" xfId="315" xr:uid="{00000000-0005-0000-0000-00004C010000}"/>
    <cellStyle name="40% - Accent3 21" xfId="329" xr:uid="{00000000-0005-0000-0000-00004D010000}"/>
    <cellStyle name="40% - Accent3 22" xfId="343" xr:uid="{00000000-0005-0000-0000-00004E010000}"/>
    <cellStyle name="40% - Accent3 23" xfId="357" xr:uid="{00000000-0005-0000-0000-00004F010000}"/>
    <cellStyle name="40% - Accent3 24" xfId="371" xr:uid="{00000000-0005-0000-0000-000050010000}"/>
    <cellStyle name="40% - Accent3 25" xfId="385" xr:uid="{00000000-0005-0000-0000-000051010000}"/>
    <cellStyle name="40% - Accent3 26" xfId="399" xr:uid="{00000000-0005-0000-0000-000052010000}"/>
    <cellStyle name="40% - Accent3 27" xfId="413" xr:uid="{00000000-0005-0000-0000-000053010000}"/>
    <cellStyle name="40% - Accent3 28" xfId="427" xr:uid="{00000000-0005-0000-0000-000054010000}"/>
    <cellStyle name="40% - Accent3 29" xfId="441" xr:uid="{00000000-0005-0000-0000-000055010000}"/>
    <cellStyle name="40% - Accent3 3" xfId="77" xr:uid="{00000000-0005-0000-0000-000056010000}"/>
    <cellStyle name="40% - Accent3 30" xfId="455" xr:uid="{00000000-0005-0000-0000-000057010000}"/>
    <cellStyle name="40% - Accent3 31" xfId="469" xr:uid="{00000000-0005-0000-0000-000058010000}"/>
    <cellStyle name="40% - Accent3 32" xfId="483" xr:uid="{00000000-0005-0000-0000-000059010000}"/>
    <cellStyle name="40% - Accent3 33" xfId="497" xr:uid="{00000000-0005-0000-0000-00005A010000}"/>
    <cellStyle name="40% - Accent3 34" xfId="511" xr:uid="{00000000-0005-0000-0000-00005B010000}"/>
    <cellStyle name="40% - Accent3 35" xfId="525" xr:uid="{00000000-0005-0000-0000-00005C010000}"/>
    <cellStyle name="40% - Accent3 36" xfId="539" xr:uid="{00000000-0005-0000-0000-00005D010000}"/>
    <cellStyle name="40% - Accent3 37" xfId="574" xr:uid="{00000000-0005-0000-0000-00005E010000}"/>
    <cellStyle name="40% - Accent3 38" xfId="595" xr:uid="{00000000-0005-0000-0000-00005F010000}"/>
    <cellStyle name="40% - Accent3 39" xfId="609" xr:uid="{00000000-0005-0000-0000-000060010000}"/>
    <cellStyle name="40% - Accent3 4" xfId="91" xr:uid="{00000000-0005-0000-0000-000061010000}"/>
    <cellStyle name="40% - Accent3 40" xfId="623" xr:uid="{00000000-0005-0000-0000-000062010000}"/>
    <cellStyle name="40% - Accent3 5" xfId="105" xr:uid="{00000000-0005-0000-0000-000063010000}"/>
    <cellStyle name="40% - Accent3 6" xfId="119" xr:uid="{00000000-0005-0000-0000-000064010000}"/>
    <cellStyle name="40% - Accent3 7" xfId="133" xr:uid="{00000000-0005-0000-0000-000065010000}"/>
    <cellStyle name="40% - Accent3 8" xfId="147" xr:uid="{00000000-0005-0000-0000-000066010000}"/>
    <cellStyle name="40% - Accent3 9" xfId="161" xr:uid="{00000000-0005-0000-0000-000067010000}"/>
    <cellStyle name="40% - Accent4" xfId="30" builtinId="43" customBuiltin="1"/>
    <cellStyle name="40% - Accent4 10" xfId="177" xr:uid="{00000000-0005-0000-0000-000069010000}"/>
    <cellStyle name="40% - Accent4 11" xfId="191" xr:uid="{00000000-0005-0000-0000-00006A010000}"/>
    <cellStyle name="40% - Accent4 12" xfId="205" xr:uid="{00000000-0005-0000-0000-00006B010000}"/>
    <cellStyle name="40% - Accent4 13" xfId="219" xr:uid="{00000000-0005-0000-0000-00006C010000}"/>
    <cellStyle name="40% - Accent4 14" xfId="233" xr:uid="{00000000-0005-0000-0000-00006D010000}"/>
    <cellStyle name="40% - Accent4 15" xfId="247" xr:uid="{00000000-0005-0000-0000-00006E010000}"/>
    <cellStyle name="40% - Accent4 16" xfId="261" xr:uid="{00000000-0005-0000-0000-00006F010000}"/>
    <cellStyle name="40% - Accent4 17" xfId="275" xr:uid="{00000000-0005-0000-0000-000070010000}"/>
    <cellStyle name="40% - Accent4 18" xfId="289" xr:uid="{00000000-0005-0000-0000-000071010000}"/>
    <cellStyle name="40% - Accent4 19" xfId="303" xr:uid="{00000000-0005-0000-0000-000072010000}"/>
    <cellStyle name="40% - Accent4 2" xfId="65" xr:uid="{00000000-0005-0000-0000-000073010000}"/>
    <cellStyle name="40% - Accent4 20" xfId="317" xr:uid="{00000000-0005-0000-0000-000074010000}"/>
    <cellStyle name="40% - Accent4 21" xfId="331" xr:uid="{00000000-0005-0000-0000-000075010000}"/>
    <cellStyle name="40% - Accent4 22" xfId="345" xr:uid="{00000000-0005-0000-0000-000076010000}"/>
    <cellStyle name="40% - Accent4 23" xfId="359" xr:uid="{00000000-0005-0000-0000-000077010000}"/>
    <cellStyle name="40% - Accent4 24" xfId="373" xr:uid="{00000000-0005-0000-0000-000078010000}"/>
    <cellStyle name="40% - Accent4 25" xfId="387" xr:uid="{00000000-0005-0000-0000-000079010000}"/>
    <cellStyle name="40% - Accent4 26" xfId="401" xr:uid="{00000000-0005-0000-0000-00007A010000}"/>
    <cellStyle name="40% - Accent4 27" xfId="415" xr:uid="{00000000-0005-0000-0000-00007B010000}"/>
    <cellStyle name="40% - Accent4 28" xfId="429" xr:uid="{00000000-0005-0000-0000-00007C010000}"/>
    <cellStyle name="40% - Accent4 29" xfId="443" xr:uid="{00000000-0005-0000-0000-00007D010000}"/>
    <cellStyle name="40% - Accent4 3" xfId="79" xr:uid="{00000000-0005-0000-0000-00007E010000}"/>
    <cellStyle name="40% - Accent4 30" xfId="457" xr:uid="{00000000-0005-0000-0000-00007F010000}"/>
    <cellStyle name="40% - Accent4 31" xfId="471" xr:uid="{00000000-0005-0000-0000-000080010000}"/>
    <cellStyle name="40% - Accent4 32" xfId="485" xr:uid="{00000000-0005-0000-0000-000081010000}"/>
    <cellStyle name="40% - Accent4 33" xfId="499" xr:uid="{00000000-0005-0000-0000-000082010000}"/>
    <cellStyle name="40% - Accent4 34" xfId="513" xr:uid="{00000000-0005-0000-0000-000083010000}"/>
    <cellStyle name="40% - Accent4 35" xfId="527" xr:uid="{00000000-0005-0000-0000-000084010000}"/>
    <cellStyle name="40% - Accent4 36" xfId="541" xr:uid="{00000000-0005-0000-0000-000085010000}"/>
    <cellStyle name="40% - Accent4 37" xfId="578" xr:uid="{00000000-0005-0000-0000-000086010000}"/>
    <cellStyle name="40% - Accent4 38" xfId="597" xr:uid="{00000000-0005-0000-0000-000087010000}"/>
    <cellStyle name="40% - Accent4 39" xfId="611" xr:uid="{00000000-0005-0000-0000-000088010000}"/>
    <cellStyle name="40% - Accent4 4" xfId="93" xr:uid="{00000000-0005-0000-0000-000089010000}"/>
    <cellStyle name="40% - Accent4 40" xfId="625" xr:uid="{00000000-0005-0000-0000-00008A010000}"/>
    <cellStyle name="40% - Accent4 5" xfId="107" xr:uid="{00000000-0005-0000-0000-00008B010000}"/>
    <cellStyle name="40% - Accent4 6" xfId="121" xr:uid="{00000000-0005-0000-0000-00008C010000}"/>
    <cellStyle name="40% - Accent4 7" xfId="135" xr:uid="{00000000-0005-0000-0000-00008D010000}"/>
    <cellStyle name="40% - Accent4 8" xfId="149" xr:uid="{00000000-0005-0000-0000-00008E010000}"/>
    <cellStyle name="40% - Accent4 9" xfId="163" xr:uid="{00000000-0005-0000-0000-00008F010000}"/>
    <cellStyle name="40% - Accent5" xfId="34" builtinId="47" customBuiltin="1"/>
    <cellStyle name="40% - Accent5 10" xfId="179" xr:uid="{00000000-0005-0000-0000-000091010000}"/>
    <cellStyle name="40% - Accent5 11" xfId="193" xr:uid="{00000000-0005-0000-0000-000092010000}"/>
    <cellStyle name="40% - Accent5 12" xfId="207" xr:uid="{00000000-0005-0000-0000-000093010000}"/>
    <cellStyle name="40% - Accent5 13" xfId="221" xr:uid="{00000000-0005-0000-0000-000094010000}"/>
    <cellStyle name="40% - Accent5 14" xfId="235" xr:uid="{00000000-0005-0000-0000-000095010000}"/>
    <cellStyle name="40% - Accent5 15" xfId="249" xr:uid="{00000000-0005-0000-0000-000096010000}"/>
    <cellStyle name="40% - Accent5 16" xfId="263" xr:uid="{00000000-0005-0000-0000-000097010000}"/>
    <cellStyle name="40% - Accent5 17" xfId="277" xr:uid="{00000000-0005-0000-0000-000098010000}"/>
    <cellStyle name="40% - Accent5 18" xfId="291" xr:uid="{00000000-0005-0000-0000-000099010000}"/>
    <cellStyle name="40% - Accent5 19" xfId="305" xr:uid="{00000000-0005-0000-0000-00009A010000}"/>
    <cellStyle name="40% - Accent5 2" xfId="67" xr:uid="{00000000-0005-0000-0000-00009B010000}"/>
    <cellStyle name="40% - Accent5 20" xfId="319" xr:uid="{00000000-0005-0000-0000-00009C010000}"/>
    <cellStyle name="40% - Accent5 21" xfId="333" xr:uid="{00000000-0005-0000-0000-00009D010000}"/>
    <cellStyle name="40% - Accent5 22" xfId="347" xr:uid="{00000000-0005-0000-0000-00009E010000}"/>
    <cellStyle name="40% - Accent5 23" xfId="361" xr:uid="{00000000-0005-0000-0000-00009F010000}"/>
    <cellStyle name="40% - Accent5 24" xfId="375" xr:uid="{00000000-0005-0000-0000-0000A0010000}"/>
    <cellStyle name="40% - Accent5 25" xfId="389" xr:uid="{00000000-0005-0000-0000-0000A1010000}"/>
    <cellStyle name="40% - Accent5 26" xfId="403" xr:uid="{00000000-0005-0000-0000-0000A2010000}"/>
    <cellStyle name="40% - Accent5 27" xfId="417" xr:uid="{00000000-0005-0000-0000-0000A3010000}"/>
    <cellStyle name="40% - Accent5 28" xfId="431" xr:uid="{00000000-0005-0000-0000-0000A4010000}"/>
    <cellStyle name="40% - Accent5 29" xfId="445" xr:uid="{00000000-0005-0000-0000-0000A5010000}"/>
    <cellStyle name="40% - Accent5 3" xfId="81" xr:uid="{00000000-0005-0000-0000-0000A6010000}"/>
    <cellStyle name="40% - Accent5 30" xfId="459" xr:uid="{00000000-0005-0000-0000-0000A7010000}"/>
    <cellStyle name="40% - Accent5 31" xfId="473" xr:uid="{00000000-0005-0000-0000-0000A8010000}"/>
    <cellStyle name="40% - Accent5 32" xfId="487" xr:uid="{00000000-0005-0000-0000-0000A9010000}"/>
    <cellStyle name="40% - Accent5 33" xfId="501" xr:uid="{00000000-0005-0000-0000-0000AA010000}"/>
    <cellStyle name="40% - Accent5 34" xfId="515" xr:uid="{00000000-0005-0000-0000-0000AB010000}"/>
    <cellStyle name="40% - Accent5 35" xfId="529" xr:uid="{00000000-0005-0000-0000-0000AC010000}"/>
    <cellStyle name="40% - Accent5 36" xfId="543" xr:uid="{00000000-0005-0000-0000-0000AD010000}"/>
    <cellStyle name="40% - Accent5 37" xfId="582" xr:uid="{00000000-0005-0000-0000-0000AE010000}"/>
    <cellStyle name="40% - Accent5 38" xfId="599" xr:uid="{00000000-0005-0000-0000-0000AF010000}"/>
    <cellStyle name="40% - Accent5 39" xfId="613" xr:uid="{00000000-0005-0000-0000-0000B0010000}"/>
    <cellStyle name="40% - Accent5 4" xfId="95" xr:uid="{00000000-0005-0000-0000-0000B1010000}"/>
    <cellStyle name="40% - Accent5 40" xfId="627" xr:uid="{00000000-0005-0000-0000-0000B2010000}"/>
    <cellStyle name="40% - Accent5 5" xfId="109" xr:uid="{00000000-0005-0000-0000-0000B3010000}"/>
    <cellStyle name="40% - Accent5 6" xfId="123" xr:uid="{00000000-0005-0000-0000-0000B4010000}"/>
    <cellStyle name="40% - Accent5 7" xfId="137" xr:uid="{00000000-0005-0000-0000-0000B5010000}"/>
    <cellStyle name="40% - Accent5 8" xfId="151" xr:uid="{00000000-0005-0000-0000-0000B6010000}"/>
    <cellStyle name="40% - Accent5 9" xfId="165" xr:uid="{00000000-0005-0000-0000-0000B7010000}"/>
    <cellStyle name="40% - Accent6" xfId="38" builtinId="51" customBuiltin="1"/>
    <cellStyle name="40% - Accent6 10" xfId="181" xr:uid="{00000000-0005-0000-0000-0000B9010000}"/>
    <cellStyle name="40% - Accent6 11" xfId="195" xr:uid="{00000000-0005-0000-0000-0000BA010000}"/>
    <cellStyle name="40% - Accent6 12" xfId="209" xr:uid="{00000000-0005-0000-0000-0000BB010000}"/>
    <cellStyle name="40% - Accent6 13" xfId="223" xr:uid="{00000000-0005-0000-0000-0000BC010000}"/>
    <cellStyle name="40% - Accent6 14" xfId="237" xr:uid="{00000000-0005-0000-0000-0000BD010000}"/>
    <cellStyle name="40% - Accent6 15" xfId="251" xr:uid="{00000000-0005-0000-0000-0000BE010000}"/>
    <cellStyle name="40% - Accent6 16" xfId="265" xr:uid="{00000000-0005-0000-0000-0000BF010000}"/>
    <cellStyle name="40% - Accent6 17" xfId="279" xr:uid="{00000000-0005-0000-0000-0000C0010000}"/>
    <cellStyle name="40% - Accent6 18" xfId="293" xr:uid="{00000000-0005-0000-0000-0000C1010000}"/>
    <cellStyle name="40% - Accent6 19" xfId="307" xr:uid="{00000000-0005-0000-0000-0000C2010000}"/>
    <cellStyle name="40% - Accent6 2" xfId="69" xr:uid="{00000000-0005-0000-0000-0000C3010000}"/>
    <cellStyle name="40% - Accent6 20" xfId="321" xr:uid="{00000000-0005-0000-0000-0000C4010000}"/>
    <cellStyle name="40% - Accent6 21" xfId="335" xr:uid="{00000000-0005-0000-0000-0000C5010000}"/>
    <cellStyle name="40% - Accent6 22" xfId="349" xr:uid="{00000000-0005-0000-0000-0000C6010000}"/>
    <cellStyle name="40% - Accent6 23" xfId="363" xr:uid="{00000000-0005-0000-0000-0000C7010000}"/>
    <cellStyle name="40% - Accent6 24" xfId="377" xr:uid="{00000000-0005-0000-0000-0000C8010000}"/>
    <cellStyle name="40% - Accent6 25" xfId="391" xr:uid="{00000000-0005-0000-0000-0000C9010000}"/>
    <cellStyle name="40% - Accent6 26" xfId="405" xr:uid="{00000000-0005-0000-0000-0000CA010000}"/>
    <cellStyle name="40% - Accent6 27" xfId="419" xr:uid="{00000000-0005-0000-0000-0000CB010000}"/>
    <cellStyle name="40% - Accent6 28" xfId="433" xr:uid="{00000000-0005-0000-0000-0000CC010000}"/>
    <cellStyle name="40% - Accent6 29" xfId="447" xr:uid="{00000000-0005-0000-0000-0000CD010000}"/>
    <cellStyle name="40% - Accent6 3" xfId="83" xr:uid="{00000000-0005-0000-0000-0000CE010000}"/>
    <cellStyle name="40% - Accent6 30" xfId="461" xr:uid="{00000000-0005-0000-0000-0000CF010000}"/>
    <cellStyle name="40% - Accent6 31" xfId="475" xr:uid="{00000000-0005-0000-0000-0000D0010000}"/>
    <cellStyle name="40% - Accent6 32" xfId="489" xr:uid="{00000000-0005-0000-0000-0000D1010000}"/>
    <cellStyle name="40% - Accent6 33" xfId="503" xr:uid="{00000000-0005-0000-0000-0000D2010000}"/>
    <cellStyle name="40% - Accent6 34" xfId="517" xr:uid="{00000000-0005-0000-0000-0000D3010000}"/>
    <cellStyle name="40% - Accent6 35" xfId="531" xr:uid="{00000000-0005-0000-0000-0000D4010000}"/>
    <cellStyle name="40% - Accent6 36" xfId="545" xr:uid="{00000000-0005-0000-0000-0000D5010000}"/>
    <cellStyle name="40% - Accent6 37" xfId="586" xr:uid="{00000000-0005-0000-0000-0000D6010000}"/>
    <cellStyle name="40% - Accent6 38" xfId="601" xr:uid="{00000000-0005-0000-0000-0000D7010000}"/>
    <cellStyle name="40% - Accent6 39" xfId="615" xr:uid="{00000000-0005-0000-0000-0000D8010000}"/>
    <cellStyle name="40% - Accent6 4" xfId="97" xr:uid="{00000000-0005-0000-0000-0000D9010000}"/>
    <cellStyle name="40% - Accent6 40" xfId="629" xr:uid="{00000000-0005-0000-0000-0000DA010000}"/>
    <cellStyle name="40% - Accent6 5" xfId="111" xr:uid="{00000000-0005-0000-0000-0000DB010000}"/>
    <cellStyle name="40% - Accent6 6" xfId="125" xr:uid="{00000000-0005-0000-0000-0000DC010000}"/>
    <cellStyle name="40% - Accent6 7" xfId="139" xr:uid="{00000000-0005-0000-0000-0000DD010000}"/>
    <cellStyle name="40% - Accent6 8" xfId="153" xr:uid="{00000000-0005-0000-0000-0000DE010000}"/>
    <cellStyle name="40% - Accent6 9" xfId="167" xr:uid="{00000000-0005-0000-0000-0000DF010000}"/>
    <cellStyle name="60% - Accent1" xfId="19" builtinId="32" customBuiltin="1"/>
    <cellStyle name="60% - Accent1 2" xfId="567" xr:uid="{00000000-0005-0000-0000-0000E1010000}"/>
    <cellStyle name="60% - Accent2" xfId="23" builtinId="36" customBuiltin="1"/>
    <cellStyle name="60% - Accent2 2" xfId="571" xr:uid="{00000000-0005-0000-0000-0000E3010000}"/>
    <cellStyle name="60% - Accent3" xfId="27" builtinId="40" customBuiltin="1"/>
    <cellStyle name="60% - Accent3 2" xfId="575" xr:uid="{00000000-0005-0000-0000-0000E5010000}"/>
    <cellStyle name="60% - Accent4" xfId="31" builtinId="44" customBuiltin="1"/>
    <cellStyle name="60% - Accent4 2" xfId="579" xr:uid="{00000000-0005-0000-0000-0000E7010000}"/>
    <cellStyle name="60% - Accent5" xfId="35" builtinId="48" customBuiltin="1"/>
    <cellStyle name="60% - Accent5 2" xfId="583" xr:uid="{00000000-0005-0000-0000-0000E9010000}"/>
    <cellStyle name="60% - Accent6" xfId="39" builtinId="52" customBuiltin="1"/>
    <cellStyle name="60% - Accent6 2" xfId="587" xr:uid="{00000000-0005-0000-0000-0000EB010000}"/>
    <cellStyle name="Accent1" xfId="16" builtinId="29" customBuiltin="1"/>
    <cellStyle name="Accent1 2" xfId="564" xr:uid="{00000000-0005-0000-0000-0000ED010000}"/>
    <cellStyle name="Accent2" xfId="20" builtinId="33" customBuiltin="1"/>
    <cellStyle name="Accent2 2" xfId="568" xr:uid="{00000000-0005-0000-0000-0000EF010000}"/>
    <cellStyle name="Accent3" xfId="24" builtinId="37" customBuiltin="1"/>
    <cellStyle name="Accent3 2" xfId="572" xr:uid="{00000000-0005-0000-0000-0000F1010000}"/>
    <cellStyle name="Accent4" xfId="28" builtinId="41" customBuiltin="1"/>
    <cellStyle name="Accent4 2" xfId="576" xr:uid="{00000000-0005-0000-0000-0000F3010000}"/>
    <cellStyle name="Accent5" xfId="32" builtinId="45" customBuiltin="1"/>
    <cellStyle name="Accent5 2" xfId="580" xr:uid="{00000000-0005-0000-0000-0000F5010000}"/>
    <cellStyle name="Accent6" xfId="36" builtinId="49" customBuiltin="1"/>
    <cellStyle name="Accent6 2" xfId="584" xr:uid="{00000000-0005-0000-0000-0000F7010000}"/>
    <cellStyle name="Bad" xfId="6" builtinId="27" customBuiltin="1"/>
    <cellStyle name="Bad 2" xfId="553" xr:uid="{00000000-0005-0000-0000-0000F9010000}"/>
    <cellStyle name="Calculation" xfId="10" builtinId="22" customBuiltin="1"/>
    <cellStyle name="Calculation 2" xfId="557" xr:uid="{00000000-0005-0000-0000-0000FB010000}"/>
    <cellStyle name="Check Cell" xfId="12" builtinId="23" customBuiltin="1"/>
    <cellStyle name="Check Cell 2" xfId="559" xr:uid="{00000000-0005-0000-0000-0000FD010000}"/>
    <cellStyle name="Comma" xfId="632" builtinId="3"/>
    <cellStyle name="Comma [0]" xfId="630" builtinId="6"/>
    <cellStyle name="Comma 2" xfId="42" xr:uid="{00000000-0005-0000-0000-0000FF010000}"/>
    <cellStyle name="Comma 2 2" xfId="43" xr:uid="{00000000-0005-0000-0000-000000020000}"/>
    <cellStyle name="Comma 3" xfId="44" xr:uid="{00000000-0005-0000-0000-000001020000}"/>
    <cellStyle name="Comma 4" xfId="45" xr:uid="{00000000-0005-0000-0000-000002020000}"/>
    <cellStyle name="Comma 5" xfId="46" xr:uid="{00000000-0005-0000-0000-000003020000}"/>
    <cellStyle name="Comma 6" xfId="47" xr:uid="{00000000-0005-0000-0000-000004020000}"/>
    <cellStyle name="Comma 7" xfId="41" xr:uid="{00000000-0005-0000-0000-000005020000}"/>
    <cellStyle name="Excel Built-in Normal" xfId="52" xr:uid="{00000000-0005-0000-0000-000006020000}"/>
    <cellStyle name="Explanatory Text" xfId="14" builtinId="53" customBuiltin="1"/>
    <cellStyle name="Explanatory Text 2" xfId="562" xr:uid="{00000000-0005-0000-0000-000008020000}"/>
    <cellStyle name="Good" xfId="5" builtinId="26" customBuiltin="1"/>
    <cellStyle name="Good 2" xfId="552" xr:uid="{00000000-0005-0000-0000-00000A020000}"/>
    <cellStyle name="Heading 1" xfId="1" builtinId="16" customBuiltin="1"/>
    <cellStyle name="Heading 1 2" xfId="548" xr:uid="{00000000-0005-0000-0000-00000C020000}"/>
    <cellStyle name="Heading 2" xfId="2" builtinId="17" customBuiltin="1"/>
    <cellStyle name="Heading 2 2" xfId="549" xr:uid="{00000000-0005-0000-0000-00000E020000}"/>
    <cellStyle name="Heading 3" xfId="3" builtinId="18" customBuiltin="1"/>
    <cellStyle name="Heading 3 2" xfId="550" xr:uid="{00000000-0005-0000-0000-000010020000}"/>
    <cellStyle name="Heading 4" xfId="4" builtinId="19" customBuiltin="1"/>
    <cellStyle name="Heading 4 2" xfId="551" xr:uid="{00000000-0005-0000-0000-000012020000}"/>
    <cellStyle name="Hyperlink" xfId="631" builtinId="8"/>
    <cellStyle name="Input" xfId="8" builtinId="20" customBuiltin="1"/>
    <cellStyle name="Input 2" xfId="555" xr:uid="{00000000-0005-0000-0000-000014020000}"/>
    <cellStyle name="Linked Cell" xfId="11" builtinId="24" customBuiltin="1"/>
    <cellStyle name="Linked Cell 2" xfId="558" xr:uid="{00000000-0005-0000-0000-000016020000}"/>
    <cellStyle name="Neutral" xfId="7" builtinId="28" customBuiltin="1"/>
    <cellStyle name="Neutral 2" xfId="554" xr:uid="{00000000-0005-0000-0000-000018020000}"/>
    <cellStyle name="Normal" xfId="0" builtinId="0"/>
    <cellStyle name="Normal 10" xfId="112" xr:uid="{00000000-0005-0000-0000-00001A020000}"/>
    <cellStyle name="Normal 11" xfId="126" xr:uid="{00000000-0005-0000-0000-00001B020000}"/>
    <cellStyle name="Normal 12" xfId="140" xr:uid="{00000000-0005-0000-0000-00001C020000}"/>
    <cellStyle name="Normal 13" xfId="154" xr:uid="{00000000-0005-0000-0000-00001D020000}"/>
    <cellStyle name="Normal 14" xfId="168" xr:uid="{00000000-0005-0000-0000-00001E020000}"/>
    <cellStyle name="Normal 15" xfId="182" xr:uid="{00000000-0005-0000-0000-00001F020000}"/>
    <cellStyle name="Normal 16" xfId="196" xr:uid="{00000000-0005-0000-0000-000020020000}"/>
    <cellStyle name="Normal 17" xfId="210" xr:uid="{00000000-0005-0000-0000-000021020000}"/>
    <cellStyle name="Normal 18" xfId="224" xr:uid="{00000000-0005-0000-0000-000022020000}"/>
    <cellStyle name="Normal 19" xfId="238" xr:uid="{00000000-0005-0000-0000-000023020000}"/>
    <cellStyle name="Normal 2" xfId="48" xr:uid="{00000000-0005-0000-0000-000024020000}"/>
    <cellStyle name="Normal 20" xfId="252" xr:uid="{00000000-0005-0000-0000-000025020000}"/>
    <cellStyle name="Normal 21" xfId="266" xr:uid="{00000000-0005-0000-0000-000026020000}"/>
    <cellStyle name="Normal 22" xfId="280" xr:uid="{00000000-0005-0000-0000-000027020000}"/>
    <cellStyle name="Normal 23" xfId="294" xr:uid="{00000000-0005-0000-0000-000028020000}"/>
    <cellStyle name="Normal 24" xfId="308" xr:uid="{00000000-0005-0000-0000-000029020000}"/>
    <cellStyle name="Normal 25" xfId="322" xr:uid="{00000000-0005-0000-0000-00002A020000}"/>
    <cellStyle name="Normal 26" xfId="336" xr:uid="{00000000-0005-0000-0000-00002B020000}"/>
    <cellStyle name="Normal 27" xfId="350" xr:uid="{00000000-0005-0000-0000-00002C020000}"/>
    <cellStyle name="Normal 28" xfId="364" xr:uid="{00000000-0005-0000-0000-00002D020000}"/>
    <cellStyle name="Normal 29" xfId="378" xr:uid="{00000000-0005-0000-0000-00002E020000}"/>
    <cellStyle name="Normal 3" xfId="49" xr:uid="{00000000-0005-0000-0000-00002F020000}"/>
    <cellStyle name="Normal 30" xfId="392" xr:uid="{00000000-0005-0000-0000-000030020000}"/>
    <cellStyle name="Normal 31" xfId="406" xr:uid="{00000000-0005-0000-0000-000031020000}"/>
    <cellStyle name="Normal 32" xfId="420" xr:uid="{00000000-0005-0000-0000-000032020000}"/>
    <cellStyle name="Normal 33" xfId="434" xr:uid="{00000000-0005-0000-0000-000033020000}"/>
    <cellStyle name="Normal 34" xfId="448" xr:uid="{00000000-0005-0000-0000-000034020000}"/>
    <cellStyle name="Normal 35" xfId="462" xr:uid="{00000000-0005-0000-0000-000035020000}"/>
    <cellStyle name="Normal 36" xfId="476" xr:uid="{00000000-0005-0000-0000-000036020000}"/>
    <cellStyle name="Normal 37" xfId="490" xr:uid="{00000000-0005-0000-0000-000037020000}"/>
    <cellStyle name="Normal 38" xfId="504" xr:uid="{00000000-0005-0000-0000-000038020000}"/>
    <cellStyle name="Normal 39" xfId="518" xr:uid="{00000000-0005-0000-0000-000039020000}"/>
    <cellStyle name="Normal 4" xfId="50" xr:uid="{00000000-0005-0000-0000-00003A020000}"/>
    <cellStyle name="Normal 40" xfId="532" xr:uid="{00000000-0005-0000-0000-00003B020000}"/>
    <cellStyle name="Normal 41" xfId="546" xr:uid="{00000000-0005-0000-0000-00003C020000}"/>
    <cellStyle name="Normal 42" xfId="588" xr:uid="{00000000-0005-0000-0000-00003D020000}"/>
    <cellStyle name="Normal 43" xfId="602" xr:uid="{00000000-0005-0000-0000-00003E020000}"/>
    <cellStyle name="Normal 44" xfId="616" xr:uid="{00000000-0005-0000-0000-00003F020000}"/>
    <cellStyle name="Normal 45" xfId="40" xr:uid="{00000000-0005-0000-0000-000040020000}"/>
    <cellStyle name="Normal 5" xfId="54" xr:uid="{00000000-0005-0000-0000-000041020000}"/>
    <cellStyle name="Normal 6" xfId="56" xr:uid="{00000000-0005-0000-0000-000042020000}"/>
    <cellStyle name="Normal 7" xfId="70" xr:uid="{00000000-0005-0000-0000-000043020000}"/>
    <cellStyle name="Normal 8" xfId="84" xr:uid="{00000000-0005-0000-0000-000044020000}"/>
    <cellStyle name="Normal 9" xfId="98" xr:uid="{00000000-0005-0000-0000-000045020000}"/>
    <cellStyle name="Note 10" xfId="155" xr:uid="{00000000-0005-0000-0000-000046020000}"/>
    <cellStyle name="Note 11" xfId="169" xr:uid="{00000000-0005-0000-0000-000047020000}"/>
    <cellStyle name="Note 12" xfId="183" xr:uid="{00000000-0005-0000-0000-000048020000}"/>
    <cellStyle name="Note 13" xfId="197" xr:uid="{00000000-0005-0000-0000-000049020000}"/>
    <cellStyle name="Note 14" xfId="211" xr:uid="{00000000-0005-0000-0000-00004A020000}"/>
    <cellStyle name="Note 15" xfId="225" xr:uid="{00000000-0005-0000-0000-00004B020000}"/>
    <cellStyle name="Note 16" xfId="239" xr:uid="{00000000-0005-0000-0000-00004C020000}"/>
    <cellStyle name="Note 17" xfId="253" xr:uid="{00000000-0005-0000-0000-00004D020000}"/>
    <cellStyle name="Note 18" xfId="267" xr:uid="{00000000-0005-0000-0000-00004E020000}"/>
    <cellStyle name="Note 19" xfId="281" xr:uid="{00000000-0005-0000-0000-00004F020000}"/>
    <cellStyle name="Note 2" xfId="55" xr:uid="{00000000-0005-0000-0000-000050020000}"/>
    <cellStyle name="Note 20" xfId="295" xr:uid="{00000000-0005-0000-0000-000051020000}"/>
    <cellStyle name="Note 21" xfId="309" xr:uid="{00000000-0005-0000-0000-000052020000}"/>
    <cellStyle name="Note 22" xfId="323" xr:uid="{00000000-0005-0000-0000-000053020000}"/>
    <cellStyle name="Note 23" xfId="337" xr:uid="{00000000-0005-0000-0000-000054020000}"/>
    <cellStyle name="Note 24" xfId="351" xr:uid="{00000000-0005-0000-0000-000055020000}"/>
    <cellStyle name="Note 25" xfId="365" xr:uid="{00000000-0005-0000-0000-000056020000}"/>
    <cellStyle name="Note 26" xfId="379" xr:uid="{00000000-0005-0000-0000-000057020000}"/>
    <cellStyle name="Note 27" xfId="393" xr:uid="{00000000-0005-0000-0000-000058020000}"/>
    <cellStyle name="Note 28" xfId="407" xr:uid="{00000000-0005-0000-0000-000059020000}"/>
    <cellStyle name="Note 29" xfId="421" xr:uid="{00000000-0005-0000-0000-00005A020000}"/>
    <cellStyle name="Note 3" xfId="57" xr:uid="{00000000-0005-0000-0000-00005B020000}"/>
    <cellStyle name="Note 30" xfId="435" xr:uid="{00000000-0005-0000-0000-00005C020000}"/>
    <cellStyle name="Note 31" xfId="449" xr:uid="{00000000-0005-0000-0000-00005D020000}"/>
    <cellStyle name="Note 32" xfId="463" xr:uid="{00000000-0005-0000-0000-00005E020000}"/>
    <cellStyle name="Note 33" xfId="477" xr:uid="{00000000-0005-0000-0000-00005F020000}"/>
    <cellStyle name="Note 34" xfId="491" xr:uid="{00000000-0005-0000-0000-000060020000}"/>
    <cellStyle name="Note 35" xfId="505" xr:uid="{00000000-0005-0000-0000-000061020000}"/>
    <cellStyle name="Note 36" xfId="519" xr:uid="{00000000-0005-0000-0000-000062020000}"/>
    <cellStyle name="Note 37" xfId="533" xr:uid="{00000000-0005-0000-0000-000063020000}"/>
    <cellStyle name="Note 38" xfId="561" xr:uid="{00000000-0005-0000-0000-000064020000}"/>
    <cellStyle name="Note 39" xfId="589" xr:uid="{00000000-0005-0000-0000-000065020000}"/>
    <cellStyle name="Note 4" xfId="71" xr:uid="{00000000-0005-0000-0000-000066020000}"/>
    <cellStyle name="Note 40" xfId="603" xr:uid="{00000000-0005-0000-0000-000067020000}"/>
    <cellStyle name="Note 41" xfId="617" xr:uid="{00000000-0005-0000-0000-000068020000}"/>
    <cellStyle name="Note 5" xfId="85" xr:uid="{00000000-0005-0000-0000-000069020000}"/>
    <cellStyle name="Note 6" xfId="99" xr:uid="{00000000-0005-0000-0000-00006A020000}"/>
    <cellStyle name="Note 7" xfId="113" xr:uid="{00000000-0005-0000-0000-00006B020000}"/>
    <cellStyle name="Note 8" xfId="127" xr:uid="{00000000-0005-0000-0000-00006C020000}"/>
    <cellStyle name="Note 9" xfId="141" xr:uid="{00000000-0005-0000-0000-00006D020000}"/>
    <cellStyle name="Output" xfId="9" builtinId="21" customBuiltin="1"/>
    <cellStyle name="Output 2" xfId="556" xr:uid="{00000000-0005-0000-0000-00006F020000}"/>
    <cellStyle name="Percent" xfId="633" builtinId="5"/>
    <cellStyle name="Percent 2" xfId="51" xr:uid="{00000000-0005-0000-0000-000070020000}"/>
    <cellStyle name="Title 2" xfId="547" xr:uid="{00000000-0005-0000-0000-000071020000}"/>
    <cellStyle name="Title 3" xfId="53" xr:uid="{00000000-0005-0000-0000-000072020000}"/>
    <cellStyle name="Total" xfId="15" builtinId="25" customBuiltin="1"/>
    <cellStyle name="Total 2" xfId="563" xr:uid="{00000000-0005-0000-0000-000074020000}"/>
    <cellStyle name="Warning Text" xfId="13" builtinId="11" customBuiltin="1"/>
    <cellStyle name="Warning Text 2" xfId="560" xr:uid="{00000000-0005-0000-0000-000076020000}"/>
  </cellStyles>
  <dxfs count="18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 xr9:uid="{43DBB4D9-30CE-43AC-85F7-B34A858E07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419102</xdr:colOff>
      <xdr:row>3</xdr:row>
      <xdr:rowOff>11906</xdr:rowOff>
    </xdr:from>
    <xdr:to>
      <xdr:col>57</xdr:col>
      <xdr:colOff>1041402</xdr:colOff>
      <xdr:row>6</xdr:row>
      <xdr:rowOff>110880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B48FC-E8A8-4CF4-8172-813E2C915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81202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56</xdr:col>
      <xdr:colOff>215350</xdr:colOff>
      <xdr:row>3</xdr:row>
      <xdr:rowOff>33131</xdr:rowOff>
    </xdr:from>
    <xdr:to>
      <xdr:col>57</xdr:col>
      <xdr:colOff>1012430</xdr:colOff>
      <xdr:row>6</xdr:row>
      <xdr:rowOff>36364</xdr:rowOff>
    </xdr:to>
    <xdr:pic>
      <xdr:nvPicPr>
        <xdr:cNvPr id="9" name="Picture 8" descr="A blue and white logo&#10;&#10;AI-generated content may be incorrect.">
          <a:extLst>
            <a:ext uri="{FF2B5EF4-FFF2-40B4-BE49-F238E27FC236}">
              <a16:creationId xmlns:a16="http://schemas.microsoft.com/office/drawing/2014/main" id="{49B42892-6EBA-4DB8-BA2C-A8665A558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21459" y="596348"/>
          <a:ext cx="1848971" cy="741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419102</xdr:colOff>
      <xdr:row>3</xdr:row>
      <xdr:rowOff>11906</xdr:rowOff>
    </xdr:from>
    <xdr:to>
      <xdr:col>52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703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51</xdr:col>
      <xdr:colOff>223630</xdr:colOff>
      <xdr:row>3</xdr:row>
      <xdr:rowOff>49697</xdr:rowOff>
    </xdr:from>
    <xdr:to>
      <xdr:col>52</xdr:col>
      <xdr:colOff>1020710</xdr:colOff>
      <xdr:row>6</xdr:row>
      <xdr:rowOff>45508</xdr:rowOff>
    </xdr:to>
    <xdr:pic>
      <xdr:nvPicPr>
        <xdr:cNvPr id="8" name="Picture 7" descr="A blue and white logo&#10;&#10;AI-generated content may be incorrect.">
          <a:extLst>
            <a:ext uri="{FF2B5EF4-FFF2-40B4-BE49-F238E27FC236}">
              <a16:creationId xmlns:a16="http://schemas.microsoft.com/office/drawing/2014/main" id="{E562DDAA-EF2F-4AB6-9DC9-B77EF981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9043" y="612914"/>
          <a:ext cx="1848971" cy="7412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419102</xdr:colOff>
      <xdr:row>3</xdr:row>
      <xdr:rowOff>11906</xdr:rowOff>
    </xdr:from>
    <xdr:to>
      <xdr:col>47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808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46</xdr:col>
      <xdr:colOff>215349</xdr:colOff>
      <xdr:row>3</xdr:row>
      <xdr:rowOff>49699</xdr:rowOff>
    </xdr:from>
    <xdr:to>
      <xdr:col>47</xdr:col>
      <xdr:colOff>1007910</xdr:colOff>
      <xdr:row>6</xdr:row>
      <xdr:rowOff>57557</xdr:rowOff>
    </xdr:to>
    <xdr:pic>
      <xdr:nvPicPr>
        <xdr:cNvPr id="6" name="Picture 5" descr="A blue and white logo&#10;&#10;AI-generated content may be incorrect.">
          <a:extLst>
            <a:ext uri="{FF2B5EF4-FFF2-40B4-BE49-F238E27FC236}">
              <a16:creationId xmlns:a16="http://schemas.microsoft.com/office/drawing/2014/main" id="{80E95049-388B-4B32-94CE-1CB9CC3F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40066" y="612916"/>
          <a:ext cx="1844453" cy="7532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419102</xdr:colOff>
      <xdr:row>3</xdr:row>
      <xdr:rowOff>11906</xdr:rowOff>
    </xdr:from>
    <xdr:to>
      <xdr:col>42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7557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41</xdr:col>
      <xdr:colOff>206109</xdr:colOff>
      <xdr:row>3</xdr:row>
      <xdr:rowOff>42369</xdr:rowOff>
    </xdr:from>
    <xdr:to>
      <xdr:col>42</xdr:col>
      <xdr:colOff>1003189</xdr:colOff>
      <xdr:row>6</xdr:row>
      <xdr:rowOff>38180</xdr:rowOff>
    </xdr:to>
    <xdr:pic>
      <xdr:nvPicPr>
        <xdr:cNvPr id="8" name="Picture 7" descr="A blue and white logo&#10;&#10;AI-generated content may be incorrect.">
          <a:extLst>
            <a:ext uri="{FF2B5EF4-FFF2-40B4-BE49-F238E27FC236}">
              <a16:creationId xmlns:a16="http://schemas.microsoft.com/office/drawing/2014/main" id="{E34DED63-1C12-4153-BDE8-A719F0ED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4744" y="599215"/>
          <a:ext cx="1844830" cy="7431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419102</xdr:colOff>
      <xdr:row>3</xdr:row>
      <xdr:rowOff>11906</xdr:rowOff>
    </xdr:from>
    <xdr:to>
      <xdr:col>37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703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36</xdr:col>
      <xdr:colOff>205154</xdr:colOff>
      <xdr:row>3</xdr:row>
      <xdr:rowOff>37927</xdr:rowOff>
    </xdr:from>
    <xdr:to>
      <xdr:col>37</xdr:col>
      <xdr:colOff>1000772</xdr:colOff>
      <xdr:row>6</xdr:row>
      <xdr:rowOff>39585</xdr:rowOff>
    </xdr:to>
    <xdr:pic>
      <xdr:nvPicPr>
        <xdr:cNvPr id="7" name="Picture 6" descr="A blue and white logo&#10;&#10;AI-generated content may be incorrect.">
          <a:extLst>
            <a:ext uri="{FF2B5EF4-FFF2-40B4-BE49-F238E27FC236}">
              <a16:creationId xmlns:a16="http://schemas.microsoft.com/office/drawing/2014/main" id="{A28668F8-0692-4542-A2EF-DD830858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4173" y="594773"/>
          <a:ext cx="1843368" cy="7490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419102</xdr:colOff>
      <xdr:row>3</xdr:row>
      <xdr:rowOff>11906</xdr:rowOff>
    </xdr:from>
    <xdr:to>
      <xdr:col>32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507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208838</xdr:colOff>
      <xdr:row>3</xdr:row>
      <xdr:rowOff>31945</xdr:rowOff>
    </xdr:from>
    <xdr:to>
      <xdr:col>32</xdr:col>
      <xdr:colOff>1014200</xdr:colOff>
      <xdr:row>6</xdr:row>
      <xdr:rowOff>38405</xdr:rowOff>
    </xdr:to>
    <xdr:pic>
      <xdr:nvPicPr>
        <xdr:cNvPr id="7" name="Picture 6" descr="A blue and white logo&#10;&#10;AI-generated content may be incorrect.">
          <a:extLst>
            <a:ext uri="{FF2B5EF4-FFF2-40B4-BE49-F238E27FC236}">
              <a16:creationId xmlns:a16="http://schemas.microsoft.com/office/drawing/2014/main" id="{DB55D302-7A76-496A-811B-E819C3E7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11468" y="595162"/>
          <a:ext cx="1857254" cy="7518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419102</xdr:colOff>
      <xdr:row>3</xdr:row>
      <xdr:rowOff>11906</xdr:rowOff>
    </xdr:from>
    <xdr:to>
      <xdr:col>27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98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202955</xdr:colOff>
      <xdr:row>3</xdr:row>
      <xdr:rowOff>27110</xdr:rowOff>
    </xdr:from>
    <xdr:to>
      <xdr:col>27</xdr:col>
      <xdr:colOff>1004176</xdr:colOff>
      <xdr:row>6</xdr:row>
      <xdr:rowOff>29383</xdr:rowOff>
    </xdr:to>
    <xdr:pic>
      <xdr:nvPicPr>
        <xdr:cNvPr id="6" name="Picture 5" descr="A blue and white logo&#10;&#10;AI-generated content may be incorrect.">
          <a:extLst>
            <a:ext uri="{FF2B5EF4-FFF2-40B4-BE49-F238E27FC236}">
              <a16:creationId xmlns:a16="http://schemas.microsoft.com/office/drawing/2014/main" id="{6A87510A-5DB5-48DD-95B9-11AA9B5D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1930" y="589085"/>
          <a:ext cx="1848971" cy="745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187621</xdr:colOff>
      <xdr:row>3</xdr:row>
      <xdr:rowOff>33128</xdr:rowOff>
    </xdr:from>
    <xdr:to>
      <xdr:col>22</xdr:col>
      <xdr:colOff>982001</xdr:colOff>
      <xdr:row>6</xdr:row>
      <xdr:rowOff>28939</xdr:rowOff>
    </xdr:to>
    <xdr:pic>
      <xdr:nvPicPr>
        <xdr:cNvPr id="8" name="Picture 7" descr="A blue and white logo&#10;&#10;AI-generated content may be incorrect.">
          <a:extLst>
            <a:ext uri="{FF2B5EF4-FFF2-40B4-BE49-F238E27FC236}">
              <a16:creationId xmlns:a16="http://schemas.microsoft.com/office/drawing/2014/main" id="{C7374626-D63F-4BA2-BDBB-79F08348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3503" y="593422"/>
          <a:ext cx="1847733" cy="7353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6514-F5B8-486D-A5DC-9BECFE558351}">
  <sheetPr codeName="Sheet15">
    <pageSetUpPr fitToPage="1"/>
  </sheetPr>
  <dimension ref="B1:CF83"/>
  <sheetViews>
    <sheetView showGridLines="0" tabSelected="1" view="pageBreakPreview" zoomScale="70" zoomScaleNormal="55" zoomScaleSheetLayoutView="70" zoomScalePageLayoutView="70" workbookViewId="0">
      <selection activeCell="N54" sqref="N54:R54"/>
    </sheetView>
  </sheetViews>
  <sheetFormatPr defaultColWidth="9.28515625" defaultRowHeight="16.5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43" width="15.7109375" style="4" customWidth="1"/>
    <col min="44" max="46" width="10.7109375" style="4" customWidth="1"/>
    <col min="47" max="48" width="15.7109375" style="4" customWidth="1"/>
    <col min="49" max="51" width="10.7109375" style="4" customWidth="1"/>
    <col min="52" max="53" width="15.7109375" style="4" customWidth="1"/>
    <col min="54" max="56" width="10.7109375" style="4" customWidth="1"/>
    <col min="57" max="72" width="15.7109375" style="4" customWidth="1"/>
    <col min="73" max="74" width="15.7109375" style="59" customWidth="1"/>
    <col min="75" max="75" width="22" style="58" bestFit="1" customWidth="1"/>
    <col min="76" max="76" width="12" style="4" hidden="1" customWidth="1" outlineLevel="1"/>
    <col min="77" max="77" width="4.7109375" style="69" hidden="1" customWidth="1" outlineLevel="1"/>
    <col min="78" max="78" width="22" style="58" hidden="1" customWidth="1" outlineLevel="1"/>
    <col min="79" max="79" width="9.7109375" style="4" hidden="1" customWidth="1" outlineLevel="1"/>
    <col min="80" max="80" width="4.7109375" style="4" hidden="1" customWidth="1" outlineLevel="1"/>
    <col min="81" max="81" width="22" style="58" hidden="1" customWidth="1" outlineLevel="1"/>
    <col min="82" max="82" width="9.28515625" style="4" collapsed="1"/>
    <col min="83" max="83" width="9.28515625" style="4"/>
    <col min="84" max="84" width="20.7109375" style="4" customWidth="1"/>
    <col min="85" max="16384" width="9.28515625" style="4"/>
  </cols>
  <sheetData>
    <row r="1" spans="2:81" s="1" customFormat="1" ht="13.5" x14ac:dyDescent="0.25">
      <c r="D1" s="2"/>
      <c r="J1" s="86"/>
      <c r="U1" s="3"/>
      <c r="BU1" s="82"/>
      <c r="BV1" s="82"/>
      <c r="BW1" s="73"/>
      <c r="BY1" s="68"/>
      <c r="BZ1" s="73"/>
      <c r="CC1" s="73"/>
    </row>
    <row r="2" spans="2:81" s="1" customFormat="1" ht="13.5" x14ac:dyDescent="0.25">
      <c r="D2" s="2"/>
      <c r="U2" s="3"/>
      <c r="BU2" s="82"/>
      <c r="BV2" s="82"/>
      <c r="BW2" s="73"/>
      <c r="BY2" s="68"/>
      <c r="BZ2" s="73"/>
      <c r="CC2" s="73"/>
    </row>
    <row r="3" spans="2:81" ht="17.25" thickBot="1" x14ac:dyDescent="0.3"/>
    <row r="4" spans="2:81" ht="20.100000000000001" customHeight="1" thickTop="1" x14ac:dyDescent="0.25">
      <c r="B4" s="272" t="s">
        <v>2</v>
      </c>
      <c r="C4" s="273"/>
      <c r="D4" s="273"/>
      <c r="E4" s="273"/>
      <c r="F4" s="273"/>
      <c r="G4" s="276" t="s">
        <v>3</v>
      </c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6"/>
      <c r="BF4" s="7"/>
    </row>
    <row r="5" spans="2:81" ht="20.100000000000001" customHeight="1" x14ac:dyDescent="0.25">
      <c r="B5" s="274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77"/>
      <c r="BB5" s="277"/>
      <c r="BC5" s="277"/>
      <c r="BD5" s="277"/>
      <c r="BE5" s="8"/>
      <c r="BF5" s="9"/>
    </row>
    <row r="6" spans="2:81" ht="20.100000000000001" customHeight="1" x14ac:dyDescent="0.25">
      <c r="B6" s="274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277"/>
      <c r="BA6" s="277"/>
      <c r="BB6" s="277"/>
      <c r="BC6" s="277"/>
      <c r="BD6" s="277"/>
      <c r="BE6" s="8"/>
      <c r="BF6" s="9"/>
    </row>
    <row r="7" spans="2:81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U7" s="13"/>
      <c r="AZ7" s="14"/>
      <c r="BA7" s="15"/>
      <c r="BC7" s="278" t="s">
        <v>6</v>
      </c>
      <c r="BD7" s="278"/>
      <c r="BE7" s="278"/>
      <c r="BF7" s="279"/>
      <c r="BU7" s="83"/>
      <c r="BV7" s="83"/>
      <c r="BW7" s="76"/>
      <c r="BY7" s="70"/>
      <c r="BZ7" s="76"/>
      <c r="CC7" s="76"/>
    </row>
    <row r="8" spans="2:81" s="12" customFormat="1" ht="15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U8" s="13"/>
      <c r="AZ8" s="16"/>
      <c r="BA8" s="15"/>
      <c r="BC8" s="256">
        <f ca="1">TODAY()</f>
        <v>46231</v>
      </c>
      <c r="BD8" s="256"/>
      <c r="BE8" s="256"/>
      <c r="BF8" s="257"/>
      <c r="BU8" s="83"/>
      <c r="BV8" s="83"/>
      <c r="BW8" s="76"/>
      <c r="BY8" s="70"/>
      <c r="BZ8" s="76"/>
      <c r="CC8" s="76"/>
    </row>
    <row r="9" spans="2:81" s="12" customFormat="1" ht="15.75" thickBot="1" x14ac:dyDescent="0.3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U9" s="13"/>
      <c r="BB9" s="10"/>
      <c r="BC9" s="17"/>
      <c r="BD9" s="17"/>
      <c r="BE9" s="17"/>
      <c r="BF9" s="18"/>
      <c r="BU9" s="83"/>
      <c r="BV9" s="83"/>
      <c r="BW9" s="76"/>
      <c r="BY9" s="70"/>
      <c r="BZ9" s="76"/>
      <c r="CC9" s="76"/>
    </row>
    <row r="10" spans="2:81" s="1" customFormat="1" ht="14.25" thickTop="1" x14ac:dyDescent="0.25">
      <c r="B10" s="283" t="s">
        <v>8</v>
      </c>
      <c r="C10" s="284"/>
      <c r="D10" s="284"/>
      <c r="E10" s="284"/>
      <c r="F10" s="285"/>
      <c r="G10" s="286" t="s">
        <v>9</v>
      </c>
      <c r="H10" s="287"/>
      <c r="I10" s="251">
        <v>1</v>
      </c>
      <c r="J10" s="252"/>
      <c r="K10" s="252"/>
      <c r="L10" s="252"/>
      <c r="M10" s="252"/>
      <c r="N10" s="251">
        <f>I10+1</f>
        <v>2</v>
      </c>
      <c r="O10" s="252"/>
      <c r="P10" s="252"/>
      <c r="Q10" s="252"/>
      <c r="R10" s="253"/>
      <c r="S10" s="251">
        <f t="shared" ref="S10" si="0">N10+1</f>
        <v>3</v>
      </c>
      <c r="T10" s="252"/>
      <c r="U10" s="252"/>
      <c r="V10" s="252"/>
      <c r="W10" s="253"/>
      <c r="X10" s="251">
        <f t="shared" ref="X10" si="1">S10+1</f>
        <v>4</v>
      </c>
      <c r="Y10" s="252"/>
      <c r="Z10" s="252"/>
      <c r="AA10" s="252"/>
      <c r="AB10" s="253"/>
      <c r="AC10" s="251">
        <f t="shared" ref="AC10" si="2">X10+1</f>
        <v>5</v>
      </c>
      <c r="AD10" s="252"/>
      <c r="AE10" s="252"/>
      <c r="AF10" s="252"/>
      <c r="AG10" s="253"/>
      <c r="AH10" s="251">
        <f>AC10+1</f>
        <v>6</v>
      </c>
      <c r="AI10" s="252"/>
      <c r="AJ10" s="252"/>
      <c r="AK10" s="252"/>
      <c r="AL10" s="253"/>
      <c r="AM10" s="251">
        <f t="shared" ref="AM10" si="3">AH10+1</f>
        <v>7</v>
      </c>
      <c r="AN10" s="252"/>
      <c r="AO10" s="252"/>
      <c r="AP10" s="252"/>
      <c r="AQ10" s="253"/>
      <c r="AR10" s="251">
        <f t="shared" ref="AR10" si="4">AM10+1</f>
        <v>8</v>
      </c>
      <c r="AS10" s="252"/>
      <c r="AT10" s="252"/>
      <c r="AU10" s="252"/>
      <c r="AV10" s="253"/>
      <c r="AW10" s="251">
        <f t="shared" ref="AW10" si="5">AR10+1</f>
        <v>9</v>
      </c>
      <c r="AX10" s="252"/>
      <c r="AY10" s="252"/>
      <c r="AZ10" s="252"/>
      <c r="BA10" s="253"/>
      <c r="BB10" s="252">
        <f>AW10+1</f>
        <v>10</v>
      </c>
      <c r="BC10" s="252"/>
      <c r="BD10" s="252"/>
      <c r="BE10" s="252"/>
      <c r="BF10" s="280"/>
      <c r="BU10" s="82"/>
      <c r="BV10" s="82"/>
      <c r="BW10" s="73"/>
      <c r="BY10" s="68"/>
      <c r="BZ10" s="73"/>
      <c r="CC10" s="73"/>
    </row>
    <row r="11" spans="2:81" s="1" customFormat="1" ht="60" customHeight="1" x14ac:dyDescent="0.25">
      <c r="B11" s="281"/>
      <c r="C11" s="135"/>
      <c r="D11" s="135"/>
      <c r="E11" s="135"/>
      <c r="F11" s="282"/>
      <c r="G11" s="288"/>
      <c r="H11" s="289"/>
      <c r="I11" s="22" t="s">
        <v>51</v>
      </c>
      <c r="J11" s="140"/>
      <c r="K11" s="140"/>
      <c r="L11" s="140"/>
      <c r="M11" s="147"/>
      <c r="N11" s="22" t="s">
        <v>51</v>
      </c>
      <c r="O11" s="140"/>
      <c r="P11" s="140"/>
      <c r="Q11" s="140"/>
      <c r="R11" s="147"/>
      <c r="S11" s="22"/>
      <c r="T11" s="140"/>
      <c r="U11" s="140"/>
      <c r="V11" s="140"/>
      <c r="W11" s="147"/>
      <c r="X11" s="22"/>
      <c r="Y11" s="140"/>
      <c r="Z11" s="140"/>
      <c r="AA11" s="140"/>
      <c r="AB11" s="147"/>
      <c r="AC11" s="22"/>
      <c r="AD11" s="140"/>
      <c r="AE11" s="140"/>
      <c r="AF11" s="140"/>
      <c r="AG11" s="147"/>
      <c r="AH11" s="22"/>
      <c r="AI11" s="140"/>
      <c r="AJ11" s="140"/>
      <c r="AK11" s="140"/>
      <c r="AL11" s="147"/>
      <c r="AM11" s="22"/>
      <c r="AN11" s="140"/>
      <c r="AO11" s="140"/>
      <c r="AP11" s="140"/>
      <c r="AQ11" s="147"/>
      <c r="AR11" s="22"/>
      <c r="AS11" s="140"/>
      <c r="AT11" s="140"/>
      <c r="AU11" s="140"/>
      <c r="AV11" s="147"/>
      <c r="AW11" s="22"/>
      <c r="AX11" s="140"/>
      <c r="AY11" s="140"/>
      <c r="AZ11" s="140"/>
      <c r="BA11" s="147"/>
      <c r="BB11" s="22"/>
      <c r="BC11" s="140"/>
      <c r="BD11" s="140"/>
      <c r="BE11" s="140"/>
      <c r="BF11" s="141"/>
      <c r="BL11" s="89"/>
      <c r="BM11" s="89"/>
      <c r="BU11" s="82"/>
      <c r="BV11" s="82"/>
      <c r="BW11" s="73"/>
      <c r="BY11" s="68"/>
      <c r="BZ11" s="73"/>
      <c r="CC11" s="73"/>
    </row>
    <row r="12" spans="2:81" s="1" customFormat="1" ht="13.5" x14ac:dyDescent="0.25">
      <c r="B12" s="258" t="s">
        <v>10</v>
      </c>
      <c r="C12" s="259"/>
      <c r="D12" s="259"/>
      <c r="E12" s="259"/>
      <c r="F12" s="260"/>
      <c r="G12" s="261" t="s">
        <v>11</v>
      </c>
      <c r="H12" s="262"/>
      <c r="I12" s="128">
        <v>0</v>
      </c>
      <c r="J12" s="129"/>
      <c r="K12" s="129"/>
      <c r="L12" s="129"/>
      <c r="M12" s="148"/>
      <c r="N12" s="128">
        <v>0</v>
      </c>
      <c r="O12" s="129"/>
      <c r="P12" s="129"/>
      <c r="Q12" s="129"/>
      <c r="R12" s="148"/>
      <c r="S12" s="128">
        <v>0</v>
      </c>
      <c r="T12" s="129"/>
      <c r="U12" s="129"/>
      <c r="V12" s="129"/>
      <c r="W12" s="148"/>
      <c r="X12" s="128">
        <v>0</v>
      </c>
      <c r="Y12" s="129"/>
      <c r="Z12" s="129"/>
      <c r="AA12" s="129"/>
      <c r="AB12" s="148"/>
      <c r="AC12" s="128">
        <v>0</v>
      </c>
      <c r="AD12" s="129"/>
      <c r="AE12" s="129"/>
      <c r="AF12" s="129"/>
      <c r="AG12" s="148"/>
      <c r="AH12" s="128">
        <v>0</v>
      </c>
      <c r="AI12" s="129"/>
      <c r="AJ12" s="129"/>
      <c r="AK12" s="129"/>
      <c r="AL12" s="148"/>
      <c r="AM12" s="128">
        <v>0</v>
      </c>
      <c r="AN12" s="129"/>
      <c r="AO12" s="129"/>
      <c r="AP12" s="129"/>
      <c r="AQ12" s="148"/>
      <c r="AR12" s="128">
        <v>0</v>
      </c>
      <c r="AS12" s="129"/>
      <c r="AT12" s="129"/>
      <c r="AU12" s="129"/>
      <c r="AV12" s="148"/>
      <c r="AW12" s="128">
        <v>0</v>
      </c>
      <c r="AX12" s="129"/>
      <c r="AY12" s="129"/>
      <c r="AZ12" s="129"/>
      <c r="BA12" s="148"/>
      <c r="BB12" s="128">
        <v>0</v>
      </c>
      <c r="BC12" s="129"/>
      <c r="BD12" s="129"/>
      <c r="BE12" s="129"/>
      <c r="BF12" s="130"/>
      <c r="BL12" s="89"/>
      <c r="BM12" s="89"/>
      <c r="BU12" s="82"/>
      <c r="BV12" s="82"/>
      <c r="BW12" s="73"/>
      <c r="BY12" s="68"/>
      <c r="BZ12" s="73"/>
      <c r="CC12" s="73"/>
    </row>
    <row r="13" spans="2:81" s="1" customFormat="1" ht="13.5" x14ac:dyDescent="0.25">
      <c r="B13" s="265"/>
      <c r="C13" s="266"/>
      <c r="D13" s="266"/>
      <c r="E13" s="266"/>
      <c r="F13" s="267"/>
      <c r="G13" s="263"/>
      <c r="H13" s="264"/>
      <c r="I13" s="131"/>
      <c r="J13" s="132"/>
      <c r="K13" s="132"/>
      <c r="L13" s="132"/>
      <c r="M13" s="149"/>
      <c r="N13" s="131"/>
      <c r="O13" s="132"/>
      <c r="P13" s="132"/>
      <c r="Q13" s="132"/>
      <c r="R13" s="149"/>
      <c r="S13" s="131"/>
      <c r="T13" s="132"/>
      <c r="U13" s="132"/>
      <c r="V13" s="132"/>
      <c r="W13" s="149"/>
      <c r="X13" s="131"/>
      <c r="Y13" s="132"/>
      <c r="Z13" s="132"/>
      <c r="AA13" s="132"/>
      <c r="AB13" s="149"/>
      <c r="AC13" s="131"/>
      <c r="AD13" s="132"/>
      <c r="AE13" s="132"/>
      <c r="AF13" s="132"/>
      <c r="AG13" s="149"/>
      <c r="AH13" s="131"/>
      <c r="AI13" s="132"/>
      <c r="AJ13" s="132"/>
      <c r="AK13" s="132"/>
      <c r="AL13" s="149"/>
      <c r="AM13" s="131"/>
      <c r="AN13" s="132"/>
      <c r="AO13" s="132"/>
      <c r="AP13" s="132"/>
      <c r="AQ13" s="149"/>
      <c r="AR13" s="131"/>
      <c r="AS13" s="132"/>
      <c r="AT13" s="132"/>
      <c r="AU13" s="132"/>
      <c r="AV13" s="149"/>
      <c r="AW13" s="131"/>
      <c r="AX13" s="132"/>
      <c r="AY13" s="132"/>
      <c r="AZ13" s="132"/>
      <c r="BA13" s="149"/>
      <c r="BB13" s="131"/>
      <c r="BC13" s="132"/>
      <c r="BD13" s="132"/>
      <c r="BE13" s="132"/>
      <c r="BF13" s="133"/>
      <c r="BL13" s="89"/>
      <c r="BM13" s="89"/>
      <c r="BU13" s="82"/>
      <c r="BV13" s="82"/>
      <c r="BW13" s="73"/>
      <c r="BY13" s="68"/>
      <c r="BZ13" s="73"/>
      <c r="CC13" s="73"/>
    </row>
    <row r="14" spans="2:81" s="1" customFormat="1" ht="15" x14ac:dyDescent="0.25">
      <c r="B14" s="268"/>
      <c r="C14" s="266"/>
      <c r="D14" s="266"/>
      <c r="E14" s="266"/>
      <c r="F14" s="267"/>
      <c r="G14" s="263" t="s">
        <v>12</v>
      </c>
      <c r="H14" s="264"/>
      <c r="I14" s="134"/>
      <c r="J14" s="135"/>
      <c r="K14" s="135"/>
      <c r="L14" s="135"/>
      <c r="M14" s="150"/>
      <c r="N14" s="134"/>
      <c r="O14" s="135"/>
      <c r="P14" s="135"/>
      <c r="Q14" s="135"/>
      <c r="R14" s="150"/>
      <c r="S14" s="134"/>
      <c r="T14" s="135"/>
      <c r="U14" s="135"/>
      <c r="V14" s="135"/>
      <c r="W14" s="150"/>
      <c r="X14" s="134"/>
      <c r="Y14" s="135"/>
      <c r="Z14" s="135"/>
      <c r="AA14" s="135"/>
      <c r="AB14" s="150"/>
      <c r="AC14" s="134"/>
      <c r="AD14" s="135"/>
      <c r="AE14" s="135"/>
      <c r="AF14" s="135"/>
      <c r="AG14" s="150"/>
      <c r="AH14" s="134"/>
      <c r="AI14" s="135"/>
      <c r="AJ14" s="135"/>
      <c r="AK14" s="135"/>
      <c r="AL14" s="150"/>
      <c r="AM14" s="134"/>
      <c r="AN14" s="135"/>
      <c r="AO14" s="135"/>
      <c r="AP14" s="135"/>
      <c r="AQ14" s="150"/>
      <c r="AR14" s="134"/>
      <c r="AS14" s="135"/>
      <c r="AT14" s="135"/>
      <c r="AU14" s="135"/>
      <c r="AV14" s="150"/>
      <c r="AW14" s="134"/>
      <c r="AX14" s="135"/>
      <c r="AY14" s="135"/>
      <c r="AZ14" s="135"/>
      <c r="BA14" s="150"/>
      <c r="BB14" s="134"/>
      <c r="BC14" s="135"/>
      <c r="BD14" s="135"/>
      <c r="BE14" s="135"/>
      <c r="BF14" s="136"/>
      <c r="BL14" s="89"/>
      <c r="BM14" s="89"/>
      <c r="BU14" s="82"/>
      <c r="BV14" s="82"/>
      <c r="BW14" s="73"/>
      <c r="BY14" s="68"/>
      <c r="BZ14" s="73"/>
      <c r="CC14" s="73"/>
    </row>
    <row r="15" spans="2:81" s="1" customFormat="1" ht="45" customHeight="1" thickBot="1" x14ac:dyDescent="0.3">
      <c r="B15" s="269"/>
      <c r="C15" s="270"/>
      <c r="D15" s="270"/>
      <c r="E15" s="270"/>
      <c r="F15" s="271"/>
      <c r="G15" s="249" t="s">
        <v>13</v>
      </c>
      <c r="H15" s="250"/>
      <c r="I15" s="137" t="s">
        <v>51</v>
      </c>
      <c r="J15" s="138"/>
      <c r="K15" s="138"/>
      <c r="L15" s="138"/>
      <c r="M15" s="151"/>
      <c r="N15" s="137" t="s">
        <v>51</v>
      </c>
      <c r="O15" s="138"/>
      <c r="P15" s="138"/>
      <c r="Q15" s="138"/>
      <c r="R15" s="151"/>
      <c r="S15" s="137" t="s">
        <v>51</v>
      </c>
      <c r="T15" s="138"/>
      <c r="U15" s="138"/>
      <c r="V15" s="138"/>
      <c r="W15" s="151"/>
      <c r="X15" s="137" t="s">
        <v>51</v>
      </c>
      <c r="Y15" s="138"/>
      <c r="Z15" s="138"/>
      <c r="AA15" s="138"/>
      <c r="AB15" s="151"/>
      <c r="AC15" s="137" t="s">
        <v>51</v>
      </c>
      <c r="AD15" s="138"/>
      <c r="AE15" s="138"/>
      <c r="AF15" s="138"/>
      <c r="AG15" s="151"/>
      <c r="AH15" s="137" t="s">
        <v>51</v>
      </c>
      <c r="AI15" s="138"/>
      <c r="AJ15" s="138"/>
      <c r="AK15" s="138"/>
      <c r="AL15" s="151"/>
      <c r="AM15" s="137" t="s">
        <v>51</v>
      </c>
      <c r="AN15" s="138"/>
      <c r="AO15" s="138"/>
      <c r="AP15" s="138"/>
      <c r="AQ15" s="151"/>
      <c r="AR15" s="137" t="s">
        <v>51</v>
      </c>
      <c r="AS15" s="138"/>
      <c r="AT15" s="138"/>
      <c r="AU15" s="138"/>
      <c r="AV15" s="151"/>
      <c r="AW15" s="137" t="s">
        <v>51</v>
      </c>
      <c r="AX15" s="138"/>
      <c r="AY15" s="138"/>
      <c r="AZ15" s="138"/>
      <c r="BA15" s="151"/>
      <c r="BB15" s="137" t="s">
        <v>51</v>
      </c>
      <c r="BC15" s="138"/>
      <c r="BD15" s="138"/>
      <c r="BE15" s="138"/>
      <c r="BF15" s="139"/>
      <c r="BL15" s="89"/>
      <c r="BM15" s="89"/>
      <c r="BU15" s="82"/>
      <c r="BV15" s="82"/>
      <c r="BW15" s="73"/>
      <c r="BY15" s="68"/>
      <c r="BZ15" s="73"/>
      <c r="CC15" s="73"/>
    </row>
    <row r="16" spans="2:81" s="1" customFormat="1" ht="15" x14ac:dyDescent="0.25">
      <c r="B16" s="23" t="s">
        <v>14</v>
      </c>
      <c r="F16" s="24"/>
      <c r="G16" s="248" t="s">
        <v>15</v>
      </c>
      <c r="H16" s="248"/>
      <c r="I16" s="239"/>
      <c r="J16" s="240"/>
      <c r="K16" s="240"/>
      <c r="L16" s="240"/>
      <c r="M16" s="247"/>
      <c r="N16" s="239"/>
      <c r="O16" s="240"/>
      <c r="P16" s="240"/>
      <c r="Q16" s="240"/>
      <c r="R16" s="247"/>
      <c r="S16" s="239"/>
      <c r="T16" s="240"/>
      <c r="U16" s="240"/>
      <c r="V16" s="240"/>
      <c r="W16" s="247"/>
      <c r="X16" s="239"/>
      <c r="Y16" s="240"/>
      <c r="Z16" s="240"/>
      <c r="AA16" s="240"/>
      <c r="AB16" s="247"/>
      <c r="AC16" s="239"/>
      <c r="AD16" s="240"/>
      <c r="AE16" s="240"/>
      <c r="AF16" s="240"/>
      <c r="AG16" s="247"/>
      <c r="AH16" s="239"/>
      <c r="AI16" s="240"/>
      <c r="AJ16" s="240"/>
      <c r="AK16" s="240"/>
      <c r="AL16" s="247"/>
      <c r="AM16" s="239"/>
      <c r="AN16" s="240"/>
      <c r="AO16" s="240"/>
      <c r="AP16" s="240"/>
      <c r="AQ16" s="247"/>
      <c r="AR16" s="239"/>
      <c r="AS16" s="240"/>
      <c r="AT16" s="240"/>
      <c r="AU16" s="240"/>
      <c r="AV16" s="247"/>
      <c r="AW16" s="239"/>
      <c r="AX16" s="240"/>
      <c r="AY16" s="240"/>
      <c r="AZ16" s="240"/>
      <c r="BA16" s="247"/>
      <c r="BB16" s="239"/>
      <c r="BC16" s="240"/>
      <c r="BD16" s="240"/>
      <c r="BE16" s="240"/>
      <c r="BF16" s="241"/>
      <c r="BL16" s="82"/>
      <c r="BU16" s="82"/>
      <c r="BV16" s="82"/>
      <c r="BW16" s="73"/>
      <c r="BY16" s="68"/>
      <c r="BZ16" s="73"/>
      <c r="CC16" s="73"/>
    </row>
    <row r="17" spans="2:84" s="1" customFormat="1" ht="15" x14ac:dyDescent="0.25">
      <c r="B17" s="121"/>
      <c r="C17" s="122"/>
      <c r="D17" s="122"/>
      <c r="E17" s="122"/>
      <c r="F17" s="120"/>
      <c r="G17" s="237" t="s">
        <v>16</v>
      </c>
      <c r="H17" s="237"/>
      <c r="I17" s="242" t="str">
        <f>IF(I11="","",IF(I11="NV","","30"))</f>
        <v/>
      </c>
      <c r="J17" s="243"/>
      <c r="K17" s="244" t="str">
        <f>IFERROR(IF(I16+I17="","",I16+I17),"")</f>
        <v/>
      </c>
      <c r="L17" s="244"/>
      <c r="M17" s="245"/>
      <c r="N17" s="242" t="str">
        <f>IF(N11="","",IF(N11="NV","","30"))</f>
        <v/>
      </c>
      <c r="O17" s="243"/>
      <c r="P17" s="244" t="str">
        <f>IFERROR(IF(N16+N17="","",N16+N17),"")</f>
        <v/>
      </c>
      <c r="Q17" s="244"/>
      <c r="R17" s="245"/>
      <c r="S17" s="242" t="str">
        <f>IF(S11="","",IF(S11="NV","","30"))</f>
        <v/>
      </c>
      <c r="T17" s="243"/>
      <c r="U17" s="244" t="str">
        <f>IFERROR(IF(S16+S17="","",S16+S17),"")</f>
        <v/>
      </c>
      <c r="V17" s="244"/>
      <c r="W17" s="245"/>
      <c r="X17" s="242" t="str">
        <f>IF(X11="","",IF(X11="NV","","30"))</f>
        <v/>
      </c>
      <c r="Y17" s="243"/>
      <c r="Z17" s="244" t="str">
        <f>IFERROR(IF(X16+X17="","",X16+X17),"")</f>
        <v/>
      </c>
      <c r="AA17" s="244"/>
      <c r="AB17" s="245"/>
      <c r="AC17" s="242" t="str">
        <f>IF(AC11="","",IF(AC11="NV","","30"))</f>
        <v/>
      </c>
      <c r="AD17" s="243"/>
      <c r="AE17" s="244" t="str">
        <f>IFERROR(IF(AC16+AC17="","",AC16+AC17),"")</f>
        <v/>
      </c>
      <c r="AF17" s="244"/>
      <c r="AG17" s="245"/>
      <c r="AH17" s="242" t="str">
        <f>IF(AH11="","",IF(AH11="NV","","30"))</f>
        <v/>
      </c>
      <c r="AI17" s="243"/>
      <c r="AJ17" s="244" t="str">
        <f>IFERROR(IF(AH16+AH17="","",AH16+AH17),"")</f>
        <v/>
      </c>
      <c r="AK17" s="244"/>
      <c r="AL17" s="245"/>
      <c r="AM17" s="242" t="str">
        <f>IF(AM11="","",IF(AM11="NV","","30"))</f>
        <v/>
      </c>
      <c r="AN17" s="243"/>
      <c r="AO17" s="244" t="str">
        <f>IFERROR(IF(AM16+AM17="","",AM16+AM17),"")</f>
        <v/>
      </c>
      <c r="AP17" s="244"/>
      <c r="AQ17" s="245"/>
      <c r="AR17" s="242" t="str">
        <f>IF(AR11="","",IF(AR11="NV","","30"))</f>
        <v/>
      </c>
      <c r="AS17" s="243"/>
      <c r="AT17" s="244" t="str">
        <f>IFERROR(IF(AR16+AR17="","",AR16+AR17),"")</f>
        <v/>
      </c>
      <c r="AU17" s="244"/>
      <c r="AV17" s="245"/>
      <c r="AW17" s="242" t="str">
        <f>IF(AW11="","",IF(AW11="NV","","30"))</f>
        <v/>
      </c>
      <c r="AX17" s="243"/>
      <c r="AY17" s="244" t="str">
        <f>IFERROR(IF(AW16+AW17="","",AW16+AW17),"")</f>
        <v/>
      </c>
      <c r="AZ17" s="244"/>
      <c r="BA17" s="245"/>
      <c r="BB17" s="242" t="str">
        <f>IF(BB11="","",IF(BB11="NV","","30"))</f>
        <v/>
      </c>
      <c r="BC17" s="243"/>
      <c r="BD17" s="244" t="str">
        <f>IFERROR(IF(BB16+BB17="","",BB16+BB17),"")</f>
        <v/>
      </c>
      <c r="BE17" s="244"/>
      <c r="BF17" s="246"/>
      <c r="BL17" s="40"/>
      <c r="BM17" s="40"/>
      <c r="BN17" s="40"/>
      <c r="BO17" s="40"/>
      <c r="BP17" s="40"/>
      <c r="BQ17" s="40"/>
      <c r="BR17" s="40"/>
      <c r="BS17" s="40"/>
      <c r="BT17" s="40"/>
      <c r="BU17" s="82"/>
      <c r="BV17" s="82"/>
      <c r="BW17" s="73"/>
      <c r="BY17" s="68"/>
      <c r="BZ17" s="73"/>
      <c r="CC17" s="73"/>
    </row>
    <row r="18" spans="2:84" s="1" customFormat="1" ht="15" customHeight="1" x14ac:dyDescent="0.25">
      <c r="B18" s="234">
        <f>D17*F17</f>
        <v>0</v>
      </c>
      <c r="C18" s="235"/>
      <c r="D18" s="235"/>
      <c r="E18" s="235"/>
      <c r="F18" s="236"/>
      <c r="G18" s="237" t="s">
        <v>17</v>
      </c>
      <c r="H18" s="237"/>
      <c r="I18" s="227" t="str">
        <f>IF(I11="NV","",IF(I11="","-","45 days"))</f>
        <v>-</v>
      </c>
      <c r="J18" s="124"/>
      <c r="K18" s="124"/>
      <c r="L18" s="124"/>
      <c r="M18" s="159"/>
      <c r="N18" s="227" t="str">
        <f>IF(N11="NV","",IF(N11="","-","45 days"))</f>
        <v>-</v>
      </c>
      <c r="O18" s="124"/>
      <c r="P18" s="124"/>
      <c r="Q18" s="124"/>
      <c r="R18" s="159"/>
      <c r="S18" s="227" t="str">
        <f>IF(S11="NV","",IF(S11="","-","45 days"))</f>
        <v>-</v>
      </c>
      <c r="T18" s="124"/>
      <c r="U18" s="124"/>
      <c r="V18" s="124"/>
      <c r="W18" s="159"/>
      <c r="X18" s="227" t="str">
        <f>IF(X11="NV","",IF(X11="","-","45 days"))</f>
        <v>-</v>
      </c>
      <c r="Y18" s="124"/>
      <c r="Z18" s="124"/>
      <c r="AA18" s="124"/>
      <c r="AB18" s="159"/>
      <c r="AC18" s="227" t="str">
        <f>IF(AC11="NV","",IF(AC11="","-","45 days"))</f>
        <v>-</v>
      </c>
      <c r="AD18" s="124"/>
      <c r="AE18" s="124"/>
      <c r="AF18" s="124"/>
      <c r="AG18" s="159"/>
      <c r="AH18" s="227" t="str">
        <f>IF(AH11="NV","",IF(AH11="","-","45 days"))</f>
        <v>-</v>
      </c>
      <c r="AI18" s="124"/>
      <c r="AJ18" s="124"/>
      <c r="AK18" s="124"/>
      <c r="AL18" s="159"/>
      <c r="AM18" s="227" t="str">
        <f>IF(AM11="NV","",IF(AM11="","-","45 days"))</f>
        <v>-</v>
      </c>
      <c r="AN18" s="124"/>
      <c r="AO18" s="124"/>
      <c r="AP18" s="124"/>
      <c r="AQ18" s="159"/>
      <c r="AR18" s="227" t="str">
        <f>IF(AR11="NV","",IF(AR11="","-","45 days"))</f>
        <v>-</v>
      </c>
      <c r="AS18" s="124"/>
      <c r="AT18" s="124"/>
      <c r="AU18" s="124"/>
      <c r="AV18" s="159"/>
      <c r="AW18" s="227" t="str">
        <f>IF(AW11="NV","",IF(AW11="","-","45 days"))</f>
        <v>-</v>
      </c>
      <c r="AX18" s="124"/>
      <c r="AY18" s="124"/>
      <c r="AZ18" s="124"/>
      <c r="BA18" s="159"/>
      <c r="BB18" s="227" t="str">
        <f>IF(BB11="NV","",IF(BB11="","-","45 days"))</f>
        <v>-</v>
      </c>
      <c r="BC18" s="124"/>
      <c r="BD18" s="124"/>
      <c r="BE18" s="124"/>
      <c r="BF18" s="228"/>
      <c r="BL18" s="25">
        <v>1</v>
      </c>
      <c r="BM18" s="25">
        <f>BL18+1</f>
        <v>2</v>
      </c>
      <c r="BN18" s="25">
        <f t="shared" ref="BN18:BT18" si="6">BM18+1</f>
        <v>3</v>
      </c>
      <c r="BO18" s="25">
        <f t="shared" si="6"/>
        <v>4</v>
      </c>
      <c r="BP18" s="25">
        <f t="shared" si="6"/>
        <v>5</v>
      </c>
      <c r="BQ18" s="25">
        <f t="shared" si="6"/>
        <v>6</v>
      </c>
      <c r="BR18" s="25">
        <f t="shared" si="6"/>
        <v>7</v>
      </c>
      <c r="BS18" s="25">
        <f t="shared" si="6"/>
        <v>8</v>
      </c>
      <c r="BT18" s="25">
        <f t="shared" si="6"/>
        <v>9</v>
      </c>
      <c r="BU18" s="224" t="s">
        <v>18</v>
      </c>
      <c r="BV18" s="125" t="s">
        <v>19</v>
      </c>
      <c r="BW18" s="73"/>
      <c r="BY18" s="68"/>
      <c r="BZ18" s="73"/>
      <c r="CC18" s="73"/>
    </row>
    <row r="19" spans="2:84" s="1" customFormat="1" ht="15" customHeight="1" x14ac:dyDescent="0.25">
      <c r="B19" s="234"/>
      <c r="C19" s="235"/>
      <c r="D19" s="235"/>
      <c r="E19" s="235"/>
      <c r="F19" s="236"/>
      <c r="G19" s="237" t="s">
        <v>20</v>
      </c>
      <c r="H19" s="237"/>
      <c r="I19" s="227" t="s">
        <v>50</v>
      </c>
      <c r="J19" s="124"/>
      <c r="K19" s="124"/>
      <c r="L19" s="124"/>
      <c r="M19" s="159"/>
      <c r="N19" s="227" t="s">
        <v>50</v>
      </c>
      <c r="O19" s="124"/>
      <c r="P19" s="124"/>
      <c r="Q19" s="124"/>
      <c r="R19" s="159"/>
      <c r="S19" s="227" t="s">
        <v>50</v>
      </c>
      <c r="T19" s="124"/>
      <c r="U19" s="124"/>
      <c r="V19" s="124"/>
      <c r="W19" s="159"/>
      <c r="X19" s="227" t="s">
        <v>50</v>
      </c>
      <c r="Y19" s="124"/>
      <c r="Z19" s="124"/>
      <c r="AA19" s="124"/>
      <c r="AB19" s="159"/>
      <c r="AC19" s="227" t="s">
        <v>50</v>
      </c>
      <c r="AD19" s="124"/>
      <c r="AE19" s="124"/>
      <c r="AF19" s="124"/>
      <c r="AG19" s="159"/>
      <c r="AH19" s="227" t="s">
        <v>50</v>
      </c>
      <c r="AI19" s="124"/>
      <c r="AJ19" s="124"/>
      <c r="AK19" s="124"/>
      <c r="AL19" s="159"/>
      <c r="AM19" s="227" t="s">
        <v>50</v>
      </c>
      <c r="AN19" s="124"/>
      <c r="AO19" s="124"/>
      <c r="AP19" s="124"/>
      <c r="AQ19" s="159"/>
      <c r="AR19" s="227" t="s">
        <v>50</v>
      </c>
      <c r="AS19" s="124"/>
      <c r="AT19" s="124"/>
      <c r="AU19" s="124"/>
      <c r="AV19" s="159"/>
      <c r="AW19" s="227" t="s">
        <v>50</v>
      </c>
      <c r="AX19" s="124"/>
      <c r="AY19" s="124"/>
      <c r="AZ19" s="124"/>
      <c r="BA19" s="159"/>
      <c r="BB19" s="227" t="s">
        <v>50</v>
      </c>
      <c r="BC19" s="124"/>
      <c r="BD19" s="124"/>
      <c r="BE19" s="124"/>
      <c r="BF19" s="228"/>
      <c r="BL19" s="223">
        <f>J11</f>
        <v>0</v>
      </c>
      <c r="BM19" s="223">
        <f>O11</f>
        <v>0</v>
      </c>
      <c r="BN19" s="223">
        <f>T11</f>
        <v>0</v>
      </c>
      <c r="BO19" s="223">
        <f>Y11</f>
        <v>0</v>
      </c>
      <c r="BP19" s="223">
        <f>AD11</f>
        <v>0</v>
      </c>
      <c r="BQ19" s="223">
        <f>AI11</f>
        <v>0</v>
      </c>
      <c r="BR19" s="223">
        <f>AN11</f>
        <v>0</v>
      </c>
      <c r="BS19" s="223">
        <f>AX11</f>
        <v>0</v>
      </c>
      <c r="BT19" s="223">
        <f>BC11</f>
        <v>0</v>
      </c>
      <c r="BU19" s="225"/>
      <c r="BV19" s="126"/>
    </row>
    <row r="20" spans="2:84" s="1" customFormat="1" ht="15.75" thickBot="1" x14ac:dyDescent="0.3">
      <c r="B20" s="26"/>
      <c r="C20" s="27"/>
      <c r="D20" s="27"/>
      <c r="E20" s="27"/>
      <c r="F20" s="28"/>
      <c r="G20" s="238" t="s">
        <v>21</v>
      </c>
      <c r="H20" s="238"/>
      <c r="I20" s="154" t="str">
        <f>IF(J11="","","MSW Tanjung")</f>
        <v/>
      </c>
      <c r="J20" s="155"/>
      <c r="K20" s="155"/>
      <c r="L20" s="155"/>
      <c r="M20" s="156"/>
      <c r="N20" s="154" t="str">
        <f>IF(O11="","","MSW Tanjung")</f>
        <v/>
      </c>
      <c r="O20" s="155"/>
      <c r="P20" s="155"/>
      <c r="Q20" s="155"/>
      <c r="R20" s="156"/>
      <c r="S20" s="154" t="str">
        <f>IF(T11="","","MSW Tanjung")</f>
        <v/>
      </c>
      <c r="T20" s="155"/>
      <c r="U20" s="155"/>
      <c r="V20" s="155"/>
      <c r="W20" s="156"/>
      <c r="X20" s="154" t="str">
        <f>IF(Y11="","","MSW Tanjung")</f>
        <v/>
      </c>
      <c r="Y20" s="155"/>
      <c r="Z20" s="155"/>
      <c r="AA20" s="155"/>
      <c r="AB20" s="156"/>
      <c r="AC20" s="154" t="str">
        <f>IF(AD11="","","MSW Tanjung")</f>
        <v/>
      </c>
      <c r="AD20" s="155"/>
      <c r="AE20" s="155"/>
      <c r="AF20" s="155"/>
      <c r="AG20" s="156"/>
      <c r="AH20" s="154" t="str">
        <f>IF(AI11="","","MSW Tanjung")</f>
        <v/>
      </c>
      <c r="AI20" s="155"/>
      <c r="AJ20" s="155"/>
      <c r="AK20" s="155"/>
      <c r="AL20" s="156"/>
      <c r="AM20" s="154" t="str">
        <f>IF(AN11="","","MSW Tanjung")</f>
        <v/>
      </c>
      <c r="AN20" s="155"/>
      <c r="AO20" s="155"/>
      <c r="AP20" s="155"/>
      <c r="AQ20" s="156"/>
      <c r="AR20" s="154" t="str">
        <f>IF(AS11="","","MSW Tanjung")</f>
        <v/>
      </c>
      <c r="AS20" s="155"/>
      <c r="AT20" s="155"/>
      <c r="AU20" s="155"/>
      <c r="AV20" s="156"/>
      <c r="AW20" s="154" t="str">
        <f>IF(AX11="","","MSW Tanjung")</f>
        <v/>
      </c>
      <c r="AX20" s="155"/>
      <c r="AY20" s="155"/>
      <c r="AZ20" s="155"/>
      <c r="BA20" s="156"/>
      <c r="BB20" s="154" t="str">
        <f>IF(BC11="","","MSW Tanjung")</f>
        <v/>
      </c>
      <c r="BC20" s="155"/>
      <c r="BD20" s="155"/>
      <c r="BE20" s="155"/>
      <c r="BF20" s="222"/>
      <c r="BG20" s="50"/>
      <c r="BH20" s="50"/>
      <c r="BL20" s="223"/>
      <c r="BM20" s="223"/>
      <c r="BN20" s="223"/>
      <c r="BO20" s="223"/>
      <c r="BP20" s="223"/>
      <c r="BQ20" s="223"/>
      <c r="BR20" s="223"/>
      <c r="BS20" s="223"/>
      <c r="BT20" s="223"/>
      <c r="BU20" s="225"/>
      <c r="BV20" s="126"/>
      <c r="BW20" s="73"/>
      <c r="BY20" s="68"/>
      <c r="BZ20" s="73"/>
      <c r="CC20" s="73"/>
      <c r="CE20" s="123">
        <f>SUM(CE22:CE50)</f>
        <v>0</v>
      </c>
      <c r="CF20" s="124"/>
    </row>
    <row r="21" spans="2:84" s="40" customFormat="1" ht="14.25" thickTop="1" x14ac:dyDescent="0.25">
      <c r="B21" s="29" t="s">
        <v>22</v>
      </c>
      <c r="C21" s="220" t="s">
        <v>23</v>
      </c>
      <c r="D21" s="220"/>
      <c r="E21" s="220"/>
      <c r="F21" s="220"/>
      <c r="G21" s="30" t="s">
        <v>24</v>
      </c>
      <c r="H21" s="31" t="s">
        <v>25</v>
      </c>
      <c r="I21" s="32" t="s">
        <v>26</v>
      </c>
      <c r="J21" s="30" t="s">
        <v>18</v>
      </c>
      <c r="K21" s="33" t="s">
        <v>27</v>
      </c>
      <c r="L21" s="231" t="s">
        <v>28</v>
      </c>
      <c r="M21" s="232"/>
      <c r="N21" s="32" t="s">
        <v>26</v>
      </c>
      <c r="O21" s="30" t="s">
        <v>18</v>
      </c>
      <c r="P21" s="33" t="s">
        <v>27</v>
      </c>
      <c r="Q21" s="220" t="s">
        <v>28</v>
      </c>
      <c r="R21" s="233"/>
      <c r="S21" s="34" t="s">
        <v>26</v>
      </c>
      <c r="T21" s="30" t="s">
        <v>18</v>
      </c>
      <c r="U21" s="35" t="s">
        <v>27</v>
      </c>
      <c r="V21" s="220" t="s">
        <v>28</v>
      </c>
      <c r="W21" s="221"/>
      <c r="X21" s="32" t="s">
        <v>26</v>
      </c>
      <c r="Y21" s="30" t="s">
        <v>18</v>
      </c>
      <c r="Z21" s="33" t="s">
        <v>27</v>
      </c>
      <c r="AA21" s="220" t="s">
        <v>28</v>
      </c>
      <c r="AB21" s="233"/>
      <c r="AC21" s="34" t="s">
        <v>26</v>
      </c>
      <c r="AD21" s="30" t="s">
        <v>18</v>
      </c>
      <c r="AE21" s="35" t="s">
        <v>27</v>
      </c>
      <c r="AF21" s="220" t="s">
        <v>28</v>
      </c>
      <c r="AG21" s="221"/>
      <c r="AH21" s="36" t="s">
        <v>26</v>
      </c>
      <c r="AI21" s="30" t="s">
        <v>18</v>
      </c>
      <c r="AJ21" s="35" t="s">
        <v>27</v>
      </c>
      <c r="AK21" s="220" t="s">
        <v>28</v>
      </c>
      <c r="AL21" s="221"/>
      <c r="AM21" s="36" t="s">
        <v>26</v>
      </c>
      <c r="AN21" s="30" t="s">
        <v>18</v>
      </c>
      <c r="AO21" s="35" t="s">
        <v>27</v>
      </c>
      <c r="AP21" s="220" t="s">
        <v>28</v>
      </c>
      <c r="AQ21" s="221"/>
      <c r="AR21" s="36" t="s">
        <v>26</v>
      </c>
      <c r="AS21" s="30" t="s">
        <v>18</v>
      </c>
      <c r="AT21" s="35" t="s">
        <v>27</v>
      </c>
      <c r="AU21" s="220" t="s">
        <v>28</v>
      </c>
      <c r="AV21" s="221"/>
      <c r="AW21" s="36" t="s">
        <v>26</v>
      </c>
      <c r="AX21" s="30" t="s">
        <v>18</v>
      </c>
      <c r="AY21" s="35" t="s">
        <v>27</v>
      </c>
      <c r="AZ21" s="220" t="s">
        <v>28</v>
      </c>
      <c r="BA21" s="221"/>
      <c r="BB21" s="37" t="s">
        <v>26</v>
      </c>
      <c r="BC21" s="38" t="s">
        <v>18</v>
      </c>
      <c r="BD21" s="39" t="s">
        <v>27</v>
      </c>
      <c r="BE21" s="229" t="s">
        <v>28</v>
      </c>
      <c r="BF21" s="230"/>
      <c r="BG21" s="40" t="s">
        <v>29</v>
      </c>
      <c r="BH21" s="40" t="s">
        <v>0</v>
      </c>
      <c r="BI21" s="40" t="s">
        <v>30</v>
      </c>
      <c r="BJ21" s="40" t="s">
        <v>31</v>
      </c>
      <c r="BK21" s="117" t="s">
        <v>1</v>
      </c>
      <c r="BL21" s="223"/>
      <c r="BM21" s="223"/>
      <c r="BN21" s="223"/>
      <c r="BO21" s="223"/>
      <c r="BP21" s="223"/>
      <c r="BQ21" s="223"/>
      <c r="BR21" s="223"/>
      <c r="BS21" s="223"/>
      <c r="BT21" s="223"/>
      <c r="BU21" s="226"/>
      <c r="BV21" s="127"/>
      <c r="BW21" s="110" t="s">
        <v>32</v>
      </c>
      <c r="BX21" s="219" t="s">
        <v>33</v>
      </c>
      <c r="BY21" s="219"/>
      <c r="BZ21" s="219"/>
      <c r="CA21" s="219" t="s">
        <v>34</v>
      </c>
      <c r="CB21" s="219"/>
      <c r="CC21" s="219"/>
      <c r="CE21" s="142" t="s">
        <v>35</v>
      </c>
      <c r="CF21" s="143"/>
    </row>
    <row r="22" spans="2:84" s="1" customFormat="1" ht="62.1" customHeight="1" x14ac:dyDescent="0.25">
      <c r="B22" s="41">
        <v>1</v>
      </c>
      <c r="C22" s="218"/>
      <c r="D22" s="218"/>
      <c r="E22" s="218"/>
      <c r="F22" s="218"/>
      <c r="G22" s="42"/>
      <c r="H22" s="43"/>
      <c r="I22" s="44"/>
      <c r="J22" s="45" t="str">
        <f>IF($G22="","",$G22*I22)</f>
        <v/>
      </c>
      <c r="K22" s="93"/>
      <c r="L22" s="152" t="str">
        <f>IF($I22="","No Quote",IF($K22="","","No Comply"))</f>
        <v>No Quote</v>
      </c>
      <c r="M22" s="153"/>
      <c r="N22" s="44"/>
      <c r="O22" s="45" t="str">
        <f>IF($G22="","",$G22*N22)</f>
        <v/>
      </c>
      <c r="P22" s="93"/>
      <c r="Q22" s="152" t="str">
        <f>IF($N22="","No Quote",IF($P22="","","NoComply"))</f>
        <v>No Quote</v>
      </c>
      <c r="R22" s="153"/>
      <c r="S22" s="44"/>
      <c r="T22" s="45" t="str">
        <f>IF($G22="","",$G22*S22)</f>
        <v/>
      </c>
      <c r="U22" s="92"/>
      <c r="V22" s="152" t="str">
        <f>IF($S22="","No Quote",IF($U22="","","No Comply"))</f>
        <v>No Quote</v>
      </c>
      <c r="W22" s="153"/>
      <c r="X22" s="44"/>
      <c r="Y22" s="45" t="str">
        <f>IF($G22="","",$G22*X22)</f>
        <v/>
      </c>
      <c r="Z22" s="93"/>
      <c r="AA22" s="152" t="str">
        <f>IF($X22="","No Quote",IF($Z22="","","No Comply"))</f>
        <v>No Quote</v>
      </c>
      <c r="AB22" s="153"/>
      <c r="AC22" s="44"/>
      <c r="AD22" s="45" t="str">
        <f>IF($G22="","",$G22*AC22)</f>
        <v/>
      </c>
      <c r="AE22" s="92"/>
      <c r="AF22" s="152" t="str">
        <f>IF($AC22="","No Quote",IF($AE22="","","No Comply"))</f>
        <v>No Quote</v>
      </c>
      <c r="AG22" s="153"/>
      <c r="AH22" s="44"/>
      <c r="AI22" s="45" t="str">
        <f>IF($G22="","",$G22*AH22)</f>
        <v/>
      </c>
      <c r="AJ22" s="92"/>
      <c r="AK22" s="152" t="str">
        <f>IF($AH22="","No Quote",IF(AJ22="","","No Comply"))</f>
        <v>No Quote</v>
      </c>
      <c r="AL22" s="153"/>
      <c r="AM22" s="44"/>
      <c r="AN22" s="45" t="str">
        <f>IF($G22="","",$G22*AM22)</f>
        <v/>
      </c>
      <c r="AO22" s="92"/>
      <c r="AP22" s="152" t="str">
        <f>IF($AM22="","No Quote",IF($AO22="","","No Comply"))</f>
        <v>No Quote</v>
      </c>
      <c r="AQ22" s="153"/>
      <c r="AR22" s="44"/>
      <c r="AS22" s="45" t="str">
        <f>IF($G22="","",$G22*AR22)</f>
        <v/>
      </c>
      <c r="AT22" s="92"/>
      <c r="AU22" s="152" t="str">
        <f>IF($AR22="","No Quote",IF($AT22="","","No Comply"))</f>
        <v>No Quote</v>
      </c>
      <c r="AV22" s="153"/>
      <c r="AW22" s="44"/>
      <c r="AX22" s="45" t="str">
        <f>IF($G22="","",$G22*AW22)</f>
        <v/>
      </c>
      <c r="AY22" s="46"/>
      <c r="AZ22" s="152" t="str">
        <f>IF($AW22="","No Quote",IF($AY22="","","No Comply"))</f>
        <v>No Quote</v>
      </c>
      <c r="BA22" s="153"/>
      <c r="BB22" s="44"/>
      <c r="BC22" s="45" t="str">
        <f>IF($G22="","",$G22*BB22)</f>
        <v/>
      </c>
      <c r="BD22" s="46"/>
      <c r="BE22" s="212" t="str">
        <f>IF($BB22="","No Quote",IF($BD22="","","No Comply"))</f>
        <v>No Quote</v>
      </c>
      <c r="BF22" s="213"/>
      <c r="BG22" s="90"/>
      <c r="BH22" s="96"/>
      <c r="BI22" s="66" t="str">
        <f>IF(BG22="","",BG22*G22)</f>
        <v/>
      </c>
      <c r="BJ22" s="95"/>
      <c r="BK22" s="95" t="str">
        <f>IFERROR(IF(#REF!="","",#REF!),"")</f>
        <v/>
      </c>
      <c r="BL22" s="80" t="str">
        <f t="shared" ref="BL22:BL50" si="7">IF(OR(K22="X",J22=""),"-",J22)</f>
        <v>-</v>
      </c>
      <c r="BM22" s="80" t="str">
        <f t="shared" ref="BM22:BM50" si="8">IF(OR(P22="X",O22=""),"-",O22)</f>
        <v>-</v>
      </c>
      <c r="BN22" s="80" t="str">
        <f t="shared" ref="BN22:BN50" si="9">IF(OR(U22="X",T22=""),"-",T22)</f>
        <v>-</v>
      </c>
      <c r="BO22" s="80" t="str">
        <f t="shared" ref="BO22:BO50" si="10">IF(OR(Z22="X",Y22=""),"-",Y22)</f>
        <v>-</v>
      </c>
      <c r="BP22" s="80" t="str">
        <f t="shared" ref="BP22:BP50" si="11">IF(OR(AE22="X",AD22=""),"-",AD22)</f>
        <v>-</v>
      </c>
      <c r="BQ22" s="80" t="str">
        <f t="shared" ref="BQ22:BQ50" si="12">IF(OR(AO22="X",AN22=""),"-",AN22)</f>
        <v>-</v>
      </c>
      <c r="BR22" s="80" t="str">
        <f t="shared" ref="BR22:BR50" si="13">IF(OR(AT22="X",AS22=""),"-",AS22)</f>
        <v>-</v>
      </c>
      <c r="BS22" s="80" t="str">
        <f t="shared" ref="BS22:BS50" si="14">IF(OR(AY22="X",AX22=""),"-",AX22)</f>
        <v>-</v>
      </c>
      <c r="BT22" s="80" t="str">
        <f t="shared" ref="BT22:BT50" si="15">IF(OR(BD22="X",BC22=""),"-",BC22)</f>
        <v>-</v>
      </c>
      <c r="BU22" s="81" t="str">
        <f>IFERROR(SMALL($BL22:$BT22,COUNTIF($BL22:$BT22,0)+1),"")</f>
        <v/>
      </c>
      <c r="BV22" s="111" t="str">
        <f t="shared" ref="BV22:BV50" si="16">IFERROR(IF(OR(BU22&gt;BI22,BI22&gt;BU22),(BU22-BI22)/BI22,(BI22-BU22)/BI22),"-")</f>
        <v>-</v>
      </c>
      <c r="BW22" s="77" t="str">
        <f>IF(BU22=BL22,$BL$19,IF(BU22=BM22,$BM$19,IF(BU22=BN22,$BN$19,IF(BU22=BO22,$BO$19,IF(BU22=BP22,$BP$19,IF(BU22=BQ22,$BQ$19,IF(BU22=BR22,$BR$19,IF(BU22=BS22,$BS$19,IF(BU22=BT22,$BT$19,"")))))))))</f>
        <v/>
      </c>
      <c r="BX22" s="75" t="str">
        <f>IFERROR(SMALL($BL22:$BT22,2),"")</f>
        <v/>
      </c>
      <c r="BY22" s="74" t="str">
        <f>IFERROR(IF(($BX22-$BU22)/$BU22&lt;0%,"",($BX22-$BU22)/$BU22),"")</f>
        <v/>
      </c>
      <c r="BZ22" s="77" t="str">
        <f>IFERROR(IF(BX22="","",IF(BX22=BL22,$BL$19,IF(BX22=BM22,$BM$19,IF(BX22=BN22,$BN$19,IF(BX22=BO22,$BO$19,IF(BX22=BP22,$BP$19,IF(BX22=BQ22,$BQ$19,IF(BX22=BR22,$BR$19,IF(BX22=BS22,$BS$19,IF(BX22=BT22,$BT$19,"")))))))))),"")</f>
        <v/>
      </c>
      <c r="CA22" s="75" t="str">
        <f>IFERROR(SMALL($BL22:$BT22,3),"")</f>
        <v/>
      </c>
      <c r="CB22" s="74" t="str">
        <f>IFERROR(IF((CA22-$BU22)/$BU22&lt;0%,"",(CA22-$BU22)/$BU22),"")</f>
        <v/>
      </c>
      <c r="CC22" s="77" t="str">
        <f t="shared" ref="CC22:CC50" si="17">IFERROR(IF(CA22="","",IF(BL22=CA22,$BL$19,IF(BM22=CA22,$BM$19,IF(BN22=CA22,$BN$19,IF(BO22=CA22,$BO$19,IF(BP22=CA22,$BP$19,IF(BQ22=CA22,$BQ$19,IF(BR22=CA22,$BR$19,IF(BS22=CA22,$BS$19,IF(BT22=CA22,$BT$19)))))))))),"")</f>
        <v/>
      </c>
      <c r="CE22" s="104">
        <f>SUMIFS($BU$22:$BU$50,$BW$22:$BW$50,CF22)</f>
        <v>0</v>
      </c>
      <c r="CF22" s="105"/>
    </row>
    <row r="23" spans="2:84" s="1" customFormat="1" ht="62.1" customHeight="1" x14ac:dyDescent="0.25">
      <c r="B23" s="41">
        <f>B22+1</f>
        <v>2</v>
      </c>
      <c r="C23" s="218"/>
      <c r="D23" s="218"/>
      <c r="E23" s="218"/>
      <c r="F23" s="218"/>
      <c r="G23" s="42"/>
      <c r="H23" s="43"/>
      <c r="I23" s="44"/>
      <c r="J23" s="45" t="str">
        <f t="shared" ref="J23:J50" si="18">IF($G23="","",$G23*I23)</f>
        <v/>
      </c>
      <c r="K23" s="93"/>
      <c r="L23" s="152" t="str">
        <f t="shared" ref="L23:L50" si="19">IF($I23="","No Quote",IF($K23="","","No Comply"))</f>
        <v>No Quote</v>
      </c>
      <c r="M23" s="153"/>
      <c r="N23" s="44"/>
      <c r="O23" s="45" t="str">
        <f t="shared" ref="O23:O50" si="20">IF($G23="","",$G23*N23)</f>
        <v/>
      </c>
      <c r="P23" s="93"/>
      <c r="Q23" s="152" t="str">
        <f t="shared" ref="Q23:Q50" si="21">IF($N23="","No Quote",IF($P23="","","NoComply"))</f>
        <v>No Quote</v>
      </c>
      <c r="R23" s="153"/>
      <c r="S23" s="44"/>
      <c r="T23" s="45" t="str">
        <f t="shared" ref="T23:T50" si="22">IF($G23="","",$G23*S23)</f>
        <v/>
      </c>
      <c r="U23" s="92"/>
      <c r="V23" s="152" t="str">
        <f t="shared" ref="V23:V50" si="23">IF($S23="","No Quote",IF($U23="","","No Comply"))</f>
        <v>No Quote</v>
      </c>
      <c r="W23" s="153"/>
      <c r="X23" s="44"/>
      <c r="Y23" s="45" t="str">
        <f t="shared" ref="Y23:Y50" si="24">IF($G23="","",$G23*X23)</f>
        <v/>
      </c>
      <c r="Z23" s="93"/>
      <c r="AA23" s="152" t="str">
        <f t="shared" ref="AA23:AA50" si="25">IF($X23="","No Quote",IF($Z23="","","No Comply"))</f>
        <v>No Quote</v>
      </c>
      <c r="AB23" s="153"/>
      <c r="AC23" s="44"/>
      <c r="AD23" s="45" t="str">
        <f t="shared" ref="AD23:AD50" si="26">IF($G23="","",$G23*AC23)</f>
        <v/>
      </c>
      <c r="AE23" s="92"/>
      <c r="AF23" s="152" t="str">
        <f t="shared" ref="AF23:AF50" si="27">IF($AC23="","No Quote",IF($AE23="","","No Comply"))</f>
        <v>No Quote</v>
      </c>
      <c r="AG23" s="153"/>
      <c r="AH23" s="44"/>
      <c r="AI23" s="45" t="str">
        <f t="shared" ref="AI23:AI50" si="28">IF($G23="","",$G23*AH23)</f>
        <v/>
      </c>
      <c r="AJ23" s="92"/>
      <c r="AK23" s="152" t="str">
        <f t="shared" ref="AK23:AK50" si="29">IF($AH23="","No Quote",IF(AJ23="","","No Comply"))</f>
        <v>No Quote</v>
      </c>
      <c r="AL23" s="153"/>
      <c r="AM23" s="44"/>
      <c r="AN23" s="45" t="str">
        <f t="shared" ref="AN23:AN50" si="30">IF($G23="","",$G23*AM23)</f>
        <v/>
      </c>
      <c r="AO23" s="92"/>
      <c r="AP23" s="152" t="str">
        <f t="shared" ref="AP23:AP50" si="31">IF($AM23="","No Quote",IF($AO23="","","No Comply"))</f>
        <v>No Quote</v>
      </c>
      <c r="AQ23" s="153"/>
      <c r="AR23" s="44"/>
      <c r="AS23" s="45" t="str">
        <f t="shared" ref="AS23:AS50" si="32">IF($G23="","",$G23*AR23)</f>
        <v/>
      </c>
      <c r="AT23" s="92"/>
      <c r="AU23" s="152" t="str">
        <f t="shared" ref="AU23:AU50" si="33">IF($AR23="","No Quote",IF($AT23="","","No Comply"))</f>
        <v>No Quote</v>
      </c>
      <c r="AV23" s="153"/>
      <c r="AW23" s="44"/>
      <c r="AX23" s="45" t="str">
        <f t="shared" ref="AX23:AX50" si="34">IF($G23="","",$G23*AW23)</f>
        <v/>
      </c>
      <c r="AY23" s="46"/>
      <c r="AZ23" s="152" t="str">
        <f t="shared" ref="AZ23:AZ50" si="35">IF($AW23="","No Quote",IF($AY23="","","No Comply"))</f>
        <v>No Quote</v>
      </c>
      <c r="BA23" s="153"/>
      <c r="BB23" s="44"/>
      <c r="BC23" s="45" t="str">
        <f t="shared" ref="BC23:BC50" si="36">IF($G23="","",$G23*BB23)</f>
        <v/>
      </c>
      <c r="BD23" s="46"/>
      <c r="BE23" s="212" t="str">
        <f t="shared" ref="BE23:BE50" si="37">IF($BB23="","No Quote",IF($BD23="","","No Comply"))</f>
        <v>No Quote</v>
      </c>
      <c r="BF23" s="213"/>
      <c r="BG23" s="90"/>
      <c r="BH23" s="96"/>
      <c r="BI23" s="66" t="str">
        <f t="shared" ref="BI23:BI50" si="38">IF(BG23="","",BG23*G23)</f>
        <v/>
      </c>
      <c r="BJ23" s="95"/>
      <c r="BK23" s="95" t="str">
        <f>IFERROR(IF(#REF!="","",#REF!),"")</f>
        <v/>
      </c>
      <c r="BL23" s="80" t="str">
        <f t="shared" si="7"/>
        <v>-</v>
      </c>
      <c r="BM23" s="80" t="str">
        <f t="shared" si="8"/>
        <v>-</v>
      </c>
      <c r="BN23" s="80" t="str">
        <f t="shared" si="9"/>
        <v>-</v>
      </c>
      <c r="BO23" s="80" t="str">
        <f t="shared" si="10"/>
        <v>-</v>
      </c>
      <c r="BP23" s="80" t="str">
        <f t="shared" si="11"/>
        <v>-</v>
      </c>
      <c r="BQ23" s="80" t="str">
        <f t="shared" si="12"/>
        <v>-</v>
      </c>
      <c r="BR23" s="80" t="str">
        <f t="shared" si="13"/>
        <v>-</v>
      </c>
      <c r="BS23" s="80" t="str">
        <f t="shared" si="14"/>
        <v>-</v>
      </c>
      <c r="BT23" s="80" t="str">
        <f t="shared" si="15"/>
        <v>-</v>
      </c>
      <c r="BU23" s="81" t="str">
        <f t="shared" ref="BU23:BU51" si="39">IFERROR(SMALL($BL23:$BT23,COUNTIF($BL23:$BT23,0)+1),"")</f>
        <v/>
      </c>
      <c r="BV23" s="91" t="str">
        <f t="shared" si="16"/>
        <v>-</v>
      </c>
      <c r="BW23" s="77" t="str">
        <f t="shared" ref="BW23:BW50" si="40">IF(BU23=BL23,$BL$19,IF(BU23=BM23,$BM$19,IF(BU23=BN23,$BN$19,IF(BU23=BO23,$BO$19,IF(BU23=BP23,$BP$19,IF(BU23=BQ23,$BQ$19,IF(BU23=BR23,$BR$19,IF(BU23=BS23,$BS$19,IF(BU23=BT23,$BT$19,"")))))))))</f>
        <v/>
      </c>
      <c r="BX23" s="75" t="str">
        <f t="shared" ref="BX23:BX51" si="41">IFERROR(SMALL($BL23:$BT23,2),"")</f>
        <v/>
      </c>
      <c r="BY23" s="74" t="str">
        <f t="shared" ref="BY23:BY51" si="42">IFERROR(IF(($BX23-$BU23)/$BU23&lt;0%,"",($BX23-$BU23)/$BU23),"")</f>
        <v/>
      </c>
      <c r="BZ23" s="77" t="str">
        <f t="shared" ref="BZ23:BZ50" si="43">IFERROR(IF(BX23="","",IF(BX23=BL23,$BL$19,IF(BX23=BM23,$BM$19,IF(BX23=BN23,$BN$19,IF(BX23=BO23,$BO$19,IF(BX23=BP23,$BP$19,IF(BX23=BQ23,$BQ$19,IF(BX23=BR23,$BR$19,IF(BX23=BS23,$BS$19,IF(BX23=BT23,$BT$19,"")))))))))),"")</f>
        <v/>
      </c>
      <c r="CA23" s="75" t="str">
        <f t="shared" ref="CA23:CA51" si="44">IFERROR(SMALL($BL23:$BT23,3),"")</f>
        <v/>
      </c>
      <c r="CB23" s="74" t="str">
        <f t="shared" ref="CB23:CB50" si="45">IFERROR(IF((CA23-$BU23)/$BU23&lt;0%,"",(CA23-$BU23)/$BU23),"")</f>
        <v/>
      </c>
      <c r="CC23" s="77" t="str">
        <f t="shared" si="17"/>
        <v/>
      </c>
      <c r="CE23" s="104">
        <f t="shared" ref="CE23:CE50" si="46">SUMIFS($BU$22:$BU$50,$BW$22:$BW$50,CF23)</f>
        <v>0</v>
      </c>
      <c r="CF23" s="106"/>
    </row>
    <row r="24" spans="2:84" s="1" customFormat="1" ht="62.1" customHeight="1" x14ac:dyDescent="0.25">
      <c r="B24" s="41">
        <f t="shared" ref="B24:B50" si="47">B23+1</f>
        <v>3</v>
      </c>
      <c r="C24" s="218"/>
      <c r="D24" s="218"/>
      <c r="E24" s="218"/>
      <c r="F24" s="218"/>
      <c r="G24" s="42"/>
      <c r="H24" s="43"/>
      <c r="I24" s="44"/>
      <c r="J24" s="45" t="str">
        <f t="shared" si="18"/>
        <v/>
      </c>
      <c r="K24" s="93"/>
      <c r="L24" s="152" t="str">
        <f t="shared" si="19"/>
        <v>No Quote</v>
      </c>
      <c r="M24" s="153"/>
      <c r="N24" s="44"/>
      <c r="O24" s="45" t="str">
        <f t="shared" si="20"/>
        <v/>
      </c>
      <c r="P24" s="93"/>
      <c r="Q24" s="152" t="str">
        <f t="shared" si="21"/>
        <v>No Quote</v>
      </c>
      <c r="R24" s="153"/>
      <c r="S24" s="44"/>
      <c r="T24" s="45" t="str">
        <f t="shared" si="22"/>
        <v/>
      </c>
      <c r="U24" s="92"/>
      <c r="V24" s="152" t="str">
        <f t="shared" si="23"/>
        <v>No Quote</v>
      </c>
      <c r="W24" s="153"/>
      <c r="X24" s="44"/>
      <c r="Y24" s="45" t="str">
        <f t="shared" si="24"/>
        <v/>
      </c>
      <c r="Z24" s="93"/>
      <c r="AA24" s="152" t="str">
        <f t="shared" si="25"/>
        <v>No Quote</v>
      </c>
      <c r="AB24" s="153"/>
      <c r="AC24" s="44"/>
      <c r="AD24" s="45" t="str">
        <f t="shared" si="26"/>
        <v/>
      </c>
      <c r="AE24" s="92"/>
      <c r="AF24" s="152" t="str">
        <f t="shared" si="27"/>
        <v>No Quote</v>
      </c>
      <c r="AG24" s="153"/>
      <c r="AH24" s="44"/>
      <c r="AI24" s="45" t="str">
        <f t="shared" si="28"/>
        <v/>
      </c>
      <c r="AJ24" s="92"/>
      <c r="AK24" s="152" t="str">
        <f t="shared" si="29"/>
        <v>No Quote</v>
      </c>
      <c r="AL24" s="153"/>
      <c r="AM24" s="44"/>
      <c r="AN24" s="45" t="str">
        <f t="shared" si="30"/>
        <v/>
      </c>
      <c r="AO24" s="92"/>
      <c r="AP24" s="152" t="str">
        <f t="shared" si="31"/>
        <v>No Quote</v>
      </c>
      <c r="AQ24" s="153"/>
      <c r="AR24" s="44"/>
      <c r="AS24" s="45" t="str">
        <f t="shared" si="32"/>
        <v/>
      </c>
      <c r="AT24" s="92"/>
      <c r="AU24" s="152" t="str">
        <f t="shared" si="33"/>
        <v>No Quote</v>
      </c>
      <c r="AV24" s="153"/>
      <c r="AW24" s="44"/>
      <c r="AX24" s="45" t="str">
        <f t="shared" si="34"/>
        <v/>
      </c>
      <c r="AY24" s="46"/>
      <c r="AZ24" s="152" t="str">
        <f t="shared" si="35"/>
        <v>No Quote</v>
      </c>
      <c r="BA24" s="153"/>
      <c r="BB24" s="44"/>
      <c r="BC24" s="45" t="str">
        <f t="shared" si="36"/>
        <v/>
      </c>
      <c r="BD24" s="46"/>
      <c r="BE24" s="212" t="str">
        <f t="shared" si="37"/>
        <v>No Quote</v>
      </c>
      <c r="BF24" s="213"/>
      <c r="BG24" s="90"/>
      <c r="BH24" s="96"/>
      <c r="BI24" s="66" t="str">
        <f t="shared" si="38"/>
        <v/>
      </c>
      <c r="BJ24" s="95"/>
      <c r="BK24" s="95" t="str">
        <f>IFERROR(IF(#REF!="","",#REF!),"")</f>
        <v/>
      </c>
      <c r="BL24" s="80" t="str">
        <f t="shared" si="7"/>
        <v>-</v>
      </c>
      <c r="BM24" s="80" t="str">
        <f t="shared" si="8"/>
        <v>-</v>
      </c>
      <c r="BN24" s="80" t="str">
        <f t="shared" si="9"/>
        <v>-</v>
      </c>
      <c r="BO24" s="80" t="str">
        <f t="shared" si="10"/>
        <v>-</v>
      </c>
      <c r="BP24" s="80" t="str">
        <f t="shared" si="11"/>
        <v>-</v>
      </c>
      <c r="BQ24" s="80" t="str">
        <f t="shared" si="12"/>
        <v>-</v>
      </c>
      <c r="BR24" s="80" t="str">
        <f t="shared" si="13"/>
        <v>-</v>
      </c>
      <c r="BS24" s="80" t="str">
        <f t="shared" si="14"/>
        <v>-</v>
      </c>
      <c r="BT24" s="80" t="str">
        <f t="shared" si="15"/>
        <v>-</v>
      </c>
      <c r="BU24" s="81" t="str">
        <f t="shared" si="39"/>
        <v/>
      </c>
      <c r="BV24" s="91" t="str">
        <f t="shared" si="16"/>
        <v>-</v>
      </c>
      <c r="BW24" s="77" t="str">
        <f t="shared" si="40"/>
        <v/>
      </c>
      <c r="BX24" s="75" t="str">
        <f t="shared" si="41"/>
        <v/>
      </c>
      <c r="BY24" s="74" t="str">
        <f t="shared" si="42"/>
        <v/>
      </c>
      <c r="BZ24" s="77" t="str">
        <f t="shared" si="43"/>
        <v/>
      </c>
      <c r="CA24" s="75" t="str">
        <f t="shared" si="44"/>
        <v/>
      </c>
      <c r="CB24" s="74" t="str">
        <f t="shared" si="45"/>
        <v/>
      </c>
      <c r="CC24" s="77" t="str">
        <f t="shared" si="17"/>
        <v/>
      </c>
      <c r="CE24" s="104">
        <f t="shared" si="46"/>
        <v>0</v>
      </c>
      <c r="CF24" s="106"/>
    </row>
    <row r="25" spans="2:84" s="1" customFormat="1" ht="62.1" customHeight="1" x14ac:dyDescent="0.25">
      <c r="B25" s="41">
        <f t="shared" si="47"/>
        <v>4</v>
      </c>
      <c r="C25" s="218"/>
      <c r="D25" s="218"/>
      <c r="E25" s="218"/>
      <c r="F25" s="218"/>
      <c r="G25" s="42"/>
      <c r="H25" s="43"/>
      <c r="I25" s="44"/>
      <c r="J25" s="45" t="str">
        <f t="shared" si="18"/>
        <v/>
      </c>
      <c r="K25" s="93"/>
      <c r="L25" s="152" t="str">
        <f t="shared" si="19"/>
        <v>No Quote</v>
      </c>
      <c r="M25" s="153"/>
      <c r="N25" s="44"/>
      <c r="O25" s="45" t="str">
        <f t="shared" si="20"/>
        <v/>
      </c>
      <c r="P25" s="93"/>
      <c r="Q25" s="152" t="str">
        <f t="shared" si="21"/>
        <v>No Quote</v>
      </c>
      <c r="R25" s="153"/>
      <c r="S25" s="44"/>
      <c r="T25" s="45" t="str">
        <f t="shared" si="22"/>
        <v/>
      </c>
      <c r="U25" s="92"/>
      <c r="V25" s="152" t="str">
        <f t="shared" si="23"/>
        <v>No Quote</v>
      </c>
      <c r="W25" s="153"/>
      <c r="X25" s="44"/>
      <c r="Y25" s="45" t="str">
        <f t="shared" si="24"/>
        <v/>
      </c>
      <c r="Z25" s="93"/>
      <c r="AA25" s="152" t="str">
        <f t="shared" si="25"/>
        <v>No Quote</v>
      </c>
      <c r="AB25" s="153"/>
      <c r="AC25" s="44"/>
      <c r="AD25" s="45" t="str">
        <f t="shared" si="26"/>
        <v/>
      </c>
      <c r="AE25" s="92"/>
      <c r="AF25" s="152" t="str">
        <f t="shared" si="27"/>
        <v>No Quote</v>
      </c>
      <c r="AG25" s="153"/>
      <c r="AH25" s="44"/>
      <c r="AI25" s="45" t="str">
        <f t="shared" si="28"/>
        <v/>
      </c>
      <c r="AJ25" s="92"/>
      <c r="AK25" s="152" t="str">
        <f t="shared" si="29"/>
        <v>No Quote</v>
      </c>
      <c r="AL25" s="153"/>
      <c r="AM25" s="44"/>
      <c r="AN25" s="45" t="str">
        <f t="shared" si="30"/>
        <v/>
      </c>
      <c r="AO25" s="92"/>
      <c r="AP25" s="152" t="str">
        <f t="shared" si="31"/>
        <v>No Quote</v>
      </c>
      <c r="AQ25" s="153"/>
      <c r="AR25" s="44"/>
      <c r="AS25" s="45" t="str">
        <f t="shared" si="32"/>
        <v/>
      </c>
      <c r="AT25" s="92"/>
      <c r="AU25" s="152" t="str">
        <f t="shared" si="33"/>
        <v>No Quote</v>
      </c>
      <c r="AV25" s="153"/>
      <c r="AW25" s="44"/>
      <c r="AX25" s="45" t="str">
        <f t="shared" si="34"/>
        <v/>
      </c>
      <c r="AY25" s="46"/>
      <c r="AZ25" s="152" t="str">
        <f t="shared" si="35"/>
        <v>No Quote</v>
      </c>
      <c r="BA25" s="153"/>
      <c r="BB25" s="44"/>
      <c r="BC25" s="45" t="str">
        <f t="shared" si="36"/>
        <v/>
      </c>
      <c r="BD25" s="46"/>
      <c r="BE25" s="212" t="str">
        <f t="shared" si="37"/>
        <v>No Quote</v>
      </c>
      <c r="BF25" s="213"/>
      <c r="BG25" s="90"/>
      <c r="BH25" s="96"/>
      <c r="BI25" s="66" t="str">
        <f t="shared" si="38"/>
        <v/>
      </c>
      <c r="BJ25" s="95"/>
      <c r="BK25" s="95" t="str">
        <f>IFERROR(IF(#REF!="","",#REF!),"")</f>
        <v/>
      </c>
      <c r="BL25" s="80" t="str">
        <f t="shared" si="7"/>
        <v>-</v>
      </c>
      <c r="BM25" s="80" t="str">
        <f t="shared" si="8"/>
        <v>-</v>
      </c>
      <c r="BN25" s="80" t="str">
        <f t="shared" si="9"/>
        <v>-</v>
      </c>
      <c r="BO25" s="80" t="str">
        <f t="shared" si="10"/>
        <v>-</v>
      </c>
      <c r="BP25" s="80" t="str">
        <f t="shared" si="11"/>
        <v>-</v>
      </c>
      <c r="BQ25" s="80" t="str">
        <f t="shared" si="12"/>
        <v>-</v>
      </c>
      <c r="BR25" s="80" t="str">
        <f t="shared" si="13"/>
        <v>-</v>
      </c>
      <c r="BS25" s="80" t="str">
        <f t="shared" si="14"/>
        <v>-</v>
      </c>
      <c r="BT25" s="80" t="str">
        <f t="shared" si="15"/>
        <v>-</v>
      </c>
      <c r="BU25" s="81" t="str">
        <f t="shared" si="39"/>
        <v/>
      </c>
      <c r="BV25" s="91" t="str">
        <f t="shared" si="16"/>
        <v>-</v>
      </c>
      <c r="BW25" s="77" t="str">
        <f t="shared" si="40"/>
        <v/>
      </c>
      <c r="BX25" s="75" t="str">
        <f t="shared" si="41"/>
        <v/>
      </c>
      <c r="BY25" s="74" t="str">
        <f t="shared" si="42"/>
        <v/>
      </c>
      <c r="BZ25" s="77" t="str">
        <f t="shared" si="43"/>
        <v/>
      </c>
      <c r="CA25" s="75" t="str">
        <f t="shared" si="44"/>
        <v/>
      </c>
      <c r="CB25" s="74" t="str">
        <f t="shared" si="45"/>
        <v/>
      </c>
      <c r="CC25" s="77" t="str">
        <f t="shared" si="17"/>
        <v/>
      </c>
      <c r="CE25" s="104">
        <f t="shared" si="46"/>
        <v>0</v>
      </c>
      <c r="CF25" s="106"/>
    </row>
    <row r="26" spans="2:84" s="1" customFormat="1" ht="62.1" customHeight="1" x14ac:dyDescent="0.25">
      <c r="B26" s="41">
        <f t="shared" si="47"/>
        <v>5</v>
      </c>
      <c r="C26" s="218"/>
      <c r="D26" s="218"/>
      <c r="E26" s="218"/>
      <c r="F26" s="218"/>
      <c r="G26" s="42"/>
      <c r="H26" s="43"/>
      <c r="I26" s="44"/>
      <c r="J26" s="45" t="str">
        <f t="shared" si="18"/>
        <v/>
      </c>
      <c r="K26" s="93"/>
      <c r="L26" s="152" t="str">
        <f t="shared" si="19"/>
        <v>No Quote</v>
      </c>
      <c r="M26" s="153"/>
      <c r="N26" s="44"/>
      <c r="O26" s="45" t="str">
        <f t="shared" si="20"/>
        <v/>
      </c>
      <c r="P26" s="93"/>
      <c r="Q26" s="152" t="str">
        <f t="shared" si="21"/>
        <v>No Quote</v>
      </c>
      <c r="R26" s="153"/>
      <c r="S26" s="44"/>
      <c r="T26" s="45" t="str">
        <f t="shared" si="22"/>
        <v/>
      </c>
      <c r="U26" s="92"/>
      <c r="V26" s="152" t="str">
        <f t="shared" si="23"/>
        <v>No Quote</v>
      </c>
      <c r="W26" s="153"/>
      <c r="X26" s="44"/>
      <c r="Y26" s="45" t="str">
        <f t="shared" si="24"/>
        <v/>
      </c>
      <c r="Z26" s="93"/>
      <c r="AA26" s="152" t="str">
        <f t="shared" si="25"/>
        <v>No Quote</v>
      </c>
      <c r="AB26" s="153"/>
      <c r="AC26" s="44"/>
      <c r="AD26" s="45" t="str">
        <f t="shared" si="26"/>
        <v/>
      </c>
      <c r="AE26" s="92"/>
      <c r="AF26" s="152" t="str">
        <f t="shared" si="27"/>
        <v>No Quote</v>
      </c>
      <c r="AG26" s="153"/>
      <c r="AH26" s="44"/>
      <c r="AI26" s="45" t="str">
        <f t="shared" si="28"/>
        <v/>
      </c>
      <c r="AJ26" s="92"/>
      <c r="AK26" s="152" t="str">
        <f t="shared" si="29"/>
        <v>No Quote</v>
      </c>
      <c r="AL26" s="153"/>
      <c r="AM26" s="44"/>
      <c r="AN26" s="45" t="str">
        <f t="shared" si="30"/>
        <v/>
      </c>
      <c r="AO26" s="92"/>
      <c r="AP26" s="152" t="str">
        <f t="shared" si="31"/>
        <v>No Quote</v>
      </c>
      <c r="AQ26" s="153"/>
      <c r="AR26" s="44"/>
      <c r="AS26" s="45" t="str">
        <f t="shared" si="32"/>
        <v/>
      </c>
      <c r="AT26" s="92"/>
      <c r="AU26" s="152" t="str">
        <f t="shared" si="33"/>
        <v>No Quote</v>
      </c>
      <c r="AV26" s="153"/>
      <c r="AW26" s="44"/>
      <c r="AX26" s="45" t="str">
        <f t="shared" si="34"/>
        <v/>
      </c>
      <c r="AY26" s="46"/>
      <c r="AZ26" s="152" t="str">
        <f t="shared" si="35"/>
        <v>No Quote</v>
      </c>
      <c r="BA26" s="153"/>
      <c r="BB26" s="44"/>
      <c r="BC26" s="45" t="str">
        <f t="shared" si="36"/>
        <v/>
      </c>
      <c r="BD26" s="46"/>
      <c r="BE26" s="212" t="str">
        <f t="shared" si="37"/>
        <v>No Quote</v>
      </c>
      <c r="BF26" s="213"/>
      <c r="BG26" s="90"/>
      <c r="BH26" s="96"/>
      <c r="BI26" s="66" t="str">
        <f t="shared" si="38"/>
        <v/>
      </c>
      <c r="BJ26" s="95"/>
      <c r="BK26" s="95" t="str">
        <f>IFERROR(IF(#REF!="","",#REF!),"")</f>
        <v/>
      </c>
      <c r="BL26" s="80" t="str">
        <f t="shared" si="7"/>
        <v>-</v>
      </c>
      <c r="BM26" s="80" t="str">
        <f t="shared" si="8"/>
        <v>-</v>
      </c>
      <c r="BN26" s="80" t="str">
        <f t="shared" si="9"/>
        <v>-</v>
      </c>
      <c r="BO26" s="80" t="str">
        <f t="shared" si="10"/>
        <v>-</v>
      </c>
      <c r="BP26" s="80" t="str">
        <f t="shared" si="11"/>
        <v>-</v>
      </c>
      <c r="BQ26" s="80" t="str">
        <f t="shared" si="12"/>
        <v>-</v>
      </c>
      <c r="BR26" s="80" t="str">
        <f t="shared" si="13"/>
        <v>-</v>
      </c>
      <c r="BS26" s="80" t="str">
        <f t="shared" si="14"/>
        <v>-</v>
      </c>
      <c r="BT26" s="80" t="str">
        <f t="shared" si="15"/>
        <v>-</v>
      </c>
      <c r="BU26" s="81" t="str">
        <f t="shared" si="39"/>
        <v/>
      </c>
      <c r="BV26" s="91" t="str">
        <f t="shared" si="16"/>
        <v>-</v>
      </c>
      <c r="BW26" s="77" t="str">
        <f t="shared" si="40"/>
        <v/>
      </c>
      <c r="BX26" s="75" t="str">
        <f t="shared" si="41"/>
        <v/>
      </c>
      <c r="BY26" s="74" t="str">
        <f t="shared" si="42"/>
        <v/>
      </c>
      <c r="BZ26" s="77" t="str">
        <f t="shared" si="43"/>
        <v/>
      </c>
      <c r="CA26" s="75" t="str">
        <f t="shared" si="44"/>
        <v/>
      </c>
      <c r="CB26" s="74" t="str">
        <f t="shared" si="45"/>
        <v/>
      </c>
      <c r="CC26" s="77" t="str">
        <f t="shared" si="17"/>
        <v/>
      </c>
      <c r="CE26" s="104">
        <f t="shared" si="46"/>
        <v>0</v>
      </c>
      <c r="CF26" s="106"/>
    </row>
    <row r="27" spans="2:84" s="1" customFormat="1" ht="62.1" customHeight="1" outlineLevel="1" x14ac:dyDescent="0.25">
      <c r="B27" s="41">
        <f t="shared" si="47"/>
        <v>6</v>
      </c>
      <c r="C27" s="218"/>
      <c r="D27" s="218"/>
      <c r="E27" s="218"/>
      <c r="F27" s="218"/>
      <c r="G27" s="42"/>
      <c r="H27" s="43"/>
      <c r="I27" s="44"/>
      <c r="J27" s="45" t="str">
        <f t="shared" si="18"/>
        <v/>
      </c>
      <c r="K27" s="93"/>
      <c r="L27" s="152" t="str">
        <f t="shared" si="19"/>
        <v>No Quote</v>
      </c>
      <c r="M27" s="153"/>
      <c r="N27" s="44"/>
      <c r="O27" s="45" t="str">
        <f t="shared" si="20"/>
        <v/>
      </c>
      <c r="P27" s="93"/>
      <c r="Q27" s="152" t="str">
        <f t="shared" si="21"/>
        <v>No Quote</v>
      </c>
      <c r="R27" s="153"/>
      <c r="S27" s="44"/>
      <c r="T27" s="45" t="str">
        <f t="shared" si="22"/>
        <v/>
      </c>
      <c r="U27" s="92"/>
      <c r="V27" s="152" t="str">
        <f t="shared" si="23"/>
        <v>No Quote</v>
      </c>
      <c r="W27" s="153"/>
      <c r="X27" s="44"/>
      <c r="Y27" s="45" t="str">
        <f t="shared" si="24"/>
        <v/>
      </c>
      <c r="Z27" s="93"/>
      <c r="AA27" s="152" t="str">
        <f t="shared" si="25"/>
        <v>No Quote</v>
      </c>
      <c r="AB27" s="153"/>
      <c r="AC27" s="44"/>
      <c r="AD27" s="45" t="str">
        <f t="shared" si="26"/>
        <v/>
      </c>
      <c r="AE27" s="92"/>
      <c r="AF27" s="152" t="str">
        <f t="shared" si="27"/>
        <v>No Quote</v>
      </c>
      <c r="AG27" s="153"/>
      <c r="AH27" s="44"/>
      <c r="AI27" s="45" t="str">
        <f t="shared" si="28"/>
        <v/>
      </c>
      <c r="AJ27" s="92"/>
      <c r="AK27" s="152" t="str">
        <f t="shared" si="29"/>
        <v>No Quote</v>
      </c>
      <c r="AL27" s="153"/>
      <c r="AM27" s="44"/>
      <c r="AN27" s="45" t="str">
        <f t="shared" si="30"/>
        <v/>
      </c>
      <c r="AO27" s="92"/>
      <c r="AP27" s="152" t="str">
        <f t="shared" si="31"/>
        <v>No Quote</v>
      </c>
      <c r="AQ27" s="153"/>
      <c r="AR27" s="44"/>
      <c r="AS27" s="45" t="str">
        <f t="shared" si="32"/>
        <v/>
      </c>
      <c r="AT27" s="92"/>
      <c r="AU27" s="152" t="str">
        <f t="shared" si="33"/>
        <v>No Quote</v>
      </c>
      <c r="AV27" s="153"/>
      <c r="AW27" s="44"/>
      <c r="AX27" s="45" t="str">
        <f t="shared" si="34"/>
        <v/>
      </c>
      <c r="AY27" s="46"/>
      <c r="AZ27" s="152" t="str">
        <f t="shared" si="35"/>
        <v>No Quote</v>
      </c>
      <c r="BA27" s="153"/>
      <c r="BB27" s="44"/>
      <c r="BC27" s="45" t="str">
        <f t="shared" si="36"/>
        <v/>
      </c>
      <c r="BD27" s="46"/>
      <c r="BE27" s="212" t="str">
        <f t="shared" si="37"/>
        <v>No Quote</v>
      </c>
      <c r="BF27" s="213"/>
      <c r="BG27" s="90"/>
      <c r="BH27" s="96"/>
      <c r="BI27" s="66" t="str">
        <f t="shared" si="38"/>
        <v/>
      </c>
      <c r="BJ27" s="95"/>
      <c r="BK27" s="95" t="str">
        <f>IFERROR(IF(#REF!="","",#REF!),"")</f>
        <v/>
      </c>
      <c r="BL27" s="80" t="str">
        <f t="shared" si="7"/>
        <v>-</v>
      </c>
      <c r="BM27" s="80" t="str">
        <f t="shared" si="8"/>
        <v>-</v>
      </c>
      <c r="BN27" s="80" t="str">
        <f t="shared" si="9"/>
        <v>-</v>
      </c>
      <c r="BO27" s="80" t="str">
        <f t="shared" si="10"/>
        <v>-</v>
      </c>
      <c r="BP27" s="80" t="str">
        <f t="shared" si="11"/>
        <v>-</v>
      </c>
      <c r="BQ27" s="80" t="str">
        <f t="shared" si="12"/>
        <v>-</v>
      </c>
      <c r="BR27" s="80" t="str">
        <f t="shared" si="13"/>
        <v>-</v>
      </c>
      <c r="BS27" s="80" t="str">
        <f t="shared" si="14"/>
        <v>-</v>
      </c>
      <c r="BT27" s="80" t="str">
        <f t="shared" si="15"/>
        <v>-</v>
      </c>
      <c r="BU27" s="81" t="str">
        <f t="shared" si="39"/>
        <v/>
      </c>
      <c r="BV27" s="91" t="str">
        <f t="shared" si="16"/>
        <v>-</v>
      </c>
      <c r="BW27" s="77" t="str">
        <f t="shared" si="40"/>
        <v/>
      </c>
      <c r="BX27" s="75" t="str">
        <f t="shared" si="41"/>
        <v/>
      </c>
      <c r="BY27" s="74" t="str">
        <f t="shared" si="42"/>
        <v/>
      </c>
      <c r="BZ27" s="77" t="str">
        <f t="shared" si="43"/>
        <v/>
      </c>
      <c r="CA27" s="75" t="str">
        <f t="shared" si="44"/>
        <v/>
      </c>
      <c r="CB27" s="74" t="str">
        <f t="shared" si="45"/>
        <v/>
      </c>
      <c r="CC27" s="77" t="str">
        <f t="shared" si="17"/>
        <v/>
      </c>
      <c r="CE27" s="104">
        <f t="shared" si="46"/>
        <v>0</v>
      </c>
      <c r="CF27" s="106"/>
    </row>
    <row r="28" spans="2:84" s="1" customFormat="1" ht="62.1" customHeight="1" outlineLevel="1" x14ac:dyDescent="0.25">
      <c r="B28" s="41">
        <f t="shared" si="47"/>
        <v>7</v>
      </c>
      <c r="C28" s="218"/>
      <c r="D28" s="218"/>
      <c r="E28" s="218"/>
      <c r="F28" s="218"/>
      <c r="G28" s="42"/>
      <c r="H28" s="43"/>
      <c r="I28" s="44"/>
      <c r="J28" s="45" t="str">
        <f t="shared" si="18"/>
        <v/>
      </c>
      <c r="K28" s="93"/>
      <c r="L28" s="152" t="str">
        <f t="shared" si="19"/>
        <v>No Quote</v>
      </c>
      <c r="M28" s="153"/>
      <c r="N28" s="44"/>
      <c r="O28" s="45" t="str">
        <f t="shared" si="20"/>
        <v/>
      </c>
      <c r="P28" s="93"/>
      <c r="Q28" s="152" t="str">
        <f t="shared" si="21"/>
        <v>No Quote</v>
      </c>
      <c r="R28" s="153"/>
      <c r="S28" s="44"/>
      <c r="T28" s="45" t="str">
        <f t="shared" si="22"/>
        <v/>
      </c>
      <c r="U28" s="92"/>
      <c r="V28" s="152" t="str">
        <f t="shared" si="23"/>
        <v>No Quote</v>
      </c>
      <c r="W28" s="153"/>
      <c r="X28" s="44"/>
      <c r="Y28" s="45" t="str">
        <f t="shared" si="24"/>
        <v/>
      </c>
      <c r="Z28" s="93"/>
      <c r="AA28" s="152" t="str">
        <f t="shared" si="25"/>
        <v>No Quote</v>
      </c>
      <c r="AB28" s="153"/>
      <c r="AC28" s="44"/>
      <c r="AD28" s="45" t="str">
        <f t="shared" si="26"/>
        <v/>
      </c>
      <c r="AE28" s="92"/>
      <c r="AF28" s="152" t="str">
        <f t="shared" si="27"/>
        <v>No Quote</v>
      </c>
      <c r="AG28" s="153"/>
      <c r="AH28" s="44"/>
      <c r="AI28" s="45" t="str">
        <f t="shared" si="28"/>
        <v/>
      </c>
      <c r="AJ28" s="92"/>
      <c r="AK28" s="152" t="str">
        <f t="shared" si="29"/>
        <v>No Quote</v>
      </c>
      <c r="AL28" s="153"/>
      <c r="AM28" s="44"/>
      <c r="AN28" s="45" t="str">
        <f t="shared" si="30"/>
        <v/>
      </c>
      <c r="AO28" s="92"/>
      <c r="AP28" s="152" t="str">
        <f t="shared" si="31"/>
        <v>No Quote</v>
      </c>
      <c r="AQ28" s="153"/>
      <c r="AR28" s="44"/>
      <c r="AS28" s="45" t="str">
        <f t="shared" si="32"/>
        <v/>
      </c>
      <c r="AT28" s="92"/>
      <c r="AU28" s="152" t="str">
        <f t="shared" si="33"/>
        <v>No Quote</v>
      </c>
      <c r="AV28" s="153"/>
      <c r="AW28" s="44"/>
      <c r="AX28" s="45" t="str">
        <f t="shared" si="34"/>
        <v/>
      </c>
      <c r="AY28" s="46"/>
      <c r="AZ28" s="152" t="str">
        <f t="shared" si="35"/>
        <v>No Quote</v>
      </c>
      <c r="BA28" s="153"/>
      <c r="BB28" s="44"/>
      <c r="BC28" s="45" t="str">
        <f t="shared" si="36"/>
        <v/>
      </c>
      <c r="BD28" s="46"/>
      <c r="BE28" s="212" t="str">
        <f t="shared" si="37"/>
        <v>No Quote</v>
      </c>
      <c r="BF28" s="213"/>
      <c r="BG28" s="90"/>
      <c r="BH28" s="96"/>
      <c r="BI28" s="66" t="str">
        <f t="shared" si="38"/>
        <v/>
      </c>
      <c r="BJ28" s="95"/>
      <c r="BK28" s="95" t="str">
        <f>IFERROR(IF(#REF!="","",#REF!),"")</f>
        <v/>
      </c>
      <c r="BL28" s="80" t="str">
        <f t="shared" si="7"/>
        <v>-</v>
      </c>
      <c r="BM28" s="80" t="str">
        <f t="shared" si="8"/>
        <v>-</v>
      </c>
      <c r="BN28" s="80" t="str">
        <f t="shared" si="9"/>
        <v>-</v>
      </c>
      <c r="BO28" s="80" t="str">
        <f t="shared" si="10"/>
        <v>-</v>
      </c>
      <c r="BP28" s="80" t="str">
        <f t="shared" si="11"/>
        <v>-</v>
      </c>
      <c r="BQ28" s="80" t="str">
        <f t="shared" si="12"/>
        <v>-</v>
      </c>
      <c r="BR28" s="80" t="str">
        <f t="shared" si="13"/>
        <v>-</v>
      </c>
      <c r="BS28" s="80" t="str">
        <f t="shared" si="14"/>
        <v>-</v>
      </c>
      <c r="BT28" s="80" t="str">
        <f t="shared" si="15"/>
        <v>-</v>
      </c>
      <c r="BU28" s="81" t="str">
        <f t="shared" si="39"/>
        <v/>
      </c>
      <c r="BV28" s="91" t="str">
        <f t="shared" si="16"/>
        <v>-</v>
      </c>
      <c r="BW28" s="77" t="str">
        <f t="shared" si="40"/>
        <v/>
      </c>
      <c r="BX28" s="75" t="str">
        <f t="shared" si="41"/>
        <v/>
      </c>
      <c r="BY28" s="74" t="str">
        <f t="shared" si="42"/>
        <v/>
      </c>
      <c r="BZ28" s="77" t="str">
        <f t="shared" si="43"/>
        <v/>
      </c>
      <c r="CA28" s="75" t="str">
        <f t="shared" si="44"/>
        <v/>
      </c>
      <c r="CB28" s="74" t="str">
        <f t="shared" si="45"/>
        <v/>
      </c>
      <c r="CC28" s="77" t="str">
        <f t="shared" si="17"/>
        <v/>
      </c>
      <c r="CE28" s="104">
        <f t="shared" si="46"/>
        <v>0</v>
      </c>
      <c r="CF28" s="106"/>
    </row>
    <row r="29" spans="2:84" s="1" customFormat="1" ht="62.1" customHeight="1" outlineLevel="1" x14ac:dyDescent="0.25">
      <c r="B29" s="41">
        <f t="shared" si="47"/>
        <v>8</v>
      </c>
      <c r="C29" s="218"/>
      <c r="D29" s="218"/>
      <c r="E29" s="218"/>
      <c r="F29" s="218"/>
      <c r="G29" s="42"/>
      <c r="H29" s="43"/>
      <c r="I29" s="44"/>
      <c r="J29" s="45" t="str">
        <f t="shared" si="18"/>
        <v/>
      </c>
      <c r="K29" s="93"/>
      <c r="L29" s="152" t="str">
        <f t="shared" si="19"/>
        <v>No Quote</v>
      </c>
      <c r="M29" s="153"/>
      <c r="N29" s="44"/>
      <c r="O29" s="45" t="str">
        <f t="shared" si="20"/>
        <v/>
      </c>
      <c r="P29" s="93"/>
      <c r="Q29" s="152" t="str">
        <f t="shared" si="21"/>
        <v>No Quote</v>
      </c>
      <c r="R29" s="153"/>
      <c r="S29" s="44"/>
      <c r="T29" s="45" t="str">
        <f t="shared" si="22"/>
        <v/>
      </c>
      <c r="U29" s="92"/>
      <c r="V29" s="152" t="str">
        <f t="shared" si="23"/>
        <v>No Quote</v>
      </c>
      <c r="W29" s="153"/>
      <c r="X29" s="44"/>
      <c r="Y29" s="45" t="str">
        <f t="shared" si="24"/>
        <v/>
      </c>
      <c r="Z29" s="93"/>
      <c r="AA29" s="152" t="str">
        <f t="shared" si="25"/>
        <v>No Quote</v>
      </c>
      <c r="AB29" s="153"/>
      <c r="AC29" s="44"/>
      <c r="AD29" s="45" t="str">
        <f t="shared" si="26"/>
        <v/>
      </c>
      <c r="AE29" s="92"/>
      <c r="AF29" s="152" t="str">
        <f t="shared" si="27"/>
        <v>No Quote</v>
      </c>
      <c r="AG29" s="153"/>
      <c r="AH29" s="44"/>
      <c r="AI29" s="45" t="str">
        <f t="shared" si="28"/>
        <v/>
      </c>
      <c r="AJ29" s="92"/>
      <c r="AK29" s="152" t="str">
        <f t="shared" si="29"/>
        <v>No Quote</v>
      </c>
      <c r="AL29" s="153"/>
      <c r="AM29" s="44"/>
      <c r="AN29" s="45" t="str">
        <f t="shared" si="30"/>
        <v/>
      </c>
      <c r="AO29" s="92"/>
      <c r="AP29" s="152" t="str">
        <f t="shared" si="31"/>
        <v>No Quote</v>
      </c>
      <c r="AQ29" s="153"/>
      <c r="AR29" s="44"/>
      <c r="AS29" s="45" t="str">
        <f t="shared" si="32"/>
        <v/>
      </c>
      <c r="AT29" s="92"/>
      <c r="AU29" s="152" t="str">
        <f t="shared" si="33"/>
        <v>No Quote</v>
      </c>
      <c r="AV29" s="153"/>
      <c r="AW29" s="44"/>
      <c r="AX29" s="45" t="str">
        <f t="shared" si="34"/>
        <v/>
      </c>
      <c r="AY29" s="46"/>
      <c r="AZ29" s="152" t="str">
        <f t="shared" si="35"/>
        <v>No Quote</v>
      </c>
      <c r="BA29" s="153"/>
      <c r="BB29" s="44"/>
      <c r="BC29" s="45" t="str">
        <f t="shared" si="36"/>
        <v/>
      </c>
      <c r="BD29" s="46"/>
      <c r="BE29" s="212" t="str">
        <f t="shared" si="37"/>
        <v>No Quote</v>
      </c>
      <c r="BF29" s="213"/>
      <c r="BG29" s="90"/>
      <c r="BH29" s="96"/>
      <c r="BI29" s="66" t="str">
        <f t="shared" si="38"/>
        <v/>
      </c>
      <c r="BJ29" s="95"/>
      <c r="BK29" s="95" t="str">
        <f>IFERROR(IF(#REF!="","",#REF!),"")</f>
        <v/>
      </c>
      <c r="BL29" s="80" t="str">
        <f t="shared" si="7"/>
        <v>-</v>
      </c>
      <c r="BM29" s="80" t="str">
        <f t="shared" si="8"/>
        <v>-</v>
      </c>
      <c r="BN29" s="80" t="str">
        <f t="shared" si="9"/>
        <v>-</v>
      </c>
      <c r="BO29" s="80" t="str">
        <f t="shared" si="10"/>
        <v>-</v>
      </c>
      <c r="BP29" s="80" t="str">
        <f t="shared" si="11"/>
        <v>-</v>
      </c>
      <c r="BQ29" s="80" t="str">
        <f t="shared" si="12"/>
        <v>-</v>
      </c>
      <c r="BR29" s="80" t="str">
        <f t="shared" si="13"/>
        <v>-</v>
      </c>
      <c r="BS29" s="80" t="str">
        <f t="shared" si="14"/>
        <v>-</v>
      </c>
      <c r="BT29" s="80" t="str">
        <f t="shared" si="15"/>
        <v>-</v>
      </c>
      <c r="BU29" s="81" t="str">
        <f t="shared" si="39"/>
        <v/>
      </c>
      <c r="BV29" s="91" t="str">
        <f t="shared" si="16"/>
        <v>-</v>
      </c>
      <c r="BW29" s="77" t="str">
        <f t="shared" si="40"/>
        <v/>
      </c>
      <c r="BX29" s="75" t="str">
        <f t="shared" si="41"/>
        <v/>
      </c>
      <c r="BY29" s="74" t="str">
        <f t="shared" si="42"/>
        <v/>
      </c>
      <c r="BZ29" s="77" t="str">
        <f t="shared" si="43"/>
        <v/>
      </c>
      <c r="CA29" s="75" t="str">
        <f t="shared" si="44"/>
        <v/>
      </c>
      <c r="CB29" s="74" t="str">
        <f t="shared" si="45"/>
        <v/>
      </c>
      <c r="CC29" s="77" t="str">
        <f t="shared" si="17"/>
        <v/>
      </c>
      <c r="CE29" s="104">
        <f t="shared" si="46"/>
        <v>0</v>
      </c>
      <c r="CF29" s="106"/>
    </row>
    <row r="30" spans="2:84" s="1" customFormat="1" ht="62.1" customHeight="1" outlineLevel="1" x14ac:dyDescent="0.25">
      <c r="B30" s="41">
        <f t="shared" si="47"/>
        <v>9</v>
      </c>
      <c r="C30" s="218"/>
      <c r="D30" s="218"/>
      <c r="E30" s="218"/>
      <c r="F30" s="218"/>
      <c r="G30" s="42"/>
      <c r="H30" s="43"/>
      <c r="I30" s="44"/>
      <c r="J30" s="45" t="str">
        <f t="shared" si="18"/>
        <v/>
      </c>
      <c r="K30" s="93"/>
      <c r="L30" s="152" t="str">
        <f t="shared" si="19"/>
        <v>No Quote</v>
      </c>
      <c r="M30" s="153"/>
      <c r="N30" s="44"/>
      <c r="O30" s="45" t="str">
        <f t="shared" si="20"/>
        <v/>
      </c>
      <c r="P30" s="93"/>
      <c r="Q30" s="152" t="str">
        <f t="shared" si="21"/>
        <v>No Quote</v>
      </c>
      <c r="R30" s="153"/>
      <c r="S30" s="44"/>
      <c r="T30" s="45" t="str">
        <f t="shared" si="22"/>
        <v/>
      </c>
      <c r="U30" s="92"/>
      <c r="V30" s="152" t="str">
        <f t="shared" si="23"/>
        <v>No Quote</v>
      </c>
      <c r="W30" s="153"/>
      <c r="X30" s="44"/>
      <c r="Y30" s="45" t="str">
        <f t="shared" si="24"/>
        <v/>
      </c>
      <c r="Z30" s="93"/>
      <c r="AA30" s="152" t="str">
        <f t="shared" si="25"/>
        <v>No Quote</v>
      </c>
      <c r="AB30" s="153"/>
      <c r="AC30" s="44"/>
      <c r="AD30" s="45" t="str">
        <f t="shared" si="26"/>
        <v/>
      </c>
      <c r="AE30" s="92"/>
      <c r="AF30" s="152" t="str">
        <f t="shared" si="27"/>
        <v>No Quote</v>
      </c>
      <c r="AG30" s="153"/>
      <c r="AH30" s="44"/>
      <c r="AI30" s="45" t="str">
        <f t="shared" si="28"/>
        <v/>
      </c>
      <c r="AJ30" s="92"/>
      <c r="AK30" s="152" t="str">
        <f t="shared" si="29"/>
        <v>No Quote</v>
      </c>
      <c r="AL30" s="153"/>
      <c r="AM30" s="44"/>
      <c r="AN30" s="45" t="str">
        <f t="shared" si="30"/>
        <v/>
      </c>
      <c r="AO30" s="92"/>
      <c r="AP30" s="152" t="str">
        <f t="shared" si="31"/>
        <v>No Quote</v>
      </c>
      <c r="AQ30" s="153"/>
      <c r="AR30" s="44"/>
      <c r="AS30" s="45" t="str">
        <f t="shared" si="32"/>
        <v/>
      </c>
      <c r="AT30" s="92"/>
      <c r="AU30" s="152" t="str">
        <f t="shared" si="33"/>
        <v>No Quote</v>
      </c>
      <c r="AV30" s="153"/>
      <c r="AW30" s="44"/>
      <c r="AX30" s="45" t="str">
        <f t="shared" si="34"/>
        <v/>
      </c>
      <c r="AY30" s="46"/>
      <c r="AZ30" s="152" t="str">
        <f t="shared" si="35"/>
        <v>No Quote</v>
      </c>
      <c r="BA30" s="153"/>
      <c r="BB30" s="44"/>
      <c r="BC30" s="45" t="str">
        <f t="shared" si="36"/>
        <v/>
      </c>
      <c r="BD30" s="46"/>
      <c r="BE30" s="212" t="str">
        <f t="shared" si="37"/>
        <v>No Quote</v>
      </c>
      <c r="BF30" s="213"/>
      <c r="BG30" s="90"/>
      <c r="BH30" s="96"/>
      <c r="BI30" s="66" t="str">
        <f t="shared" si="38"/>
        <v/>
      </c>
      <c r="BJ30" s="95"/>
      <c r="BK30" s="95" t="str">
        <f>IFERROR(IF(#REF!="","",#REF!),"")</f>
        <v/>
      </c>
      <c r="BL30" s="80" t="str">
        <f t="shared" si="7"/>
        <v>-</v>
      </c>
      <c r="BM30" s="80" t="str">
        <f t="shared" si="8"/>
        <v>-</v>
      </c>
      <c r="BN30" s="80" t="str">
        <f t="shared" si="9"/>
        <v>-</v>
      </c>
      <c r="BO30" s="80" t="str">
        <f t="shared" si="10"/>
        <v>-</v>
      </c>
      <c r="BP30" s="80" t="str">
        <f t="shared" si="11"/>
        <v>-</v>
      </c>
      <c r="BQ30" s="80" t="str">
        <f t="shared" si="12"/>
        <v>-</v>
      </c>
      <c r="BR30" s="80" t="str">
        <f t="shared" si="13"/>
        <v>-</v>
      </c>
      <c r="BS30" s="80" t="str">
        <f t="shared" si="14"/>
        <v>-</v>
      </c>
      <c r="BT30" s="80" t="str">
        <f t="shared" si="15"/>
        <v>-</v>
      </c>
      <c r="BU30" s="81" t="str">
        <f t="shared" si="39"/>
        <v/>
      </c>
      <c r="BV30" s="91" t="str">
        <f t="shared" si="16"/>
        <v>-</v>
      </c>
      <c r="BW30" s="77" t="str">
        <f t="shared" si="40"/>
        <v/>
      </c>
      <c r="BX30" s="75" t="str">
        <f t="shared" si="41"/>
        <v/>
      </c>
      <c r="BY30" s="74" t="str">
        <f t="shared" si="42"/>
        <v/>
      </c>
      <c r="BZ30" s="77" t="str">
        <f t="shared" si="43"/>
        <v/>
      </c>
      <c r="CA30" s="75" t="str">
        <f t="shared" si="44"/>
        <v/>
      </c>
      <c r="CB30" s="74" t="str">
        <f t="shared" si="45"/>
        <v/>
      </c>
      <c r="CC30" s="77" t="str">
        <f t="shared" si="17"/>
        <v/>
      </c>
      <c r="CE30" s="104">
        <f t="shared" si="46"/>
        <v>0</v>
      </c>
      <c r="CF30" s="106"/>
    </row>
    <row r="31" spans="2:84" s="1" customFormat="1" ht="62.1" customHeight="1" outlineLevel="1" x14ac:dyDescent="0.25">
      <c r="B31" s="41">
        <f t="shared" si="47"/>
        <v>10</v>
      </c>
      <c r="C31" s="218"/>
      <c r="D31" s="218"/>
      <c r="E31" s="218"/>
      <c r="F31" s="218"/>
      <c r="G31" s="42"/>
      <c r="H31" s="43"/>
      <c r="I31" s="44"/>
      <c r="J31" s="45" t="str">
        <f t="shared" si="18"/>
        <v/>
      </c>
      <c r="K31" s="93"/>
      <c r="L31" s="152" t="str">
        <f t="shared" si="19"/>
        <v>No Quote</v>
      </c>
      <c r="M31" s="153"/>
      <c r="N31" s="44"/>
      <c r="O31" s="45" t="str">
        <f t="shared" si="20"/>
        <v/>
      </c>
      <c r="P31" s="93"/>
      <c r="Q31" s="152" t="str">
        <f t="shared" si="21"/>
        <v>No Quote</v>
      </c>
      <c r="R31" s="153"/>
      <c r="S31" s="44"/>
      <c r="T31" s="45" t="str">
        <f t="shared" si="22"/>
        <v/>
      </c>
      <c r="U31" s="92"/>
      <c r="V31" s="152" t="str">
        <f t="shared" si="23"/>
        <v>No Quote</v>
      </c>
      <c r="W31" s="153"/>
      <c r="X31" s="44"/>
      <c r="Y31" s="45" t="str">
        <f t="shared" si="24"/>
        <v/>
      </c>
      <c r="Z31" s="93"/>
      <c r="AA31" s="152" t="str">
        <f t="shared" si="25"/>
        <v>No Quote</v>
      </c>
      <c r="AB31" s="153"/>
      <c r="AC31" s="44"/>
      <c r="AD31" s="45" t="str">
        <f t="shared" si="26"/>
        <v/>
      </c>
      <c r="AE31" s="92"/>
      <c r="AF31" s="152" t="str">
        <f t="shared" si="27"/>
        <v>No Quote</v>
      </c>
      <c r="AG31" s="153"/>
      <c r="AH31" s="44"/>
      <c r="AI31" s="45" t="str">
        <f t="shared" si="28"/>
        <v/>
      </c>
      <c r="AJ31" s="92"/>
      <c r="AK31" s="152" t="str">
        <f t="shared" si="29"/>
        <v>No Quote</v>
      </c>
      <c r="AL31" s="153"/>
      <c r="AM31" s="44"/>
      <c r="AN31" s="45" t="str">
        <f t="shared" si="30"/>
        <v/>
      </c>
      <c r="AO31" s="92"/>
      <c r="AP31" s="152" t="str">
        <f t="shared" si="31"/>
        <v>No Quote</v>
      </c>
      <c r="AQ31" s="153"/>
      <c r="AR31" s="44"/>
      <c r="AS31" s="45" t="str">
        <f t="shared" si="32"/>
        <v/>
      </c>
      <c r="AT31" s="92"/>
      <c r="AU31" s="152" t="str">
        <f t="shared" si="33"/>
        <v>No Quote</v>
      </c>
      <c r="AV31" s="153"/>
      <c r="AW31" s="44"/>
      <c r="AX31" s="45" t="str">
        <f t="shared" si="34"/>
        <v/>
      </c>
      <c r="AY31" s="46"/>
      <c r="AZ31" s="152" t="str">
        <f t="shared" si="35"/>
        <v>No Quote</v>
      </c>
      <c r="BA31" s="153"/>
      <c r="BB31" s="44"/>
      <c r="BC31" s="45" t="str">
        <f t="shared" si="36"/>
        <v/>
      </c>
      <c r="BD31" s="46"/>
      <c r="BE31" s="212" t="str">
        <f t="shared" si="37"/>
        <v>No Quote</v>
      </c>
      <c r="BF31" s="213"/>
      <c r="BG31" s="90"/>
      <c r="BH31" s="96"/>
      <c r="BI31" s="66" t="str">
        <f t="shared" si="38"/>
        <v/>
      </c>
      <c r="BJ31" s="95"/>
      <c r="BK31" s="95" t="str">
        <f>IFERROR(IF(#REF!="","",#REF!),"")</f>
        <v/>
      </c>
      <c r="BL31" s="80" t="str">
        <f t="shared" si="7"/>
        <v>-</v>
      </c>
      <c r="BM31" s="80" t="str">
        <f t="shared" si="8"/>
        <v>-</v>
      </c>
      <c r="BN31" s="80" t="str">
        <f t="shared" si="9"/>
        <v>-</v>
      </c>
      <c r="BO31" s="80" t="str">
        <f t="shared" si="10"/>
        <v>-</v>
      </c>
      <c r="BP31" s="80" t="str">
        <f t="shared" si="11"/>
        <v>-</v>
      </c>
      <c r="BQ31" s="80" t="str">
        <f t="shared" si="12"/>
        <v>-</v>
      </c>
      <c r="BR31" s="80" t="str">
        <f t="shared" si="13"/>
        <v>-</v>
      </c>
      <c r="BS31" s="80" t="str">
        <f t="shared" si="14"/>
        <v>-</v>
      </c>
      <c r="BT31" s="80" t="str">
        <f t="shared" si="15"/>
        <v>-</v>
      </c>
      <c r="BU31" s="81" t="str">
        <f t="shared" si="39"/>
        <v/>
      </c>
      <c r="BV31" s="91" t="str">
        <f t="shared" si="16"/>
        <v>-</v>
      </c>
      <c r="BW31" s="77" t="str">
        <f t="shared" si="40"/>
        <v/>
      </c>
      <c r="BX31" s="75" t="str">
        <f t="shared" si="41"/>
        <v/>
      </c>
      <c r="BY31" s="74" t="str">
        <f t="shared" si="42"/>
        <v/>
      </c>
      <c r="BZ31" s="77" t="str">
        <f t="shared" si="43"/>
        <v/>
      </c>
      <c r="CA31" s="75" t="str">
        <f t="shared" si="44"/>
        <v/>
      </c>
      <c r="CB31" s="74" t="str">
        <f t="shared" si="45"/>
        <v/>
      </c>
      <c r="CC31" s="77" t="str">
        <f t="shared" si="17"/>
        <v/>
      </c>
      <c r="CE31" s="104">
        <f t="shared" si="46"/>
        <v>0</v>
      </c>
      <c r="CF31" s="106"/>
    </row>
    <row r="32" spans="2:84" s="1" customFormat="1" ht="62.1" customHeight="1" outlineLevel="1" x14ac:dyDescent="0.25">
      <c r="B32" s="41">
        <f t="shared" si="47"/>
        <v>11</v>
      </c>
      <c r="C32" s="218"/>
      <c r="D32" s="218"/>
      <c r="E32" s="218"/>
      <c r="F32" s="218"/>
      <c r="G32" s="42"/>
      <c r="H32" s="43"/>
      <c r="I32" s="44"/>
      <c r="J32" s="45" t="str">
        <f t="shared" si="18"/>
        <v/>
      </c>
      <c r="K32" s="93"/>
      <c r="L32" s="152" t="str">
        <f t="shared" si="19"/>
        <v>No Quote</v>
      </c>
      <c r="M32" s="153"/>
      <c r="N32" s="44"/>
      <c r="O32" s="45" t="str">
        <f t="shared" si="20"/>
        <v/>
      </c>
      <c r="P32" s="93"/>
      <c r="Q32" s="152" t="str">
        <f t="shared" si="21"/>
        <v>No Quote</v>
      </c>
      <c r="R32" s="153"/>
      <c r="S32" s="44"/>
      <c r="T32" s="45" t="str">
        <f t="shared" si="22"/>
        <v/>
      </c>
      <c r="U32" s="92"/>
      <c r="V32" s="152" t="str">
        <f t="shared" si="23"/>
        <v>No Quote</v>
      </c>
      <c r="W32" s="153"/>
      <c r="X32" s="44"/>
      <c r="Y32" s="45" t="str">
        <f t="shared" si="24"/>
        <v/>
      </c>
      <c r="Z32" s="93"/>
      <c r="AA32" s="152" t="str">
        <f t="shared" si="25"/>
        <v>No Quote</v>
      </c>
      <c r="AB32" s="153"/>
      <c r="AC32" s="44"/>
      <c r="AD32" s="45" t="str">
        <f t="shared" si="26"/>
        <v/>
      </c>
      <c r="AE32" s="92"/>
      <c r="AF32" s="152" t="str">
        <f t="shared" si="27"/>
        <v>No Quote</v>
      </c>
      <c r="AG32" s="153"/>
      <c r="AH32" s="44"/>
      <c r="AI32" s="45" t="str">
        <f t="shared" si="28"/>
        <v/>
      </c>
      <c r="AJ32" s="92"/>
      <c r="AK32" s="152" t="str">
        <f t="shared" si="29"/>
        <v>No Quote</v>
      </c>
      <c r="AL32" s="153"/>
      <c r="AM32" s="44"/>
      <c r="AN32" s="45" t="str">
        <f t="shared" si="30"/>
        <v/>
      </c>
      <c r="AO32" s="92"/>
      <c r="AP32" s="152" t="str">
        <f t="shared" si="31"/>
        <v>No Quote</v>
      </c>
      <c r="AQ32" s="153"/>
      <c r="AR32" s="44"/>
      <c r="AS32" s="45" t="str">
        <f t="shared" si="32"/>
        <v/>
      </c>
      <c r="AT32" s="92"/>
      <c r="AU32" s="152" t="str">
        <f t="shared" si="33"/>
        <v>No Quote</v>
      </c>
      <c r="AV32" s="153"/>
      <c r="AW32" s="44"/>
      <c r="AX32" s="45" t="str">
        <f t="shared" si="34"/>
        <v/>
      </c>
      <c r="AY32" s="46"/>
      <c r="AZ32" s="152" t="str">
        <f t="shared" si="35"/>
        <v>No Quote</v>
      </c>
      <c r="BA32" s="153"/>
      <c r="BB32" s="44"/>
      <c r="BC32" s="45" t="str">
        <f t="shared" si="36"/>
        <v/>
      </c>
      <c r="BD32" s="46"/>
      <c r="BE32" s="212" t="str">
        <f t="shared" si="37"/>
        <v>No Quote</v>
      </c>
      <c r="BF32" s="213"/>
      <c r="BG32" s="90"/>
      <c r="BH32" s="96"/>
      <c r="BI32" s="66" t="str">
        <f t="shared" si="38"/>
        <v/>
      </c>
      <c r="BJ32" s="95"/>
      <c r="BK32" s="95" t="str">
        <f>IFERROR(IF(#REF!="","",#REF!),"")</f>
        <v/>
      </c>
      <c r="BL32" s="80" t="str">
        <f t="shared" si="7"/>
        <v>-</v>
      </c>
      <c r="BM32" s="80" t="str">
        <f t="shared" si="8"/>
        <v>-</v>
      </c>
      <c r="BN32" s="80" t="str">
        <f t="shared" si="9"/>
        <v>-</v>
      </c>
      <c r="BO32" s="80" t="str">
        <f t="shared" si="10"/>
        <v>-</v>
      </c>
      <c r="BP32" s="80" t="str">
        <f t="shared" si="11"/>
        <v>-</v>
      </c>
      <c r="BQ32" s="80" t="str">
        <f t="shared" si="12"/>
        <v>-</v>
      </c>
      <c r="BR32" s="80" t="str">
        <f t="shared" si="13"/>
        <v>-</v>
      </c>
      <c r="BS32" s="80" t="str">
        <f t="shared" si="14"/>
        <v>-</v>
      </c>
      <c r="BT32" s="80" t="str">
        <f t="shared" si="15"/>
        <v>-</v>
      </c>
      <c r="BU32" s="81" t="str">
        <f t="shared" si="39"/>
        <v/>
      </c>
      <c r="BV32" s="91" t="str">
        <f t="shared" si="16"/>
        <v>-</v>
      </c>
      <c r="BW32" s="77" t="str">
        <f t="shared" si="40"/>
        <v/>
      </c>
      <c r="BX32" s="75" t="str">
        <f t="shared" si="41"/>
        <v/>
      </c>
      <c r="BY32" s="74" t="str">
        <f t="shared" si="42"/>
        <v/>
      </c>
      <c r="BZ32" s="77" t="str">
        <f t="shared" si="43"/>
        <v/>
      </c>
      <c r="CA32" s="75" t="str">
        <f t="shared" si="44"/>
        <v/>
      </c>
      <c r="CB32" s="74" t="str">
        <f t="shared" si="45"/>
        <v/>
      </c>
      <c r="CC32" s="77" t="str">
        <f t="shared" si="17"/>
        <v/>
      </c>
      <c r="CE32" s="104">
        <f t="shared" si="46"/>
        <v>0</v>
      </c>
      <c r="CF32" s="106"/>
    </row>
    <row r="33" spans="2:84" s="1" customFormat="1" ht="62.1" customHeight="1" outlineLevel="1" x14ac:dyDescent="0.25">
      <c r="B33" s="41">
        <f t="shared" si="47"/>
        <v>12</v>
      </c>
      <c r="C33" s="218"/>
      <c r="D33" s="218"/>
      <c r="E33" s="218"/>
      <c r="F33" s="218"/>
      <c r="G33" s="42"/>
      <c r="H33" s="43"/>
      <c r="I33" s="44"/>
      <c r="J33" s="45" t="str">
        <f t="shared" si="18"/>
        <v/>
      </c>
      <c r="K33" s="93"/>
      <c r="L33" s="152" t="str">
        <f t="shared" si="19"/>
        <v>No Quote</v>
      </c>
      <c r="M33" s="153"/>
      <c r="N33" s="44"/>
      <c r="O33" s="45" t="str">
        <f t="shared" si="20"/>
        <v/>
      </c>
      <c r="P33" s="93"/>
      <c r="Q33" s="152" t="str">
        <f t="shared" si="21"/>
        <v>No Quote</v>
      </c>
      <c r="R33" s="153"/>
      <c r="S33" s="44"/>
      <c r="T33" s="45" t="str">
        <f t="shared" si="22"/>
        <v/>
      </c>
      <c r="U33" s="92"/>
      <c r="V33" s="152" t="str">
        <f t="shared" si="23"/>
        <v>No Quote</v>
      </c>
      <c r="W33" s="153"/>
      <c r="X33" s="44"/>
      <c r="Y33" s="45" t="str">
        <f t="shared" si="24"/>
        <v/>
      </c>
      <c r="Z33" s="93"/>
      <c r="AA33" s="152" t="str">
        <f t="shared" si="25"/>
        <v>No Quote</v>
      </c>
      <c r="AB33" s="153"/>
      <c r="AC33" s="44"/>
      <c r="AD33" s="45" t="str">
        <f t="shared" si="26"/>
        <v/>
      </c>
      <c r="AE33" s="92"/>
      <c r="AF33" s="152" t="str">
        <f t="shared" si="27"/>
        <v>No Quote</v>
      </c>
      <c r="AG33" s="153"/>
      <c r="AH33" s="44"/>
      <c r="AI33" s="45" t="str">
        <f t="shared" si="28"/>
        <v/>
      </c>
      <c r="AJ33" s="92"/>
      <c r="AK33" s="152" t="str">
        <f t="shared" si="29"/>
        <v>No Quote</v>
      </c>
      <c r="AL33" s="153"/>
      <c r="AM33" s="44"/>
      <c r="AN33" s="45" t="str">
        <f t="shared" si="30"/>
        <v/>
      </c>
      <c r="AO33" s="92"/>
      <c r="AP33" s="152" t="str">
        <f t="shared" si="31"/>
        <v>No Quote</v>
      </c>
      <c r="AQ33" s="153"/>
      <c r="AR33" s="44"/>
      <c r="AS33" s="45" t="str">
        <f t="shared" si="32"/>
        <v/>
      </c>
      <c r="AT33" s="92"/>
      <c r="AU33" s="152" t="str">
        <f t="shared" si="33"/>
        <v>No Quote</v>
      </c>
      <c r="AV33" s="153"/>
      <c r="AW33" s="44"/>
      <c r="AX33" s="45" t="str">
        <f t="shared" si="34"/>
        <v/>
      </c>
      <c r="AY33" s="46"/>
      <c r="AZ33" s="152" t="str">
        <f t="shared" si="35"/>
        <v>No Quote</v>
      </c>
      <c r="BA33" s="153"/>
      <c r="BB33" s="44"/>
      <c r="BC33" s="45" t="str">
        <f t="shared" si="36"/>
        <v/>
      </c>
      <c r="BD33" s="46"/>
      <c r="BE33" s="212" t="str">
        <f t="shared" si="37"/>
        <v>No Quote</v>
      </c>
      <c r="BF33" s="213"/>
      <c r="BG33" s="90"/>
      <c r="BH33" s="96"/>
      <c r="BI33" s="66" t="str">
        <f t="shared" si="38"/>
        <v/>
      </c>
      <c r="BJ33" s="95"/>
      <c r="BK33" s="95" t="str">
        <f>IFERROR(IF(#REF!="","",#REF!),"")</f>
        <v/>
      </c>
      <c r="BL33" s="80" t="str">
        <f t="shared" si="7"/>
        <v>-</v>
      </c>
      <c r="BM33" s="80" t="str">
        <f t="shared" si="8"/>
        <v>-</v>
      </c>
      <c r="BN33" s="80" t="str">
        <f t="shared" si="9"/>
        <v>-</v>
      </c>
      <c r="BO33" s="80" t="str">
        <f t="shared" si="10"/>
        <v>-</v>
      </c>
      <c r="BP33" s="80" t="str">
        <f t="shared" si="11"/>
        <v>-</v>
      </c>
      <c r="BQ33" s="80" t="str">
        <f t="shared" si="12"/>
        <v>-</v>
      </c>
      <c r="BR33" s="80" t="str">
        <f t="shared" si="13"/>
        <v>-</v>
      </c>
      <c r="BS33" s="80" t="str">
        <f t="shared" si="14"/>
        <v>-</v>
      </c>
      <c r="BT33" s="80" t="str">
        <f t="shared" si="15"/>
        <v>-</v>
      </c>
      <c r="BU33" s="81" t="str">
        <f t="shared" si="39"/>
        <v/>
      </c>
      <c r="BV33" s="91" t="str">
        <f t="shared" si="16"/>
        <v>-</v>
      </c>
      <c r="BW33" s="77" t="str">
        <f t="shared" si="40"/>
        <v/>
      </c>
      <c r="BX33" s="75" t="str">
        <f t="shared" si="41"/>
        <v/>
      </c>
      <c r="BY33" s="74" t="str">
        <f t="shared" si="42"/>
        <v/>
      </c>
      <c r="BZ33" s="77" t="str">
        <f t="shared" si="43"/>
        <v/>
      </c>
      <c r="CA33" s="75" t="str">
        <f t="shared" si="44"/>
        <v/>
      </c>
      <c r="CB33" s="74" t="str">
        <f t="shared" si="45"/>
        <v/>
      </c>
      <c r="CC33" s="77" t="str">
        <f t="shared" si="17"/>
        <v/>
      </c>
      <c r="CE33" s="104">
        <f t="shared" si="46"/>
        <v>0</v>
      </c>
      <c r="CF33" s="106"/>
    </row>
    <row r="34" spans="2:84" s="1" customFormat="1" ht="62.1" customHeight="1" outlineLevel="1" x14ac:dyDescent="0.25">
      <c r="B34" s="41">
        <f t="shared" si="47"/>
        <v>13</v>
      </c>
      <c r="C34" s="218"/>
      <c r="D34" s="218"/>
      <c r="E34" s="218"/>
      <c r="F34" s="218"/>
      <c r="G34" s="42"/>
      <c r="H34" s="43"/>
      <c r="I34" s="44"/>
      <c r="J34" s="45" t="str">
        <f t="shared" si="18"/>
        <v/>
      </c>
      <c r="K34" s="93"/>
      <c r="L34" s="152" t="str">
        <f t="shared" si="19"/>
        <v>No Quote</v>
      </c>
      <c r="M34" s="153"/>
      <c r="N34" s="44"/>
      <c r="O34" s="45" t="str">
        <f t="shared" si="20"/>
        <v/>
      </c>
      <c r="P34" s="93"/>
      <c r="Q34" s="152" t="str">
        <f t="shared" si="21"/>
        <v>No Quote</v>
      </c>
      <c r="R34" s="153"/>
      <c r="S34" s="44"/>
      <c r="T34" s="45" t="str">
        <f t="shared" si="22"/>
        <v/>
      </c>
      <c r="U34" s="92"/>
      <c r="V34" s="152" t="str">
        <f t="shared" si="23"/>
        <v>No Quote</v>
      </c>
      <c r="W34" s="153"/>
      <c r="X34" s="44"/>
      <c r="Y34" s="45" t="str">
        <f t="shared" si="24"/>
        <v/>
      </c>
      <c r="Z34" s="93"/>
      <c r="AA34" s="152" t="str">
        <f t="shared" si="25"/>
        <v>No Quote</v>
      </c>
      <c r="AB34" s="153"/>
      <c r="AC34" s="44"/>
      <c r="AD34" s="45" t="str">
        <f t="shared" si="26"/>
        <v/>
      </c>
      <c r="AE34" s="92"/>
      <c r="AF34" s="152" t="str">
        <f t="shared" si="27"/>
        <v>No Quote</v>
      </c>
      <c r="AG34" s="153"/>
      <c r="AH34" s="44"/>
      <c r="AI34" s="45" t="str">
        <f t="shared" si="28"/>
        <v/>
      </c>
      <c r="AJ34" s="92"/>
      <c r="AK34" s="152" t="str">
        <f t="shared" si="29"/>
        <v>No Quote</v>
      </c>
      <c r="AL34" s="153"/>
      <c r="AM34" s="44"/>
      <c r="AN34" s="45" t="str">
        <f t="shared" si="30"/>
        <v/>
      </c>
      <c r="AO34" s="92"/>
      <c r="AP34" s="152" t="str">
        <f t="shared" si="31"/>
        <v>No Quote</v>
      </c>
      <c r="AQ34" s="153"/>
      <c r="AR34" s="44"/>
      <c r="AS34" s="45" t="str">
        <f t="shared" si="32"/>
        <v/>
      </c>
      <c r="AT34" s="92"/>
      <c r="AU34" s="152" t="str">
        <f t="shared" si="33"/>
        <v>No Quote</v>
      </c>
      <c r="AV34" s="153"/>
      <c r="AW34" s="44"/>
      <c r="AX34" s="45" t="str">
        <f t="shared" si="34"/>
        <v/>
      </c>
      <c r="AY34" s="46"/>
      <c r="AZ34" s="152" t="str">
        <f t="shared" si="35"/>
        <v>No Quote</v>
      </c>
      <c r="BA34" s="153"/>
      <c r="BB34" s="44"/>
      <c r="BC34" s="45" t="str">
        <f t="shared" si="36"/>
        <v/>
      </c>
      <c r="BD34" s="46"/>
      <c r="BE34" s="212" t="str">
        <f t="shared" si="37"/>
        <v>No Quote</v>
      </c>
      <c r="BF34" s="213"/>
      <c r="BG34" s="90"/>
      <c r="BH34" s="96"/>
      <c r="BI34" s="66" t="str">
        <f t="shared" si="38"/>
        <v/>
      </c>
      <c r="BJ34" s="95"/>
      <c r="BK34" s="95" t="str">
        <f>IFERROR(IF(#REF!="","",#REF!),"")</f>
        <v/>
      </c>
      <c r="BL34" s="80" t="str">
        <f t="shared" si="7"/>
        <v>-</v>
      </c>
      <c r="BM34" s="80" t="str">
        <f t="shared" si="8"/>
        <v>-</v>
      </c>
      <c r="BN34" s="80" t="str">
        <f t="shared" si="9"/>
        <v>-</v>
      </c>
      <c r="BO34" s="80" t="str">
        <f t="shared" si="10"/>
        <v>-</v>
      </c>
      <c r="BP34" s="80" t="str">
        <f t="shared" si="11"/>
        <v>-</v>
      </c>
      <c r="BQ34" s="80" t="str">
        <f t="shared" si="12"/>
        <v>-</v>
      </c>
      <c r="BR34" s="80" t="str">
        <f t="shared" si="13"/>
        <v>-</v>
      </c>
      <c r="BS34" s="80" t="str">
        <f t="shared" si="14"/>
        <v>-</v>
      </c>
      <c r="BT34" s="80" t="str">
        <f t="shared" si="15"/>
        <v>-</v>
      </c>
      <c r="BU34" s="81" t="str">
        <f t="shared" si="39"/>
        <v/>
      </c>
      <c r="BV34" s="91" t="str">
        <f t="shared" si="16"/>
        <v>-</v>
      </c>
      <c r="BW34" s="77" t="str">
        <f t="shared" si="40"/>
        <v/>
      </c>
      <c r="BX34" s="75" t="str">
        <f t="shared" si="41"/>
        <v/>
      </c>
      <c r="BY34" s="74" t="str">
        <f t="shared" si="42"/>
        <v/>
      </c>
      <c r="BZ34" s="77" t="str">
        <f t="shared" si="43"/>
        <v/>
      </c>
      <c r="CA34" s="75" t="str">
        <f t="shared" si="44"/>
        <v/>
      </c>
      <c r="CB34" s="74" t="str">
        <f t="shared" si="45"/>
        <v/>
      </c>
      <c r="CC34" s="77" t="str">
        <f t="shared" si="17"/>
        <v/>
      </c>
      <c r="CE34" s="104">
        <f t="shared" si="46"/>
        <v>0</v>
      </c>
      <c r="CF34" s="106"/>
    </row>
    <row r="35" spans="2:84" s="1" customFormat="1" ht="62.1" customHeight="1" outlineLevel="1" x14ac:dyDescent="0.25">
      <c r="B35" s="41">
        <f t="shared" si="47"/>
        <v>14</v>
      </c>
      <c r="C35" s="218"/>
      <c r="D35" s="218"/>
      <c r="E35" s="218"/>
      <c r="F35" s="218"/>
      <c r="G35" s="42"/>
      <c r="H35" s="43"/>
      <c r="I35" s="44"/>
      <c r="J35" s="45" t="str">
        <f t="shared" si="18"/>
        <v/>
      </c>
      <c r="K35" s="93"/>
      <c r="L35" s="152" t="str">
        <f t="shared" si="19"/>
        <v>No Quote</v>
      </c>
      <c r="M35" s="153"/>
      <c r="N35" s="44"/>
      <c r="O35" s="45" t="str">
        <f t="shared" si="20"/>
        <v/>
      </c>
      <c r="P35" s="93"/>
      <c r="Q35" s="152" t="str">
        <f t="shared" si="21"/>
        <v>No Quote</v>
      </c>
      <c r="R35" s="153"/>
      <c r="S35" s="44"/>
      <c r="T35" s="45" t="str">
        <f t="shared" si="22"/>
        <v/>
      </c>
      <c r="U35" s="92"/>
      <c r="V35" s="152" t="str">
        <f t="shared" si="23"/>
        <v>No Quote</v>
      </c>
      <c r="W35" s="153"/>
      <c r="X35" s="44"/>
      <c r="Y35" s="45" t="str">
        <f t="shared" si="24"/>
        <v/>
      </c>
      <c r="Z35" s="93"/>
      <c r="AA35" s="152" t="str">
        <f t="shared" si="25"/>
        <v>No Quote</v>
      </c>
      <c r="AB35" s="153"/>
      <c r="AC35" s="44"/>
      <c r="AD35" s="45" t="str">
        <f t="shared" si="26"/>
        <v/>
      </c>
      <c r="AE35" s="92"/>
      <c r="AF35" s="152" t="str">
        <f t="shared" si="27"/>
        <v>No Quote</v>
      </c>
      <c r="AG35" s="153"/>
      <c r="AH35" s="44"/>
      <c r="AI35" s="45" t="str">
        <f t="shared" si="28"/>
        <v/>
      </c>
      <c r="AJ35" s="92"/>
      <c r="AK35" s="152" t="str">
        <f t="shared" si="29"/>
        <v>No Quote</v>
      </c>
      <c r="AL35" s="153"/>
      <c r="AM35" s="44"/>
      <c r="AN35" s="45" t="str">
        <f t="shared" si="30"/>
        <v/>
      </c>
      <c r="AO35" s="92"/>
      <c r="AP35" s="152" t="str">
        <f t="shared" si="31"/>
        <v>No Quote</v>
      </c>
      <c r="AQ35" s="153"/>
      <c r="AR35" s="44"/>
      <c r="AS35" s="45" t="str">
        <f t="shared" si="32"/>
        <v/>
      </c>
      <c r="AT35" s="92"/>
      <c r="AU35" s="152" t="str">
        <f t="shared" si="33"/>
        <v>No Quote</v>
      </c>
      <c r="AV35" s="153"/>
      <c r="AW35" s="44"/>
      <c r="AX35" s="45" t="str">
        <f t="shared" si="34"/>
        <v/>
      </c>
      <c r="AY35" s="46"/>
      <c r="AZ35" s="152" t="str">
        <f t="shared" si="35"/>
        <v>No Quote</v>
      </c>
      <c r="BA35" s="153"/>
      <c r="BB35" s="44"/>
      <c r="BC35" s="45" t="str">
        <f t="shared" si="36"/>
        <v/>
      </c>
      <c r="BD35" s="46"/>
      <c r="BE35" s="212" t="str">
        <f t="shared" si="37"/>
        <v>No Quote</v>
      </c>
      <c r="BF35" s="213"/>
      <c r="BG35" s="90"/>
      <c r="BH35" s="96"/>
      <c r="BI35" s="66" t="str">
        <f t="shared" si="38"/>
        <v/>
      </c>
      <c r="BJ35" s="95"/>
      <c r="BK35" s="95" t="str">
        <f>IFERROR(IF(#REF!="","",#REF!),"")</f>
        <v/>
      </c>
      <c r="BL35" s="80" t="str">
        <f t="shared" si="7"/>
        <v>-</v>
      </c>
      <c r="BM35" s="80" t="str">
        <f t="shared" si="8"/>
        <v>-</v>
      </c>
      <c r="BN35" s="80" t="str">
        <f t="shared" si="9"/>
        <v>-</v>
      </c>
      <c r="BO35" s="80" t="str">
        <f t="shared" si="10"/>
        <v>-</v>
      </c>
      <c r="BP35" s="80" t="str">
        <f t="shared" si="11"/>
        <v>-</v>
      </c>
      <c r="BQ35" s="80" t="str">
        <f t="shared" si="12"/>
        <v>-</v>
      </c>
      <c r="BR35" s="80" t="str">
        <f t="shared" si="13"/>
        <v>-</v>
      </c>
      <c r="BS35" s="80" t="str">
        <f t="shared" si="14"/>
        <v>-</v>
      </c>
      <c r="BT35" s="80" t="str">
        <f t="shared" si="15"/>
        <v>-</v>
      </c>
      <c r="BU35" s="81" t="str">
        <f t="shared" si="39"/>
        <v/>
      </c>
      <c r="BV35" s="91" t="str">
        <f t="shared" si="16"/>
        <v>-</v>
      </c>
      <c r="BW35" s="77" t="str">
        <f t="shared" si="40"/>
        <v/>
      </c>
      <c r="BX35" s="75" t="str">
        <f t="shared" si="41"/>
        <v/>
      </c>
      <c r="BY35" s="74" t="str">
        <f t="shared" si="42"/>
        <v/>
      </c>
      <c r="BZ35" s="77" t="str">
        <f t="shared" si="43"/>
        <v/>
      </c>
      <c r="CA35" s="75" t="str">
        <f t="shared" si="44"/>
        <v/>
      </c>
      <c r="CB35" s="74" t="str">
        <f t="shared" si="45"/>
        <v/>
      </c>
      <c r="CC35" s="77" t="str">
        <f t="shared" si="17"/>
        <v/>
      </c>
      <c r="CE35" s="104">
        <f t="shared" si="46"/>
        <v>0</v>
      </c>
      <c r="CF35" s="106"/>
    </row>
    <row r="36" spans="2:84" s="1" customFormat="1" ht="62.1" customHeight="1" outlineLevel="1" x14ac:dyDescent="0.25">
      <c r="B36" s="41">
        <f t="shared" si="47"/>
        <v>15</v>
      </c>
      <c r="C36" s="218"/>
      <c r="D36" s="218"/>
      <c r="E36" s="218"/>
      <c r="F36" s="218"/>
      <c r="G36" s="42"/>
      <c r="H36" s="43"/>
      <c r="I36" s="44"/>
      <c r="J36" s="45" t="str">
        <f t="shared" si="18"/>
        <v/>
      </c>
      <c r="K36" s="93"/>
      <c r="L36" s="152" t="str">
        <f t="shared" si="19"/>
        <v>No Quote</v>
      </c>
      <c r="M36" s="153"/>
      <c r="N36" s="44"/>
      <c r="O36" s="45" t="str">
        <f t="shared" si="20"/>
        <v/>
      </c>
      <c r="P36" s="93"/>
      <c r="Q36" s="152" t="str">
        <f t="shared" si="21"/>
        <v>No Quote</v>
      </c>
      <c r="R36" s="153"/>
      <c r="S36" s="44"/>
      <c r="T36" s="45" t="str">
        <f t="shared" si="22"/>
        <v/>
      </c>
      <c r="U36" s="92"/>
      <c r="V36" s="152" t="str">
        <f t="shared" si="23"/>
        <v>No Quote</v>
      </c>
      <c r="W36" s="153"/>
      <c r="X36" s="44"/>
      <c r="Y36" s="45" t="str">
        <f t="shared" si="24"/>
        <v/>
      </c>
      <c r="Z36" s="93"/>
      <c r="AA36" s="152" t="str">
        <f t="shared" si="25"/>
        <v>No Quote</v>
      </c>
      <c r="AB36" s="153"/>
      <c r="AC36" s="44"/>
      <c r="AD36" s="45" t="str">
        <f t="shared" si="26"/>
        <v/>
      </c>
      <c r="AE36" s="92"/>
      <c r="AF36" s="152" t="str">
        <f t="shared" si="27"/>
        <v>No Quote</v>
      </c>
      <c r="AG36" s="153"/>
      <c r="AH36" s="44"/>
      <c r="AI36" s="45" t="str">
        <f t="shared" si="28"/>
        <v/>
      </c>
      <c r="AJ36" s="92"/>
      <c r="AK36" s="152" t="str">
        <f t="shared" si="29"/>
        <v>No Quote</v>
      </c>
      <c r="AL36" s="153"/>
      <c r="AM36" s="44"/>
      <c r="AN36" s="45" t="str">
        <f t="shared" si="30"/>
        <v/>
      </c>
      <c r="AO36" s="92"/>
      <c r="AP36" s="152" t="str">
        <f t="shared" si="31"/>
        <v>No Quote</v>
      </c>
      <c r="AQ36" s="153"/>
      <c r="AR36" s="44"/>
      <c r="AS36" s="45" t="str">
        <f t="shared" si="32"/>
        <v/>
      </c>
      <c r="AT36" s="92"/>
      <c r="AU36" s="152" t="str">
        <f t="shared" si="33"/>
        <v>No Quote</v>
      </c>
      <c r="AV36" s="153"/>
      <c r="AW36" s="44"/>
      <c r="AX36" s="45" t="str">
        <f t="shared" si="34"/>
        <v/>
      </c>
      <c r="AY36" s="46"/>
      <c r="AZ36" s="152" t="str">
        <f t="shared" si="35"/>
        <v>No Quote</v>
      </c>
      <c r="BA36" s="153"/>
      <c r="BB36" s="44"/>
      <c r="BC36" s="45" t="str">
        <f t="shared" si="36"/>
        <v/>
      </c>
      <c r="BD36" s="46"/>
      <c r="BE36" s="212" t="str">
        <f t="shared" si="37"/>
        <v>No Quote</v>
      </c>
      <c r="BF36" s="213"/>
      <c r="BG36" s="90"/>
      <c r="BH36" s="96"/>
      <c r="BI36" s="66" t="str">
        <f t="shared" si="38"/>
        <v/>
      </c>
      <c r="BJ36" s="95"/>
      <c r="BK36" s="95" t="str">
        <f>IFERROR(IF(#REF!="","",#REF!),"")</f>
        <v/>
      </c>
      <c r="BL36" s="80" t="str">
        <f t="shared" si="7"/>
        <v>-</v>
      </c>
      <c r="BM36" s="80" t="str">
        <f t="shared" si="8"/>
        <v>-</v>
      </c>
      <c r="BN36" s="80" t="str">
        <f t="shared" si="9"/>
        <v>-</v>
      </c>
      <c r="BO36" s="80" t="str">
        <f t="shared" si="10"/>
        <v>-</v>
      </c>
      <c r="BP36" s="80" t="str">
        <f t="shared" si="11"/>
        <v>-</v>
      </c>
      <c r="BQ36" s="80" t="str">
        <f t="shared" si="12"/>
        <v>-</v>
      </c>
      <c r="BR36" s="80" t="str">
        <f t="shared" si="13"/>
        <v>-</v>
      </c>
      <c r="BS36" s="80" t="str">
        <f t="shared" si="14"/>
        <v>-</v>
      </c>
      <c r="BT36" s="80" t="str">
        <f t="shared" si="15"/>
        <v>-</v>
      </c>
      <c r="BU36" s="81" t="str">
        <f t="shared" si="39"/>
        <v/>
      </c>
      <c r="BV36" s="91" t="str">
        <f t="shared" si="16"/>
        <v>-</v>
      </c>
      <c r="BW36" s="77" t="str">
        <f t="shared" si="40"/>
        <v/>
      </c>
      <c r="BX36" s="75" t="str">
        <f t="shared" si="41"/>
        <v/>
      </c>
      <c r="BY36" s="74" t="str">
        <f t="shared" si="42"/>
        <v/>
      </c>
      <c r="BZ36" s="77" t="str">
        <f t="shared" si="43"/>
        <v/>
      </c>
      <c r="CA36" s="75" t="str">
        <f t="shared" si="44"/>
        <v/>
      </c>
      <c r="CB36" s="74" t="str">
        <f t="shared" si="45"/>
        <v/>
      </c>
      <c r="CC36" s="77" t="str">
        <f t="shared" si="17"/>
        <v/>
      </c>
      <c r="CE36" s="104">
        <f t="shared" si="46"/>
        <v>0</v>
      </c>
      <c r="CF36" s="106"/>
    </row>
    <row r="37" spans="2:84" s="1" customFormat="1" ht="62.1" customHeight="1" outlineLevel="1" x14ac:dyDescent="0.25">
      <c r="B37" s="41">
        <f t="shared" si="47"/>
        <v>16</v>
      </c>
      <c r="C37" s="218"/>
      <c r="D37" s="218"/>
      <c r="E37" s="218"/>
      <c r="F37" s="218"/>
      <c r="G37" s="42"/>
      <c r="H37" s="43"/>
      <c r="I37" s="44"/>
      <c r="J37" s="45" t="str">
        <f t="shared" si="18"/>
        <v/>
      </c>
      <c r="K37" s="93"/>
      <c r="L37" s="152" t="str">
        <f t="shared" si="19"/>
        <v>No Quote</v>
      </c>
      <c r="M37" s="153"/>
      <c r="N37" s="44"/>
      <c r="O37" s="45" t="str">
        <f t="shared" si="20"/>
        <v/>
      </c>
      <c r="P37" s="93"/>
      <c r="Q37" s="152" t="str">
        <f t="shared" si="21"/>
        <v>No Quote</v>
      </c>
      <c r="R37" s="153"/>
      <c r="S37" s="44"/>
      <c r="T37" s="45" t="str">
        <f t="shared" si="22"/>
        <v/>
      </c>
      <c r="U37" s="92"/>
      <c r="V37" s="152" t="str">
        <f t="shared" si="23"/>
        <v>No Quote</v>
      </c>
      <c r="W37" s="153"/>
      <c r="X37" s="44"/>
      <c r="Y37" s="45" t="str">
        <f t="shared" si="24"/>
        <v/>
      </c>
      <c r="Z37" s="93"/>
      <c r="AA37" s="152" t="str">
        <f t="shared" si="25"/>
        <v>No Quote</v>
      </c>
      <c r="AB37" s="153"/>
      <c r="AC37" s="44"/>
      <c r="AD37" s="45" t="str">
        <f t="shared" si="26"/>
        <v/>
      </c>
      <c r="AE37" s="92"/>
      <c r="AF37" s="152" t="str">
        <f t="shared" si="27"/>
        <v>No Quote</v>
      </c>
      <c r="AG37" s="153"/>
      <c r="AH37" s="44"/>
      <c r="AI37" s="45" t="str">
        <f t="shared" si="28"/>
        <v/>
      </c>
      <c r="AJ37" s="92"/>
      <c r="AK37" s="152" t="str">
        <f t="shared" si="29"/>
        <v>No Quote</v>
      </c>
      <c r="AL37" s="153"/>
      <c r="AM37" s="44"/>
      <c r="AN37" s="45" t="str">
        <f t="shared" si="30"/>
        <v/>
      </c>
      <c r="AO37" s="92"/>
      <c r="AP37" s="152" t="str">
        <f t="shared" si="31"/>
        <v>No Quote</v>
      </c>
      <c r="AQ37" s="153"/>
      <c r="AR37" s="44"/>
      <c r="AS37" s="45" t="str">
        <f t="shared" si="32"/>
        <v/>
      </c>
      <c r="AT37" s="92"/>
      <c r="AU37" s="152" t="str">
        <f t="shared" si="33"/>
        <v>No Quote</v>
      </c>
      <c r="AV37" s="153"/>
      <c r="AW37" s="44"/>
      <c r="AX37" s="45" t="str">
        <f t="shared" si="34"/>
        <v/>
      </c>
      <c r="AY37" s="46"/>
      <c r="AZ37" s="152" t="str">
        <f t="shared" si="35"/>
        <v>No Quote</v>
      </c>
      <c r="BA37" s="153"/>
      <c r="BB37" s="44"/>
      <c r="BC37" s="45" t="str">
        <f t="shared" si="36"/>
        <v/>
      </c>
      <c r="BD37" s="46"/>
      <c r="BE37" s="212" t="str">
        <f t="shared" si="37"/>
        <v>No Quote</v>
      </c>
      <c r="BF37" s="213"/>
      <c r="BG37" s="90"/>
      <c r="BH37" s="96"/>
      <c r="BI37" s="66" t="str">
        <f t="shared" si="38"/>
        <v/>
      </c>
      <c r="BJ37" s="95"/>
      <c r="BK37" s="95" t="str">
        <f>IFERROR(IF(#REF!="","",#REF!),"")</f>
        <v/>
      </c>
      <c r="BL37" s="80" t="str">
        <f t="shared" si="7"/>
        <v>-</v>
      </c>
      <c r="BM37" s="80" t="str">
        <f t="shared" si="8"/>
        <v>-</v>
      </c>
      <c r="BN37" s="80" t="str">
        <f t="shared" si="9"/>
        <v>-</v>
      </c>
      <c r="BO37" s="80" t="str">
        <f t="shared" si="10"/>
        <v>-</v>
      </c>
      <c r="BP37" s="80" t="str">
        <f t="shared" si="11"/>
        <v>-</v>
      </c>
      <c r="BQ37" s="80" t="str">
        <f t="shared" si="12"/>
        <v>-</v>
      </c>
      <c r="BR37" s="80" t="str">
        <f t="shared" si="13"/>
        <v>-</v>
      </c>
      <c r="BS37" s="80" t="str">
        <f t="shared" si="14"/>
        <v>-</v>
      </c>
      <c r="BT37" s="80" t="str">
        <f t="shared" si="15"/>
        <v>-</v>
      </c>
      <c r="BU37" s="81" t="str">
        <f t="shared" si="39"/>
        <v/>
      </c>
      <c r="BV37" s="91" t="str">
        <f t="shared" si="16"/>
        <v>-</v>
      </c>
      <c r="BW37" s="77" t="str">
        <f t="shared" si="40"/>
        <v/>
      </c>
      <c r="BX37" s="75" t="str">
        <f t="shared" si="41"/>
        <v/>
      </c>
      <c r="BY37" s="74" t="str">
        <f t="shared" si="42"/>
        <v/>
      </c>
      <c r="BZ37" s="77" t="str">
        <f t="shared" si="43"/>
        <v/>
      </c>
      <c r="CA37" s="75" t="str">
        <f t="shared" si="44"/>
        <v/>
      </c>
      <c r="CB37" s="74" t="str">
        <f t="shared" si="45"/>
        <v/>
      </c>
      <c r="CC37" s="77" t="str">
        <f t="shared" si="17"/>
        <v/>
      </c>
      <c r="CE37" s="104">
        <f t="shared" si="46"/>
        <v>0</v>
      </c>
      <c r="CF37" s="106"/>
    </row>
    <row r="38" spans="2:84" s="1" customFormat="1" ht="62.1" customHeight="1" outlineLevel="1" x14ac:dyDescent="0.25">
      <c r="B38" s="41">
        <f t="shared" si="47"/>
        <v>17</v>
      </c>
      <c r="C38" s="218"/>
      <c r="D38" s="218"/>
      <c r="E38" s="218"/>
      <c r="F38" s="218"/>
      <c r="G38" s="42"/>
      <c r="H38" s="43"/>
      <c r="I38" s="44"/>
      <c r="J38" s="45" t="str">
        <f t="shared" si="18"/>
        <v/>
      </c>
      <c r="K38" s="93"/>
      <c r="L38" s="152" t="str">
        <f t="shared" si="19"/>
        <v>No Quote</v>
      </c>
      <c r="M38" s="153"/>
      <c r="N38" s="44"/>
      <c r="O38" s="45" t="str">
        <f t="shared" si="20"/>
        <v/>
      </c>
      <c r="P38" s="93"/>
      <c r="Q38" s="152" t="str">
        <f t="shared" si="21"/>
        <v>No Quote</v>
      </c>
      <c r="R38" s="153"/>
      <c r="S38" s="44"/>
      <c r="T38" s="45" t="str">
        <f t="shared" si="22"/>
        <v/>
      </c>
      <c r="U38" s="92"/>
      <c r="V38" s="152" t="str">
        <f t="shared" si="23"/>
        <v>No Quote</v>
      </c>
      <c r="W38" s="153"/>
      <c r="X38" s="44"/>
      <c r="Y38" s="45" t="str">
        <f t="shared" si="24"/>
        <v/>
      </c>
      <c r="Z38" s="93"/>
      <c r="AA38" s="152" t="str">
        <f t="shared" si="25"/>
        <v>No Quote</v>
      </c>
      <c r="AB38" s="153"/>
      <c r="AC38" s="44"/>
      <c r="AD38" s="45" t="str">
        <f t="shared" si="26"/>
        <v/>
      </c>
      <c r="AE38" s="92"/>
      <c r="AF38" s="152" t="str">
        <f t="shared" si="27"/>
        <v>No Quote</v>
      </c>
      <c r="AG38" s="153"/>
      <c r="AH38" s="44"/>
      <c r="AI38" s="45" t="str">
        <f t="shared" si="28"/>
        <v/>
      </c>
      <c r="AJ38" s="92"/>
      <c r="AK38" s="152" t="str">
        <f t="shared" si="29"/>
        <v>No Quote</v>
      </c>
      <c r="AL38" s="153"/>
      <c r="AM38" s="44"/>
      <c r="AN38" s="45" t="str">
        <f t="shared" si="30"/>
        <v/>
      </c>
      <c r="AO38" s="92"/>
      <c r="AP38" s="152" t="str">
        <f t="shared" si="31"/>
        <v>No Quote</v>
      </c>
      <c r="AQ38" s="153"/>
      <c r="AR38" s="44"/>
      <c r="AS38" s="45" t="str">
        <f t="shared" si="32"/>
        <v/>
      </c>
      <c r="AT38" s="92"/>
      <c r="AU38" s="152" t="str">
        <f t="shared" si="33"/>
        <v>No Quote</v>
      </c>
      <c r="AV38" s="153"/>
      <c r="AW38" s="44"/>
      <c r="AX38" s="45" t="str">
        <f t="shared" si="34"/>
        <v/>
      </c>
      <c r="AY38" s="46"/>
      <c r="AZ38" s="152" t="str">
        <f t="shared" si="35"/>
        <v>No Quote</v>
      </c>
      <c r="BA38" s="153"/>
      <c r="BB38" s="44"/>
      <c r="BC38" s="45" t="str">
        <f t="shared" si="36"/>
        <v/>
      </c>
      <c r="BD38" s="46"/>
      <c r="BE38" s="212" t="str">
        <f t="shared" si="37"/>
        <v>No Quote</v>
      </c>
      <c r="BF38" s="213"/>
      <c r="BG38" s="90"/>
      <c r="BH38" s="96"/>
      <c r="BI38" s="66" t="str">
        <f t="shared" si="38"/>
        <v/>
      </c>
      <c r="BJ38" s="95"/>
      <c r="BK38" s="95" t="str">
        <f>IFERROR(IF(#REF!="","",#REF!),"")</f>
        <v/>
      </c>
      <c r="BL38" s="80" t="str">
        <f t="shared" si="7"/>
        <v>-</v>
      </c>
      <c r="BM38" s="80" t="str">
        <f t="shared" si="8"/>
        <v>-</v>
      </c>
      <c r="BN38" s="80" t="str">
        <f t="shared" si="9"/>
        <v>-</v>
      </c>
      <c r="BO38" s="80" t="str">
        <f t="shared" si="10"/>
        <v>-</v>
      </c>
      <c r="BP38" s="80" t="str">
        <f t="shared" si="11"/>
        <v>-</v>
      </c>
      <c r="BQ38" s="80" t="str">
        <f t="shared" si="12"/>
        <v>-</v>
      </c>
      <c r="BR38" s="80" t="str">
        <f t="shared" si="13"/>
        <v>-</v>
      </c>
      <c r="BS38" s="80" t="str">
        <f t="shared" si="14"/>
        <v>-</v>
      </c>
      <c r="BT38" s="80" t="str">
        <f t="shared" si="15"/>
        <v>-</v>
      </c>
      <c r="BU38" s="81" t="str">
        <f t="shared" si="39"/>
        <v/>
      </c>
      <c r="BV38" s="91" t="str">
        <f t="shared" si="16"/>
        <v>-</v>
      </c>
      <c r="BW38" s="77" t="str">
        <f t="shared" si="40"/>
        <v/>
      </c>
      <c r="BX38" s="75" t="str">
        <f t="shared" si="41"/>
        <v/>
      </c>
      <c r="BY38" s="74" t="str">
        <f t="shared" si="42"/>
        <v/>
      </c>
      <c r="BZ38" s="77" t="str">
        <f t="shared" si="43"/>
        <v/>
      </c>
      <c r="CA38" s="75" t="str">
        <f t="shared" si="44"/>
        <v/>
      </c>
      <c r="CB38" s="74" t="str">
        <f t="shared" si="45"/>
        <v/>
      </c>
      <c r="CC38" s="77" t="str">
        <f t="shared" si="17"/>
        <v/>
      </c>
      <c r="CE38" s="104">
        <f t="shared" si="46"/>
        <v>0</v>
      </c>
      <c r="CF38" s="106"/>
    </row>
    <row r="39" spans="2:84" s="1" customFormat="1" ht="62.1" customHeight="1" outlineLevel="1" x14ac:dyDescent="0.25">
      <c r="B39" s="41">
        <f t="shared" si="47"/>
        <v>18</v>
      </c>
      <c r="C39" s="218"/>
      <c r="D39" s="218"/>
      <c r="E39" s="218"/>
      <c r="F39" s="218"/>
      <c r="G39" s="42"/>
      <c r="H39" s="43"/>
      <c r="I39" s="44"/>
      <c r="J39" s="45" t="str">
        <f t="shared" si="18"/>
        <v/>
      </c>
      <c r="K39" s="93"/>
      <c r="L39" s="152" t="str">
        <f t="shared" si="19"/>
        <v>No Quote</v>
      </c>
      <c r="M39" s="153"/>
      <c r="N39" s="44"/>
      <c r="O39" s="45" t="str">
        <f t="shared" si="20"/>
        <v/>
      </c>
      <c r="P39" s="93"/>
      <c r="Q39" s="152" t="str">
        <f t="shared" si="21"/>
        <v>No Quote</v>
      </c>
      <c r="R39" s="153"/>
      <c r="S39" s="44"/>
      <c r="T39" s="45" t="str">
        <f t="shared" si="22"/>
        <v/>
      </c>
      <c r="U39" s="92"/>
      <c r="V39" s="152" t="str">
        <f t="shared" si="23"/>
        <v>No Quote</v>
      </c>
      <c r="W39" s="153"/>
      <c r="X39" s="44"/>
      <c r="Y39" s="45" t="str">
        <f t="shared" si="24"/>
        <v/>
      </c>
      <c r="Z39" s="93"/>
      <c r="AA39" s="152" t="str">
        <f t="shared" si="25"/>
        <v>No Quote</v>
      </c>
      <c r="AB39" s="153"/>
      <c r="AC39" s="44"/>
      <c r="AD39" s="45" t="str">
        <f t="shared" si="26"/>
        <v/>
      </c>
      <c r="AE39" s="92"/>
      <c r="AF39" s="152" t="str">
        <f t="shared" si="27"/>
        <v>No Quote</v>
      </c>
      <c r="AG39" s="153"/>
      <c r="AH39" s="44"/>
      <c r="AI39" s="45" t="str">
        <f t="shared" si="28"/>
        <v/>
      </c>
      <c r="AJ39" s="92"/>
      <c r="AK39" s="152" t="str">
        <f t="shared" si="29"/>
        <v>No Quote</v>
      </c>
      <c r="AL39" s="153"/>
      <c r="AM39" s="44"/>
      <c r="AN39" s="45" t="str">
        <f t="shared" si="30"/>
        <v/>
      </c>
      <c r="AO39" s="92"/>
      <c r="AP39" s="152" t="str">
        <f t="shared" si="31"/>
        <v>No Quote</v>
      </c>
      <c r="AQ39" s="153"/>
      <c r="AR39" s="44"/>
      <c r="AS39" s="45" t="str">
        <f t="shared" si="32"/>
        <v/>
      </c>
      <c r="AT39" s="92"/>
      <c r="AU39" s="152" t="str">
        <f t="shared" si="33"/>
        <v>No Quote</v>
      </c>
      <c r="AV39" s="153"/>
      <c r="AW39" s="44"/>
      <c r="AX39" s="45" t="str">
        <f t="shared" si="34"/>
        <v/>
      </c>
      <c r="AY39" s="46"/>
      <c r="AZ39" s="152" t="str">
        <f t="shared" si="35"/>
        <v>No Quote</v>
      </c>
      <c r="BA39" s="153"/>
      <c r="BB39" s="44"/>
      <c r="BC39" s="45" t="str">
        <f t="shared" si="36"/>
        <v/>
      </c>
      <c r="BD39" s="46"/>
      <c r="BE39" s="212" t="str">
        <f t="shared" si="37"/>
        <v>No Quote</v>
      </c>
      <c r="BF39" s="213"/>
      <c r="BG39" s="90"/>
      <c r="BH39" s="96"/>
      <c r="BI39" s="66" t="str">
        <f t="shared" si="38"/>
        <v/>
      </c>
      <c r="BJ39" s="95"/>
      <c r="BK39" s="95" t="str">
        <f>IFERROR(IF(#REF!="","",#REF!),"")</f>
        <v/>
      </c>
      <c r="BL39" s="80" t="str">
        <f t="shared" si="7"/>
        <v>-</v>
      </c>
      <c r="BM39" s="80" t="str">
        <f t="shared" si="8"/>
        <v>-</v>
      </c>
      <c r="BN39" s="80" t="str">
        <f t="shared" si="9"/>
        <v>-</v>
      </c>
      <c r="BO39" s="80" t="str">
        <f t="shared" si="10"/>
        <v>-</v>
      </c>
      <c r="BP39" s="80" t="str">
        <f t="shared" si="11"/>
        <v>-</v>
      </c>
      <c r="BQ39" s="80" t="str">
        <f t="shared" si="12"/>
        <v>-</v>
      </c>
      <c r="BR39" s="80" t="str">
        <f t="shared" si="13"/>
        <v>-</v>
      </c>
      <c r="BS39" s="80" t="str">
        <f t="shared" si="14"/>
        <v>-</v>
      </c>
      <c r="BT39" s="80" t="str">
        <f t="shared" si="15"/>
        <v>-</v>
      </c>
      <c r="BU39" s="81" t="str">
        <f t="shared" si="39"/>
        <v/>
      </c>
      <c r="BV39" s="91" t="str">
        <f t="shared" si="16"/>
        <v>-</v>
      </c>
      <c r="BW39" s="77" t="str">
        <f t="shared" si="40"/>
        <v/>
      </c>
      <c r="BX39" s="75" t="str">
        <f t="shared" si="41"/>
        <v/>
      </c>
      <c r="BY39" s="74" t="str">
        <f t="shared" si="42"/>
        <v/>
      </c>
      <c r="BZ39" s="77" t="str">
        <f t="shared" si="43"/>
        <v/>
      </c>
      <c r="CA39" s="75" t="str">
        <f t="shared" si="44"/>
        <v/>
      </c>
      <c r="CB39" s="74" t="str">
        <f t="shared" si="45"/>
        <v/>
      </c>
      <c r="CC39" s="77" t="str">
        <f t="shared" si="17"/>
        <v/>
      </c>
      <c r="CE39" s="104">
        <f t="shared" si="46"/>
        <v>0</v>
      </c>
      <c r="CF39" s="106"/>
    </row>
    <row r="40" spans="2:84" s="1" customFormat="1" ht="62.1" customHeight="1" outlineLevel="1" x14ac:dyDescent="0.25">
      <c r="B40" s="41">
        <f t="shared" si="47"/>
        <v>19</v>
      </c>
      <c r="C40" s="218"/>
      <c r="D40" s="218"/>
      <c r="E40" s="218"/>
      <c r="F40" s="218"/>
      <c r="G40" s="42"/>
      <c r="H40" s="43"/>
      <c r="I40" s="44"/>
      <c r="J40" s="45" t="str">
        <f t="shared" si="18"/>
        <v/>
      </c>
      <c r="K40" s="93"/>
      <c r="L40" s="152" t="str">
        <f t="shared" si="19"/>
        <v>No Quote</v>
      </c>
      <c r="M40" s="153"/>
      <c r="N40" s="44"/>
      <c r="O40" s="45" t="str">
        <f t="shared" si="20"/>
        <v/>
      </c>
      <c r="P40" s="93"/>
      <c r="Q40" s="152" t="str">
        <f t="shared" si="21"/>
        <v>No Quote</v>
      </c>
      <c r="R40" s="153"/>
      <c r="S40" s="44"/>
      <c r="T40" s="45" t="str">
        <f t="shared" si="22"/>
        <v/>
      </c>
      <c r="U40" s="92"/>
      <c r="V40" s="152" t="str">
        <f t="shared" si="23"/>
        <v>No Quote</v>
      </c>
      <c r="W40" s="153"/>
      <c r="X40" s="44"/>
      <c r="Y40" s="45" t="str">
        <f t="shared" si="24"/>
        <v/>
      </c>
      <c r="Z40" s="93"/>
      <c r="AA40" s="152" t="str">
        <f t="shared" si="25"/>
        <v>No Quote</v>
      </c>
      <c r="AB40" s="153"/>
      <c r="AC40" s="44"/>
      <c r="AD40" s="45" t="str">
        <f t="shared" si="26"/>
        <v/>
      </c>
      <c r="AE40" s="92"/>
      <c r="AF40" s="152" t="str">
        <f t="shared" si="27"/>
        <v>No Quote</v>
      </c>
      <c r="AG40" s="153"/>
      <c r="AH40" s="44"/>
      <c r="AI40" s="45" t="str">
        <f t="shared" si="28"/>
        <v/>
      </c>
      <c r="AJ40" s="92"/>
      <c r="AK40" s="152" t="str">
        <f t="shared" si="29"/>
        <v>No Quote</v>
      </c>
      <c r="AL40" s="153"/>
      <c r="AM40" s="44"/>
      <c r="AN40" s="45" t="str">
        <f t="shared" si="30"/>
        <v/>
      </c>
      <c r="AO40" s="92"/>
      <c r="AP40" s="152" t="str">
        <f t="shared" si="31"/>
        <v>No Quote</v>
      </c>
      <c r="AQ40" s="153"/>
      <c r="AR40" s="44"/>
      <c r="AS40" s="45" t="str">
        <f t="shared" si="32"/>
        <v/>
      </c>
      <c r="AT40" s="92"/>
      <c r="AU40" s="152" t="str">
        <f t="shared" si="33"/>
        <v>No Quote</v>
      </c>
      <c r="AV40" s="153"/>
      <c r="AW40" s="44"/>
      <c r="AX40" s="45" t="str">
        <f t="shared" si="34"/>
        <v/>
      </c>
      <c r="AY40" s="46"/>
      <c r="AZ40" s="152" t="str">
        <f t="shared" si="35"/>
        <v>No Quote</v>
      </c>
      <c r="BA40" s="153"/>
      <c r="BB40" s="44"/>
      <c r="BC40" s="45" t="str">
        <f t="shared" si="36"/>
        <v/>
      </c>
      <c r="BD40" s="46"/>
      <c r="BE40" s="212" t="str">
        <f t="shared" si="37"/>
        <v>No Quote</v>
      </c>
      <c r="BF40" s="213"/>
      <c r="BG40" s="90"/>
      <c r="BH40" s="96"/>
      <c r="BI40" s="66" t="str">
        <f t="shared" si="38"/>
        <v/>
      </c>
      <c r="BJ40" s="95"/>
      <c r="BK40" s="95" t="str">
        <f>IFERROR(IF(#REF!="","",#REF!),"")</f>
        <v/>
      </c>
      <c r="BL40" s="80" t="str">
        <f t="shared" si="7"/>
        <v>-</v>
      </c>
      <c r="BM40" s="80" t="str">
        <f t="shared" si="8"/>
        <v>-</v>
      </c>
      <c r="BN40" s="80" t="str">
        <f t="shared" si="9"/>
        <v>-</v>
      </c>
      <c r="BO40" s="80" t="str">
        <f t="shared" si="10"/>
        <v>-</v>
      </c>
      <c r="BP40" s="80" t="str">
        <f t="shared" si="11"/>
        <v>-</v>
      </c>
      <c r="BQ40" s="80" t="str">
        <f t="shared" si="12"/>
        <v>-</v>
      </c>
      <c r="BR40" s="80" t="str">
        <f t="shared" si="13"/>
        <v>-</v>
      </c>
      <c r="BS40" s="80" t="str">
        <f t="shared" si="14"/>
        <v>-</v>
      </c>
      <c r="BT40" s="80" t="str">
        <f t="shared" si="15"/>
        <v>-</v>
      </c>
      <c r="BU40" s="81" t="str">
        <f t="shared" si="39"/>
        <v/>
      </c>
      <c r="BV40" s="91" t="str">
        <f t="shared" si="16"/>
        <v>-</v>
      </c>
      <c r="BW40" s="77" t="str">
        <f t="shared" si="40"/>
        <v/>
      </c>
      <c r="BX40" s="75" t="str">
        <f t="shared" si="41"/>
        <v/>
      </c>
      <c r="BY40" s="74" t="str">
        <f t="shared" si="42"/>
        <v/>
      </c>
      <c r="BZ40" s="77" t="str">
        <f t="shared" si="43"/>
        <v/>
      </c>
      <c r="CA40" s="75" t="str">
        <f t="shared" si="44"/>
        <v/>
      </c>
      <c r="CB40" s="74" t="str">
        <f t="shared" si="45"/>
        <v/>
      </c>
      <c r="CC40" s="77" t="str">
        <f t="shared" si="17"/>
        <v/>
      </c>
      <c r="CE40" s="104">
        <f t="shared" si="46"/>
        <v>0</v>
      </c>
      <c r="CF40" s="106"/>
    </row>
    <row r="41" spans="2:84" s="1" customFormat="1" ht="62.1" customHeight="1" outlineLevel="1" x14ac:dyDescent="0.25">
      <c r="B41" s="41">
        <f t="shared" si="47"/>
        <v>20</v>
      </c>
      <c r="C41" s="218"/>
      <c r="D41" s="218"/>
      <c r="E41" s="218"/>
      <c r="F41" s="218"/>
      <c r="G41" s="42"/>
      <c r="H41" s="43"/>
      <c r="I41" s="44"/>
      <c r="J41" s="45" t="str">
        <f t="shared" si="18"/>
        <v/>
      </c>
      <c r="K41" s="93"/>
      <c r="L41" s="152" t="str">
        <f t="shared" si="19"/>
        <v>No Quote</v>
      </c>
      <c r="M41" s="153"/>
      <c r="N41" s="44"/>
      <c r="O41" s="45" t="str">
        <f t="shared" si="20"/>
        <v/>
      </c>
      <c r="P41" s="93"/>
      <c r="Q41" s="152" t="str">
        <f t="shared" si="21"/>
        <v>No Quote</v>
      </c>
      <c r="R41" s="153"/>
      <c r="S41" s="44"/>
      <c r="T41" s="45" t="str">
        <f t="shared" si="22"/>
        <v/>
      </c>
      <c r="U41" s="92"/>
      <c r="V41" s="152" t="str">
        <f t="shared" si="23"/>
        <v>No Quote</v>
      </c>
      <c r="W41" s="153"/>
      <c r="X41" s="44"/>
      <c r="Y41" s="45" t="str">
        <f t="shared" si="24"/>
        <v/>
      </c>
      <c r="Z41" s="93"/>
      <c r="AA41" s="152" t="str">
        <f t="shared" si="25"/>
        <v>No Quote</v>
      </c>
      <c r="AB41" s="153"/>
      <c r="AC41" s="44"/>
      <c r="AD41" s="45" t="str">
        <f t="shared" si="26"/>
        <v/>
      </c>
      <c r="AE41" s="92"/>
      <c r="AF41" s="152" t="str">
        <f t="shared" si="27"/>
        <v>No Quote</v>
      </c>
      <c r="AG41" s="153"/>
      <c r="AH41" s="44"/>
      <c r="AI41" s="45" t="str">
        <f t="shared" si="28"/>
        <v/>
      </c>
      <c r="AJ41" s="92"/>
      <c r="AK41" s="152" t="str">
        <f t="shared" si="29"/>
        <v>No Quote</v>
      </c>
      <c r="AL41" s="153"/>
      <c r="AM41" s="44"/>
      <c r="AN41" s="45" t="str">
        <f t="shared" si="30"/>
        <v/>
      </c>
      <c r="AO41" s="92"/>
      <c r="AP41" s="152" t="str">
        <f t="shared" si="31"/>
        <v>No Quote</v>
      </c>
      <c r="AQ41" s="153"/>
      <c r="AR41" s="44"/>
      <c r="AS41" s="45" t="str">
        <f t="shared" si="32"/>
        <v/>
      </c>
      <c r="AT41" s="92"/>
      <c r="AU41" s="152" t="str">
        <f t="shared" si="33"/>
        <v>No Quote</v>
      </c>
      <c r="AV41" s="153"/>
      <c r="AW41" s="44"/>
      <c r="AX41" s="45" t="str">
        <f t="shared" si="34"/>
        <v/>
      </c>
      <c r="AY41" s="46"/>
      <c r="AZ41" s="152" t="str">
        <f t="shared" si="35"/>
        <v>No Quote</v>
      </c>
      <c r="BA41" s="153"/>
      <c r="BB41" s="44"/>
      <c r="BC41" s="45" t="str">
        <f t="shared" si="36"/>
        <v/>
      </c>
      <c r="BD41" s="46"/>
      <c r="BE41" s="212" t="str">
        <f t="shared" si="37"/>
        <v>No Quote</v>
      </c>
      <c r="BF41" s="213"/>
      <c r="BG41" s="90"/>
      <c r="BH41" s="96"/>
      <c r="BI41" s="66" t="str">
        <f t="shared" si="38"/>
        <v/>
      </c>
      <c r="BJ41" s="95"/>
      <c r="BK41" s="95" t="str">
        <f>IFERROR(IF(#REF!="","",#REF!),"")</f>
        <v/>
      </c>
      <c r="BL41" s="80" t="str">
        <f t="shared" si="7"/>
        <v>-</v>
      </c>
      <c r="BM41" s="80" t="str">
        <f t="shared" si="8"/>
        <v>-</v>
      </c>
      <c r="BN41" s="80" t="str">
        <f t="shared" si="9"/>
        <v>-</v>
      </c>
      <c r="BO41" s="80" t="str">
        <f t="shared" si="10"/>
        <v>-</v>
      </c>
      <c r="BP41" s="80" t="str">
        <f t="shared" si="11"/>
        <v>-</v>
      </c>
      <c r="BQ41" s="80" t="str">
        <f t="shared" si="12"/>
        <v>-</v>
      </c>
      <c r="BR41" s="80" t="str">
        <f t="shared" si="13"/>
        <v>-</v>
      </c>
      <c r="BS41" s="80" t="str">
        <f t="shared" si="14"/>
        <v>-</v>
      </c>
      <c r="BT41" s="80" t="str">
        <f t="shared" si="15"/>
        <v>-</v>
      </c>
      <c r="BU41" s="81" t="str">
        <f t="shared" si="39"/>
        <v/>
      </c>
      <c r="BV41" s="91" t="str">
        <f t="shared" si="16"/>
        <v>-</v>
      </c>
      <c r="BW41" s="77" t="str">
        <f t="shared" si="40"/>
        <v/>
      </c>
      <c r="BX41" s="75" t="str">
        <f t="shared" si="41"/>
        <v/>
      </c>
      <c r="BY41" s="74" t="str">
        <f t="shared" si="42"/>
        <v/>
      </c>
      <c r="BZ41" s="77" t="str">
        <f t="shared" si="43"/>
        <v/>
      </c>
      <c r="CA41" s="75" t="str">
        <f t="shared" si="44"/>
        <v/>
      </c>
      <c r="CB41" s="74" t="str">
        <f t="shared" si="45"/>
        <v/>
      </c>
      <c r="CC41" s="77" t="str">
        <f t="shared" si="17"/>
        <v/>
      </c>
      <c r="CE41" s="104">
        <f t="shared" si="46"/>
        <v>0</v>
      </c>
      <c r="CF41" s="106"/>
    </row>
    <row r="42" spans="2:84" s="1" customFormat="1" ht="62.1" customHeight="1" outlineLevel="1" x14ac:dyDescent="0.25">
      <c r="B42" s="41">
        <f t="shared" si="47"/>
        <v>21</v>
      </c>
      <c r="C42" s="218"/>
      <c r="D42" s="218"/>
      <c r="E42" s="218"/>
      <c r="F42" s="218"/>
      <c r="G42" s="42"/>
      <c r="H42" s="43"/>
      <c r="I42" s="44"/>
      <c r="J42" s="45" t="str">
        <f t="shared" si="18"/>
        <v/>
      </c>
      <c r="K42" s="93"/>
      <c r="L42" s="152" t="str">
        <f t="shared" si="19"/>
        <v>No Quote</v>
      </c>
      <c r="M42" s="153"/>
      <c r="N42" s="44"/>
      <c r="O42" s="45" t="str">
        <f t="shared" si="20"/>
        <v/>
      </c>
      <c r="P42" s="93"/>
      <c r="Q42" s="152" t="str">
        <f t="shared" si="21"/>
        <v>No Quote</v>
      </c>
      <c r="R42" s="153"/>
      <c r="S42" s="44"/>
      <c r="T42" s="45" t="str">
        <f t="shared" si="22"/>
        <v/>
      </c>
      <c r="U42" s="92"/>
      <c r="V42" s="152" t="str">
        <f t="shared" si="23"/>
        <v>No Quote</v>
      </c>
      <c r="W42" s="153"/>
      <c r="X42" s="44"/>
      <c r="Y42" s="45" t="str">
        <f t="shared" si="24"/>
        <v/>
      </c>
      <c r="Z42" s="93"/>
      <c r="AA42" s="152" t="str">
        <f t="shared" si="25"/>
        <v>No Quote</v>
      </c>
      <c r="AB42" s="153"/>
      <c r="AC42" s="44"/>
      <c r="AD42" s="45" t="str">
        <f t="shared" si="26"/>
        <v/>
      </c>
      <c r="AE42" s="92"/>
      <c r="AF42" s="152" t="str">
        <f t="shared" si="27"/>
        <v>No Quote</v>
      </c>
      <c r="AG42" s="153"/>
      <c r="AH42" s="44"/>
      <c r="AI42" s="45" t="str">
        <f t="shared" si="28"/>
        <v/>
      </c>
      <c r="AJ42" s="92"/>
      <c r="AK42" s="152" t="str">
        <f t="shared" si="29"/>
        <v>No Quote</v>
      </c>
      <c r="AL42" s="153"/>
      <c r="AM42" s="44"/>
      <c r="AN42" s="45" t="str">
        <f t="shared" si="30"/>
        <v/>
      </c>
      <c r="AO42" s="92"/>
      <c r="AP42" s="152" t="str">
        <f t="shared" si="31"/>
        <v>No Quote</v>
      </c>
      <c r="AQ42" s="153"/>
      <c r="AR42" s="44"/>
      <c r="AS42" s="45" t="str">
        <f t="shared" si="32"/>
        <v/>
      </c>
      <c r="AT42" s="92"/>
      <c r="AU42" s="152" t="str">
        <f t="shared" si="33"/>
        <v>No Quote</v>
      </c>
      <c r="AV42" s="153"/>
      <c r="AW42" s="44"/>
      <c r="AX42" s="45" t="str">
        <f t="shared" si="34"/>
        <v/>
      </c>
      <c r="AY42" s="46"/>
      <c r="AZ42" s="152" t="str">
        <f t="shared" si="35"/>
        <v>No Quote</v>
      </c>
      <c r="BA42" s="153"/>
      <c r="BB42" s="44"/>
      <c r="BC42" s="45" t="str">
        <f t="shared" si="36"/>
        <v/>
      </c>
      <c r="BD42" s="46"/>
      <c r="BE42" s="212" t="str">
        <f t="shared" si="37"/>
        <v>No Quote</v>
      </c>
      <c r="BF42" s="213"/>
      <c r="BG42" s="90"/>
      <c r="BH42" s="96"/>
      <c r="BI42" s="66" t="str">
        <f t="shared" si="38"/>
        <v/>
      </c>
      <c r="BJ42" s="95"/>
      <c r="BK42" s="95" t="str">
        <f>IFERROR(IF(#REF!="","",#REF!),"")</f>
        <v/>
      </c>
      <c r="BL42" s="80" t="str">
        <f t="shared" si="7"/>
        <v>-</v>
      </c>
      <c r="BM42" s="80" t="str">
        <f t="shared" si="8"/>
        <v>-</v>
      </c>
      <c r="BN42" s="80" t="str">
        <f t="shared" si="9"/>
        <v>-</v>
      </c>
      <c r="BO42" s="80" t="str">
        <f t="shared" si="10"/>
        <v>-</v>
      </c>
      <c r="BP42" s="80" t="str">
        <f t="shared" si="11"/>
        <v>-</v>
      </c>
      <c r="BQ42" s="80" t="str">
        <f t="shared" si="12"/>
        <v>-</v>
      </c>
      <c r="BR42" s="80" t="str">
        <f t="shared" si="13"/>
        <v>-</v>
      </c>
      <c r="BS42" s="80" t="str">
        <f t="shared" si="14"/>
        <v>-</v>
      </c>
      <c r="BT42" s="80" t="str">
        <f t="shared" si="15"/>
        <v>-</v>
      </c>
      <c r="BU42" s="81" t="str">
        <f t="shared" si="39"/>
        <v/>
      </c>
      <c r="BV42" s="91" t="str">
        <f t="shared" si="16"/>
        <v>-</v>
      </c>
      <c r="BW42" s="77" t="str">
        <f t="shared" si="40"/>
        <v/>
      </c>
      <c r="BX42" s="75" t="str">
        <f t="shared" si="41"/>
        <v/>
      </c>
      <c r="BY42" s="74" t="str">
        <f t="shared" si="42"/>
        <v/>
      </c>
      <c r="BZ42" s="77" t="str">
        <f t="shared" si="43"/>
        <v/>
      </c>
      <c r="CA42" s="75" t="str">
        <f t="shared" si="44"/>
        <v/>
      </c>
      <c r="CB42" s="74" t="str">
        <f t="shared" si="45"/>
        <v/>
      </c>
      <c r="CC42" s="77" t="str">
        <f t="shared" si="17"/>
        <v/>
      </c>
      <c r="CE42" s="104">
        <f t="shared" si="46"/>
        <v>0</v>
      </c>
      <c r="CF42" s="106"/>
    </row>
    <row r="43" spans="2:84" s="1" customFormat="1" ht="62.1" customHeight="1" outlineLevel="1" x14ac:dyDescent="0.25">
      <c r="B43" s="41">
        <f t="shared" si="47"/>
        <v>22</v>
      </c>
      <c r="C43" s="218"/>
      <c r="D43" s="218"/>
      <c r="E43" s="218"/>
      <c r="F43" s="218"/>
      <c r="G43" s="42"/>
      <c r="H43" s="43"/>
      <c r="I43" s="44"/>
      <c r="J43" s="45" t="str">
        <f t="shared" si="18"/>
        <v/>
      </c>
      <c r="K43" s="93"/>
      <c r="L43" s="152" t="str">
        <f t="shared" si="19"/>
        <v>No Quote</v>
      </c>
      <c r="M43" s="153"/>
      <c r="N43" s="44"/>
      <c r="O43" s="45" t="str">
        <f t="shared" si="20"/>
        <v/>
      </c>
      <c r="P43" s="93"/>
      <c r="Q43" s="152" t="str">
        <f t="shared" si="21"/>
        <v>No Quote</v>
      </c>
      <c r="R43" s="153"/>
      <c r="S43" s="44"/>
      <c r="T43" s="45" t="str">
        <f t="shared" si="22"/>
        <v/>
      </c>
      <c r="U43" s="92"/>
      <c r="V43" s="152" t="str">
        <f t="shared" si="23"/>
        <v>No Quote</v>
      </c>
      <c r="W43" s="153"/>
      <c r="X43" s="44"/>
      <c r="Y43" s="45" t="str">
        <f t="shared" si="24"/>
        <v/>
      </c>
      <c r="Z43" s="93"/>
      <c r="AA43" s="152" t="str">
        <f t="shared" si="25"/>
        <v>No Quote</v>
      </c>
      <c r="AB43" s="153"/>
      <c r="AC43" s="44"/>
      <c r="AD43" s="45" t="str">
        <f t="shared" si="26"/>
        <v/>
      </c>
      <c r="AE43" s="92"/>
      <c r="AF43" s="152" t="str">
        <f t="shared" si="27"/>
        <v>No Quote</v>
      </c>
      <c r="AG43" s="153"/>
      <c r="AH43" s="44"/>
      <c r="AI43" s="45" t="str">
        <f t="shared" si="28"/>
        <v/>
      </c>
      <c r="AJ43" s="92"/>
      <c r="AK43" s="152" t="str">
        <f t="shared" si="29"/>
        <v>No Quote</v>
      </c>
      <c r="AL43" s="153"/>
      <c r="AM43" s="44"/>
      <c r="AN43" s="45" t="str">
        <f t="shared" si="30"/>
        <v/>
      </c>
      <c r="AO43" s="92"/>
      <c r="AP43" s="152" t="str">
        <f t="shared" si="31"/>
        <v>No Quote</v>
      </c>
      <c r="AQ43" s="153"/>
      <c r="AR43" s="44"/>
      <c r="AS43" s="45" t="str">
        <f t="shared" si="32"/>
        <v/>
      </c>
      <c r="AT43" s="92"/>
      <c r="AU43" s="152" t="str">
        <f t="shared" si="33"/>
        <v>No Quote</v>
      </c>
      <c r="AV43" s="153"/>
      <c r="AW43" s="44"/>
      <c r="AX43" s="45" t="str">
        <f t="shared" si="34"/>
        <v/>
      </c>
      <c r="AY43" s="46"/>
      <c r="AZ43" s="152" t="str">
        <f t="shared" si="35"/>
        <v>No Quote</v>
      </c>
      <c r="BA43" s="153"/>
      <c r="BB43" s="44"/>
      <c r="BC43" s="45" t="str">
        <f t="shared" si="36"/>
        <v/>
      </c>
      <c r="BD43" s="46"/>
      <c r="BE43" s="212" t="str">
        <f t="shared" si="37"/>
        <v>No Quote</v>
      </c>
      <c r="BF43" s="213"/>
      <c r="BG43" s="90"/>
      <c r="BH43" s="96"/>
      <c r="BI43" s="66" t="str">
        <f t="shared" si="38"/>
        <v/>
      </c>
      <c r="BJ43" s="95"/>
      <c r="BK43" s="95" t="str">
        <f>IFERROR(IF(#REF!="","",#REF!),"")</f>
        <v/>
      </c>
      <c r="BL43" s="80" t="str">
        <f t="shared" si="7"/>
        <v>-</v>
      </c>
      <c r="BM43" s="80" t="str">
        <f t="shared" si="8"/>
        <v>-</v>
      </c>
      <c r="BN43" s="80" t="str">
        <f t="shared" si="9"/>
        <v>-</v>
      </c>
      <c r="BO43" s="80" t="str">
        <f t="shared" si="10"/>
        <v>-</v>
      </c>
      <c r="BP43" s="80" t="str">
        <f t="shared" si="11"/>
        <v>-</v>
      </c>
      <c r="BQ43" s="80" t="str">
        <f t="shared" si="12"/>
        <v>-</v>
      </c>
      <c r="BR43" s="80" t="str">
        <f t="shared" si="13"/>
        <v>-</v>
      </c>
      <c r="BS43" s="80" t="str">
        <f t="shared" si="14"/>
        <v>-</v>
      </c>
      <c r="BT43" s="80" t="str">
        <f t="shared" si="15"/>
        <v>-</v>
      </c>
      <c r="BU43" s="81" t="str">
        <f t="shared" si="39"/>
        <v/>
      </c>
      <c r="BV43" s="91" t="str">
        <f t="shared" si="16"/>
        <v>-</v>
      </c>
      <c r="BW43" s="77" t="str">
        <f t="shared" si="40"/>
        <v/>
      </c>
      <c r="BX43" s="75" t="str">
        <f t="shared" si="41"/>
        <v/>
      </c>
      <c r="BY43" s="74" t="str">
        <f t="shared" si="42"/>
        <v/>
      </c>
      <c r="BZ43" s="77" t="str">
        <f t="shared" si="43"/>
        <v/>
      </c>
      <c r="CA43" s="75" t="str">
        <f t="shared" si="44"/>
        <v/>
      </c>
      <c r="CB43" s="74" t="str">
        <f t="shared" si="45"/>
        <v/>
      </c>
      <c r="CC43" s="77" t="str">
        <f t="shared" si="17"/>
        <v/>
      </c>
      <c r="CE43" s="104">
        <f t="shared" si="46"/>
        <v>0</v>
      </c>
      <c r="CF43" s="106"/>
    </row>
    <row r="44" spans="2:84" s="1" customFormat="1" ht="62.1" customHeight="1" outlineLevel="1" x14ac:dyDescent="0.25">
      <c r="B44" s="41">
        <f t="shared" si="47"/>
        <v>23</v>
      </c>
      <c r="C44" s="218"/>
      <c r="D44" s="218"/>
      <c r="E44" s="218"/>
      <c r="F44" s="218"/>
      <c r="G44" s="42"/>
      <c r="H44" s="43"/>
      <c r="I44" s="44"/>
      <c r="J44" s="45" t="str">
        <f t="shared" si="18"/>
        <v/>
      </c>
      <c r="K44" s="93"/>
      <c r="L44" s="152" t="str">
        <f t="shared" si="19"/>
        <v>No Quote</v>
      </c>
      <c r="M44" s="153"/>
      <c r="N44" s="44"/>
      <c r="O44" s="45" t="str">
        <f t="shared" si="20"/>
        <v/>
      </c>
      <c r="P44" s="93"/>
      <c r="Q44" s="152" t="str">
        <f t="shared" si="21"/>
        <v>No Quote</v>
      </c>
      <c r="R44" s="153"/>
      <c r="S44" s="44"/>
      <c r="T44" s="45" t="str">
        <f t="shared" si="22"/>
        <v/>
      </c>
      <c r="U44" s="92"/>
      <c r="V44" s="152" t="str">
        <f t="shared" si="23"/>
        <v>No Quote</v>
      </c>
      <c r="W44" s="153"/>
      <c r="X44" s="44"/>
      <c r="Y44" s="45" t="str">
        <f t="shared" si="24"/>
        <v/>
      </c>
      <c r="Z44" s="93"/>
      <c r="AA44" s="152" t="str">
        <f t="shared" si="25"/>
        <v>No Quote</v>
      </c>
      <c r="AB44" s="153"/>
      <c r="AC44" s="44"/>
      <c r="AD44" s="45" t="str">
        <f t="shared" si="26"/>
        <v/>
      </c>
      <c r="AE44" s="92"/>
      <c r="AF44" s="152" t="str">
        <f t="shared" si="27"/>
        <v>No Quote</v>
      </c>
      <c r="AG44" s="153"/>
      <c r="AH44" s="44"/>
      <c r="AI44" s="45" t="str">
        <f t="shared" si="28"/>
        <v/>
      </c>
      <c r="AJ44" s="92"/>
      <c r="AK44" s="152" t="str">
        <f t="shared" si="29"/>
        <v>No Quote</v>
      </c>
      <c r="AL44" s="153"/>
      <c r="AM44" s="44"/>
      <c r="AN44" s="45" t="str">
        <f t="shared" si="30"/>
        <v/>
      </c>
      <c r="AO44" s="92"/>
      <c r="AP44" s="152" t="str">
        <f t="shared" si="31"/>
        <v>No Quote</v>
      </c>
      <c r="AQ44" s="153"/>
      <c r="AR44" s="44"/>
      <c r="AS44" s="45" t="str">
        <f t="shared" si="32"/>
        <v/>
      </c>
      <c r="AT44" s="92"/>
      <c r="AU44" s="152" t="str">
        <f t="shared" si="33"/>
        <v>No Quote</v>
      </c>
      <c r="AV44" s="153"/>
      <c r="AW44" s="44"/>
      <c r="AX44" s="45" t="str">
        <f t="shared" si="34"/>
        <v/>
      </c>
      <c r="AY44" s="46"/>
      <c r="AZ44" s="152" t="str">
        <f t="shared" si="35"/>
        <v>No Quote</v>
      </c>
      <c r="BA44" s="153"/>
      <c r="BB44" s="44"/>
      <c r="BC44" s="45" t="str">
        <f t="shared" si="36"/>
        <v/>
      </c>
      <c r="BD44" s="46"/>
      <c r="BE44" s="212" t="str">
        <f t="shared" si="37"/>
        <v>No Quote</v>
      </c>
      <c r="BF44" s="213"/>
      <c r="BG44" s="90"/>
      <c r="BH44" s="96"/>
      <c r="BI44" s="66" t="str">
        <f t="shared" si="38"/>
        <v/>
      </c>
      <c r="BJ44" s="95"/>
      <c r="BK44" s="95" t="str">
        <f>IFERROR(IF(#REF!="","",#REF!),"")</f>
        <v/>
      </c>
      <c r="BL44" s="80" t="str">
        <f t="shared" si="7"/>
        <v>-</v>
      </c>
      <c r="BM44" s="80" t="str">
        <f t="shared" si="8"/>
        <v>-</v>
      </c>
      <c r="BN44" s="80" t="str">
        <f t="shared" si="9"/>
        <v>-</v>
      </c>
      <c r="BO44" s="80" t="str">
        <f t="shared" si="10"/>
        <v>-</v>
      </c>
      <c r="BP44" s="80" t="str">
        <f t="shared" si="11"/>
        <v>-</v>
      </c>
      <c r="BQ44" s="80" t="str">
        <f t="shared" si="12"/>
        <v>-</v>
      </c>
      <c r="BR44" s="80" t="str">
        <f t="shared" si="13"/>
        <v>-</v>
      </c>
      <c r="BS44" s="80" t="str">
        <f t="shared" si="14"/>
        <v>-</v>
      </c>
      <c r="BT44" s="80" t="str">
        <f t="shared" si="15"/>
        <v>-</v>
      </c>
      <c r="BU44" s="81" t="str">
        <f t="shared" si="39"/>
        <v/>
      </c>
      <c r="BV44" s="91" t="str">
        <f t="shared" si="16"/>
        <v>-</v>
      </c>
      <c r="BW44" s="77" t="str">
        <f t="shared" si="40"/>
        <v/>
      </c>
      <c r="BX44" s="75" t="str">
        <f t="shared" si="41"/>
        <v/>
      </c>
      <c r="BY44" s="74" t="str">
        <f t="shared" si="42"/>
        <v/>
      </c>
      <c r="BZ44" s="77" t="str">
        <f t="shared" si="43"/>
        <v/>
      </c>
      <c r="CA44" s="75" t="str">
        <f t="shared" si="44"/>
        <v/>
      </c>
      <c r="CB44" s="74" t="str">
        <f t="shared" si="45"/>
        <v/>
      </c>
      <c r="CC44" s="77" t="str">
        <f t="shared" si="17"/>
        <v/>
      </c>
      <c r="CE44" s="104">
        <f t="shared" si="46"/>
        <v>0</v>
      </c>
      <c r="CF44" s="106"/>
    </row>
    <row r="45" spans="2:84" s="1" customFormat="1" ht="62.1" customHeight="1" outlineLevel="1" x14ac:dyDescent="0.25">
      <c r="B45" s="41">
        <f t="shared" si="47"/>
        <v>24</v>
      </c>
      <c r="C45" s="218"/>
      <c r="D45" s="218"/>
      <c r="E45" s="218"/>
      <c r="F45" s="218"/>
      <c r="G45" s="42"/>
      <c r="H45" s="43"/>
      <c r="I45" s="44"/>
      <c r="J45" s="45" t="str">
        <f t="shared" si="18"/>
        <v/>
      </c>
      <c r="K45" s="93"/>
      <c r="L45" s="152" t="str">
        <f t="shared" si="19"/>
        <v>No Quote</v>
      </c>
      <c r="M45" s="153"/>
      <c r="N45" s="44"/>
      <c r="O45" s="45" t="str">
        <f t="shared" si="20"/>
        <v/>
      </c>
      <c r="P45" s="93"/>
      <c r="Q45" s="152" t="str">
        <f t="shared" si="21"/>
        <v>No Quote</v>
      </c>
      <c r="R45" s="153"/>
      <c r="S45" s="44"/>
      <c r="T45" s="45" t="str">
        <f t="shared" si="22"/>
        <v/>
      </c>
      <c r="U45" s="92"/>
      <c r="V45" s="152" t="str">
        <f t="shared" si="23"/>
        <v>No Quote</v>
      </c>
      <c r="W45" s="153"/>
      <c r="X45" s="44"/>
      <c r="Y45" s="45" t="str">
        <f t="shared" si="24"/>
        <v/>
      </c>
      <c r="Z45" s="93"/>
      <c r="AA45" s="152" t="str">
        <f t="shared" si="25"/>
        <v>No Quote</v>
      </c>
      <c r="AB45" s="153"/>
      <c r="AC45" s="44"/>
      <c r="AD45" s="45" t="str">
        <f t="shared" si="26"/>
        <v/>
      </c>
      <c r="AE45" s="92"/>
      <c r="AF45" s="152" t="str">
        <f t="shared" si="27"/>
        <v>No Quote</v>
      </c>
      <c r="AG45" s="153"/>
      <c r="AH45" s="44"/>
      <c r="AI45" s="45" t="str">
        <f t="shared" si="28"/>
        <v/>
      </c>
      <c r="AJ45" s="92"/>
      <c r="AK45" s="152" t="str">
        <f t="shared" si="29"/>
        <v>No Quote</v>
      </c>
      <c r="AL45" s="153"/>
      <c r="AM45" s="44"/>
      <c r="AN45" s="45" t="str">
        <f t="shared" si="30"/>
        <v/>
      </c>
      <c r="AO45" s="92"/>
      <c r="AP45" s="152" t="str">
        <f t="shared" si="31"/>
        <v>No Quote</v>
      </c>
      <c r="AQ45" s="153"/>
      <c r="AR45" s="44"/>
      <c r="AS45" s="45" t="str">
        <f t="shared" si="32"/>
        <v/>
      </c>
      <c r="AT45" s="92"/>
      <c r="AU45" s="152" t="str">
        <f t="shared" si="33"/>
        <v>No Quote</v>
      </c>
      <c r="AV45" s="153"/>
      <c r="AW45" s="44"/>
      <c r="AX45" s="45" t="str">
        <f t="shared" si="34"/>
        <v/>
      </c>
      <c r="AY45" s="46"/>
      <c r="AZ45" s="152" t="str">
        <f t="shared" si="35"/>
        <v>No Quote</v>
      </c>
      <c r="BA45" s="153"/>
      <c r="BB45" s="44"/>
      <c r="BC45" s="45" t="str">
        <f t="shared" si="36"/>
        <v/>
      </c>
      <c r="BD45" s="46"/>
      <c r="BE45" s="212" t="str">
        <f t="shared" si="37"/>
        <v>No Quote</v>
      </c>
      <c r="BF45" s="213"/>
      <c r="BG45" s="90"/>
      <c r="BH45" s="96"/>
      <c r="BI45" s="66" t="str">
        <f t="shared" si="38"/>
        <v/>
      </c>
      <c r="BJ45" s="95"/>
      <c r="BK45" s="95" t="str">
        <f>IFERROR(IF(#REF!="","",#REF!),"")</f>
        <v/>
      </c>
      <c r="BL45" s="80" t="str">
        <f t="shared" si="7"/>
        <v>-</v>
      </c>
      <c r="BM45" s="80" t="str">
        <f t="shared" si="8"/>
        <v>-</v>
      </c>
      <c r="BN45" s="80" t="str">
        <f t="shared" si="9"/>
        <v>-</v>
      </c>
      <c r="BO45" s="80" t="str">
        <f t="shared" si="10"/>
        <v>-</v>
      </c>
      <c r="BP45" s="80" t="str">
        <f t="shared" si="11"/>
        <v>-</v>
      </c>
      <c r="BQ45" s="80" t="str">
        <f t="shared" si="12"/>
        <v>-</v>
      </c>
      <c r="BR45" s="80" t="str">
        <f t="shared" si="13"/>
        <v>-</v>
      </c>
      <c r="BS45" s="80" t="str">
        <f t="shared" si="14"/>
        <v>-</v>
      </c>
      <c r="BT45" s="80" t="str">
        <f t="shared" si="15"/>
        <v>-</v>
      </c>
      <c r="BU45" s="81" t="str">
        <f t="shared" si="39"/>
        <v/>
      </c>
      <c r="BV45" s="91" t="str">
        <f t="shared" si="16"/>
        <v>-</v>
      </c>
      <c r="BW45" s="77" t="str">
        <f t="shared" si="40"/>
        <v/>
      </c>
      <c r="BX45" s="75" t="str">
        <f t="shared" si="41"/>
        <v/>
      </c>
      <c r="BY45" s="74" t="str">
        <f t="shared" si="42"/>
        <v/>
      </c>
      <c r="BZ45" s="77" t="str">
        <f t="shared" si="43"/>
        <v/>
      </c>
      <c r="CA45" s="75" t="str">
        <f t="shared" si="44"/>
        <v/>
      </c>
      <c r="CB45" s="74" t="str">
        <f t="shared" si="45"/>
        <v/>
      </c>
      <c r="CC45" s="77" t="str">
        <f t="shared" si="17"/>
        <v/>
      </c>
      <c r="CE45" s="104">
        <f t="shared" si="46"/>
        <v>0</v>
      </c>
      <c r="CF45" s="106"/>
    </row>
    <row r="46" spans="2:84" s="1" customFormat="1" ht="62.1" customHeight="1" outlineLevel="1" x14ac:dyDescent="0.25">
      <c r="B46" s="41">
        <f t="shared" si="47"/>
        <v>25</v>
      </c>
      <c r="C46" s="218"/>
      <c r="D46" s="218"/>
      <c r="E46" s="218"/>
      <c r="F46" s="218"/>
      <c r="G46" s="42"/>
      <c r="H46" s="43"/>
      <c r="I46" s="44"/>
      <c r="J46" s="45" t="str">
        <f t="shared" si="18"/>
        <v/>
      </c>
      <c r="K46" s="93"/>
      <c r="L46" s="152" t="str">
        <f t="shared" si="19"/>
        <v>No Quote</v>
      </c>
      <c r="M46" s="153"/>
      <c r="N46" s="44"/>
      <c r="O46" s="45" t="str">
        <f t="shared" si="20"/>
        <v/>
      </c>
      <c r="P46" s="93"/>
      <c r="Q46" s="152" t="str">
        <f t="shared" si="21"/>
        <v>No Quote</v>
      </c>
      <c r="R46" s="153"/>
      <c r="S46" s="44"/>
      <c r="T46" s="45" t="str">
        <f t="shared" si="22"/>
        <v/>
      </c>
      <c r="U46" s="92"/>
      <c r="V46" s="152" t="str">
        <f t="shared" si="23"/>
        <v>No Quote</v>
      </c>
      <c r="W46" s="153"/>
      <c r="X46" s="44"/>
      <c r="Y46" s="45" t="str">
        <f t="shared" si="24"/>
        <v/>
      </c>
      <c r="Z46" s="93"/>
      <c r="AA46" s="152" t="str">
        <f t="shared" si="25"/>
        <v>No Quote</v>
      </c>
      <c r="AB46" s="153"/>
      <c r="AC46" s="44"/>
      <c r="AD46" s="45" t="str">
        <f t="shared" si="26"/>
        <v/>
      </c>
      <c r="AE46" s="92"/>
      <c r="AF46" s="152" t="str">
        <f t="shared" si="27"/>
        <v>No Quote</v>
      </c>
      <c r="AG46" s="153"/>
      <c r="AH46" s="44"/>
      <c r="AI46" s="45" t="str">
        <f t="shared" si="28"/>
        <v/>
      </c>
      <c r="AJ46" s="92"/>
      <c r="AK46" s="152" t="str">
        <f t="shared" si="29"/>
        <v>No Quote</v>
      </c>
      <c r="AL46" s="153"/>
      <c r="AM46" s="44"/>
      <c r="AN46" s="45" t="str">
        <f t="shared" si="30"/>
        <v/>
      </c>
      <c r="AO46" s="92"/>
      <c r="AP46" s="152" t="str">
        <f t="shared" si="31"/>
        <v>No Quote</v>
      </c>
      <c r="AQ46" s="153"/>
      <c r="AR46" s="44"/>
      <c r="AS46" s="45" t="str">
        <f t="shared" si="32"/>
        <v/>
      </c>
      <c r="AT46" s="92"/>
      <c r="AU46" s="152" t="str">
        <f t="shared" si="33"/>
        <v>No Quote</v>
      </c>
      <c r="AV46" s="153"/>
      <c r="AW46" s="44"/>
      <c r="AX46" s="45" t="str">
        <f t="shared" si="34"/>
        <v/>
      </c>
      <c r="AY46" s="46"/>
      <c r="AZ46" s="152" t="str">
        <f t="shared" si="35"/>
        <v>No Quote</v>
      </c>
      <c r="BA46" s="153"/>
      <c r="BB46" s="44"/>
      <c r="BC46" s="45" t="str">
        <f t="shared" si="36"/>
        <v/>
      </c>
      <c r="BD46" s="46"/>
      <c r="BE46" s="212" t="str">
        <f t="shared" si="37"/>
        <v>No Quote</v>
      </c>
      <c r="BF46" s="213"/>
      <c r="BG46" s="90"/>
      <c r="BH46" s="96"/>
      <c r="BI46" s="66" t="str">
        <f t="shared" si="38"/>
        <v/>
      </c>
      <c r="BJ46" s="95"/>
      <c r="BK46" s="95" t="str">
        <f>IFERROR(IF(#REF!="","",#REF!),"")</f>
        <v/>
      </c>
      <c r="BL46" s="80" t="str">
        <f t="shared" si="7"/>
        <v>-</v>
      </c>
      <c r="BM46" s="80" t="str">
        <f t="shared" si="8"/>
        <v>-</v>
      </c>
      <c r="BN46" s="80" t="str">
        <f t="shared" si="9"/>
        <v>-</v>
      </c>
      <c r="BO46" s="80" t="str">
        <f t="shared" si="10"/>
        <v>-</v>
      </c>
      <c r="BP46" s="80" t="str">
        <f t="shared" si="11"/>
        <v>-</v>
      </c>
      <c r="BQ46" s="80" t="str">
        <f t="shared" si="12"/>
        <v>-</v>
      </c>
      <c r="BR46" s="80" t="str">
        <f t="shared" si="13"/>
        <v>-</v>
      </c>
      <c r="BS46" s="80" t="str">
        <f t="shared" si="14"/>
        <v>-</v>
      </c>
      <c r="BT46" s="80" t="str">
        <f t="shared" si="15"/>
        <v>-</v>
      </c>
      <c r="BU46" s="81" t="str">
        <f t="shared" si="39"/>
        <v/>
      </c>
      <c r="BV46" s="91" t="str">
        <f t="shared" si="16"/>
        <v>-</v>
      </c>
      <c r="BW46" s="77" t="str">
        <f t="shared" si="40"/>
        <v/>
      </c>
      <c r="BX46" s="75" t="str">
        <f t="shared" si="41"/>
        <v/>
      </c>
      <c r="BY46" s="74" t="str">
        <f t="shared" si="42"/>
        <v/>
      </c>
      <c r="BZ46" s="77" t="str">
        <f t="shared" si="43"/>
        <v/>
      </c>
      <c r="CA46" s="75" t="str">
        <f t="shared" si="44"/>
        <v/>
      </c>
      <c r="CB46" s="74" t="str">
        <f t="shared" si="45"/>
        <v/>
      </c>
      <c r="CC46" s="77" t="str">
        <f t="shared" si="17"/>
        <v/>
      </c>
      <c r="CE46" s="104">
        <f t="shared" si="46"/>
        <v>0</v>
      </c>
      <c r="CF46" s="106"/>
    </row>
    <row r="47" spans="2:84" s="1" customFormat="1" ht="62.1" customHeight="1" outlineLevel="1" x14ac:dyDescent="0.25">
      <c r="B47" s="41">
        <f t="shared" si="47"/>
        <v>26</v>
      </c>
      <c r="C47" s="218"/>
      <c r="D47" s="218"/>
      <c r="E47" s="218"/>
      <c r="F47" s="218"/>
      <c r="G47" s="42"/>
      <c r="H47" s="43"/>
      <c r="I47" s="44"/>
      <c r="J47" s="45" t="str">
        <f t="shared" si="18"/>
        <v/>
      </c>
      <c r="K47" s="93"/>
      <c r="L47" s="152" t="str">
        <f t="shared" si="19"/>
        <v>No Quote</v>
      </c>
      <c r="M47" s="153"/>
      <c r="N47" s="44"/>
      <c r="O47" s="45" t="str">
        <f t="shared" si="20"/>
        <v/>
      </c>
      <c r="P47" s="93"/>
      <c r="Q47" s="152" t="str">
        <f t="shared" si="21"/>
        <v>No Quote</v>
      </c>
      <c r="R47" s="153"/>
      <c r="S47" s="44"/>
      <c r="T47" s="45" t="str">
        <f t="shared" si="22"/>
        <v/>
      </c>
      <c r="U47" s="92"/>
      <c r="V47" s="152" t="str">
        <f t="shared" si="23"/>
        <v>No Quote</v>
      </c>
      <c r="W47" s="153"/>
      <c r="X47" s="44"/>
      <c r="Y47" s="45" t="str">
        <f t="shared" si="24"/>
        <v/>
      </c>
      <c r="Z47" s="93"/>
      <c r="AA47" s="152" t="str">
        <f t="shared" si="25"/>
        <v>No Quote</v>
      </c>
      <c r="AB47" s="153"/>
      <c r="AC47" s="44"/>
      <c r="AD47" s="45" t="str">
        <f t="shared" si="26"/>
        <v/>
      </c>
      <c r="AE47" s="92"/>
      <c r="AF47" s="152" t="str">
        <f t="shared" si="27"/>
        <v>No Quote</v>
      </c>
      <c r="AG47" s="153"/>
      <c r="AH47" s="44"/>
      <c r="AI47" s="45" t="str">
        <f t="shared" si="28"/>
        <v/>
      </c>
      <c r="AJ47" s="92"/>
      <c r="AK47" s="152" t="str">
        <f t="shared" si="29"/>
        <v>No Quote</v>
      </c>
      <c r="AL47" s="153"/>
      <c r="AM47" s="44"/>
      <c r="AN47" s="45" t="str">
        <f t="shared" si="30"/>
        <v/>
      </c>
      <c r="AO47" s="92"/>
      <c r="AP47" s="152" t="str">
        <f t="shared" si="31"/>
        <v>No Quote</v>
      </c>
      <c r="AQ47" s="153"/>
      <c r="AR47" s="44"/>
      <c r="AS47" s="45" t="str">
        <f t="shared" si="32"/>
        <v/>
      </c>
      <c r="AT47" s="92"/>
      <c r="AU47" s="152" t="str">
        <f t="shared" si="33"/>
        <v>No Quote</v>
      </c>
      <c r="AV47" s="153"/>
      <c r="AW47" s="44"/>
      <c r="AX47" s="45" t="str">
        <f t="shared" si="34"/>
        <v/>
      </c>
      <c r="AY47" s="46"/>
      <c r="AZ47" s="152" t="str">
        <f t="shared" si="35"/>
        <v>No Quote</v>
      </c>
      <c r="BA47" s="153"/>
      <c r="BB47" s="44"/>
      <c r="BC47" s="45" t="str">
        <f t="shared" si="36"/>
        <v/>
      </c>
      <c r="BD47" s="46"/>
      <c r="BE47" s="212" t="str">
        <f t="shared" si="37"/>
        <v>No Quote</v>
      </c>
      <c r="BF47" s="213"/>
      <c r="BG47" s="90"/>
      <c r="BH47" s="96"/>
      <c r="BI47" s="66" t="str">
        <f t="shared" si="38"/>
        <v/>
      </c>
      <c r="BJ47" s="95"/>
      <c r="BK47" s="95" t="str">
        <f>IFERROR(IF(#REF!="","",#REF!),"")</f>
        <v/>
      </c>
      <c r="BL47" s="80" t="str">
        <f t="shared" si="7"/>
        <v>-</v>
      </c>
      <c r="BM47" s="80" t="str">
        <f t="shared" si="8"/>
        <v>-</v>
      </c>
      <c r="BN47" s="80" t="str">
        <f t="shared" si="9"/>
        <v>-</v>
      </c>
      <c r="BO47" s="80" t="str">
        <f t="shared" si="10"/>
        <v>-</v>
      </c>
      <c r="BP47" s="80" t="str">
        <f t="shared" si="11"/>
        <v>-</v>
      </c>
      <c r="BQ47" s="80" t="str">
        <f t="shared" si="12"/>
        <v>-</v>
      </c>
      <c r="BR47" s="80" t="str">
        <f t="shared" si="13"/>
        <v>-</v>
      </c>
      <c r="BS47" s="80" t="str">
        <f t="shared" si="14"/>
        <v>-</v>
      </c>
      <c r="BT47" s="80" t="str">
        <f t="shared" si="15"/>
        <v>-</v>
      </c>
      <c r="BU47" s="81" t="str">
        <f t="shared" si="39"/>
        <v/>
      </c>
      <c r="BV47" s="91" t="str">
        <f t="shared" si="16"/>
        <v>-</v>
      </c>
      <c r="BW47" s="77" t="str">
        <f t="shared" si="40"/>
        <v/>
      </c>
      <c r="BX47" s="75" t="str">
        <f t="shared" si="41"/>
        <v/>
      </c>
      <c r="BY47" s="74" t="str">
        <f t="shared" si="42"/>
        <v/>
      </c>
      <c r="BZ47" s="77" t="str">
        <f t="shared" si="43"/>
        <v/>
      </c>
      <c r="CA47" s="75" t="str">
        <f t="shared" si="44"/>
        <v/>
      </c>
      <c r="CB47" s="74" t="str">
        <f t="shared" si="45"/>
        <v/>
      </c>
      <c r="CC47" s="77" t="str">
        <f t="shared" si="17"/>
        <v/>
      </c>
      <c r="CE47" s="104">
        <f t="shared" si="46"/>
        <v>0</v>
      </c>
      <c r="CF47" s="106"/>
    </row>
    <row r="48" spans="2:84" s="1" customFormat="1" ht="62.1" customHeight="1" outlineLevel="1" x14ac:dyDescent="0.25">
      <c r="B48" s="41">
        <f t="shared" si="47"/>
        <v>27</v>
      </c>
      <c r="C48" s="218"/>
      <c r="D48" s="218"/>
      <c r="E48" s="218"/>
      <c r="F48" s="218"/>
      <c r="G48" s="42"/>
      <c r="H48" s="43"/>
      <c r="I48" s="44"/>
      <c r="J48" s="45" t="str">
        <f t="shared" si="18"/>
        <v/>
      </c>
      <c r="K48" s="93"/>
      <c r="L48" s="152" t="str">
        <f t="shared" si="19"/>
        <v>No Quote</v>
      </c>
      <c r="M48" s="153"/>
      <c r="N48" s="44"/>
      <c r="O48" s="45" t="str">
        <f t="shared" si="20"/>
        <v/>
      </c>
      <c r="P48" s="93"/>
      <c r="Q48" s="152" t="str">
        <f t="shared" si="21"/>
        <v>No Quote</v>
      </c>
      <c r="R48" s="153"/>
      <c r="S48" s="44"/>
      <c r="T48" s="45" t="str">
        <f t="shared" si="22"/>
        <v/>
      </c>
      <c r="U48" s="92"/>
      <c r="V48" s="152" t="str">
        <f t="shared" si="23"/>
        <v>No Quote</v>
      </c>
      <c r="W48" s="153"/>
      <c r="X48" s="44"/>
      <c r="Y48" s="45" t="str">
        <f t="shared" si="24"/>
        <v/>
      </c>
      <c r="Z48" s="93"/>
      <c r="AA48" s="152" t="str">
        <f t="shared" si="25"/>
        <v>No Quote</v>
      </c>
      <c r="AB48" s="153"/>
      <c r="AC48" s="44"/>
      <c r="AD48" s="45" t="str">
        <f t="shared" si="26"/>
        <v/>
      </c>
      <c r="AE48" s="92"/>
      <c r="AF48" s="152" t="str">
        <f t="shared" si="27"/>
        <v>No Quote</v>
      </c>
      <c r="AG48" s="153"/>
      <c r="AH48" s="44"/>
      <c r="AI48" s="45" t="str">
        <f t="shared" si="28"/>
        <v/>
      </c>
      <c r="AJ48" s="92"/>
      <c r="AK48" s="152" t="str">
        <f t="shared" si="29"/>
        <v>No Quote</v>
      </c>
      <c r="AL48" s="153"/>
      <c r="AM48" s="44"/>
      <c r="AN48" s="45" t="str">
        <f t="shared" si="30"/>
        <v/>
      </c>
      <c r="AO48" s="92"/>
      <c r="AP48" s="152" t="str">
        <f t="shared" si="31"/>
        <v>No Quote</v>
      </c>
      <c r="AQ48" s="153"/>
      <c r="AR48" s="44"/>
      <c r="AS48" s="45" t="str">
        <f t="shared" si="32"/>
        <v/>
      </c>
      <c r="AT48" s="92"/>
      <c r="AU48" s="152" t="str">
        <f t="shared" si="33"/>
        <v>No Quote</v>
      </c>
      <c r="AV48" s="153"/>
      <c r="AW48" s="44"/>
      <c r="AX48" s="45" t="str">
        <f t="shared" si="34"/>
        <v/>
      </c>
      <c r="AY48" s="46"/>
      <c r="AZ48" s="152" t="str">
        <f t="shared" si="35"/>
        <v>No Quote</v>
      </c>
      <c r="BA48" s="153"/>
      <c r="BB48" s="44"/>
      <c r="BC48" s="45" t="str">
        <f t="shared" si="36"/>
        <v/>
      </c>
      <c r="BD48" s="46"/>
      <c r="BE48" s="212" t="str">
        <f t="shared" si="37"/>
        <v>No Quote</v>
      </c>
      <c r="BF48" s="213"/>
      <c r="BG48" s="90"/>
      <c r="BH48" s="96"/>
      <c r="BI48" s="66" t="str">
        <f t="shared" si="38"/>
        <v/>
      </c>
      <c r="BJ48" s="95"/>
      <c r="BK48" s="95" t="str">
        <f>IFERROR(IF(#REF!="","",#REF!),"")</f>
        <v/>
      </c>
      <c r="BL48" s="80" t="str">
        <f t="shared" si="7"/>
        <v>-</v>
      </c>
      <c r="BM48" s="80" t="str">
        <f t="shared" si="8"/>
        <v>-</v>
      </c>
      <c r="BN48" s="80" t="str">
        <f t="shared" si="9"/>
        <v>-</v>
      </c>
      <c r="BO48" s="80" t="str">
        <f t="shared" si="10"/>
        <v>-</v>
      </c>
      <c r="BP48" s="80" t="str">
        <f t="shared" si="11"/>
        <v>-</v>
      </c>
      <c r="BQ48" s="80" t="str">
        <f t="shared" si="12"/>
        <v>-</v>
      </c>
      <c r="BR48" s="80" t="str">
        <f t="shared" si="13"/>
        <v>-</v>
      </c>
      <c r="BS48" s="80" t="str">
        <f t="shared" si="14"/>
        <v>-</v>
      </c>
      <c r="BT48" s="80" t="str">
        <f t="shared" si="15"/>
        <v>-</v>
      </c>
      <c r="BU48" s="81" t="str">
        <f t="shared" si="39"/>
        <v/>
      </c>
      <c r="BV48" s="91" t="str">
        <f t="shared" si="16"/>
        <v>-</v>
      </c>
      <c r="BW48" s="77" t="str">
        <f t="shared" si="40"/>
        <v/>
      </c>
      <c r="BX48" s="75" t="str">
        <f t="shared" si="41"/>
        <v/>
      </c>
      <c r="BY48" s="74" t="str">
        <f t="shared" si="42"/>
        <v/>
      </c>
      <c r="BZ48" s="77" t="str">
        <f t="shared" si="43"/>
        <v/>
      </c>
      <c r="CA48" s="75" t="str">
        <f t="shared" si="44"/>
        <v/>
      </c>
      <c r="CB48" s="74" t="str">
        <f t="shared" si="45"/>
        <v/>
      </c>
      <c r="CC48" s="77" t="str">
        <f t="shared" si="17"/>
        <v/>
      </c>
      <c r="CE48" s="104">
        <f t="shared" si="46"/>
        <v>0</v>
      </c>
      <c r="CF48" s="106"/>
    </row>
    <row r="49" spans="2:84" s="1" customFormat="1" ht="62.1" customHeight="1" outlineLevel="1" x14ac:dyDescent="0.25">
      <c r="B49" s="41">
        <f t="shared" si="47"/>
        <v>28</v>
      </c>
      <c r="C49" s="218"/>
      <c r="D49" s="218"/>
      <c r="E49" s="218"/>
      <c r="F49" s="218"/>
      <c r="G49" s="42"/>
      <c r="H49" s="43"/>
      <c r="I49" s="44"/>
      <c r="J49" s="45" t="str">
        <f t="shared" si="18"/>
        <v/>
      </c>
      <c r="K49" s="93"/>
      <c r="L49" s="152" t="str">
        <f t="shared" si="19"/>
        <v>No Quote</v>
      </c>
      <c r="M49" s="153"/>
      <c r="N49" s="44"/>
      <c r="O49" s="45" t="str">
        <f t="shared" si="20"/>
        <v/>
      </c>
      <c r="P49" s="93"/>
      <c r="Q49" s="152" t="str">
        <f t="shared" si="21"/>
        <v>No Quote</v>
      </c>
      <c r="R49" s="153"/>
      <c r="S49" s="44"/>
      <c r="T49" s="45" t="str">
        <f t="shared" si="22"/>
        <v/>
      </c>
      <c r="U49" s="92"/>
      <c r="V49" s="152" t="str">
        <f t="shared" si="23"/>
        <v>No Quote</v>
      </c>
      <c r="W49" s="153"/>
      <c r="X49" s="44"/>
      <c r="Y49" s="45" t="str">
        <f t="shared" si="24"/>
        <v/>
      </c>
      <c r="Z49" s="93"/>
      <c r="AA49" s="152" t="str">
        <f t="shared" si="25"/>
        <v>No Quote</v>
      </c>
      <c r="AB49" s="153"/>
      <c r="AC49" s="44"/>
      <c r="AD49" s="45" t="str">
        <f t="shared" si="26"/>
        <v/>
      </c>
      <c r="AE49" s="92"/>
      <c r="AF49" s="152" t="str">
        <f t="shared" si="27"/>
        <v>No Quote</v>
      </c>
      <c r="AG49" s="153"/>
      <c r="AH49" s="44"/>
      <c r="AI49" s="45" t="str">
        <f t="shared" si="28"/>
        <v/>
      </c>
      <c r="AJ49" s="92"/>
      <c r="AK49" s="152" t="str">
        <f t="shared" si="29"/>
        <v>No Quote</v>
      </c>
      <c r="AL49" s="153"/>
      <c r="AM49" s="44"/>
      <c r="AN49" s="45" t="str">
        <f t="shared" si="30"/>
        <v/>
      </c>
      <c r="AO49" s="92"/>
      <c r="AP49" s="152" t="str">
        <f t="shared" si="31"/>
        <v>No Quote</v>
      </c>
      <c r="AQ49" s="153"/>
      <c r="AR49" s="44"/>
      <c r="AS49" s="45" t="str">
        <f t="shared" si="32"/>
        <v/>
      </c>
      <c r="AT49" s="92"/>
      <c r="AU49" s="152" t="str">
        <f t="shared" si="33"/>
        <v>No Quote</v>
      </c>
      <c r="AV49" s="153"/>
      <c r="AW49" s="44"/>
      <c r="AX49" s="45" t="str">
        <f t="shared" si="34"/>
        <v/>
      </c>
      <c r="AY49" s="46"/>
      <c r="AZ49" s="152" t="str">
        <f t="shared" si="35"/>
        <v>No Quote</v>
      </c>
      <c r="BA49" s="153"/>
      <c r="BB49" s="44"/>
      <c r="BC49" s="45" t="str">
        <f t="shared" si="36"/>
        <v/>
      </c>
      <c r="BD49" s="46"/>
      <c r="BE49" s="212" t="str">
        <f t="shared" si="37"/>
        <v>No Quote</v>
      </c>
      <c r="BF49" s="213"/>
      <c r="BG49" s="90"/>
      <c r="BH49" s="96"/>
      <c r="BI49" s="66" t="str">
        <f t="shared" si="38"/>
        <v/>
      </c>
      <c r="BJ49" s="95"/>
      <c r="BK49" s="95" t="str">
        <f>IFERROR(IF(#REF!="","",#REF!),"")</f>
        <v/>
      </c>
      <c r="BL49" s="80" t="str">
        <f t="shared" si="7"/>
        <v>-</v>
      </c>
      <c r="BM49" s="80" t="str">
        <f t="shared" si="8"/>
        <v>-</v>
      </c>
      <c r="BN49" s="80" t="str">
        <f t="shared" si="9"/>
        <v>-</v>
      </c>
      <c r="BO49" s="80" t="str">
        <f t="shared" si="10"/>
        <v>-</v>
      </c>
      <c r="BP49" s="80" t="str">
        <f t="shared" si="11"/>
        <v>-</v>
      </c>
      <c r="BQ49" s="80" t="str">
        <f t="shared" si="12"/>
        <v>-</v>
      </c>
      <c r="BR49" s="80" t="str">
        <f t="shared" si="13"/>
        <v>-</v>
      </c>
      <c r="BS49" s="80" t="str">
        <f t="shared" si="14"/>
        <v>-</v>
      </c>
      <c r="BT49" s="80" t="str">
        <f t="shared" si="15"/>
        <v>-</v>
      </c>
      <c r="BU49" s="81" t="str">
        <f t="shared" si="39"/>
        <v/>
      </c>
      <c r="BV49" s="91" t="str">
        <f t="shared" si="16"/>
        <v>-</v>
      </c>
      <c r="BW49" s="77" t="str">
        <f t="shared" si="40"/>
        <v/>
      </c>
      <c r="BX49" s="75" t="str">
        <f t="shared" si="41"/>
        <v/>
      </c>
      <c r="BY49" s="74" t="str">
        <f t="shared" si="42"/>
        <v/>
      </c>
      <c r="BZ49" s="77" t="str">
        <f t="shared" si="43"/>
        <v/>
      </c>
      <c r="CA49" s="75" t="str">
        <f t="shared" si="44"/>
        <v/>
      </c>
      <c r="CB49" s="74" t="str">
        <f t="shared" si="45"/>
        <v/>
      </c>
      <c r="CC49" s="77" t="str">
        <f t="shared" si="17"/>
        <v/>
      </c>
      <c r="CE49" s="104">
        <f t="shared" si="46"/>
        <v>0</v>
      </c>
      <c r="CF49" s="106"/>
    </row>
    <row r="50" spans="2:84" s="1" customFormat="1" ht="62.1" customHeight="1" outlineLevel="1" x14ac:dyDescent="0.25">
      <c r="B50" s="41">
        <f t="shared" si="47"/>
        <v>29</v>
      </c>
      <c r="C50" s="218"/>
      <c r="D50" s="218"/>
      <c r="E50" s="218"/>
      <c r="F50" s="218"/>
      <c r="G50" s="42"/>
      <c r="H50" s="43"/>
      <c r="I50" s="44"/>
      <c r="J50" s="45" t="str">
        <f t="shared" si="18"/>
        <v/>
      </c>
      <c r="K50" s="93"/>
      <c r="L50" s="152" t="str">
        <f t="shared" si="19"/>
        <v>No Quote</v>
      </c>
      <c r="M50" s="153"/>
      <c r="N50" s="44"/>
      <c r="O50" s="45" t="str">
        <f t="shared" si="20"/>
        <v/>
      </c>
      <c r="P50" s="93"/>
      <c r="Q50" s="152" t="str">
        <f t="shared" si="21"/>
        <v>No Quote</v>
      </c>
      <c r="R50" s="153"/>
      <c r="S50" s="44"/>
      <c r="T50" s="45" t="str">
        <f t="shared" si="22"/>
        <v/>
      </c>
      <c r="U50" s="92"/>
      <c r="V50" s="152" t="str">
        <f t="shared" si="23"/>
        <v>No Quote</v>
      </c>
      <c r="W50" s="153"/>
      <c r="X50" s="44"/>
      <c r="Y50" s="45" t="str">
        <f t="shared" si="24"/>
        <v/>
      </c>
      <c r="Z50" s="93"/>
      <c r="AA50" s="152" t="str">
        <f t="shared" si="25"/>
        <v>No Quote</v>
      </c>
      <c r="AB50" s="153"/>
      <c r="AC50" s="44"/>
      <c r="AD50" s="45" t="str">
        <f t="shared" si="26"/>
        <v/>
      </c>
      <c r="AE50" s="92"/>
      <c r="AF50" s="152" t="str">
        <f t="shared" si="27"/>
        <v>No Quote</v>
      </c>
      <c r="AG50" s="153"/>
      <c r="AH50" s="44"/>
      <c r="AI50" s="45" t="str">
        <f t="shared" si="28"/>
        <v/>
      </c>
      <c r="AJ50" s="92"/>
      <c r="AK50" s="152" t="str">
        <f t="shared" si="29"/>
        <v>No Quote</v>
      </c>
      <c r="AL50" s="153"/>
      <c r="AM50" s="44"/>
      <c r="AN50" s="45" t="str">
        <f t="shared" si="30"/>
        <v/>
      </c>
      <c r="AO50" s="92"/>
      <c r="AP50" s="152" t="str">
        <f t="shared" si="31"/>
        <v>No Quote</v>
      </c>
      <c r="AQ50" s="153"/>
      <c r="AR50" s="44"/>
      <c r="AS50" s="45" t="str">
        <f t="shared" si="32"/>
        <v/>
      </c>
      <c r="AT50" s="92"/>
      <c r="AU50" s="152" t="str">
        <f t="shared" si="33"/>
        <v>No Quote</v>
      </c>
      <c r="AV50" s="153"/>
      <c r="AW50" s="44"/>
      <c r="AX50" s="45" t="str">
        <f t="shared" si="34"/>
        <v/>
      </c>
      <c r="AY50" s="46"/>
      <c r="AZ50" s="152" t="str">
        <f t="shared" si="35"/>
        <v>No Quote</v>
      </c>
      <c r="BA50" s="153"/>
      <c r="BB50" s="44"/>
      <c r="BC50" s="45" t="str">
        <f t="shared" si="36"/>
        <v/>
      </c>
      <c r="BD50" s="46"/>
      <c r="BE50" s="212" t="str">
        <f t="shared" si="37"/>
        <v>No Quote</v>
      </c>
      <c r="BF50" s="213"/>
      <c r="BG50" s="90"/>
      <c r="BH50" s="96"/>
      <c r="BI50" s="66" t="str">
        <f t="shared" si="38"/>
        <v/>
      </c>
      <c r="BJ50" s="95"/>
      <c r="BK50" s="95" t="str">
        <f>IFERROR(IF(#REF!="","",#REF!),"")</f>
        <v/>
      </c>
      <c r="BL50" s="80" t="str">
        <f t="shared" si="7"/>
        <v>-</v>
      </c>
      <c r="BM50" s="80" t="str">
        <f t="shared" si="8"/>
        <v>-</v>
      </c>
      <c r="BN50" s="80" t="str">
        <f t="shared" si="9"/>
        <v>-</v>
      </c>
      <c r="BO50" s="80" t="str">
        <f t="shared" si="10"/>
        <v>-</v>
      </c>
      <c r="BP50" s="80" t="str">
        <f t="shared" si="11"/>
        <v>-</v>
      </c>
      <c r="BQ50" s="80" t="str">
        <f t="shared" si="12"/>
        <v>-</v>
      </c>
      <c r="BR50" s="80" t="str">
        <f t="shared" si="13"/>
        <v>-</v>
      </c>
      <c r="BS50" s="80" t="str">
        <f t="shared" si="14"/>
        <v>-</v>
      </c>
      <c r="BT50" s="80" t="str">
        <f t="shared" si="15"/>
        <v>-</v>
      </c>
      <c r="BU50" s="81" t="str">
        <f t="shared" si="39"/>
        <v/>
      </c>
      <c r="BV50" s="91" t="str">
        <f t="shared" si="16"/>
        <v>-</v>
      </c>
      <c r="BW50" s="77" t="str">
        <f t="shared" si="40"/>
        <v/>
      </c>
      <c r="BX50" s="75" t="str">
        <f t="shared" si="41"/>
        <v/>
      </c>
      <c r="BY50" s="74" t="str">
        <f t="shared" si="42"/>
        <v/>
      </c>
      <c r="BZ50" s="77" t="str">
        <f t="shared" si="43"/>
        <v/>
      </c>
      <c r="CA50" s="75" t="str">
        <f t="shared" si="44"/>
        <v/>
      </c>
      <c r="CB50" s="74" t="str">
        <f t="shared" si="45"/>
        <v/>
      </c>
      <c r="CC50" s="77" t="str">
        <f t="shared" si="17"/>
        <v/>
      </c>
      <c r="CE50" s="104">
        <f t="shared" si="46"/>
        <v>0</v>
      </c>
      <c r="CF50" s="106"/>
    </row>
    <row r="51" spans="2:84" s="47" customFormat="1" ht="35.1" customHeight="1" x14ac:dyDescent="0.25">
      <c r="B51" s="214" t="s">
        <v>18</v>
      </c>
      <c r="C51" s="215"/>
      <c r="D51" s="215"/>
      <c r="E51" s="215"/>
      <c r="F51" s="215"/>
      <c r="G51" s="158" t="s">
        <v>36</v>
      </c>
      <c r="H51" s="159"/>
      <c r="I51" s="144">
        <f>SUMIF(K22:K50,"&lt;&gt;x",J22:J50)</f>
        <v>0</v>
      </c>
      <c r="J51" s="145"/>
      <c r="K51" s="145"/>
      <c r="L51" s="145"/>
      <c r="M51" s="146"/>
      <c r="N51" s="144">
        <f t="shared" ref="N51" si="48">SUMIF(P22:P50,"&lt;&gt;x",O22:O50)</f>
        <v>0</v>
      </c>
      <c r="O51" s="145"/>
      <c r="P51" s="145"/>
      <c r="Q51" s="145"/>
      <c r="R51" s="146"/>
      <c r="S51" s="144">
        <f t="shared" ref="S51" si="49">SUMIF(U22:U50,"&lt;&gt;x",T22:T50)</f>
        <v>0</v>
      </c>
      <c r="T51" s="145"/>
      <c r="U51" s="145"/>
      <c r="V51" s="145"/>
      <c r="W51" s="146"/>
      <c r="X51" s="144">
        <f t="shared" ref="X51" si="50">SUMIF(Z22:Z50,"&lt;&gt;x",Y22:Y50)</f>
        <v>0</v>
      </c>
      <c r="Y51" s="145"/>
      <c r="Z51" s="145"/>
      <c r="AA51" s="145"/>
      <c r="AB51" s="146"/>
      <c r="AC51" s="144">
        <f t="shared" ref="AC51" si="51">SUMIF(AE22:AE50,"&lt;&gt;x",AD22:AD50)</f>
        <v>0</v>
      </c>
      <c r="AD51" s="145"/>
      <c r="AE51" s="145"/>
      <c r="AF51" s="145"/>
      <c r="AG51" s="146"/>
      <c r="AH51" s="144">
        <f t="shared" ref="AH51" si="52">SUMIF(AJ22:AJ50,"&lt;&gt;x",AI22:AI50)</f>
        <v>0</v>
      </c>
      <c r="AI51" s="145"/>
      <c r="AJ51" s="145"/>
      <c r="AK51" s="145"/>
      <c r="AL51" s="146"/>
      <c r="AM51" s="144">
        <f t="shared" ref="AM51" si="53">SUMIF(AO22:AO50,"&lt;&gt;x",AN22:AN50)</f>
        <v>0</v>
      </c>
      <c r="AN51" s="145"/>
      <c r="AO51" s="145"/>
      <c r="AP51" s="145"/>
      <c r="AQ51" s="146"/>
      <c r="AR51" s="144">
        <f t="shared" ref="AR51" si="54">SUMIF(AT22:AT50,"&lt;&gt;x",AS22:AS50)</f>
        <v>0</v>
      </c>
      <c r="AS51" s="145"/>
      <c r="AT51" s="145"/>
      <c r="AU51" s="145"/>
      <c r="AV51" s="146"/>
      <c r="AW51" s="144">
        <f t="shared" ref="AW51" si="55">SUMIF(AY22:AY50,"&lt;&gt;x",AX22:AX50)</f>
        <v>0</v>
      </c>
      <c r="AX51" s="145"/>
      <c r="AY51" s="145"/>
      <c r="AZ51" s="145"/>
      <c r="BA51" s="146"/>
      <c r="BB51" s="144">
        <f t="shared" ref="BB51" si="56">SUMIF(BD22:BD50,"&lt;&gt;x",BC22:BC50)</f>
        <v>0</v>
      </c>
      <c r="BC51" s="145"/>
      <c r="BD51" s="145"/>
      <c r="BE51" s="145"/>
      <c r="BF51" s="157"/>
      <c r="BL51" s="114">
        <f>SUM(BL22:BL50)</f>
        <v>0</v>
      </c>
      <c r="BM51" s="114">
        <f t="shared" ref="BM51:BT51" si="57">SUM(BM22:BM50)</f>
        <v>0</v>
      </c>
      <c r="BN51" s="114">
        <f t="shared" si="57"/>
        <v>0</v>
      </c>
      <c r="BO51" s="114">
        <f t="shared" si="57"/>
        <v>0</v>
      </c>
      <c r="BP51" s="114">
        <f t="shared" si="57"/>
        <v>0</v>
      </c>
      <c r="BQ51" s="114">
        <f t="shared" si="57"/>
        <v>0</v>
      </c>
      <c r="BR51" s="114">
        <f t="shared" si="57"/>
        <v>0</v>
      </c>
      <c r="BS51" s="114">
        <f t="shared" si="57"/>
        <v>0</v>
      </c>
      <c r="BT51" s="114">
        <f t="shared" si="57"/>
        <v>0</v>
      </c>
      <c r="BU51" s="81" t="str">
        <f t="shared" si="39"/>
        <v/>
      </c>
      <c r="BV51" s="115"/>
      <c r="BW51" s="77" t="str">
        <f t="shared" ref="BW51" si="58">IF(BU51=BL51,$BL$19,IF(BU51=BM51,$BM$19,IF(BU51=BN51,$BN$19,IF(BU51=BO51,$BO$19,IF(BU51=BP51,$BP$19,IF(BU51=BQ51,$BQ$19,IF(BU51=BR51,$BR$19,IF(BU51=BS51,$BS$19,IF(BU51=BT51,$BT$19,"")))))))))</f>
        <v/>
      </c>
      <c r="BX51" s="75">
        <f t="shared" si="41"/>
        <v>0</v>
      </c>
      <c r="BY51" s="74" t="str">
        <f t="shared" si="42"/>
        <v/>
      </c>
      <c r="BZ51" s="77">
        <f t="shared" ref="BZ51" si="59">IFERROR(IF(BX51="","",IF(BX51=BL51,$BL$19,IF(BX51=BM51,$BM$19,IF(BX51=BN51,$BN$19,IF(BX51=BO51,$BO$19,IF(BX51=BP51,$BP$19,IF(BX51=BQ51,$BQ$19,IF(BX51=BR51,$BR$19,IF(BX51=BS51,$BS$19,IF(BX51=BT51,$BT$19,"")))))))))),"")</f>
        <v>0</v>
      </c>
      <c r="CA51" s="75">
        <f t="shared" si="44"/>
        <v>0</v>
      </c>
      <c r="CB51" s="74" t="str">
        <f t="shared" ref="CB51" si="60">IFERROR(IF((CA51-$BU51)/$BU51&lt;0%,"",(CA51-$BU51)/$BU51),"")</f>
        <v/>
      </c>
      <c r="CC51" s="77">
        <f t="shared" ref="CC51" si="61">IFERROR(IF(CA51="","",IF(BL51=CA51,$BL$19,IF(BM51=CA51,$BM$19,IF(BN51=CA51,$BN$19,IF(BO51=CA51,$BO$19,IF(BP51=CA51,$BP$19,IF(BQ51=CA51,$BQ$19,IF(BR51=CA51,$BR$19,IF(BS51=CA51,$BS$19,IF(BT51=CA51,$BT$19)))))))))),"")</f>
        <v>0</v>
      </c>
    </row>
    <row r="52" spans="2:84" s="47" customFormat="1" ht="35.1" customHeight="1" outlineLevel="1" x14ac:dyDescent="0.25">
      <c r="B52" s="216"/>
      <c r="C52" s="217"/>
      <c r="D52" s="217"/>
      <c r="E52" s="217"/>
      <c r="F52" s="217"/>
      <c r="G52" s="158" t="s">
        <v>37</v>
      </c>
      <c r="H52" s="159"/>
      <c r="I52" s="144">
        <f>I51+(I51*11%)</f>
        <v>0</v>
      </c>
      <c r="J52" s="145"/>
      <c r="K52" s="145"/>
      <c r="L52" s="145"/>
      <c r="M52" s="146"/>
      <c r="N52" s="144">
        <f>N51+(N51*11%)</f>
        <v>0</v>
      </c>
      <c r="O52" s="145"/>
      <c r="P52" s="145"/>
      <c r="Q52" s="145"/>
      <c r="R52" s="146"/>
      <c r="S52" s="144">
        <f>S51+(S51*11%)</f>
        <v>0</v>
      </c>
      <c r="T52" s="145"/>
      <c r="U52" s="145"/>
      <c r="V52" s="145"/>
      <c r="W52" s="146"/>
      <c r="X52" s="144">
        <f>X51+(X51*11%)</f>
        <v>0</v>
      </c>
      <c r="Y52" s="145"/>
      <c r="Z52" s="145"/>
      <c r="AA52" s="145"/>
      <c r="AB52" s="146"/>
      <c r="AC52" s="144">
        <f>AC51+(AC51*11%)</f>
        <v>0</v>
      </c>
      <c r="AD52" s="145"/>
      <c r="AE52" s="145"/>
      <c r="AF52" s="145"/>
      <c r="AG52" s="146"/>
      <c r="AH52" s="144">
        <f>AH51+(AH51*11%)</f>
        <v>0</v>
      </c>
      <c r="AI52" s="145"/>
      <c r="AJ52" s="145"/>
      <c r="AK52" s="145"/>
      <c r="AL52" s="146"/>
      <c r="AM52" s="144">
        <f>AM51+(AM51*11%)</f>
        <v>0</v>
      </c>
      <c r="AN52" s="145"/>
      <c r="AO52" s="145"/>
      <c r="AP52" s="145"/>
      <c r="AQ52" s="146"/>
      <c r="AR52" s="144">
        <f>AR51+(AR51*11%)</f>
        <v>0</v>
      </c>
      <c r="AS52" s="145"/>
      <c r="AT52" s="145"/>
      <c r="AU52" s="145"/>
      <c r="AV52" s="146"/>
      <c r="AW52" s="144">
        <f>AW51+(AW51*11%)</f>
        <v>0</v>
      </c>
      <c r="AX52" s="145"/>
      <c r="AY52" s="145"/>
      <c r="AZ52" s="145"/>
      <c r="BA52" s="146"/>
      <c r="BB52" s="144">
        <f>BB51+(BB51*11%)</f>
        <v>0</v>
      </c>
      <c r="BC52" s="145"/>
      <c r="BD52" s="145"/>
      <c r="BE52" s="145"/>
      <c r="BF52" s="157"/>
      <c r="BL52" s="11" t="str">
        <f>IF(COUNTIF(BL22:BL50,"-")&gt;0,"No Full Item","Full Item")</f>
        <v>No Full Item</v>
      </c>
      <c r="BM52" s="11" t="str">
        <f t="shared" ref="BM52:BT52" si="62">IF(COUNTIF(BM22:BM50,"-")&gt;0,"No Full Item","Full Item")</f>
        <v>No Full Item</v>
      </c>
      <c r="BN52" s="11" t="str">
        <f t="shared" si="62"/>
        <v>No Full Item</v>
      </c>
      <c r="BO52" s="11" t="str">
        <f t="shared" si="62"/>
        <v>No Full Item</v>
      </c>
      <c r="BP52" s="11" t="str">
        <f t="shared" si="62"/>
        <v>No Full Item</v>
      </c>
      <c r="BQ52" s="11" t="str">
        <f t="shared" si="62"/>
        <v>No Full Item</v>
      </c>
      <c r="BR52" s="11" t="str">
        <f t="shared" si="62"/>
        <v>No Full Item</v>
      </c>
      <c r="BS52" s="11" t="str">
        <f t="shared" si="62"/>
        <v>No Full Item</v>
      </c>
      <c r="BT52" s="11" t="str">
        <f t="shared" si="62"/>
        <v>No Full Item</v>
      </c>
      <c r="BU52" s="72"/>
      <c r="BV52" s="72"/>
      <c r="BW52" s="78"/>
      <c r="BY52" s="71"/>
      <c r="BZ52" s="78"/>
      <c r="CC52" s="78"/>
    </row>
    <row r="53" spans="2:84" s="47" customFormat="1" ht="35.1" customHeight="1" x14ac:dyDescent="0.25">
      <c r="B53" s="216"/>
      <c r="C53" s="217"/>
      <c r="D53" s="217"/>
      <c r="E53" s="217"/>
      <c r="F53" s="217"/>
      <c r="G53" s="158" t="s">
        <v>38</v>
      </c>
      <c r="H53" s="159"/>
      <c r="I53" s="144"/>
      <c r="J53" s="145"/>
      <c r="K53" s="145"/>
      <c r="L53" s="145"/>
      <c r="M53" s="146"/>
      <c r="N53" s="144"/>
      <c r="O53" s="145"/>
      <c r="P53" s="145"/>
      <c r="Q53" s="145"/>
      <c r="R53" s="146"/>
      <c r="S53" s="144"/>
      <c r="T53" s="145"/>
      <c r="U53" s="145"/>
      <c r="V53" s="145"/>
      <c r="W53" s="146"/>
      <c r="X53" s="144"/>
      <c r="Y53" s="145"/>
      <c r="Z53" s="145"/>
      <c r="AA53" s="145"/>
      <c r="AB53" s="146"/>
      <c r="AC53" s="144"/>
      <c r="AD53" s="145"/>
      <c r="AE53" s="145"/>
      <c r="AF53" s="145"/>
      <c r="AG53" s="146"/>
      <c r="AH53" s="144"/>
      <c r="AI53" s="145"/>
      <c r="AJ53" s="145"/>
      <c r="AK53" s="145"/>
      <c r="AL53" s="146"/>
      <c r="AM53" s="144"/>
      <c r="AN53" s="145"/>
      <c r="AO53" s="145"/>
      <c r="AP53" s="145"/>
      <c r="AQ53" s="146"/>
      <c r="AR53" s="87"/>
      <c r="AS53" s="87"/>
      <c r="AT53" s="87"/>
      <c r="AU53" s="87"/>
      <c r="AV53" s="87"/>
      <c r="AW53" s="144"/>
      <c r="AX53" s="145"/>
      <c r="AY53" s="145"/>
      <c r="AZ53" s="145"/>
      <c r="BA53" s="146"/>
      <c r="BB53" s="144"/>
      <c r="BC53" s="145"/>
      <c r="BD53" s="145"/>
      <c r="BE53" s="145"/>
      <c r="BF53" s="157"/>
      <c r="BU53" s="72"/>
      <c r="BV53" s="72"/>
      <c r="BW53" s="78"/>
      <c r="BY53" s="71"/>
      <c r="BZ53" s="78"/>
      <c r="CC53" s="78"/>
    </row>
    <row r="54" spans="2:84" s="1" customFormat="1" ht="80.099999999999994" customHeight="1" x14ac:dyDescent="0.25">
      <c r="B54" s="208" t="s">
        <v>39</v>
      </c>
      <c r="C54" s="209"/>
      <c r="D54" s="209"/>
      <c r="E54" s="209"/>
      <c r="F54" s="209"/>
      <c r="G54" s="209"/>
      <c r="H54" s="210"/>
      <c r="I54" s="211"/>
      <c r="J54" s="195"/>
      <c r="K54" s="195"/>
      <c r="L54" s="195"/>
      <c r="M54" s="196"/>
      <c r="N54" s="194"/>
      <c r="O54" s="195"/>
      <c r="P54" s="195"/>
      <c r="Q54" s="195"/>
      <c r="R54" s="196"/>
      <c r="S54" s="194"/>
      <c r="T54" s="195"/>
      <c r="U54" s="195"/>
      <c r="V54" s="195"/>
      <c r="W54" s="196"/>
      <c r="X54" s="194"/>
      <c r="Y54" s="195"/>
      <c r="Z54" s="195"/>
      <c r="AA54" s="195"/>
      <c r="AB54" s="196"/>
      <c r="AC54" s="194"/>
      <c r="AD54" s="195"/>
      <c r="AE54" s="195"/>
      <c r="AF54" s="195"/>
      <c r="AG54" s="196"/>
      <c r="AH54" s="194"/>
      <c r="AI54" s="195"/>
      <c r="AJ54" s="195"/>
      <c r="AK54" s="195"/>
      <c r="AL54" s="196"/>
      <c r="AM54" s="194"/>
      <c r="AN54" s="195"/>
      <c r="AO54" s="195"/>
      <c r="AP54" s="195"/>
      <c r="AQ54" s="196"/>
      <c r="AR54" s="88"/>
      <c r="AS54" s="88"/>
      <c r="AT54" s="88"/>
      <c r="AU54" s="88"/>
      <c r="AV54" s="88"/>
      <c r="AW54" s="194"/>
      <c r="AX54" s="195"/>
      <c r="AY54" s="195"/>
      <c r="AZ54" s="195"/>
      <c r="BA54" s="196"/>
      <c r="BB54" s="194"/>
      <c r="BC54" s="195"/>
      <c r="BD54" s="195"/>
      <c r="BE54" s="195"/>
      <c r="BF54" s="197"/>
      <c r="BU54" s="82"/>
      <c r="BV54" s="82"/>
      <c r="BW54" s="73"/>
      <c r="BY54" s="68"/>
      <c r="BZ54" s="73"/>
      <c r="CC54" s="73"/>
    </row>
    <row r="55" spans="2:84" s="1" customFormat="1" ht="120" customHeight="1" x14ac:dyDescent="0.25">
      <c r="B55" s="198"/>
      <c r="C55" s="199"/>
      <c r="D55" s="199"/>
      <c r="E55" s="199"/>
      <c r="F55" s="199"/>
      <c r="G55" s="199"/>
      <c r="H55" s="199"/>
      <c r="I55" s="200" t="s">
        <v>40</v>
      </c>
      <c r="J55" s="201"/>
      <c r="K55" s="201"/>
      <c r="L55" s="201"/>
      <c r="M55" s="202"/>
      <c r="N55" s="200" t="s">
        <v>40</v>
      </c>
      <c r="O55" s="201"/>
      <c r="P55" s="201"/>
      <c r="Q55" s="201"/>
      <c r="R55" s="202"/>
      <c r="S55" s="200" t="s">
        <v>40</v>
      </c>
      <c r="T55" s="201"/>
      <c r="U55" s="201"/>
      <c r="V55" s="201"/>
      <c r="W55" s="202"/>
      <c r="X55" s="200" t="s">
        <v>40</v>
      </c>
      <c r="Y55" s="201"/>
      <c r="Z55" s="201"/>
      <c r="AA55" s="201"/>
      <c r="AB55" s="202"/>
      <c r="AC55" s="200" t="s">
        <v>40</v>
      </c>
      <c r="AD55" s="201"/>
      <c r="AE55" s="201"/>
      <c r="AF55" s="201"/>
      <c r="AG55" s="202"/>
      <c r="AH55" s="200" t="s">
        <v>40</v>
      </c>
      <c r="AI55" s="201"/>
      <c r="AJ55" s="201"/>
      <c r="AK55" s="201"/>
      <c r="AL55" s="202"/>
      <c r="AM55" s="200" t="s">
        <v>40</v>
      </c>
      <c r="AN55" s="201"/>
      <c r="AO55" s="201"/>
      <c r="AP55" s="201"/>
      <c r="AQ55" s="202"/>
      <c r="AR55" s="200" t="s">
        <v>40</v>
      </c>
      <c r="AS55" s="201"/>
      <c r="AT55" s="201"/>
      <c r="AU55" s="201"/>
      <c r="AV55" s="202"/>
      <c r="AW55" s="200" t="s">
        <v>40</v>
      </c>
      <c r="AX55" s="201"/>
      <c r="AY55" s="201"/>
      <c r="AZ55" s="201"/>
      <c r="BA55" s="202"/>
      <c r="BB55" s="176" t="s">
        <v>40</v>
      </c>
      <c r="BC55" s="177"/>
      <c r="BD55" s="177"/>
      <c r="BE55" s="177"/>
      <c r="BF55" s="178"/>
      <c r="BU55" s="82"/>
      <c r="BV55" s="82"/>
      <c r="BW55" s="73"/>
      <c r="BY55" s="68"/>
      <c r="BZ55" s="73"/>
      <c r="CC55" s="73"/>
    </row>
    <row r="56" spans="2:84" s="50" customFormat="1" ht="13.5" x14ac:dyDescent="0.25">
      <c r="B56" s="179" t="s">
        <v>41</v>
      </c>
      <c r="C56" s="180"/>
      <c r="D56" s="180"/>
      <c r="E56" s="180"/>
      <c r="F56" s="180"/>
      <c r="G56" s="180"/>
      <c r="H56" s="181"/>
      <c r="I56" s="162" t="s">
        <v>42</v>
      </c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2" t="s">
        <v>56</v>
      </c>
      <c r="AS56" s="163"/>
      <c r="AT56" s="163"/>
      <c r="AU56" s="163"/>
      <c r="AV56" s="163"/>
      <c r="AW56" s="167" t="s">
        <v>43</v>
      </c>
      <c r="AX56" s="168"/>
      <c r="AY56" s="168"/>
      <c r="AZ56" s="168"/>
      <c r="BA56" s="168"/>
      <c r="BB56" s="168"/>
      <c r="BC56" s="168"/>
      <c r="BD56" s="168"/>
      <c r="BE56" s="168"/>
      <c r="BF56" s="193"/>
      <c r="BU56" s="84"/>
      <c r="BV56" s="84"/>
      <c r="BW56" s="73"/>
      <c r="BX56" s="1"/>
      <c r="BY56" s="68"/>
      <c r="BZ56" s="73"/>
      <c r="CC56" s="73"/>
    </row>
    <row r="57" spans="2:84" s="1" customFormat="1" ht="90" customHeight="1" x14ac:dyDescent="0.25">
      <c r="B57" s="186"/>
      <c r="C57" s="187"/>
      <c r="D57" s="187"/>
      <c r="E57" s="187"/>
      <c r="F57" s="187"/>
      <c r="G57" s="187"/>
      <c r="H57" s="188"/>
      <c r="I57" s="167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9"/>
      <c r="AR57" s="164"/>
      <c r="AS57" s="165"/>
      <c r="AT57" s="165"/>
      <c r="AU57" s="165"/>
      <c r="AV57" s="165"/>
      <c r="AW57" s="164"/>
      <c r="AX57" s="165"/>
      <c r="AY57" s="165"/>
      <c r="AZ57" s="165"/>
      <c r="BA57" s="165"/>
      <c r="BB57" s="165"/>
      <c r="BC57" s="165"/>
      <c r="BD57" s="165"/>
      <c r="BE57" s="165"/>
      <c r="BF57" s="175"/>
      <c r="BU57" s="82"/>
      <c r="BV57" s="82"/>
      <c r="BW57" s="73"/>
      <c r="BY57" s="68"/>
      <c r="BZ57" s="73"/>
      <c r="CC57" s="73"/>
    </row>
    <row r="58" spans="2:84" s="1" customFormat="1" ht="13.5" x14ac:dyDescent="0.25">
      <c r="B58" s="203" t="s">
        <v>51</v>
      </c>
      <c r="C58" s="204"/>
      <c r="D58" s="204"/>
      <c r="E58" s="204"/>
      <c r="F58" s="204"/>
      <c r="G58" s="204"/>
      <c r="H58" s="205"/>
      <c r="I58" s="206" t="s">
        <v>44</v>
      </c>
      <c r="J58" s="166"/>
      <c r="K58" s="166"/>
      <c r="L58" s="166"/>
      <c r="M58" s="166"/>
      <c r="N58" s="166" t="s">
        <v>57</v>
      </c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207"/>
      <c r="AI58" s="207"/>
      <c r="AJ58" s="207"/>
      <c r="AK58" s="207"/>
      <c r="AL58" s="207"/>
      <c r="AM58" s="166" t="s">
        <v>46</v>
      </c>
      <c r="AN58" s="166"/>
      <c r="AO58" s="166"/>
      <c r="AP58" s="166"/>
      <c r="AQ58" s="166"/>
      <c r="AR58" s="189" t="s">
        <v>53</v>
      </c>
      <c r="AS58" s="190"/>
      <c r="AT58" s="190"/>
      <c r="AU58" s="190"/>
      <c r="AV58" s="190"/>
      <c r="AW58" s="206" t="str">
        <f>IF(OR($I$51&lt;200000000,$N$51&lt;200000000,$S$51&lt;200000000,$X$51&lt;200000000,$AC$51&lt;200000000,$AH$51&lt;200000000,$AM$51&lt;200000000,$AR$51&lt;200000000,$AW$51&lt;200000000,$BB$51&lt;200000000,),"Mochammad Rusfandy","Mochammad Rusfandy")</f>
        <v>Mochammad Rusfandy</v>
      </c>
      <c r="AX58" s="166"/>
      <c r="AY58" s="166"/>
      <c r="AZ58" s="166"/>
      <c r="BA58" s="166"/>
      <c r="BB58" s="166" t="str">
        <f>IF(OR($I$51="",$N$51="",$S$51="",$X$51="",$AC$51="",$AH$51="",$AM$51="",$AR$51="",$AW$51="",$BB$51=""),"",IF(OR($I$51&gt;200000000,$N$51&gt;200000000,$S$51&gt;200000000,$X$51&gt;200000000,$AC$51&gt;200000000,$AH$51&gt;200000000,$AM$51&gt;200000000,$AR$51&gt;200000000,$AW$51&gt;200000000,$BB$51&gt;200000000),"Heri Gunawan",""))</f>
        <v/>
      </c>
      <c r="BC58" s="166"/>
      <c r="BD58" s="166"/>
      <c r="BE58" s="166"/>
      <c r="BF58" s="182"/>
      <c r="BU58" s="82"/>
      <c r="BV58" s="82"/>
      <c r="BW58" s="73"/>
      <c r="BY58" s="68"/>
      <c r="BZ58" s="73"/>
      <c r="CC58" s="73"/>
    </row>
    <row r="59" spans="2:84" s="1" customFormat="1" ht="13.5" x14ac:dyDescent="0.25">
      <c r="B59" s="51" t="s">
        <v>47</v>
      </c>
      <c r="C59" s="52"/>
      <c r="D59" s="183">
        <f ca="1">BC8</f>
        <v>46231</v>
      </c>
      <c r="E59" s="183"/>
      <c r="F59" s="183"/>
      <c r="G59" s="183"/>
      <c r="H59" s="184"/>
      <c r="I59" s="170" t="str">
        <f>IF(I58="","","Date:")</f>
        <v>Date:</v>
      </c>
      <c r="J59" s="170"/>
      <c r="K59" s="170"/>
      <c r="L59" s="170"/>
      <c r="M59" s="170"/>
      <c r="N59" s="170" t="str">
        <f>IF(N58="","","Date:")</f>
        <v>Date:</v>
      </c>
      <c r="O59" s="170"/>
      <c r="P59" s="170"/>
      <c r="Q59" s="170"/>
      <c r="R59" s="170"/>
      <c r="S59" s="170"/>
      <c r="T59" s="170"/>
      <c r="U59" s="170"/>
      <c r="V59" s="170"/>
      <c r="W59" s="170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185"/>
      <c r="AI59" s="185"/>
      <c r="AJ59" s="185"/>
      <c r="AK59" s="185"/>
      <c r="AL59" s="185"/>
      <c r="AM59" s="170" t="str">
        <f>IF(AM58="","","Date:")</f>
        <v>Date:</v>
      </c>
      <c r="AN59" s="170"/>
      <c r="AO59" s="170"/>
      <c r="AP59" s="170"/>
      <c r="AQ59" s="170"/>
      <c r="AR59" s="191" t="s">
        <v>54</v>
      </c>
      <c r="AS59" s="192"/>
      <c r="AT59" s="192"/>
      <c r="AU59" s="192"/>
      <c r="AV59" s="192"/>
      <c r="AW59" s="173" t="str">
        <f>IF(AW58="","","Date:")</f>
        <v>Date:</v>
      </c>
      <c r="AX59" s="170"/>
      <c r="AY59" s="170"/>
      <c r="AZ59" s="170"/>
      <c r="BA59" s="170"/>
      <c r="BB59" s="170" t="str">
        <f>IF(BB58="","","Date:")</f>
        <v/>
      </c>
      <c r="BC59" s="170"/>
      <c r="BD59" s="170"/>
      <c r="BE59" s="170"/>
      <c r="BF59" s="174"/>
      <c r="BU59" s="82"/>
      <c r="BV59" s="82"/>
      <c r="BW59" s="73"/>
      <c r="BY59" s="68"/>
      <c r="BZ59" s="73"/>
      <c r="CC59" s="73"/>
    </row>
    <row r="60" spans="2:84" s="1" customFormat="1" ht="15.75" customHeight="1" thickBot="1" x14ac:dyDescent="0.3">
      <c r="B60" s="53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5"/>
      <c r="N60" s="54"/>
      <c r="O60" s="54"/>
      <c r="P60" s="54"/>
      <c r="Q60" s="54"/>
      <c r="R60" s="54"/>
      <c r="S60" s="54"/>
      <c r="T60" s="54"/>
      <c r="U60" s="56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155"/>
      <c r="AS60" s="155"/>
      <c r="AT60" s="155"/>
      <c r="AU60" s="155"/>
      <c r="AV60" s="155"/>
      <c r="AW60" s="54"/>
      <c r="AX60" s="54"/>
      <c r="AY60" s="54"/>
      <c r="AZ60" s="54"/>
      <c r="BA60" s="54"/>
      <c r="BB60" s="54"/>
      <c r="BC60" s="54"/>
      <c r="BD60" s="54"/>
      <c r="BE60" s="54"/>
      <c r="BF60" s="57"/>
      <c r="BU60" s="82"/>
      <c r="BV60" s="82"/>
      <c r="BW60" s="73"/>
      <c r="BY60" s="68"/>
      <c r="BZ60" s="73"/>
      <c r="CC60" s="73"/>
    </row>
    <row r="61" spans="2:84" ht="17.25" thickTop="1" x14ac:dyDescent="0.25">
      <c r="L61" s="58"/>
      <c r="M61" s="58"/>
    </row>
    <row r="62" spans="2:84" x14ac:dyDescent="0.25">
      <c r="I62" s="59"/>
      <c r="L62" s="58"/>
      <c r="M62" s="58"/>
      <c r="N62" s="59"/>
    </row>
    <row r="63" spans="2:84" x14ac:dyDescent="0.25">
      <c r="J63" s="160"/>
      <c r="K63" s="161"/>
      <c r="L63" s="161"/>
      <c r="M63" s="161"/>
    </row>
    <row r="64" spans="2:84" x14ac:dyDescent="0.25">
      <c r="J64" s="160"/>
      <c r="K64" s="161"/>
      <c r="L64" s="161"/>
      <c r="M64" s="161"/>
    </row>
    <row r="65" spans="4:16" x14ac:dyDescent="0.25">
      <c r="J65" s="160"/>
      <c r="K65" s="161"/>
      <c r="L65" s="161"/>
      <c r="M65" s="161"/>
    </row>
    <row r="66" spans="4:16" x14ac:dyDescent="0.25">
      <c r="J66" s="160"/>
      <c r="K66" s="161"/>
      <c r="L66" s="161"/>
      <c r="M66" s="161"/>
      <c r="N66" s="160"/>
      <c r="O66" s="161"/>
      <c r="P66" s="161"/>
    </row>
    <row r="67" spans="4:16" x14ac:dyDescent="0.25">
      <c r="J67" s="160"/>
      <c r="K67" s="161"/>
      <c r="L67" s="161"/>
      <c r="M67" s="161"/>
    </row>
    <row r="68" spans="4:16" x14ac:dyDescent="0.25">
      <c r="J68" s="161"/>
      <c r="K68" s="161"/>
      <c r="L68" s="161"/>
      <c r="M68" s="161"/>
    </row>
    <row r="69" spans="4:16" x14ac:dyDescent="0.25">
      <c r="L69" s="58"/>
      <c r="M69" s="58"/>
    </row>
    <row r="70" spans="4:16" x14ac:dyDescent="0.25">
      <c r="L70" s="171"/>
      <c r="M70" s="171"/>
    </row>
    <row r="73" spans="4:16" x14ac:dyDescent="0.25">
      <c r="D73" s="59"/>
      <c r="E73" s="59"/>
      <c r="F73" s="59"/>
      <c r="G73" s="59"/>
      <c r="H73" s="59"/>
      <c r="I73" s="59"/>
    </row>
    <row r="74" spans="4:16" x14ac:dyDescent="0.25">
      <c r="D74" s="59"/>
      <c r="E74" s="59"/>
      <c r="F74" s="59"/>
      <c r="G74" s="59"/>
      <c r="H74" s="59"/>
      <c r="I74" s="59"/>
    </row>
    <row r="75" spans="4:16" x14ac:dyDescent="0.25">
      <c r="D75" s="59"/>
      <c r="E75" s="59"/>
      <c r="F75" s="59"/>
      <c r="G75" s="59"/>
      <c r="H75" s="59"/>
      <c r="I75" s="59"/>
    </row>
    <row r="76" spans="4:16" x14ac:dyDescent="0.25">
      <c r="D76" s="59"/>
      <c r="E76" s="59"/>
      <c r="F76" s="59"/>
      <c r="G76" s="59"/>
      <c r="H76" s="59"/>
      <c r="I76" s="59"/>
    </row>
    <row r="77" spans="4:16" x14ac:dyDescent="0.25">
      <c r="D77" s="59"/>
      <c r="E77" s="59"/>
      <c r="F77" s="60"/>
      <c r="G77" s="59"/>
      <c r="H77" s="59"/>
      <c r="I77" s="59"/>
    </row>
    <row r="78" spans="4:16" x14ac:dyDescent="0.25">
      <c r="D78" s="59"/>
      <c r="E78" s="59"/>
      <c r="F78" s="172"/>
      <c r="G78" s="172"/>
      <c r="H78" s="172"/>
      <c r="I78" s="59"/>
    </row>
    <row r="79" spans="4:16" x14ac:dyDescent="0.25">
      <c r="D79" s="59"/>
      <c r="E79" s="59"/>
      <c r="F79" s="172"/>
      <c r="G79" s="172"/>
      <c r="H79" s="172"/>
      <c r="I79" s="61"/>
      <c r="J79" s="62"/>
    </row>
    <row r="80" spans="4:16" x14ac:dyDescent="0.25">
      <c r="D80" s="59"/>
      <c r="E80" s="59"/>
      <c r="F80" s="59"/>
      <c r="G80" s="59"/>
      <c r="H80" s="59"/>
      <c r="I80" s="59"/>
    </row>
    <row r="81" spans="4:9" x14ac:dyDescent="0.25">
      <c r="D81" s="59"/>
      <c r="E81" s="59"/>
      <c r="F81" s="59"/>
      <c r="G81" s="59"/>
      <c r="H81" s="59"/>
      <c r="I81" s="59"/>
    </row>
    <row r="82" spans="4:9" x14ac:dyDescent="0.25">
      <c r="D82" s="59"/>
      <c r="E82" s="59"/>
      <c r="F82" s="59"/>
      <c r="G82" s="59"/>
      <c r="H82" s="59"/>
      <c r="I82" s="63"/>
    </row>
    <row r="83" spans="4:9" x14ac:dyDescent="0.25">
      <c r="D83" s="59"/>
      <c r="E83" s="59"/>
      <c r="F83" s="59"/>
      <c r="G83" s="59"/>
      <c r="H83" s="59"/>
      <c r="I83" s="59"/>
    </row>
  </sheetData>
  <mergeCells count="572">
    <mergeCell ref="B4:F6"/>
    <mergeCell ref="G4:BD6"/>
    <mergeCell ref="B7:D7"/>
    <mergeCell ref="BC7:BF7"/>
    <mergeCell ref="BB10:BF10"/>
    <mergeCell ref="B11:F11"/>
    <mergeCell ref="J11:M11"/>
    <mergeCell ref="O11:R11"/>
    <mergeCell ref="T11:W11"/>
    <mergeCell ref="Y11:AB11"/>
    <mergeCell ref="B10:F10"/>
    <mergeCell ref="G10:H11"/>
    <mergeCell ref="I10:M10"/>
    <mergeCell ref="N10:R10"/>
    <mergeCell ref="S10:W10"/>
    <mergeCell ref="X10:AB10"/>
    <mergeCell ref="AX11:BA11"/>
    <mergeCell ref="F7:Q7"/>
    <mergeCell ref="F8:Q8"/>
    <mergeCell ref="F9:Q9"/>
    <mergeCell ref="AC10:AG10"/>
    <mergeCell ref="AH10:AL10"/>
    <mergeCell ref="AM10:AQ10"/>
    <mergeCell ref="AW10:BA10"/>
    <mergeCell ref="AR10:AV10"/>
    <mergeCell ref="B8:D8"/>
    <mergeCell ref="BC8:BF8"/>
    <mergeCell ref="B9:D9"/>
    <mergeCell ref="B12:F12"/>
    <mergeCell ref="G12:H13"/>
    <mergeCell ref="I12:M13"/>
    <mergeCell ref="N12:R13"/>
    <mergeCell ref="S12:W13"/>
    <mergeCell ref="X12:AB13"/>
    <mergeCell ref="AD11:AG11"/>
    <mergeCell ref="AI11:AL11"/>
    <mergeCell ref="AN11:AQ11"/>
    <mergeCell ref="B13:F15"/>
    <mergeCell ref="G14:H14"/>
    <mergeCell ref="I14:M14"/>
    <mergeCell ref="N14:R14"/>
    <mergeCell ref="S14:W14"/>
    <mergeCell ref="X14:AB14"/>
    <mergeCell ref="AC14:AG14"/>
    <mergeCell ref="AH14:AL14"/>
    <mergeCell ref="AM14:AQ14"/>
    <mergeCell ref="AC12:AG13"/>
    <mergeCell ref="AH12:AL13"/>
    <mergeCell ref="AM12:AQ13"/>
    <mergeCell ref="AW14:BA14"/>
    <mergeCell ref="G15:H15"/>
    <mergeCell ref="I15:M15"/>
    <mergeCell ref="N15:R15"/>
    <mergeCell ref="S15:W15"/>
    <mergeCell ref="X15:AB15"/>
    <mergeCell ref="AC15:AG15"/>
    <mergeCell ref="AH15:AL15"/>
    <mergeCell ref="AM15:AQ15"/>
    <mergeCell ref="AW15:BA15"/>
    <mergeCell ref="AW12:BA13"/>
    <mergeCell ref="G16:H16"/>
    <mergeCell ref="I16:M16"/>
    <mergeCell ref="N16:R16"/>
    <mergeCell ref="S16:W16"/>
    <mergeCell ref="X16:AB16"/>
    <mergeCell ref="AC16:AG16"/>
    <mergeCell ref="AH16:AL16"/>
    <mergeCell ref="AM16:AQ16"/>
    <mergeCell ref="AW16:BA16"/>
    <mergeCell ref="BB19:BF19"/>
    <mergeCell ref="G17:H17"/>
    <mergeCell ref="I17:J17"/>
    <mergeCell ref="K17:M17"/>
    <mergeCell ref="N17:O17"/>
    <mergeCell ref="P17:R17"/>
    <mergeCell ref="S17:T17"/>
    <mergeCell ref="U17:W17"/>
    <mergeCell ref="X17:Y17"/>
    <mergeCell ref="AO17:AQ17"/>
    <mergeCell ref="AJ17:AL17"/>
    <mergeCell ref="AM17:AN17"/>
    <mergeCell ref="Z17:AB17"/>
    <mergeCell ref="AC17:AD17"/>
    <mergeCell ref="AE17:AG17"/>
    <mergeCell ref="AH17:AI17"/>
    <mergeCell ref="AR19:AV19"/>
    <mergeCell ref="BB16:BF16"/>
    <mergeCell ref="AW17:AX17"/>
    <mergeCell ref="AY17:BA17"/>
    <mergeCell ref="BB17:BC17"/>
    <mergeCell ref="BD17:BF17"/>
    <mergeCell ref="X18:AB18"/>
    <mergeCell ref="AC18:AG18"/>
    <mergeCell ref="AH18:AL18"/>
    <mergeCell ref="AM18:AQ18"/>
    <mergeCell ref="AW18:BA18"/>
    <mergeCell ref="AR16:AV16"/>
    <mergeCell ref="AR17:AS17"/>
    <mergeCell ref="AT17:AV17"/>
    <mergeCell ref="AR18:AV18"/>
    <mergeCell ref="BX21:BZ21"/>
    <mergeCell ref="C21:F21"/>
    <mergeCell ref="L21:M21"/>
    <mergeCell ref="Q21:R21"/>
    <mergeCell ref="V21:W21"/>
    <mergeCell ref="AA21:AB21"/>
    <mergeCell ref="AF21:AG21"/>
    <mergeCell ref="B18:F19"/>
    <mergeCell ref="G18:H18"/>
    <mergeCell ref="I18:M18"/>
    <mergeCell ref="N18:R18"/>
    <mergeCell ref="S18:W18"/>
    <mergeCell ref="G20:H20"/>
    <mergeCell ref="I20:M20"/>
    <mergeCell ref="N20:R20"/>
    <mergeCell ref="S20:W20"/>
    <mergeCell ref="X20:AB20"/>
    <mergeCell ref="AC20:AG20"/>
    <mergeCell ref="S19:W19"/>
    <mergeCell ref="X19:AB19"/>
    <mergeCell ref="AC19:AG19"/>
    <mergeCell ref="G19:H19"/>
    <mergeCell ref="I19:M19"/>
    <mergeCell ref="N19:R19"/>
    <mergeCell ref="CA21:CC21"/>
    <mergeCell ref="AU21:AV21"/>
    <mergeCell ref="AH20:AL20"/>
    <mergeCell ref="AM20:AQ20"/>
    <mergeCell ref="AW20:BA20"/>
    <mergeCell ref="BB20:BF20"/>
    <mergeCell ref="BT19:BT21"/>
    <mergeCell ref="BU18:BU21"/>
    <mergeCell ref="BB18:BF18"/>
    <mergeCell ref="BQ19:BQ21"/>
    <mergeCell ref="BR19:BR21"/>
    <mergeCell ref="BS19:BS21"/>
    <mergeCell ref="BN19:BN21"/>
    <mergeCell ref="BO19:BO21"/>
    <mergeCell ref="BP19:BP21"/>
    <mergeCell ref="BL19:BL21"/>
    <mergeCell ref="BM19:BM21"/>
    <mergeCell ref="AK21:AL21"/>
    <mergeCell ref="AP21:AQ21"/>
    <mergeCell ref="AZ21:BA21"/>
    <mergeCell ref="BE21:BF21"/>
    <mergeCell ref="AM19:AQ19"/>
    <mergeCell ref="AW19:BA19"/>
    <mergeCell ref="AH19:AL19"/>
    <mergeCell ref="AZ22:BA22"/>
    <mergeCell ref="BE22:BF22"/>
    <mergeCell ref="C23:F23"/>
    <mergeCell ref="L23:M23"/>
    <mergeCell ref="Q23:R23"/>
    <mergeCell ref="V23:W23"/>
    <mergeCell ref="AA23:AB23"/>
    <mergeCell ref="AF23:AG23"/>
    <mergeCell ref="C22:F22"/>
    <mergeCell ref="L22:M22"/>
    <mergeCell ref="Q22:R22"/>
    <mergeCell ref="V22:W22"/>
    <mergeCell ref="AA22:AB22"/>
    <mergeCell ref="AF22:AG22"/>
    <mergeCell ref="AK23:AL23"/>
    <mergeCell ref="AP23:AQ23"/>
    <mergeCell ref="AZ23:BA23"/>
    <mergeCell ref="BE23:BF23"/>
    <mergeCell ref="AU22:AV22"/>
    <mergeCell ref="AU23:AV23"/>
    <mergeCell ref="AK22:AL22"/>
    <mergeCell ref="AP22:AQ22"/>
    <mergeCell ref="BE24:BF24"/>
    <mergeCell ref="C25:F25"/>
    <mergeCell ref="L25:M25"/>
    <mergeCell ref="Q25:R25"/>
    <mergeCell ref="V25:W25"/>
    <mergeCell ref="AA25:AB25"/>
    <mergeCell ref="AF25:AG25"/>
    <mergeCell ref="AK25:AL25"/>
    <mergeCell ref="AP25:AQ25"/>
    <mergeCell ref="AZ25:BA25"/>
    <mergeCell ref="BE25:BF25"/>
    <mergeCell ref="AU24:AV24"/>
    <mergeCell ref="AU25:AV25"/>
    <mergeCell ref="C24:F24"/>
    <mergeCell ref="L24:M24"/>
    <mergeCell ref="Q24:R24"/>
    <mergeCell ref="V24:W24"/>
    <mergeCell ref="AA24:AB24"/>
    <mergeCell ref="AF24:AG24"/>
    <mergeCell ref="AK24:AL24"/>
    <mergeCell ref="AP24:AQ24"/>
    <mergeCell ref="AZ24:BA24"/>
    <mergeCell ref="BE26:BF26"/>
    <mergeCell ref="C27:F27"/>
    <mergeCell ref="L27:M27"/>
    <mergeCell ref="Q27:R27"/>
    <mergeCell ref="V27:W27"/>
    <mergeCell ref="AA27:AB27"/>
    <mergeCell ref="AF27:AG27"/>
    <mergeCell ref="AK27:AL27"/>
    <mergeCell ref="AP27:AQ27"/>
    <mergeCell ref="AZ27:BA27"/>
    <mergeCell ref="BE27:BF27"/>
    <mergeCell ref="AU26:AV26"/>
    <mergeCell ref="AU27:AV27"/>
    <mergeCell ref="C26:F26"/>
    <mergeCell ref="L26:M26"/>
    <mergeCell ref="Q26:R26"/>
    <mergeCell ref="V26:W26"/>
    <mergeCell ref="AA26:AB26"/>
    <mergeCell ref="AF26:AG26"/>
    <mergeCell ref="AK26:AL26"/>
    <mergeCell ref="AP26:AQ26"/>
    <mergeCell ref="AZ26:BA26"/>
    <mergeCell ref="BE28:BF28"/>
    <mergeCell ref="C29:F29"/>
    <mergeCell ref="L29:M29"/>
    <mergeCell ref="Q29:R29"/>
    <mergeCell ref="V29:W29"/>
    <mergeCell ref="AA29:AB29"/>
    <mergeCell ref="AF29:AG29"/>
    <mergeCell ref="AK29:AL29"/>
    <mergeCell ref="AP29:AQ29"/>
    <mergeCell ref="AZ29:BA29"/>
    <mergeCell ref="BE29:BF29"/>
    <mergeCell ref="AU29:AV29"/>
    <mergeCell ref="C28:F28"/>
    <mergeCell ref="L28:M28"/>
    <mergeCell ref="Q28:R28"/>
    <mergeCell ref="V28:W28"/>
    <mergeCell ref="AA28:AB28"/>
    <mergeCell ref="AF28:AG28"/>
    <mergeCell ref="AK28:AL28"/>
    <mergeCell ref="AP28:AQ28"/>
    <mergeCell ref="AZ28:BA28"/>
    <mergeCell ref="AU28:AV28"/>
    <mergeCell ref="BE30:BF30"/>
    <mergeCell ref="C31:F31"/>
    <mergeCell ref="L31:M31"/>
    <mergeCell ref="Q31:R31"/>
    <mergeCell ref="V31:W31"/>
    <mergeCell ref="AA31:AB31"/>
    <mergeCell ref="AF31:AG31"/>
    <mergeCell ref="AK31:AL31"/>
    <mergeCell ref="AP31:AQ31"/>
    <mergeCell ref="AZ31:BA31"/>
    <mergeCell ref="BE31:BF31"/>
    <mergeCell ref="AU30:AV30"/>
    <mergeCell ref="AU31:AV31"/>
    <mergeCell ref="C30:F30"/>
    <mergeCell ref="L30:M30"/>
    <mergeCell ref="Q30:R30"/>
    <mergeCell ref="V30:W30"/>
    <mergeCell ref="AA30:AB30"/>
    <mergeCell ref="AF30:AG30"/>
    <mergeCell ref="AK30:AL30"/>
    <mergeCell ref="AP30:AQ30"/>
    <mergeCell ref="AZ30:BA30"/>
    <mergeCell ref="BE32:BF32"/>
    <mergeCell ref="C33:F33"/>
    <mergeCell ref="L33:M33"/>
    <mergeCell ref="Q33:R33"/>
    <mergeCell ref="V33:W33"/>
    <mergeCell ref="AA33:AB33"/>
    <mergeCell ref="AF33:AG33"/>
    <mergeCell ref="AK33:AL33"/>
    <mergeCell ref="AP33:AQ33"/>
    <mergeCell ref="AZ33:BA33"/>
    <mergeCell ref="BE33:BF33"/>
    <mergeCell ref="AU32:AV32"/>
    <mergeCell ref="AU33:AV33"/>
    <mergeCell ref="C32:F32"/>
    <mergeCell ref="L32:M32"/>
    <mergeCell ref="Q32:R32"/>
    <mergeCell ref="V32:W32"/>
    <mergeCell ref="AA32:AB32"/>
    <mergeCell ref="AF32:AG32"/>
    <mergeCell ref="AK32:AL32"/>
    <mergeCell ref="AP32:AQ32"/>
    <mergeCell ref="AZ32:BA32"/>
    <mergeCell ref="BE34:BF34"/>
    <mergeCell ref="C35:F35"/>
    <mergeCell ref="L35:M35"/>
    <mergeCell ref="Q35:R35"/>
    <mergeCell ref="V35:W35"/>
    <mergeCell ref="AA35:AB35"/>
    <mergeCell ref="AF35:AG35"/>
    <mergeCell ref="AK35:AL35"/>
    <mergeCell ref="AP35:AQ35"/>
    <mergeCell ref="AZ35:BA35"/>
    <mergeCell ref="BE35:BF35"/>
    <mergeCell ref="C34:F34"/>
    <mergeCell ref="L34:M34"/>
    <mergeCell ref="Q34:R34"/>
    <mergeCell ref="V34:W34"/>
    <mergeCell ref="AA34:AB34"/>
    <mergeCell ref="AF34:AG34"/>
    <mergeCell ref="AK34:AL34"/>
    <mergeCell ref="AP34:AQ34"/>
    <mergeCell ref="AZ34:BA34"/>
    <mergeCell ref="BE36:BF36"/>
    <mergeCell ref="C37:F37"/>
    <mergeCell ref="L37:M37"/>
    <mergeCell ref="Q37:R37"/>
    <mergeCell ref="V37:W37"/>
    <mergeCell ref="AA37:AB37"/>
    <mergeCell ref="AF37:AG37"/>
    <mergeCell ref="AK37:AL37"/>
    <mergeCell ref="AP37:AQ37"/>
    <mergeCell ref="AZ37:BA37"/>
    <mergeCell ref="BE37:BF37"/>
    <mergeCell ref="C36:F36"/>
    <mergeCell ref="L36:M36"/>
    <mergeCell ref="Q36:R36"/>
    <mergeCell ref="V36:W36"/>
    <mergeCell ref="AA36:AB36"/>
    <mergeCell ref="AF36:AG36"/>
    <mergeCell ref="AK36:AL36"/>
    <mergeCell ref="AP36:AQ36"/>
    <mergeCell ref="AZ36:BA36"/>
    <mergeCell ref="BE38:BF38"/>
    <mergeCell ref="C39:F39"/>
    <mergeCell ref="L39:M39"/>
    <mergeCell ref="Q39:R39"/>
    <mergeCell ref="V39:W39"/>
    <mergeCell ref="AA39:AB39"/>
    <mergeCell ref="AF39:AG39"/>
    <mergeCell ref="AK39:AL39"/>
    <mergeCell ref="AP39:AQ39"/>
    <mergeCell ref="AZ39:BA39"/>
    <mergeCell ref="BE39:BF39"/>
    <mergeCell ref="C38:F38"/>
    <mergeCell ref="L38:M38"/>
    <mergeCell ref="Q38:R38"/>
    <mergeCell ref="V38:W38"/>
    <mergeCell ref="AA38:AB38"/>
    <mergeCell ref="AF38:AG38"/>
    <mergeCell ref="AK38:AL38"/>
    <mergeCell ref="AP38:AQ38"/>
    <mergeCell ref="AZ38:BA38"/>
    <mergeCell ref="BE40:BF40"/>
    <mergeCell ref="C41:F41"/>
    <mergeCell ref="L41:M41"/>
    <mergeCell ref="Q41:R41"/>
    <mergeCell ref="V41:W41"/>
    <mergeCell ref="AA41:AB41"/>
    <mergeCell ref="AF41:AG41"/>
    <mergeCell ref="AK41:AL41"/>
    <mergeCell ref="AP41:AQ41"/>
    <mergeCell ref="AZ41:BA41"/>
    <mergeCell ref="BE41:BF41"/>
    <mergeCell ref="C40:F40"/>
    <mergeCell ref="L40:M40"/>
    <mergeCell ref="Q40:R40"/>
    <mergeCell ref="V40:W40"/>
    <mergeCell ref="AA40:AB40"/>
    <mergeCell ref="AF40:AG40"/>
    <mergeCell ref="AK40:AL40"/>
    <mergeCell ref="AP40:AQ40"/>
    <mergeCell ref="AZ40:BA40"/>
    <mergeCell ref="BE42:BF42"/>
    <mergeCell ref="C43:F43"/>
    <mergeCell ref="L43:M43"/>
    <mergeCell ref="Q43:R43"/>
    <mergeCell ref="V43:W43"/>
    <mergeCell ref="AA43:AB43"/>
    <mergeCell ref="AF43:AG43"/>
    <mergeCell ref="AK43:AL43"/>
    <mergeCell ref="AP43:AQ43"/>
    <mergeCell ref="AZ43:BA43"/>
    <mergeCell ref="BE43:BF43"/>
    <mergeCell ref="C42:F42"/>
    <mergeCell ref="L42:M42"/>
    <mergeCell ref="Q42:R42"/>
    <mergeCell ref="V42:W42"/>
    <mergeCell ref="AA42:AB42"/>
    <mergeCell ref="AF42:AG42"/>
    <mergeCell ref="AK42:AL42"/>
    <mergeCell ref="AP42:AQ42"/>
    <mergeCell ref="AZ42:BA42"/>
    <mergeCell ref="BE44:BF44"/>
    <mergeCell ref="C45:F45"/>
    <mergeCell ref="L45:M45"/>
    <mergeCell ref="Q45:R45"/>
    <mergeCell ref="V45:W45"/>
    <mergeCell ref="AA45:AB45"/>
    <mergeCell ref="AF45:AG45"/>
    <mergeCell ref="AK45:AL45"/>
    <mergeCell ref="AP45:AQ45"/>
    <mergeCell ref="AZ45:BA45"/>
    <mergeCell ref="BE45:BF45"/>
    <mergeCell ref="C44:F44"/>
    <mergeCell ref="L44:M44"/>
    <mergeCell ref="Q44:R44"/>
    <mergeCell ref="V44:W44"/>
    <mergeCell ref="AA44:AB44"/>
    <mergeCell ref="AF44:AG44"/>
    <mergeCell ref="AK44:AL44"/>
    <mergeCell ref="AP44:AQ44"/>
    <mergeCell ref="AZ44:BA44"/>
    <mergeCell ref="AP48:AQ48"/>
    <mergeCell ref="AZ48:BA48"/>
    <mergeCell ref="BE46:BF46"/>
    <mergeCell ref="C47:F47"/>
    <mergeCell ref="L47:M47"/>
    <mergeCell ref="Q47:R47"/>
    <mergeCell ref="V47:W47"/>
    <mergeCell ref="AA47:AB47"/>
    <mergeCell ref="AF47:AG47"/>
    <mergeCell ref="AK47:AL47"/>
    <mergeCell ref="AP47:AQ47"/>
    <mergeCell ref="AZ47:BA47"/>
    <mergeCell ref="BE47:BF47"/>
    <mergeCell ref="C46:F46"/>
    <mergeCell ref="L46:M46"/>
    <mergeCell ref="Q46:R46"/>
    <mergeCell ref="V46:W46"/>
    <mergeCell ref="AA46:AB46"/>
    <mergeCell ref="AF46:AG46"/>
    <mergeCell ref="AK46:AL46"/>
    <mergeCell ref="AP46:AQ46"/>
    <mergeCell ref="AZ46:BA46"/>
    <mergeCell ref="AK50:AL50"/>
    <mergeCell ref="AP50:AQ50"/>
    <mergeCell ref="AZ50:BA50"/>
    <mergeCell ref="AH52:AL52"/>
    <mergeCell ref="AM52:AQ52"/>
    <mergeCell ref="AC52:AG52"/>
    <mergeCell ref="BE48:BF48"/>
    <mergeCell ref="C49:F49"/>
    <mergeCell ref="L49:M49"/>
    <mergeCell ref="Q49:R49"/>
    <mergeCell ref="V49:W49"/>
    <mergeCell ref="AA49:AB49"/>
    <mergeCell ref="AF49:AG49"/>
    <mergeCell ref="AK49:AL49"/>
    <mergeCell ref="AP49:AQ49"/>
    <mergeCell ref="AZ49:BA49"/>
    <mergeCell ref="BE49:BF49"/>
    <mergeCell ref="C48:F48"/>
    <mergeCell ref="L48:M48"/>
    <mergeCell ref="Q48:R48"/>
    <mergeCell ref="V48:W48"/>
    <mergeCell ref="AA48:AB48"/>
    <mergeCell ref="AF48:AG48"/>
    <mergeCell ref="AK48:AL48"/>
    <mergeCell ref="N52:R52"/>
    <mergeCell ref="S52:W52"/>
    <mergeCell ref="X52:AB52"/>
    <mergeCell ref="C50:F50"/>
    <mergeCell ref="L50:M50"/>
    <mergeCell ref="Q50:R50"/>
    <mergeCell ref="V50:W50"/>
    <mergeCell ref="AA50:AB50"/>
    <mergeCell ref="AF50:AG50"/>
    <mergeCell ref="AW53:BA53"/>
    <mergeCell ref="BB53:BF53"/>
    <mergeCell ref="B54:H54"/>
    <mergeCell ref="I54:M54"/>
    <mergeCell ref="N54:R54"/>
    <mergeCell ref="S54:W54"/>
    <mergeCell ref="X54:AB54"/>
    <mergeCell ref="BE50:BF50"/>
    <mergeCell ref="B51:F53"/>
    <mergeCell ref="G51:H51"/>
    <mergeCell ref="I51:M51"/>
    <mergeCell ref="N51:R51"/>
    <mergeCell ref="S51:W51"/>
    <mergeCell ref="X51:AB51"/>
    <mergeCell ref="AW52:BA52"/>
    <mergeCell ref="BB52:BF52"/>
    <mergeCell ref="G53:H53"/>
    <mergeCell ref="I53:M53"/>
    <mergeCell ref="N53:R53"/>
    <mergeCell ref="S53:W53"/>
    <mergeCell ref="X53:AB53"/>
    <mergeCell ref="AC51:AG51"/>
    <mergeCell ref="AH51:AL51"/>
    <mergeCell ref="AM51:AQ51"/>
    <mergeCell ref="AW54:BA54"/>
    <mergeCell ref="BB54:BF54"/>
    <mergeCell ref="B55:H55"/>
    <mergeCell ref="I55:M55"/>
    <mergeCell ref="N55:R55"/>
    <mergeCell ref="S55:W55"/>
    <mergeCell ref="X55:AB55"/>
    <mergeCell ref="AR55:AV55"/>
    <mergeCell ref="B58:H58"/>
    <mergeCell ref="I58:M58"/>
    <mergeCell ref="N58:R58"/>
    <mergeCell ref="S58:W58"/>
    <mergeCell ref="AH58:AL58"/>
    <mergeCell ref="AW58:BA58"/>
    <mergeCell ref="AC55:AG55"/>
    <mergeCell ref="AH55:AL55"/>
    <mergeCell ref="AM55:AQ55"/>
    <mergeCell ref="AW55:BA55"/>
    <mergeCell ref="AC54:AG54"/>
    <mergeCell ref="AH54:AL54"/>
    <mergeCell ref="AM54:AQ54"/>
    <mergeCell ref="L70:M70"/>
    <mergeCell ref="F78:H79"/>
    <mergeCell ref="AW59:BA59"/>
    <mergeCell ref="BB59:BF59"/>
    <mergeCell ref="J68:M68"/>
    <mergeCell ref="AW57:BF57"/>
    <mergeCell ref="BB55:BF55"/>
    <mergeCell ref="B56:H56"/>
    <mergeCell ref="I56:AQ56"/>
    <mergeCell ref="BB58:BF58"/>
    <mergeCell ref="D59:H59"/>
    <mergeCell ref="I59:M59"/>
    <mergeCell ref="N59:R59"/>
    <mergeCell ref="S59:W59"/>
    <mergeCell ref="AH59:AL59"/>
    <mergeCell ref="B57:H57"/>
    <mergeCell ref="AR58:AV58"/>
    <mergeCell ref="AR59:AV59"/>
    <mergeCell ref="J64:M64"/>
    <mergeCell ref="J65:M65"/>
    <mergeCell ref="J66:M66"/>
    <mergeCell ref="N66:P66"/>
    <mergeCell ref="J67:M67"/>
    <mergeCell ref="AW56:BF56"/>
    <mergeCell ref="J63:M63"/>
    <mergeCell ref="AU36:AV36"/>
    <mergeCell ref="AU37:AV37"/>
    <mergeCell ref="AU38:AV38"/>
    <mergeCell ref="AU39:AV39"/>
    <mergeCell ref="AU34:AV34"/>
    <mergeCell ref="AU35:AV35"/>
    <mergeCell ref="AR56:AV56"/>
    <mergeCell ref="AR57:AV57"/>
    <mergeCell ref="AR60:AV60"/>
    <mergeCell ref="X58:AB58"/>
    <mergeCell ref="AC58:AG58"/>
    <mergeCell ref="I57:AQ57"/>
    <mergeCell ref="AC53:AG53"/>
    <mergeCell ref="AH53:AL53"/>
    <mergeCell ref="AM53:AQ53"/>
    <mergeCell ref="AM58:AQ58"/>
    <mergeCell ref="AM59:AQ59"/>
    <mergeCell ref="AR51:AV51"/>
    <mergeCell ref="AU40:AV40"/>
    <mergeCell ref="AU41:AV41"/>
    <mergeCell ref="AU42:AV42"/>
    <mergeCell ref="AU43:AV43"/>
    <mergeCell ref="AU44:AV44"/>
    <mergeCell ref="B17:E17"/>
    <mergeCell ref="CE20:CF20"/>
    <mergeCell ref="BV18:BV21"/>
    <mergeCell ref="BB12:BF13"/>
    <mergeCell ref="BB14:BF14"/>
    <mergeCell ref="BB15:BF15"/>
    <mergeCell ref="BC11:BF11"/>
    <mergeCell ref="CE21:CF21"/>
    <mergeCell ref="AR52:AV52"/>
    <mergeCell ref="AS11:AV11"/>
    <mergeCell ref="AR12:AV13"/>
    <mergeCell ref="AR14:AV14"/>
    <mergeCell ref="AR15:AV15"/>
    <mergeCell ref="AU46:AV46"/>
    <mergeCell ref="AU47:AV47"/>
    <mergeCell ref="AU48:AV48"/>
    <mergeCell ref="AU49:AV49"/>
    <mergeCell ref="AU50:AV50"/>
    <mergeCell ref="AR20:AV20"/>
    <mergeCell ref="AU45:AV45"/>
    <mergeCell ref="AW51:BA51"/>
    <mergeCell ref="BB51:BF51"/>
    <mergeCell ref="G52:H52"/>
    <mergeCell ref="I52:M52"/>
  </mergeCells>
  <conditionalFormatting sqref="I22:M50">
    <cfRule type="expression" dxfId="188" priority="53" stopIfTrue="1">
      <formula>$L22="No Quote"</formula>
    </cfRule>
  </conditionalFormatting>
  <conditionalFormatting sqref="K17">
    <cfRule type="expression" dxfId="187" priority="37" stopIfTrue="1">
      <formula>$I$17&gt;0</formula>
    </cfRule>
  </conditionalFormatting>
  <conditionalFormatting sqref="N22:R50">
    <cfRule type="expression" dxfId="186" priority="59" stopIfTrue="1">
      <formula>$Q22="No Quote"</formula>
    </cfRule>
  </conditionalFormatting>
  <conditionalFormatting sqref="P17">
    <cfRule type="expression" dxfId="185" priority="46" stopIfTrue="1">
      <formula>$N$17</formula>
    </cfRule>
    <cfRule type="expression" dxfId="184" priority="36" stopIfTrue="1">
      <formula>$N$17&gt;0</formula>
    </cfRule>
  </conditionalFormatting>
  <conditionalFormatting sqref="S22:S50 U22:W50">
    <cfRule type="expression" dxfId="183" priority="57" stopIfTrue="1">
      <formula>$V22="No Quote"</formula>
    </cfRule>
  </conditionalFormatting>
  <conditionalFormatting sqref="T22:T50">
    <cfRule type="expression" dxfId="182" priority="9" stopIfTrue="1">
      <formula>$L22="No Quote"</formula>
    </cfRule>
  </conditionalFormatting>
  <conditionalFormatting sqref="U17">
    <cfRule type="expression" dxfId="181" priority="45" stopIfTrue="1">
      <formula>$S$17&gt;0</formula>
    </cfRule>
  </conditionalFormatting>
  <conditionalFormatting sqref="X22:X50 Z22:AB50">
    <cfRule type="expression" dxfId="180" priority="51" stopIfTrue="1">
      <formula>$AA22="No Quote"</formula>
    </cfRule>
  </conditionalFormatting>
  <conditionalFormatting sqref="Y22:Y50">
    <cfRule type="expression" dxfId="179" priority="5" stopIfTrue="1">
      <formula>$Q22="No Quote"</formula>
    </cfRule>
  </conditionalFormatting>
  <conditionalFormatting sqref="Z17">
    <cfRule type="expression" dxfId="178" priority="44" stopIfTrue="1">
      <formula>$X$17&gt;0</formula>
    </cfRule>
  </conditionalFormatting>
  <conditionalFormatting sqref="AC22:AC50 AE22:AG50">
    <cfRule type="expression" dxfId="177" priority="28" stopIfTrue="1">
      <formula>$AF22="No Quote"</formula>
    </cfRule>
  </conditionalFormatting>
  <conditionalFormatting sqref="AD22:AD50">
    <cfRule type="expression" dxfId="176" priority="8" stopIfTrue="1">
      <formula>$L22="No Quote"</formula>
    </cfRule>
  </conditionalFormatting>
  <conditionalFormatting sqref="AE17">
    <cfRule type="expression" dxfId="175" priority="43" stopIfTrue="1">
      <formula>$AC$17&gt;0</formula>
    </cfRule>
  </conditionalFormatting>
  <conditionalFormatting sqref="AH22:AH50 AJ22:AL50">
    <cfRule type="expression" dxfId="174" priority="29" stopIfTrue="1">
      <formula>$AK22="No Quote"</formula>
    </cfRule>
  </conditionalFormatting>
  <conditionalFormatting sqref="AI22:AI50">
    <cfRule type="expression" dxfId="173" priority="4" stopIfTrue="1">
      <formula>$Q22="No Quote"</formula>
    </cfRule>
  </conditionalFormatting>
  <conditionalFormatting sqref="AJ17">
    <cfRule type="expression" dxfId="172" priority="42" stopIfTrue="1">
      <formula>$AH$17&gt;0</formula>
    </cfRule>
  </conditionalFormatting>
  <conditionalFormatting sqref="AM22:AM50 AO22:AQ50">
    <cfRule type="expression" dxfId="171" priority="47" stopIfTrue="1">
      <formula>$AP22="No Quote"</formula>
    </cfRule>
  </conditionalFormatting>
  <conditionalFormatting sqref="AN22:AN50">
    <cfRule type="expression" dxfId="170" priority="7" stopIfTrue="1">
      <formula>$L22="No Quote"</formula>
    </cfRule>
  </conditionalFormatting>
  <conditionalFormatting sqref="AO17">
    <cfRule type="expression" dxfId="169" priority="41" stopIfTrue="1">
      <formula>$AM$17&gt;0</formula>
    </cfRule>
  </conditionalFormatting>
  <conditionalFormatting sqref="AR22:AR50 AT22:AV50">
    <cfRule type="expression" dxfId="168" priority="58" stopIfTrue="1">
      <formula>$AU22="No Quote"</formula>
    </cfRule>
  </conditionalFormatting>
  <conditionalFormatting sqref="AS22:AS50">
    <cfRule type="expression" dxfId="167" priority="3" stopIfTrue="1">
      <formula>$Q22="No Quote"</formula>
    </cfRule>
  </conditionalFormatting>
  <conditionalFormatting sqref="AT17">
    <cfRule type="expression" dxfId="166" priority="30" stopIfTrue="1">
      <formula>$AM$17&gt;0</formula>
    </cfRule>
  </conditionalFormatting>
  <conditionalFormatting sqref="AW22:AW50 AY22:BA50">
    <cfRule type="expression" dxfId="165" priority="55" stopIfTrue="1">
      <formula>$AZ22="No Quote"</formula>
    </cfRule>
  </conditionalFormatting>
  <conditionalFormatting sqref="AX22:AX50">
    <cfRule type="expression" dxfId="164" priority="6" stopIfTrue="1">
      <formula>$L22="No Quote"</formula>
    </cfRule>
  </conditionalFormatting>
  <conditionalFormatting sqref="AY17">
    <cfRule type="expression" dxfId="163" priority="40" stopIfTrue="1">
      <formula>$AW$17&gt;0</formula>
    </cfRule>
  </conditionalFormatting>
  <conditionalFormatting sqref="BB22:BB50 BD22:BF50">
    <cfRule type="expression" dxfId="162" priority="54" stopIfTrue="1">
      <formula>$BE22="No Quote"</formula>
    </cfRule>
  </conditionalFormatting>
  <conditionalFormatting sqref="BC22:BC50">
    <cfRule type="expression" dxfId="161" priority="1" stopIfTrue="1">
      <formula>$Q22="No Quote"</formula>
    </cfRule>
  </conditionalFormatting>
  <conditionalFormatting sqref="BD17">
    <cfRule type="expression" dxfId="160" priority="39" stopIfTrue="1">
      <formula>$BB$17&gt;0</formula>
    </cfRule>
  </conditionalFormatting>
  <conditionalFormatting sqref="BL22:BL50">
    <cfRule type="expression" dxfId="159" priority="50" stopIfTrue="1">
      <formula>$BL22=$BU22</formula>
    </cfRule>
  </conditionalFormatting>
  <conditionalFormatting sqref="BL23">
    <cfRule type="expression" dxfId="158" priority="38" stopIfTrue="1">
      <formula>$BR23=$BU23</formula>
    </cfRule>
  </conditionalFormatting>
  <conditionalFormatting sqref="BM22:BM50">
    <cfRule type="expression" dxfId="157" priority="13" stopIfTrue="1">
      <formula>$BM22=$BU22</formula>
    </cfRule>
  </conditionalFormatting>
  <conditionalFormatting sqref="BM23:BT50">
    <cfRule type="expression" dxfId="156" priority="18" stopIfTrue="1">
      <formula>$BL23=$BU23</formula>
    </cfRule>
  </conditionalFormatting>
  <conditionalFormatting sqref="BN22:BN50">
    <cfRule type="expression" dxfId="155" priority="12" stopIfTrue="1">
      <formula>$BN22=$BU22</formula>
    </cfRule>
  </conditionalFormatting>
  <conditionalFormatting sqref="BO22:BO50">
    <cfRule type="expression" dxfId="154" priority="11" stopIfTrue="1">
      <formula>$BO22=$BU22</formula>
    </cfRule>
  </conditionalFormatting>
  <conditionalFormatting sqref="BP22:BP50">
    <cfRule type="expression" dxfId="153" priority="14" stopIfTrue="1">
      <formula>$BP22=$BU22</formula>
    </cfRule>
  </conditionalFormatting>
  <conditionalFormatting sqref="BQ22:BQ50">
    <cfRule type="expression" dxfId="152" priority="15" stopIfTrue="1">
      <formula>$BQ22=$BU22</formula>
    </cfRule>
  </conditionalFormatting>
  <conditionalFormatting sqref="BR22:BR50">
    <cfRule type="expression" dxfId="151" priority="16" stopIfTrue="1">
      <formula>$BR22=$BU22</formula>
    </cfRule>
  </conditionalFormatting>
  <conditionalFormatting sqref="BS22:BS50">
    <cfRule type="expression" dxfId="150" priority="17" stopIfTrue="1">
      <formula>$BS22=$BU22</formula>
    </cfRule>
  </conditionalFormatting>
  <conditionalFormatting sqref="BT22:BT50">
    <cfRule type="expression" dxfId="149" priority="27" stopIfTrue="1">
      <formula>$BT22=$BU22</formula>
    </cfRule>
  </conditionalFormatting>
  <dataValidations disablePrompts="1" count="3">
    <dataValidation type="list" allowBlank="1" sqref="N58:R58" xr:uid="{3A92D46F-9C67-4F6B-A697-243C9B2B118F}">
      <formula1>"Zulkifli Bastiandi, Teuku Syamsul Rizal, Ifit Prabowo"</formula1>
    </dataValidation>
    <dataValidation type="list" allowBlank="1" showInputMessage="1" sqref="I19:BF19" xr:uid="{018F139B-10CA-4A1C-B453-B9728E83A0B5}">
      <formula1>"Subject prior to sales"</formula1>
    </dataValidation>
    <dataValidation type="list" allowBlank="1" showInputMessage="1" sqref="I20:BF20" xr:uid="{1C08D702-195B-4BD7-886A-1A41AB582037}">
      <formula1>"MSW Tanjung, IBT Mekar Putih"</formula1>
    </dataValidation>
  </dataValidations>
  <printOptions horizontalCentered="1"/>
  <pageMargins left="0.3" right="0.3" top="0.5" bottom="0.5" header="0.19685039370078741" footer="0.15748031496062992"/>
  <pageSetup paperSize="8"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91A5-47E1-4A63-A06D-9847F5B5C03F}">
  <sheetPr codeName="Sheet7">
    <pageSetUpPr fitToPage="1"/>
  </sheetPr>
  <dimension ref="A1:BZ84"/>
  <sheetViews>
    <sheetView showGridLines="0" view="pageBreakPreview" zoomScale="55" zoomScaleNormal="55" zoomScaleSheetLayoutView="55" workbookViewId="0"/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43" width="15.7109375" style="4" customWidth="1"/>
    <col min="44" max="46" width="10.7109375" style="4" customWidth="1"/>
    <col min="47" max="48" width="15.7109375" style="4" customWidth="1"/>
    <col min="49" max="51" width="10.7109375" style="4" customWidth="1"/>
    <col min="52" max="67" width="15.7109375" style="4" customWidth="1"/>
    <col min="68" max="68" width="15.7109375" style="59" customWidth="1"/>
    <col min="69" max="69" width="22" style="58" bestFit="1" customWidth="1"/>
    <col min="70" max="70" width="12.7109375" style="4" customWidth="1" outlineLevel="1"/>
    <col min="71" max="71" width="4.7109375" style="69" customWidth="1" outlineLevel="1"/>
    <col min="72" max="72" width="22" style="58" customWidth="1" outlineLevel="1"/>
    <col min="73" max="73" width="12.7109375" style="4" customWidth="1" outlineLevel="1"/>
    <col min="74" max="74" width="4.7109375" style="4" customWidth="1" outlineLevel="1"/>
    <col min="75" max="75" width="22" style="58" bestFit="1" customWidth="1" outlineLevel="1"/>
    <col min="76" max="77" width="9.28515625" style="4" customWidth="1"/>
    <col min="78" max="78" width="20.7109375" style="5" customWidth="1"/>
    <col min="79" max="16384" width="9.28515625" style="4" hidden="1"/>
  </cols>
  <sheetData>
    <row r="1" spans="2:78" s="1" customFormat="1" ht="13.5" x14ac:dyDescent="0.25">
      <c r="D1" s="2"/>
      <c r="J1" s="86"/>
      <c r="U1" s="3"/>
      <c r="BP1" s="82"/>
      <c r="BQ1" s="73"/>
      <c r="BS1" s="68"/>
      <c r="BT1" s="73"/>
      <c r="BW1" s="73"/>
      <c r="BZ1" s="3"/>
    </row>
    <row r="2" spans="2:78" s="1" customFormat="1" ht="13.5" x14ac:dyDescent="0.25">
      <c r="D2" s="2"/>
      <c r="U2" s="3"/>
      <c r="BP2" s="82"/>
      <c r="BQ2" s="73"/>
      <c r="BS2" s="68"/>
      <c r="BT2" s="73"/>
      <c r="BW2" s="73"/>
      <c r="BZ2" s="3"/>
    </row>
    <row r="3" spans="2:78" ht="17.25" thickBot="1" x14ac:dyDescent="0.3"/>
    <row r="4" spans="2:78" ht="20.100000000000001" customHeight="1" thickTop="1" x14ac:dyDescent="0.25">
      <c r="B4" s="272" t="s">
        <v>2</v>
      </c>
      <c r="C4" s="273"/>
      <c r="D4" s="273"/>
      <c r="E4" s="273"/>
      <c r="F4" s="273"/>
      <c r="G4" s="276" t="s">
        <v>3</v>
      </c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6"/>
      <c r="BA4" s="7"/>
    </row>
    <row r="5" spans="2:78" ht="20.100000000000001" customHeight="1" x14ac:dyDescent="0.25">
      <c r="B5" s="274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8"/>
      <c r="BA5" s="9"/>
    </row>
    <row r="6" spans="2:78" ht="20.100000000000001" customHeight="1" x14ac:dyDescent="0.25">
      <c r="B6" s="274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8"/>
      <c r="BA6" s="9"/>
    </row>
    <row r="7" spans="2:78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U7" s="13"/>
      <c r="AU7" s="14"/>
      <c r="AV7" s="15"/>
      <c r="AX7" s="278" t="s">
        <v>6</v>
      </c>
      <c r="AY7" s="278"/>
      <c r="AZ7" s="278"/>
      <c r="BA7" s="279"/>
      <c r="BP7" s="83"/>
      <c r="BQ7" s="76"/>
      <c r="BS7" s="70"/>
      <c r="BT7" s="76"/>
      <c r="BW7" s="76"/>
      <c r="BZ7" s="13"/>
    </row>
    <row r="8" spans="2:78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U8" s="13"/>
      <c r="AU8" s="16"/>
      <c r="AV8" s="15"/>
      <c r="AX8" s="256">
        <f ca="1">TODAY()</f>
        <v>46231</v>
      </c>
      <c r="AY8" s="256"/>
      <c r="AZ8" s="256"/>
      <c r="BA8" s="257"/>
      <c r="BP8" s="83"/>
      <c r="BQ8" s="76"/>
      <c r="BS8" s="70"/>
      <c r="BT8" s="76"/>
      <c r="BW8" s="76"/>
      <c r="BZ8" s="13"/>
    </row>
    <row r="9" spans="2:78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U9" s="13"/>
      <c r="AW9" s="10"/>
      <c r="AX9" s="17"/>
      <c r="AY9" s="17"/>
      <c r="AZ9" s="17"/>
      <c r="BA9" s="18"/>
      <c r="BP9" s="83"/>
      <c r="BQ9" s="76"/>
      <c r="BS9" s="70"/>
      <c r="BT9" s="76"/>
      <c r="BW9" s="76"/>
      <c r="BZ9" s="13"/>
    </row>
    <row r="10" spans="2:78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BA10" s="21"/>
    </row>
    <row r="11" spans="2:78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 t="shared" ref="S11" si="0">N11+1</f>
        <v>3</v>
      </c>
      <c r="T11" s="252"/>
      <c r="U11" s="252"/>
      <c r="V11" s="252"/>
      <c r="W11" s="253"/>
      <c r="X11" s="251">
        <f t="shared" ref="X11" si="1">S11+1</f>
        <v>4</v>
      </c>
      <c r="Y11" s="252"/>
      <c r="Z11" s="252"/>
      <c r="AA11" s="252"/>
      <c r="AB11" s="253"/>
      <c r="AC11" s="251">
        <f t="shared" ref="AC11" si="2">X11+1</f>
        <v>5</v>
      </c>
      <c r="AD11" s="252"/>
      <c r="AE11" s="252"/>
      <c r="AF11" s="252"/>
      <c r="AG11" s="253"/>
      <c r="AH11" s="251">
        <f>AC11+1</f>
        <v>6</v>
      </c>
      <c r="AI11" s="252"/>
      <c r="AJ11" s="252"/>
      <c r="AK11" s="252"/>
      <c r="AL11" s="253"/>
      <c r="AM11" s="251">
        <f t="shared" ref="AM11" si="3">AH11+1</f>
        <v>7</v>
      </c>
      <c r="AN11" s="252"/>
      <c r="AO11" s="252"/>
      <c r="AP11" s="252"/>
      <c r="AQ11" s="253"/>
      <c r="AR11" s="251">
        <f t="shared" ref="AR11" si="4">AM11+1</f>
        <v>8</v>
      </c>
      <c r="AS11" s="252"/>
      <c r="AT11" s="252"/>
      <c r="AU11" s="252"/>
      <c r="AV11" s="253"/>
      <c r="AW11" s="251">
        <f t="shared" ref="AW11" si="5">AR11+1</f>
        <v>9</v>
      </c>
      <c r="AX11" s="252"/>
      <c r="AY11" s="252"/>
      <c r="AZ11" s="252"/>
      <c r="BA11" s="280"/>
      <c r="BP11" s="82"/>
      <c r="BQ11" s="73"/>
      <c r="BS11" s="68"/>
      <c r="BT11" s="73"/>
      <c r="BW11" s="73"/>
      <c r="BZ11" s="3"/>
    </row>
    <row r="12" spans="2:78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/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7"/>
      <c r="X12" s="22"/>
      <c r="Y12" s="140"/>
      <c r="Z12" s="140"/>
      <c r="AA12" s="140"/>
      <c r="AB12" s="147"/>
      <c r="AC12" s="22"/>
      <c r="AD12" s="140"/>
      <c r="AE12" s="140"/>
      <c r="AF12" s="140"/>
      <c r="AG12" s="147"/>
      <c r="AH12" s="22"/>
      <c r="AI12" s="140"/>
      <c r="AJ12" s="140"/>
      <c r="AK12" s="140"/>
      <c r="AL12" s="147"/>
      <c r="AM12" s="22"/>
      <c r="AN12" s="140"/>
      <c r="AO12" s="140"/>
      <c r="AP12" s="140"/>
      <c r="AQ12" s="147"/>
      <c r="AR12" s="22"/>
      <c r="AS12" s="140"/>
      <c r="AT12" s="140"/>
      <c r="AU12" s="140"/>
      <c r="AV12" s="147"/>
      <c r="AW12" s="22"/>
      <c r="AX12" s="140"/>
      <c r="AY12" s="140"/>
      <c r="AZ12" s="140"/>
      <c r="BA12" s="141"/>
      <c r="BG12" s="89"/>
      <c r="BH12" s="89"/>
      <c r="BP12" s="82"/>
      <c r="BQ12" s="73"/>
      <c r="BS12" s="68"/>
      <c r="BT12" s="73"/>
      <c r="BW12" s="73"/>
      <c r="BZ12" s="3"/>
    </row>
    <row r="13" spans="2:78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48"/>
      <c r="X13" s="128">
        <v>0</v>
      </c>
      <c r="Y13" s="129"/>
      <c r="Z13" s="129"/>
      <c r="AA13" s="129"/>
      <c r="AB13" s="148"/>
      <c r="AC13" s="128">
        <v>0</v>
      </c>
      <c r="AD13" s="129"/>
      <c r="AE13" s="129"/>
      <c r="AF13" s="129"/>
      <c r="AG13" s="148"/>
      <c r="AH13" s="128">
        <v>0</v>
      </c>
      <c r="AI13" s="129"/>
      <c r="AJ13" s="129"/>
      <c r="AK13" s="129"/>
      <c r="AL13" s="148"/>
      <c r="AM13" s="128">
        <v>0</v>
      </c>
      <c r="AN13" s="129"/>
      <c r="AO13" s="129"/>
      <c r="AP13" s="129"/>
      <c r="AQ13" s="148"/>
      <c r="AR13" s="128">
        <v>0</v>
      </c>
      <c r="AS13" s="129"/>
      <c r="AT13" s="129"/>
      <c r="AU13" s="129"/>
      <c r="AV13" s="148"/>
      <c r="AW13" s="128">
        <v>0</v>
      </c>
      <c r="AX13" s="129"/>
      <c r="AY13" s="129"/>
      <c r="AZ13" s="129"/>
      <c r="BA13" s="130"/>
      <c r="BG13" s="89"/>
      <c r="BH13" s="89"/>
      <c r="BP13" s="82"/>
      <c r="BQ13" s="73"/>
      <c r="BS13" s="68"/>
      <c r="BT13" s="73"/>
      <c r="BW13" s="73"/>
      <c r="BZ13" s="3"/>
    </row>
    <row r="14" spans="2:78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49"/>
      <c r="X14" s="131"/>
      <c r="Y14" s="132"/>
      <c r="Z14" s="132"/>
      <c r="AA14" s="132"/>
      <c r="AB14" s="149"/>
      <c r="AC14" s="131"/>
      <c r="AD14" s="132"/>
      <c r="AE14" s="132"/>
      <c r="AF14" s="132"/>
      <c r="AG14" s="149"/>
      <c r="AH14" s="131"/>
      <c r="AI14" s="132"/>
      <c r="AJ14" s="132"/>
      <c r="AK14" s="132"/>
      <c r="AL14" s="149"/>
      <c r="AM14" s="131"/>
      <c r="AN14" s="132"/>
      <c r="AO14" s="132"/>
      <c r="AP14" s="132"/>
      <c r="AQ14" s="149"/>
      <c r="AR14" s="131"/>
      <c r="AS14" s="132"/>
      <c r="AT14" s="132"/>
      <c r="AU14" s="132"/>
      <c r="AV14" s="149"/>
      <c r="AW14" s="131"/>
      <c r="AX14" s="132"/>
      <c r="AY14" s="132"/>
      <c r="AZ14" s="132"/>
      <c r="BA14" s="133"/>
      <c r="BG14" s="89"/>
      <c r="BH14" s="89"/>
      <c r="BP14" s="82"/>
      <c r="BQ14" s="73"/>
      <c r="BS14" s="68"/>
      <c r="BT14" s="73"/>
      <c r="BW14" s="73"/>
      <c r="BZ14" s="3"/>
    </row>
    <row r="15" spans="2:78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50"/>
      <c r="X15" s="134"/>
      <c r="Y15" s="135"/>
      <c r="Z15" s="135"/>
      <c r="AA15" s="135"/>
      <c r="AB15" s="150"/>
      <c r="AC15" s="134"/>
      <c r="AD15" s="135"/>
      <c r="AE15" s="135"/>
      <c r="AF15" s="135"/>
      <c r="AG15" s="150"/>
      <c r="AH15" s="134"/>
      <c r="AI15" s="135"/>
      <c r="AJ15" s="135"/>
      <c r="AK15" s="135"/>
      <c r="AL15" s="150"/>
      <c r="AM15" s="134"/>
      <c r="AN15" s="135"/>
      <c r="AO15" s="135"/>
      <c r="AP15" s="135"/>
      <c r="AQ15" s="150"/>
      <c r="AR15" s="134"/>
      <c r="AS15" s="135"/>
      <c r="AT15" s="135"/>
      <c r="AU15" s="135"/>
      <c r="AV15" s="150"/>
      <c r="AW15" s="134"/>
      <c r="AX15" s="135"/>
      <c r="AY15" s="135"/>
      <c r="AZ15" s="135"/>
      <c r="BA15" s="136"/>
      <c r="BG15" s="89"/>
      <c r="BH15" s="89"/>
      <c r="BP15" s="82"/>
      <c r="BQ15" s="73"/>
      <c r="BS15" s="68"/>
      <c r="BT15" s="73"/>
      <c r="BW15" s="73"/>
      <c r="BZ15" s="3"/>
    </row>
    <row r="16" spans="2:78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51"/>
      <c r="X16" s="137" t="s">
        <v>51</v>
      </c>
      <c r="Y16" s="138"/>
      <c r="Z16" s="138"/>
      <c r="AA16" s="138"/>
      <c r="AB16" s="151"/>
      <c r="AC16" s="137" t="s">
        <v>51</v>
      </c>
      <c r="AD16" s="138"/>
      <c r="AE16" s="138"/>
      <c r="AF16" s="138"/>
      <c r="AG16" s="151"/>
      <c r="AH16" s="137" t="s">
        <v>51</v>
      </c>
      <c r="AI16" s="138"/>
      <c r="AJ16" s="138"/>
      <c r="AK16" s="138"/>
      <c r="AL16" s="151"/>
      <c r="AM16" s="137" t="s">
        <v>51</v>
      </c>
      <c r="AN16" s="138"/>
      <c r="AO16" s="138"/>
      <c r="AP16" s="138"/>
      <c r="AQ16" s="151"/>
      <c r="AR16" s="137" t="s">
        <v>51</v>
      </c>
      <c r="AS16" s="138"/>
      <c r="AT16" s="138"/>
      <c r="AU16" s="138"/>
      <c r="AV16" s="151"/>
      <c r="AW16" s="137" t="s">
        <v>51</v>
      </c>
      <c r="AX16" s="138"/>
      <c r="AY16" s="138"/>
      <c r="AZ16" s="138"/>
      <c r="BA16" s="139"/>
      <c r="BG16" s="89"/>
      <c r="BH16" s="89"/>
      <c r="BP16" s="82"/>
      <c r="BQ16" s="73"/>
      <c r="BS16" s="68"/>
      <c r="BT16" s="73"/>
      <c r="BW16" s="73"/>
      <c r="BZ16" s="3"/>
    </row>
    <row r="17" spans="2:78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7"/>
      <c r="X17" s="239"/>
      <c r="Y17" s="240"/>
      <c r="Z17" s="240"/>
      <c r="AA17" s="240"/>
      <c r="AB17" s="247"/>
      <c r="AC17" s="239"/>
      <c r="AD17" s="240"/>
      <c r="AE17" s="240"/>
      <c r="AF17" s="240"/>
      <c r="AG17" s="247"/>
      <c r="AH17" s="239"/>
      <c r="AI17" s="240"/>
      <c r="AJ17" s="240"/>
      <c r="AK17" s="240"/>
      <c r="AL17" s="247"/>
      <c r="AM17" s="239"/>
      <c r="AN17" s="240"/>
      <c r="AO17" s="240"/>
      <c r="AP17" s="240"/>
      <c r="AQ17" s="247"/>
      <c r="AR17" s="239"/>
      <c r="AS17" s="240"/>
      <c r="AT17" s="240"/>
      <c r="AU17" s="240"/>
      <c r="AV17" s="247"/>
      <c r="AW17" s="239"/>
      <c r="AX17" s="240"/>
      <c r="AY17" s="240"/>
      <c r="AZ17" s="240"/>
      <c r="BA17" s="241"/>
      <c r="BG17" s="82"/>
      <c r="BP17" s="82"/>
      <c r="BQ17" s="73"/>
      <c r="BS17" s="68"/>
      <c r="BT17" s="73"/>
      <c r="BW17" s="73"/>
      <c r="BZ17" s="3"/>
    </row>
    <row r="18" spans="2:78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5"/>
      <c r="X18" s="242" t="str">
        <f>IF(X12="","",IF(X12="NV","","30"))</f>
        <v/>
      </c>
      <c r="Y18" s="243"/>
      <c r="Z18" s="244" t="str">
        <f>IFERROR(IF(X17+X18="","",X17+X18),"")</f>
        <v/>
      </c>
      <c r="AA18" s="244"/>
      <c r="AB18" s="245"/>
      <c r="AC18" s="242" t="str">
        <f>IF(AC12="","",IF(AC12="NV","","30"))</f>
        <v/>
      </c>
      <c r="AD18" s="243"/>
      <c r="AE18" s="244" t="str">
        <f>IFERROR(IF(AC17+AC18="","",AC17+AC18),"")</f>
        <v/>
      </c>
      <c r="AF18" s="244"/>
      <c r="AG18" s="245"/>
      <c r="AH18" s="242" t="str">
        <f>IF(AH12="","",IF(AH12="NV","","30"))</f>
        <v/>
      </c>
      <c r="AI18" s="243"/>
      <c r="AJ18" s="244" t="str">
        <f>IFERROR(IF(AH17+AH18="","",AH17+AH18),"")</f>
        <v/>
      </c>
      <c r="AK18" s="244"/>
      <c r="AL18" s="245"/>
      <c r="AM18" s="242" t="str">
        <f>IF(AM12="","",IF(AM12="NV","","30"))</f>
        <v/>
      </c>
      <c r="AN18" s="243"/>
      <c r="AO18" s="244" t="str">
        <f>IFERROR(IF(AM17+AM18="","",AM17+AM18),"")</f>
        <v/>
      </c>
      <c r="AP18" s="244"/>
      <c r="AQ18" s="245"/>
      <c r="AR18" s="242" t="str">
        <f>IF(AR12="","",IF(AR12="NV","","30"))</f>
        <v/>
      </c>
      <c r="AS18" s="243"/>
      <c r="AT18" s="244" t="str">
        <f>IFERROR(IF(AR17+AR18="","",AR17+AR18),"")</f>
        <v/>
      </c>
      <c r="AU18" s="244"/>
      <c r="AV18" s="245"/>
      <c r="AW18" s="242" t="str">
        <f>IF(AW12="","",IF(AW12="NV","","30"))</f>
        <v/>
      </c>
      <c r="AX18" s="243"/>
      <c r="AY18" s="244" t="str">
        <f>IFERROR(IF(AW17+AW18="","",AW17+AW18),"")</f>
        <v/>
      </c>
      <c r="AZ18" s="244"/>
      <c r="BA18" s="246"/>
      <c r="BG18" s="40"/>
      <c r="BH18" s="40"/>
      <c r="BI18" s="40"/>
      <c r="BJ18" s="40"/>
      <c r="BK18" s="40"/>
      <c r="BL18" s="40"/>
      <c r="BM18" s="40"/>
      <c r="BN18" s="40"/>
      <c r="BO18" s="40"/>
      <c r="BP18" s="82"/>
      <c r="BQ18" s="73"/>
      <c r="BS18" s="68"/>
      <c r="BT18" s="73"/>
      <c r="BW18" s="73"/>
      <c r="BZ18" s="3"/>
    </row>
    <row r="19" spans="2:78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159"/>
      <c r="X19" s="227" t="str">
        <f>IF(X12="NV","",IF(X12="","-","45 days"))</f>
        <v>-</v>
      </c>
      <c r="Y19" s="124"/>
      <c r="Z19" s="124"/>
      <c r="AA19" s="124"/>
      <c r="AB19" s="159"/>
      <c r="AC19" s="227" t="str">
        <f>IF(AC12="NV","",IF(AC12="","-","45 days"))</f>
        <v>-</v>
      </c>
      <c r="AD19" s="124"/>
      <c r="AE19" s="124"/>
      <c r="AF19" s="124"/>
      <c r="AG19" s="159"/>
      <c r="AH19" s="227" t="str">
        <f>IF(AH12="NV","",IF(AH12="","-","45 days"))</f>
        <v>-</v>
      </c>
      <c r="AI19" s="124"/>
      <c r="AJ19" s="124"/>
      <c r="AK19" s="124"/>
      <c r="AL19" s="159"/>
      <c r="AM19" s="227" t="str">
        <f>IF(AM12="NV","",IF(AM12="","-","45 days"))</f>
        <v>-</v>
      </c>
      <c r="AN19" s="124"/>
      <c r="AO19" s="124"/>
      <c r="AP19" s="124"/>
      <c r="AQ19" s="159"/>
      <c r="AR19" s="227" t="str">
        <f>IF(AR12="NV","",IF(AR12="","-","45 days"))</f>
        <v>-</v>
      </c>
      <c r="AS19" s="124"/>
      <c r="AT19" s="124"/>
      <c r="AU19" s="124"/>
      <c r="AV19" s="159"/>
      <c r="AW19" s="227" t="str">
        <f>IF(AW12="NV","",IF(AW12="","-","45 days"))</f>
        <v>-</v>
      </c>
      <c r="AX19" s="124"/>
      <c r="AY19" s="124"/>
      <c r="AZ19" s="124"/>
      <c r="BA19" s="228"/>
      <c r="BG19" s="25">
        <v>1</v>
      </c>
      <c r="BH19" s="25">
        <f>BG19+1</f>
        <v>2</v>
      </c>
      <c r="BI19" s="25">
        <f t="shared" ref="BI19:BO19" si="6">BH19+1</f>
        <v>3</v>
      </c>
      <c r="BJ19" s="25">
        <f t="shared" ref="BJ19" si="7">BI19+1</f>
        <v>4</v>
      </c>
      <c r="BK19" s="25">
        <f t="shared" ref="BK19" si="8">BJ19+1</f>
        <v>5</v>
      </c>
      <c r="BL19" s="25">
        <f t="shared" ref="BL19" si="9">BK19+1</f>
        <v>6</v>
      </c>
      <c r="BM19" s="25">
        <f t="shared" si="6"/>
        <v>7</v>
      </c>
      <c r="BN19" s="25">
        <f t="shared" si="6"/>
        <v>8</v>
      </c>
      <c r="BO19" s="25">
        <f t="shared" si="6"/>
        <v>9</v>
      </c>
      <c r="BP19" s="125" t="s">
        <v>18</v>
      </c>
      <c r="BQ19" s="73"/>
      <c r="BS19" s="68"/>
      <c r="BT19" s="73"/>
      <c r="BW19" s="73"/>
      <c r="BZ19" s="3"/>
    </row>
    <row r="20" spans="2:78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159"/>
      <c r="X20" s="227" t="s">
        <v>50</v>
      </c>
      <c r="Y20" s="124"/>
      <c r="Z20" s="124"/>
      <c r="AA20" s="124"/>
      <c r="AB20" s="159"/>
      <c r="AC20" s="227" t="s">
        <v>50</v>
      </c>
      <c r="AD20" s="124"/>
      <c r="AE20" s="124"/>
      <c r="AF20" s="124"/>
      <c r="AG20" s="159"/>
      <c r="AH20" s="227" t="s">
        <v>50</v>
      </c>
      <c r="AI20" s="124"/>
      <c r="AJ20" s="124"/>
      <c r="AK20" s="124"/>
      <c r="AL20" s="159"/>
      <c r="AM20" s="227" t="s">
        <v>50</v>
      </c>
      <c r="AN20" s="124"/>
      <c r="AO20" s="124"/>
      <c r="AP20" s="124"/>
      <c r="AQ20" s="159"/>
      <c r="AR20" s="227" t="s">
        <v>50</v>
      </c>
      <c r="AS20" s="124"/>
      <c r="AT20" s="124"/>
      <c r="AU20" s="124"/>
      <c r="AV20" s="159"/>
      <c r="AW20" s="227" t="s">
        <v>50</v>
      </c>
      <c r="AX20" s="124"/>
      <c r="AY20" s="124"/>
      <c r="AZ20" s="124"/>
      <c r="BA20" s="228"/>
      <c r="BG20" s="223">
        <f>J12</f>
        <v>0</v>
      </c>
      <c r="BH20" s="223">
        <f>O12</f>
        <v>0</v>
      </c>
      <c r="BI20" s="223">
        <f>T12</f>
        <v>0</v>
      </c>
      <c r="BJ20" s="223">
        <f>Y12</f>
        <v>0</v>
      </c>
      <c r="BK20" s="223">
        <f>AD12</f>
        <v>0</v>
      </c>
      <c r="BL20" s="223">
        <f>AI12</f>
        <v>0</v>
      </c>
      <c r="BM20" s="223">
        <f>AN12</f>
        <v>0</v>
      </c>
      <c r="BN20" s="223">
        <f>AS12</f>
        <v>0</v>
      </c>
      <c r="BO20" s="223">
        <f>AX12</f>
        <v>0</v>
      </c>
      <c r="BP20" s="126"/>
      <c r="BZ20" s="3"/>
    </row>
    <row r="21" spans="2:78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 t="str">
        <f>IF(J12="","","MSW Tanjung")</f>
        <v/>
      </c>
      <c r="J21" s="155"/>
      <c r="K21" s="155"/>
      <c r="L21" s="155"/>
      <c r="M21" s="156"/>
      <c r="N21" s="154" t="str">
        <f>IF(O12="","","MSW Tanjung")</f>
        <v/>
      </c>
      <c r="O21" s="155"/>
      <c r="P21" s="155"/>
      <c r="Q21" s="155"/>
      <c r="R21" s="156"/>
      <c r="S21" s="154" t="str">
        <f>IF(T12="","","MSW Tanjung")</f>
        <v/>
      </c>
      <c r="T21" s="155"/>
      <c r="U21" s="155"/>
      <c r="V21" s="155"/>
      <c r="W21" s="156"/>
      <c r="X21" s="154" t="str">
        <f>IF(Y12="","","MSW Tanjung")</f>
        <v/>
      </c>
      <c r="Y21" s="155"/>
      <c r="Z21" s="155"/>
      <c r="AA21" s="155"/>
      <c r="AB21" s="156"/>
      <c r="AC21" s="154" t="str">
        <f>IF(AD12="","","MSW Tanjung")</f>
        <v/>
      </c>
      <c r="AD21" s="155"/>
      <c r="AE21" s="155"/>
      <c r="AF21" s="155"/>
      <c r="AG21" s="156"/>
      <c r="AH21" s="154" t="str">
        <f>IF(AI12="","","MSW Tanjung")</f>
        <v/>
      </c>
      <c r="AI21" s="155"/>
      <c r="AJ21" s="155"/>
      <c r="AK21" s="155"/>
      <c r="AL21" s="156"/>
      <c r="AM21" s="154" t="str">
        <f>IF(AN12="","","MSW Tanjung")</f>
        <v/>
      </c>
      <c r="AN21" s="155"/>
      <c r="AO21" s="155"/>
      <c r="AP21" s="155"/>
      <c r="AQ21" s="156"/>
      <c r="AR21" s="154" t="str">
        <f>IF(AS12="","","MSW Tanjung")</f>
        <v/>
      </c>
      <c r="AS21" s="155"/>
      <c r="AT21" s="155"/>
      <c r="AU21" s="155"/>
      <c r="AV21" s="156"/>
      <c r="AW21" s="154" t="str">
        <f>IF(AX12="","","MSW Tanjung")</f>
        <v/>
      </c>
      <c r="AX21" s="155"/>
      <c r="AY21" s="155"/>
      <c r="AZ21" s="155"/>
      <c r="BA21" s="222"/>
      <c r="BB21" s="50"/>
      <c r="BC21" s="50"/>
      <c r="BG21" s="223"/>
      <c r="BH21" s="223"/>
      <c r="BI21" s="223"/>
      <c r="BJ21" s="223"/>
      <c r="BK21" s="223"/>
      <c r="BL21" s="223"/>
      <c r="BM21" s="223"/>
      <c r="BN21" s="223"/>
      <c r="BO21" s="223"/>
      <c r="BP21" s="126"/>
      <c r="BQ21" s="73"/>
      <c r="BS21" s="68"/>
      <c r="BT21" s="73"/>
      <c r="BW21" s="73"/>
      <c r="BY21" s="291">
        <f>SUM(BY23:BY37)</f>
        <v>0</v>
      </c>
      <c r="BZ21" s="292"/>
    </row>
    <row r="22" spans="2:78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2" t="s">
        <v>26</v>
      </c>
      <c r="O22" s="30" t="s">
        <v>18</v>
      </c>
      <c r="P22" s="33" t="s">
        <v>27</v>
      </c>
      <c r="Q22" s="220" t="s">
        <v>28</v>
      </c>
      <c r="R22" s="233"/>
      <c r="S22" s="34" t="s">
        <v>26</v>
      </c>
      <c r="T22" s="30" t="s">
        <v>18</v>
      </c>
      <c r="U22" s="35" t="s">
        <v>27</v>
      </c>
      <c r="V22" s="220" t="s">
        <v>28</v>
      </c>
      <c r="W22" s="221"/>
      <c r="X22" s="32" t="s">
        <v>26</v>
      </c>
      <c r="Y22" s="30" t="s">
        <v>18</v>
      </c>
      <c r="Z22" s="33" t="s">
        <v>27</v>
      </c>
      <c r="AA22" s="220" t="s">
        <v>28</v>
      </c>
      <c r="AB22" s="233"/>
      <c r="AC22" s="34" t="s">
        <v>26</v>
      </c>
      <c r="AD22" s="30" t="s">
        <v>18</v>
      </c>
      <c r="AE22" s="35" t="s">
        <v>27</v>
      </c>
      <c r="AF22" s="220" t="s">
        <v>28</v>
      </c>
      <c r="AG22" s="221"/>
      <c r="AH22" s="36" t="s">
        <v>26</v>
      </c>
      <c r="AI22" s="30" t="s">
        <v>18</v>
      </c>
      <c r="AJ22" s="35" t="s">
        <v>27</v>
      </c>
      <c r="AK22" s="220" t="s">
        <v>28</v>
      </c>
      <c r="AL22" s="221"/>
      <c r="AM22" s="36" t="s">
        <v>26</v>
      </c>
      <c r="AN22" s="30" t="s">
        <v>18</v>
      </c>
      <c r="AO22" s="35" t="s">
        <v>27</v>
      </c>
      <c r="AP22" s="220" t="s">
        <v>28</v>
      </c>
      <c r="AQ22" s="221"/>
      <c r="AR22" s="36" t="s">
        <v>26</v>
      </c>
      <c r="AS22" s="30" t="s">
        <v>18</v>
      </c>
      <c r="AT22" s="35" t="s">
        <v>27</v>
      </c>
      <c r="AU22" s="220" t="s">
        <v>28</v>
      </c>
      <c r="AV22" s="221"/>
      <c r="AW22" s="37" t="s">
        <v>26</v>
      </c>
      <c r="AX22" s="38" t="s">
        <v>18</v>
      </c>
      <c r="AY22" s="39" t="s">
        <v>27</v>
      </c>
      <c r="AZ22" s="229" t="s">
        <v>28</v>
      </c>
      <c r="BA22" s="230"/>
      <c r="BB22" s="40" t="s">
        <v>29</v>
      </c>
      <c r="BC22" s="40" t="s">
        <v>0</v>
      </c>
      <c r="BD22" s="40" t="s">
        <v>30</v>
      </c>
      <c r="BE22" s="40" t="s">
        <v>31</v>
      </c>
      <c r="BF22" s="117" t="s">
        <v>1</v>
      </c>
      <c r="BG22" s="223"/>
      <c r="BH22" s="223"/>
      <c r="BI22" s="223"/>
      <c r="BJ22" s="223"/>
      <c r="BK22" s="223"/>
      <c r="BL22" s="223"/>
      <c r="BM22" s="223"/>
      <c r="BN22" s="223"/>
      <c r="BO22" s="223"/>
      <c r="BP22" s="127"/>
      <c r="BQ22" s="79" t="s">
        <v>32</v>
      </c>
      <c r="BR22" s="219" t="s">
        <v>33</v>
      </c>
      <c r="BS22" s="219"/>
      <c r="BT22" s="219"/>
      <c r="BU22" s="219" t="s">
        <v>34</v>
      </c>
      <c r="BV22" s="219"/>
      <c r="BW22" s="219"/>
      <c r="BY22" s="142" t="s">
        <v>35</v>
      </c>
      <c r="BZ22" s="143"/>
    </row>
    <row r="23" spans="2:78" s="1" customFormat="1" ht="61.5" customHeight="1" x14ac:dyDescent="0.25">
      <c r="B23" s="41">
        <v>1</v>
      </c>
      <c r="C23" s="218"/>
      <c r="D23" s="218"/>
      <c r="E23" s="218"/>
      <c r="F23" s="218"/>
      <c r="G23" s="42"/>
      <c r="H23" s="43"/>
      <c r="I23" s="44"/>
      <c r="J23" s="45" t="str">
        <f>IF($G23="","",$G23*I23)</f>
        <v/>
      </c>
      <c r="K23" s="93"/>
      <c r="L23" s="152" t="str">
        <f>IF($I23="","No Quote",IF($K23="","","No Comply"))</f>
        <v>No Quote</v>
      </c>
      <c r="M23" s="153"/>
      <c r="N23" s="44"/>
      <c r="O23" s="45" t="str">
        <f>IF($G23="","",$G23*N23)</f>
        <v/>
      </c>
      <c r="P23" s="93"/>
      <c r="Q23" s="152" t="str">
        <f>IF($N23="","No Quote",IF($P23="","","NoComply"))</f>
        <v>No Quote</v>
      </c>
      <c r="R23" s="153"/>
      <c r="S23" s="44"/>
      <c r="T23" s="45" t="str">
        <f>IF($G23="","",$G23*S23)</f>
        <v/>
      </c>
      <c r="U23" s="92"/>
      <c r="V23" s="152" t="str">
        <f>IF($S23="","No Quote",IF($U23="","","No Comply"))</f>
        <v>No Quote</v>
      </c>
      <c r="W23" s="153"/>
      <c r="X23" s="44"/>
      <c r="Y23" s="45" t="str">
        <f>IF($G23="","",$G23*X23)</f>
        <v/>
      </c>
      <c r="Z23" s="93"/>
      <c r="AA23" s="152" t="str">
        <f>IF($X23="","No Quote",IF($Z23="","","No Comply"))</f>
        <v>No Quote</v>
      </c>
      <c r="AB23" s="153"/>
      <c r="AC23" s="44"/>
      <c r="AD23" s="45" t="str">
        <f>IF($G23="","",$G23*AC23)</f>
        <v/>
      </c>
      <c r="AE23" s="92"/>
      <c r="AF23" s="152" t="str">
        <f>IF($AC23="","No Quote",IF($AE23="","","No Comply"))</f>
        <v>No Quote</v>
      </c>
      <c r="AG23" s="153"/>
      <c r="AH23" s="44"/>
      <c r="AI23" s="45" t="str">
        <f>IF($G23="","",$G23*AH23)</f>
        <v/>
      </c>
      <c r="AJ23" s="92"/>
      <c r="AK23" s="152" t="str">
        <f>IF($AH23="","No Quote",IF(AJ23="","","No Comply"))</f>
        <v>No Quote</v>
      </c>
      <c r="AL23" s="153"/>
      <c r="AM23" s="44"/>
      <c r="AN23" s="45" t="str">
        <f>IF($G23="","",$G23*AM23)</f>
        <v/>
      </c>
      <c r="AO23" s="46"/>
      <c r="AP23" s="152" t="str">
        <f>IF($AM23="","No Quote",IF($AO23="","","No Comply"))</f>
        <v>No Quote</v>
      </c>
      <c r="AQ23" s="153"/>
      <c r="AR23" s="44"/>
      <c r="AS23" s="45" t="str">
        <f>IF($G23="","",$G23*AR23)</f>
        <v/>
      </c>
      <c r="AT23" s="92"/>
      <c r="AU23" s="152" t="str">
        <f>IF($AR23="","No Quote",IF($AT23="","","No Comply"))</f>
        <v>No Quote</v>
      </c>
      <c r="AV23" s="153"/>
      <c r="AW23" s="44"/>
      <c r="AX23" s="45" t="str">
        <f>IF($G23="","",$G23*AW23)</f>
        <v/>
      </c>
      <c r="AY23" s="92"/>
      <c r="AZ23" s="212" t="str">
        <f>IF($AW23="","No Quote",IF($AY23="","","No Comply"))</f>
        <v>No Quote</v>
      </c>
      <c r="BA23" s="213"/>
      <c r="BB23" s="90"/>
      <c r="BC23" s="96"/>
      <c r="BD23" s="66" t="str">
        <f>IF(BB23="","",$BB23*$G23)</f>
        <v/>
      </c>
      <c r="BE23" s="95"/>
      <c r="BF23" s="95"/>
      <c r="BG23" s="80" t="str">
        <f t="shared" ref="BG23:BG51" si="10">IF(OR(K23="X",J23=""),"-",J23)</f>
        <v>-</v>
      </c>
      <c r="BH23" s="80" t="str">
        <f t="shared" ref="BH23:BH51" si="11">IF(OR(P23="X",O23=""),"-",O23)</f>
        <v>-</v>
      </c>
      <c r="BI23" s="80" t="str">
        <f t="shared" ref="BI23:BI51" si="12">IF(OR(U23="X",T23=""),"-",T23)</f>
        <v>-</v>
      </c>
      <c r="BJ23" s="80" t="str">
        <f t="shared" ref="BJ23:BJ51" si="13">IF(OR(Z23="X",Y23=""),"-",Y23)</f>
        <v>-</v>
      </c>
      <c r="BK23" s="80" t="str">
        <f t="shared" ref="BK23:BK51" si="14">IF(OR(AE23="X",AD23=""),"-",AD23)</f>
        <v>-</v>
      </c>
      <c r="BL23" s="80" t="str">
        <f t="shared" ref="BL23:BL51" si="15">IF(OR(AJ23="X",AI23=""),"-",AI23)</f>
        <v>-</v>
      </c>
      <c r="BM23" s="80" t="str">
        <f t="shared" ref="BM23:BM51" si="16">IF(OR(AO23="X",AN23=""),"-",AN23)</f>
        <v>-</v>
      </c>
      <c r="BN23" s="80" t="str">
        <f t="shared" ref="BN23:BN51" si="17">IF(OR(AT23="X",AS23=""),"-",AS23)</f>
        <v>-</v>
      </c>
      <c r="BO23" s="80" t="str">
        <f t="shared" ref="BO23:BO51" si="18">IF(OR(AY23="X",AX23=""),"-",AX23)</f>
        <v>-</v>
      </c>
      <c r="BP23" s="81" t="str">
        <f>IFERROR(SMALL($BG23:$BO23,COUNTIF($BG23:$BO23,0)+1),"")</f>
        <v/>
      </c>
      <c r="BQ23" s="77" t="str">
        <f>IF(BP23=BG23,$BG$20,IF(BP23=BH23,$BH$20,IF(BP23=BI23,$BI$20,IF(BP23=BJ23,$BJ$20,IF(BP23=BK23,$BK$20,IF(BP23=BL23,$BL$20,IF(BP23=BM23,$BM$20,IF(BP23=BN23,$BN$20,IF(BP23=BO23,$BO$20,"")))))))))</f>
        <v/>
      </c>
      <c r="BR23" s="75" t="str">
        <f>IFERROR(SMALL($BG23:$BO23,2),"")</f>
        <v/>
      </c>
      <c r="BS23" s="74" t="str">
        <f>IFERROR(IF(($BR23-$BP23)/$BP23&lt;0%,"",($BR23-$BP23)/$BP23),"")</f>
        <v/>
      </c>
      <c r="BT23" s="77" t="str">
        <f>IFERROR(IF(BR23="","",IF(BR23=BG23,$BG$20,IF(BR23=BH23,$BH$20,IF(BR23=BI23,$BI$20,IF(BR23=BJ23,$BJ$20,IF(BR23=BK23,$BK$20,IF(BR23=BL23,$BL$20,IF(BR23=BM23,$BM$20,IF(BR23=BN23,$BN$20,IF(BR23=BO23,$BO$20,"")))))))))),"")</f>
        <v/>
      </c>
      <c r="BU23" s="75" t="str">
        <f>IFERROR(SMALL($BG23:$BO23,3),"")</f>
        <v/>
      </c>
      <c r="BV23" s="74" t="str">
        <f>IFERROR(IF((BU23-$BP23)/$BP23&lt;0%,"",(BU23-$BP23)/$BP23),"")</f>
        <v/>
      </c>
      <c r="BW23" s="77" t="str">
        <f t="shared" ref="BW23:BW51" si="19">IFERROR(IF(BU23="","",IF(BG23=BU23,$BG$20,IF(BH23=BU23,$BH$20,IF(BI23=BU23,$BI$20,IF(BJ23=BU23,$BJ$20,IF(BK23=BU23,$BK$20,IF(BL23=BU23,$BL$20,IF(BM23=BU23,$BM$20,IF(BN23=BU23,$BN$20,IF(BO23=BU23,$BO$20)))))))))),"")</f>
        <v/>
      </c>
      <c r="BY23" s="104">
        <f>SUMIFS($BP$23:$BP$51,$BQ$23:$BQ$51,BZ23)</f>
        <v>0</v>
      </c>
      <c r="BZ23" s="105" t="s">
        <v>48</v>
      </c>
    </row>
    <row r="24" spans="2:78" s="1" customFormat="1" ht="61.5" customHeight="1" x14ac:dyDescent="0.25">
      <c r="B24" s="41">
        <f>B23+1</f>
        <v>2</v>
      </c>
      <c r="C24" s="218"/>
      <c r="D24" s="218"/>
      <c r="E24" s="218"/>
      <c r="F24" s="218"/>
      <c r="G24" s="42"/>
      <c r="H24" s="43"/>
      <c r="I24" s="44"/>
      <c r="J24" s="45" t="str">
        <f t="shared" ref="J24:J51" si="20">IF($G24="","",$G24*I24)</f>
        <v/>
      </c>
      <c r="K24" s="93"/>
      <c r="L24" s="152" t="str">
        <f t="shared" ref="L24:L51" si="21">IF($I24="","No Quote",IF($K24="","","No Comply"))</f>
        <v>No Quote</v>
      </c>
      <c r="M24" s="153"/>
      <c r="N24" s="44"/>
      <c r="O24" s="45" t="str">
        <f t="shared" ref="O24:O51" si="22">IF($G24="","",$G24*N24)</f>
        <v/>
      </c>
      <c r="P24" s="93"/>
      <c r="Q24" s="152" t="str">
        <f t="shared" ref="Q24:Q51" si="23">IF($N24="","No Quote",IF($P24="","","NoComply"))</f>
        <v>No Quote</v>
      </c>
      <c r="R24" s="153"/>
      <c r="S24" s="44"/>
      <c r="T24" s="45" t="str">
        <f t="shared" ref="T24:T51" si="24">IF($G24="","",$G24*S24)</f>
        <v/>
      </c>
      <c r="U24" s="92"/>
      <c r="V24" s="152" t="str">
        <f t="shared" ref="V24:V51" si="25">IF($S24="","No Quote",IF($U24="","","No Comply"))</f>
        <v>No Quote</v>
      </c>
      <c r="W24" s="153"/>
      <c r="X24" s="44"/>
      <c r="Y24" s="45" t="str">
        <f t="shared" ref="Y24:Y51" si="26">IF($G24="","",$G24*X24)</f>
        <v/>
      </c>
      <c r="Z24" s="93"/>
      <c r="AA24" s="152" t="str">
        <f t="shared" ref="AA24:AA51" si="27">IF($X24="","No Quote",IF($Z24="","","No Comply"))</f>
        <v>No Quote</v>
      </c>
      <c r="AB24" s="153"/>
      <c r="AC24" s="44"/>
      <c r="AD24" s="45" t="str">
        <f t="shared" ref="AD24:AD51" si="28">IF($G24="","",$G24*AC24)</f>
        <v/>
      </c>
      <c r="AE24" s="92"/>
      <c r="AF24" s="152" t="str">
        <f t="shared" ref="AF24:AF51" si="29">IF($AC24="","No Quote",IF($AE24="","","No Comply"))</f>
        <v>No Quote</v>
      </c>
      <c r="AG24" s="153"/>
      <c r="AH24" s="44"/>
      <c r="AI24" s="45" t="str">
        <f t="shared" ref="AI24:AI51" si="30">IF($G24="","",$G24*AH24)</f>
        <v/>
      </c>
      <c r="AJ24" s="92"/>
      <c r="AK24" s="152" t="str">
        <f t="shared" ref="AK24:AK51" si="31">IF($AH24="","No Quote",IF(AJ24="","","No Comply"))</f>
        <v>No Quote</v>
      </c>
      <c r="AL24" s="153"/>
      <c r="AM24" s="44"/>
      <c r="AN24" s="45" t="str">
        <f t="shared" ref="AN24:AN51" si="32">IF($G24="","",$G24*AM24)</f>
        <v/>
      </c>
      <c r="AO24" s="46"/>
      <c r="AP24" s="152" t="str">
        <f t="shared" ref="AP24:AP51" si="33">IF($AM24="","No Quote",IF($AO24="","","No Comply"))</f>
        <v>No Quote</v>
      </c>
      <c r="AQ24" s="153"/>
      <c r="AR24" s="44"/>
      <c r="AS24" s="45" t="str">
        <f t="shared" ref="AS24:AS51" si="34">IF($G24="","",$G24*AR24)</f>
        <v/>
      </c>
      <c r="AT24" s="92"/>
      <c r="AU24" s="152" t="str">
        <f t="shared" ref="AU24:AU51" si="35">IF($AR24="","No Quote",IF($AT24="","","No Comply"))</f>
        <v>No Quote</v>
      </c>
      <c r="AV24" s="153"/>
      <c r="AW24" s="44"/>
      <c r="AX24" s="45" t="str">
        <f t="shared" ref="AX24:AX51" si="36">IF($G24="","",$G24*AW24)</f>
        <v/>
      </c>
      <c r="AY24" s="92"/>
      <c r="AZ24" s="212" t="str">
        <f t="shared" ref="AZ24:AZ51" si="37">IF($AW24="","No Quote",IF($AY24="","","No Comply"))</f>
        <v>No Quote</v>
      </c>
      <c r="BA24" s="213"/>
      <c r="BB24" s="90"/>
      <c r="BC24" s="96"/>
      <c r="BD24" s="66" t="str">
        <f t="shared" ref="BD24:BD51" si="38">IF(BB24="","",$BB24*$G24)</f>
        <v/>
      </c>
      <c r="BE24" s="95"/>
      <c r="BF24" s="95"/>
      <c r="BG24" s="80" t="str">
        <f t="shared" si="10"/>
        <v>-</v>
      </c>
      <c r="BH24" s="80" t="str">
        <f t="shared" si="11"/>
        <v>-</v>
      </c>
      <c r="BI24" s="80" t="str">
        <f t="shared" si="12"/>
        <v>-</v>
      </c>
      <c r="BJ24" s="80" t="str">
        <f t="shared" si="13"/>
        <v>-</v>
      </c>
      <c r="BK24" s="80" t="str">
        <f t="shared" si="14"/>
        <v>-</v>
      </c>
      <c r="BL24" s="80" t="str">
        <f t="shared" si="15"/>
        <v>-</v>
      </c>
      <c r="BM24" s="80" t="str">
        <f t="shared" si="16"/>
        <v>-</v>
      </c>
      <c r="BN24" s="80" t="str">
        <f t="shared" si="17"/>
        <v>-</v>
      </c>
      <c r="BO24" s="80" t="str">
        <f t="shared" si="18"/>
        <v>-</v>
      </c>
      <c r="BP24" s="81" t="str">
        <f t="shared" ref="BP24:BP52" si="39">IFERROR(SMALL($BG24:$BO24,COUNTIF($BG24:$BO24,0)+1),"")</f>
        <v/>
      </c>
      <c r="BQ24" s="77" t="str">
        <f t="shared" ref="BQ24:BQ51" si="40">IF(BP24=BG24,$BG$20,IF(BP24=BH24,$BH$20,IF(BP24=BI24,$BI$20,IF(BP24=BJ24,$BJ$20,IF(BP24=BK24,$BK$20,IF(BP24=BL24,$BL$20,IF(BP24=BM24,$BM$20,IF(BP24=BN24,$BN$20,IF(BP24=BO24,$BO$20,"")))))))))</f>
        <v/>
      </c>
      <c r="BR24" s="75" t="str">
        <f t="shared" ref="BR24:BR52" si="41">IFERROR(SMALL($BG24:$BO24,2),"")</f>
        <v/>
      </c>
      <c r="BS24" s="74" t="str">
        <f t="shared" ref="BS24:BS52" si="42">IFERROR(IF(($BR24-$BP24)/$BP24&lt;0%,"",($BR24-$BP24)/$BP24),"")</f>
        <v/>
      </c>
      <c r="BT24" s="77" t="str">
        <f t="shared" ref="BT24:BT51" si="43">IFERROR(IF(BR24="","",IF(BR24=BG24,$BG$20,IF(BR24=BH24,$BH$20,IF(BR24=BI24,$BI$20,IF(BR24=BJ24,$BJ$20,IF(BR24=BK24,$BK$20,IF(BR24=BL24,$BL$20,IF(BR24=BM24,$BM$20,IF(BR24=BN24,$BN$20,IF(BR24=BO24,$BO$20,"")))))))))),"")</f>
        <v/>
      </c>
      <c r="BU24" s="75" t="str">
        <f t="shared" ref="BU24:BU52" si="44">IFERROR(SMALL($BG24:$BO24,3),"")</f>
        <v/>
      </c>
      <c r="BV24" s="74" t="str">
        <f t="shared" ref="BV24:BV51" si="45">IFERROR(IF((BU24-$BP24)/$BP24&lt;0%,"",(BU24-$BP24)/$BP24),"")</f>
        <v/>
      </c>
      <c r="BW24" s="77" t="str">
        <f t="shared" si="19"/>
        <v/>
      </c>
      <c r="BY24" s="104">
        <f t="shared" ref="BY24:BY37" si="46">SUMIFS($BP$23:$BP$51,$BQ$23:$BQ$51,BZ24)</f>
        <v>0</v>
      </c>
      <c r="BZ24" s="106"/>
    </row>
    <row r="25" spans="2:78" s="1" customFormat="1" ht="61.5" customHeight="1" x14ac:dyDescent="0.25">
      <c r="B25" s="41">
        <f t="shared" ref="B25:B51" si="47">B24+1</f>
        <v>3</v>
      </c>
      <c r="C25" s="218"/>
      <c r="D25" s="218"/>
      <c r="E25" s="218"/>
      <c r="F25" s="218"/>
      <c r="G25" s="42"/>
      <c r="H25" s="43"/>
      <c r="I25" s="44"/>
      <c r="J25" s="45" t="str">
        <f t="shared" si="20"/>
        <v/>
      </c>
      <c r="K25" s="93"/>
      <c r="L25" s="152" t="str">
        <f t="shared" si="21"/>
        <v>No Quote</v>
      </c>
      <c r="M25" s="153"/>
      <c r="N25" s="44"/>
      <c r="O25" s="45" t="str">
        <f t="shared" si="22"/>
        <v/>
      </c>
      <c r="P25" s="93"/>
      <c r="Q25" s="152" t="str">
        <f t="shared" si="23"/>
        <v>No Quote</v>
      </c>
      <c r="R25" s="153"/>
      <c r="S25" s="44"/>
      <c r="T25" s="45" t="str">
        <f t="shared" si="24"/>
        <v/>
      </c>
      <c r="U25" s="92"/>
      <c r="V25" s="152" t="str">
        <f t="shared" si="25"/>
        <v>No Quote</v>
      </c>
      <c r="W25" s="153"/>
      <c r="X25" s="44"/>
      <c r="Y25" s="45" t="str">
        <f t="shared" si="26"/>
        <v/>
      </c>
      <c r="Z25" s="93"/>
      <c r="AA25" s="152" t="str">
        <f t="shared" si="27"/>
        <v>No Quote</v>
      </c>
      <c r="AB25" s="153"/>
      <c r="AC25" s="44"/>
      <c r="AD25" s="45" t="str">
        <f t="shared" si="28"/>
        <v/>
      </c>
      <c r="AE25" s="92"/>
      <c r="AF25" s="152" t="str">
        <f t="shared" si="29"/>
        <v>No Quote</v>
      </c>
      <c r="AG25" s="153"/>
      <c r="AH25" s="44"/>
      <c r="AI25" s="45" t="str">
        <f t="shared" si="30"/>
        <v/>
      </c>
      <c r="AJ25" s="92"/>
      <c r="AK25" s="152" t="str">
        <f t="shared" si="31"/>
        <v>No Quote</v>
      </c>
      <c r="AL25" s="153"/>
      <c r="AM25" s="44"/>
      <c r="AN25" s="45" t="str">
        <f t="shared" si="32"/>
        <v/>
      </c>
      <c r="AO25" s="46"/>
      <c r="AP25" s="152" t="str">
        <f t="shared" si="33"/>
        <v>No Quote</v>
      </c>
      <c r="AQ25" s="153"/>
      <c r="AR25" s="44"/>
      <c r="AS25" s="45" t="str">
        <f t="shared" si="34"/>
        <v/>
      </c>
      <c r="AT25" s="92"/>
      <c r="AU25" s="152" t="str">
        <f t="shared" si="35"/>
        <v>No Quote</v>
      </c>
      <c r="AV25" s="153"/>
      <c r="AW25" s="44"/>
      <c r="AX25" s="45" t="str">
        <f t="shared" si="36"/>
        <v/>
      </c>
      <c r="AY25" s="92"/>
      <c r="AZ25" s="212" t="str">
        <f t="shared" si="37"/>
        <v>No Quote</v>
      </c>
      <c r="BA25" s="213"/>
      <c r="BB25" s="90"/>
      <c r="BC25" s="96"/>
      <c r="BD25" s="66" t="str">
        <f t="shared" si="38"/>
        <v/>
      </c>
      <c r="BE25" s="95"/>
      <c r="BF25" s="95"/>
      <c r="BG25" s="80" t="str">
        <f t="shared" si="10"/>
        <v>-</v>
      </c>
      <c r="BH25" s="80" t="str">
        <f t="shared" si="11"/>
        <v>-</v>
      </c>
      <c r="BI25" s="80" t="str">
        <f t="shared" si="12"/>
        <v>-</v>
      </c>
      <c r="BJ25" s="80" t="str">
        <f t="shared" si="13"/>
        <v>-</v>
      </c>
      <c r="BK25" s="80" t="str">
        <f t="shared" si="14"/>
        <v>-</v>
      </c>
      <c r="BL25" s="80" t="str">
        <f t="shared" si="15"/>
        <v>-</v>
      </c>
      <c r="BM25" s="80" t="str">
        <f t="shared" si="16"/>
        <v>-</v>
      </c>
      <c r="BN25" s="80" t="str">
        <f t="shared" si="17"/>
        <v>-</v>
      </c>
      <c r="BO25" s="80" t="str">
        <f t="shared" si="18"/>
        <v>-</v>
      </c>
      <c r="BP25" s="81" t="str">
        <f t="shared" si="39"/>
        <v/>
      </c>
      <c r="BQ25" s="77" t="str">
        <f t="shared" si="40"/>
        <v/>
      </c>
      <c r="BR25" s="75" t="str">
        <f t="shared" si="41"/>
        <v/>
      </c>
      <c r="BS25" s="74" t="str">
        <f t="shared" si="42"/>
        <v/>
      </c>
      <c r="BT25" s="77" t="str">
        <f t="shared" si="43"/>
        <v/>
      </c>
      <c r="BU25" s="75" t="str">
        <f t="shared" si="44"/>
        <v/>
      </c>
      <c r="BV25" s="74" t="str">
        <f t="shared" si="45"/>
        <v/>
      </c>
      <c r="BW25" s="77" t="str">
        <f t="shared" si="19"/>
        <v/>
      </c>
      <c r="BY25" s="104">
        <f t="shared" si="46"/>
        <v>0</v>
      </c>
      <c r="BZ25" s="106"/>
    </row>
    <row r="26" spans="2:78" s="1" customFormat="1" ht="61.5" customHeight="1" x14ac:dyDescent="0.25">
      <c r="B26" s="41">
        <f t="shared" si="47"/>
        <v>4</v>
      </c>
      <c r="C26" s="218"/>
      <c r="D26" s="218"/>
      <c r="E26" s="218"/>
      <c r="F26" s="218"/>
      <c r="G26" s="42"/>
      <c r="H26" s="43"/>
      <c r="I26" s="44"/>
      <c r="J26" s="45" t="str">
        <f t="shared" si="20"/>
        <v/>
      </c>
      <c r="K26" s="93"/>
      <c r="L26" s="152" t="str">
        <f t="shared" si="21"/>
        <v>No Quote</v>
      </c>
      <c r="M26" s="153"/>
      <c r="N26" s="44"/>
      <c r="O26" s="45" t="str">
        <f t="shared" si="22"/>
        <v/>
      </c>
      <c r="P26" s="93"/>
      <c r="Q26" s="152" t="str">
        <f t="shared" si="23"/>
        <v>No Quote</v>
      </c>
      <c r="R26" s="153"/>
      <c r="S26" s="44"/>
      <c r="T26" s="45" t="str">
        <f t="shared" si="24"/>
        <v/>
      </c>
      <c r="U26" s="92"/>
      <c r="V26" s="152" t="str">
        <f t="shared" si="25"/>
        <v>No Quote</v>
      </c>
      <c r="W26" s="153"/>
      <c r="X26" s="44"/>
      <c r="Y26" s="45" t="str">
        <f t="shared" si="26"/>
        <v/>
      </c>
      <c r="Z26" s="93"/>
      <c r="AA26" s="152" t="str">
        <f t="shared" si="27"/>
        <v>No Quote</v>
      </c>
      <c r="AB26" s="153"/>
      <c r="AC26" s="44"/>
      <c r="AD26" s="45" t="str">
        <f t="shared" si="28"/>
        <v/>
      </c>
      <c r="AE26" s="92"/>
      <c r="AF26" s="152" t="str">
        <f t="shared" si="29"/>
        <v>No Quote</v>
      </c>
      <c r="AG26" s="153"/>
      <c r="AH26" s="44"/>
      <c r="AI26" s="45" t="str">
        <f t="shared" si="30"/>
        <v/>
      </c>
      <c r="AJ26" s="92"/>
      <c r="AK26" s="152" t="str">
        <f t="shared" si="31"/>
        <v>No Quote</v>
      </c>
      <c r="AL26" s="153"/>
      <c r="AM26" s="44"/>
      <c r="AN26" s="45" t="str">
        <f t="shared" si="32"/>
        <v/>
      </c>
      <c r="AO26" s="46"/>
      <c r="AP26" s="152" t="str">
        <f t="shared" si="33"/>
        <v>No Quote</v>
      </c>
      <c r="AQ26" s="153"/>
      <c r="AR26" s="44"/>
      <c r="AS26" s="45" t="str">
        <f t="shared" si="34"/>
        <v/>
      </c>
      <c r="AT26" s="92"/>
      <c r="AU26" s="152" t="str">
        <f t="shared" si="35"/>
        <v>No Quote</v>
      </c>
      <c r="AV26" s="153"/>
      <c r="AW26" s="44"/>
      <c r="AX26" s="45" t="str">
        <f t="shared" si="36"/>
        <v/>
      </c>
      <c r="AY26" s="92"/>
      <c r="AZ26" s="212" t="str">
        <f t="shared" si="37"/>
        <v>No Quote</v>
      </c>
      <c r="BA26" s="213"/>
      <c r="BB26" s="90"/>
      <c r="BC26" s="96"/>
      <c r="BD26" s="66" t="str">
        <f t="shared" si="38"/>
        <v/>
      </c>
      <c r="BE26" s="95"/>
      <c r="BF26" s="95"/>
      <c r="BG26" s="80" t="str">
        <f t="shared" si="10"/>
        <v>-</v>
      </c>
      <c r="BH26" s="80" t="str">
        <f t="shared" si="11"/>
        <v>-</v>
      </c>
      <c r="BI26" s="80" t="str">
        <f t="shared" si="12"/>
        <v>-</v>
      </c>
      <c r="BJ26" s="80" t="str">
        <f t="shared" si="13"/>
        <v>-</v>
      </c>
      <c r="BK26" s="80" t="str">
        <f t="shared" si="14"/>
        <v>-</v>
      </c>
      <c r="BL26" s="80" t="str">
        <f t="shared" si="15"/>
        <v>-</v>
      </c>
      <c r="BM26" s="80" t="str">
        <f t="shared" si="16"/>
        <v>-</v>
      </c>
      <c r="BN26" s="80" t="str">
        <f t="shared" si="17"/>
        <v>-</v>
      </c>
      <c r="BO26" s="80" t="str">
        <f t="shared" si="18"/>
        <v>-</v>
      </c>
      <c r="BP26" s="81" t="str">
        <f t="shared" si="39"/>
        <v/>
      </c>
      <c r="BQ26" s="77" t="str">
        <f t="shared" si="40"/>
        <v/>
      </c>
      <c r="BR26" s="75" t="str">
        <f t="shared" si="41"/>
        <v/>
      </c>
      <c r="BS26" s="74" t="str">
        <f t="shared" si="42"/>
        <v/>
      </c>
      <c r="BT26" s="77" t="str">
        <f t="shared" si="43"/>
        <v/>
      </c>
      <c r="BU26" s="75" t="str">
        <f t="shared" si="44"/>
        <v/>
      </c>
      <c r="BV26" s="74" t="str">
        <f t="shared" si="45"/>
        <v/>
      </c>
      <c r="BW26" s="77" t="str">
        <f t="shared" si="19"/>
        <v/>
      </c>
      <c r="BY26" s="104">
        <f t="shared" si="46"/>
        <v>0</v>
      </c>
      <c r="BZ26" s="106"/>
    </row>
    <row r="27" spans="2:78" s="1" customFormat="1" ht="61.5" customHeight="1" x14ac:dyDescent="0.25">
      <c r="B27" s="41">
        <f t="shared" si="47"/>
        <v>5</v>
      </c>
      <c r="C27" s="218"/>
      <c r="D27" s="218"/>
      <c r="E27" s="218"/>
      <c r="F27" s="218"/>
      <c r="G27" s="42"/>
      <c r="H27" s="43"/>
      <c r="I27" s="44"/>
      <c r="J27" s="45" t="str">
        <f t="shared" si="20"/>
        <v/>
      </c>
      <c r="K27" s="93"/>
      <c r="L27" s="152" t="str">
        <f t="shared" si="21"/>
        <v>No Quote</v>
      </c>
      <c r="M27" s="153"/>
      <c r="N27" s="44"/>
      <c r="O27" s="45" t="str">
        <f t="shared" si="22"/>
        <v/>
      </c>
      <c r="P27" s="93"/>
      <c r="Q27" s="152" t="str">
        <f t="shared" si="23"/>
        <v>No Quote</v>
      </c>
      <c r="R27" s="153"/>
      <c r="S27" s="44"/>
      <c r="T27" s="45" t="str">
        <f t="shared" si="24"/>
        <v/>
      </c>
      <c r="U27" s="92"/>
      <c r="V27" s="152" t="str">
        <f t="shared" si="25"/>
        <v>No Quote</v>
      </c>
      <c r="W27" s="153"/>
      <c r="X27" s="44"/>
      <c r="Y27" s="45" t="str">
        <f t="shared" si="26"/>
        <v/>
      </c>
      <c r="Z27" s="93"/>
      <c r="AA27" s="152" t="str">
        <f t="shared" si="27"/>
        <v>No Quote</v>
      </c>
      <c r="AB27" s="153"/>
      <c r="AC27" s="44"/>
      <c r="AD27" s="45" t="str">
        <f t="shared" si="28"/>
        <v/>
      </c>
      <c r="AE27" s="92"/>
      <c r="AF27" s="152" t="str">
        <f t="shared" si="29"/>
        <v>No Quote</v>
      </c>
      <c r="AG27" s="153"/>
      <c r="AH27" s="44"/>
      <c r="AI27" s="45" t="str">
        <f t="shared" si="30"/>
        <v/>
      </c>
      <c r="AJ27" s="92"/>
      <c r="AK27" s="152" t="str">
        <f t="shared" si="31"/>
        <v>No Quote</v>
      </c>
      <c r="AL27" s="153"/>
      <c r="AM27" s="44"/>
      <c r="AN27" s="45" t="str">
        <f t="shared" si="32"/>
        <v/>
      </c>
      <c r="AO27" s="46"/>
      <c r="AP27" s="152" t="str">
        <f t="shared" si="33"/>
        <v>No Quote</v>
      </c>
      <c r="AQ27" s="153"/>
      <c r="AR27" s="44"/>
      <c r="AS27" s="45" t="str">
        <f t="shared" si="34"/>
        <v/>
      </c>
      <c r="AT27" s="92"/>
      <c r="AU27" s="152" t="str">
        <f t="shared" si="35"/>
        <v>No Quote</v>
      </c>
      <c r="AV27" s="153"/>
      <c r="AW27" s="44"/>
      <c r="AX27" s="45" t="str">
        <f t="shared" si="36"/>
        <v/>
      </c>
      <c r="AY27" s="92"/>
      <c r="AZ27" s="212" t="str">
        <f t="shared" si="37"/>
        <v>No Quote</v>
      </c>
      <c r="BA27" s="213"/>
      <c r="BB27" s="90"/>
      <c r="BC27" s="96"/>
      <c r="BD27" s="66" t="str">
        <f t="shared" si="38"/>
        <v/>
      </c>
      <c r="BE27" s="95"/>
      <c r="BF27" s="95"/>
      <c r="BG27" s="80" t="str">
        <f t="shared" si="10"/>
        <v>-</v>
      </c>
      <c r="BH27" s="80" t="str">
        <f t="shared" si="11"/>
        <v>-</v>
      </c>
      <c r="BI27" s="80" t="str">
        <f t="shared" si="12"/>
        <v>-</v>
      </c>
      <c r="BJ27" s="80" t="str">
        <f t="shared" si="13"/>
        <v>-</v>
      </c>
      <c r="BK27" s="80" t="str">
        <f t="shared" si="14"/>
        <v>-</v>
      </c>
      <c r="BL27" s="80" t="str">
        <f t="shared" si="15"/>
        <v>-</v>
      </c>
      <c r="BM27" s="80" t="str">
        <f t="shared" si="16"/>
        <v>-</v>
      </c>
      <c r="BN27" s="80" t="str">
        <f t="shared" si="17"/>
        <v>-</v>
      </c>
      <c r="BO27" s="80" t="str">
        <f t="shared" si="18"/>
        <v>-</v>
      </c>
      <c r="BP27" s="81" t="str">
        <f t="shared" si="39"/>
        <v/>
      </c>
      <c r="BQ27" s="77" t="str">
        <f t="shared" si="40"/>
        <v/>
      </c>
      <c r="BR27" s="75" t="str">
        <f t="shared" si="41"/>
        <v/>
      </c>
      <c r="BS27" s="74" t="str">
        <f t="shared" si="42"/>
        <v/>
      </c>
      <c r="BT27" s="77" t="str">
        <f t="shared" si="43"/>
        <v/>
      </c>
      <c r="BU27" s="75" t="str">
        <f t="shared" si="44"/>
        <v/>
      </c>
      <c r="BV27" s="74" t="str">
        <f t="shared" si="45"/>
        <v/>
      </c>
      <c r="BW27" s="77" t="str">
        <f t="shared" si="19"/>
        <v/>
      </c>
      <c r="BY27" s="104">
        <f t="shared" si="46"/>
        <v>0</v>
      </c>
      <c r="BZ27" s="106"/>
    </row>
    <row r="28" spans="2:78" s="1" customFormat="1" ht="61.5" customHeight="1" outlineLevel="1" x14ac:dyDescent="0.25">
      <c r="B28" s="41">
        <f t="shared" si="47"/>
        <v>6</v>
      </c>
      <c r="C28" s="218"/>
      <c r="D28" s="218"/>
      <c r="E28" s="218"/>
      <c r="F28" s="218"/>
      <c r="G28" s="42"/>
      <c r="H28" s="43"/>
      <c r="I28" s="44"/>
      <c r="J28" s="45" t="str">
        <f t="shared" si="20"/>
        <v/>
      </c>
      <c r="K28" s="93"/>
      <c r="L28" s="152" t="str">
        <f t="shared" si="21"/>
        <v>No Quote</v>
      </c>
      <c r="M28" s="153"/>
      <c r="N28" s="44"/>
      <c r="O28" s="45" t="str">
        <f t="shared" si="22"/>
        <v/>
      </c>
      <c r="P28" s="93"/>
      <c r="Q28" s="152" t="str">
        <f t="shared" si="23"/>
        <v>No Quote</v>
      </c>
      <c r="R28" s="153"/>
      <c r="S28" s="44"/>
      <c r="T28" s="45" t="str">
        <f t="shared" si="24"/>
        <v/>
      </c>
      <c r="U28" s="92"/>
      <c r="V28" s="152" t="str">
        <f t="shared" si="25"/>
        <v>No Quote</v>
      </c>
      <c r="W28" s="153"/>
      <c r="X28" s="44"/>
      <c r="Y28" s="45" t="str">
        <f t="shared" si="26"/>
        <v/>
      </c>
      <c r="Z28" s="93"/>
      <c r="AA28" s="152" t="str">
        <f t="shared" si="27"/>
        <v>No Quote</v>
      </c>
      <c r="AB28" s="153"/>
      <c r="AC28" s="44"/>
      <c r="AD28" s="45" t="str">
        <f t="shared" si="28"/>
        <v/>
      </c>
      <c r="AE28" s="92"/>
      <c r="AF28" s="152" t="str">
        <f t="shared" si="29"/>
        <v>No Quote</v>
      </c>
      <c r="AG28" s="153"/>
      <c r="AH28" s="44"/>
      <c r="AI28" s="45" t="str">
        <f t="shared" si="30"/>
        <v/>
      </c>
      <c r="AJ28" s="92"/>
      <c r="AK28" s="152" t="str">
        <f t="shared" si="31"/>
        <v>No Quote</v>
      </c>
      <c r="AL28" s="153"/>
      <c r="AM28" s="44"/>
      <c r="AN28" s="45" t="str">
        <f t="shared" si="32"/>
        <v/>
      </c>
      <c r="AO28" s="46"/>
      <c r="AP28" s="152" t="str">
        <f t="shared" si="33"/>
        <v>No Quote</v>
      </c>
      <c r="AQ28" s="153"/>
      <c r="AR28" s="44"/>
      <c r="AS28" s="45" t="str">
        <f t="shared" si="34"/>
        <v/>
      </c>
      <c r="AT28" s="92"/>
      <c r="AU28" s="152" t="str">
        <f t="shared" si="35"/>
        <v>No Quote</v>
      </c>
      <c r="AV28" s="153"/>
      <c r="AW28" s="44"/>
      <c r="AX28" s="45" t="str">
        <f t="shared" si="36"/>
        <v/>
      </c>
      <c r="AY28" s="92"/>
      <c r="AZ28" s="212" t="str">
        <f t="shared" si="37"/>
        <v>No Quote</v>
      </c>
      <c r="BA28" s="213"/>
      <c r="BB28" s="90"/>
      <c r="BC28" s="96"/>
      <c r="BD28" s="66" t="str">
        <f t="shared" si="38"/>
        <v/>
      </c>
      <c r="BE28" s="95"/>
      <c r="BF28" s="95"/>
      <c r="BG28" s="80" t="str">
        <f t="shared" si="10"/>
        <v>-</v>
      </c>
      <c r="BH28" s="80" t="str">
        <f t="shared" si="11"/>
        <v>-</v>
      </c>
      <c r="BI28" s="80" t="str">
        <f t="shared" si="12"/>
        <v>-</v>
      </c>
      <c r="BJ28" s="80" t="str">
        <f t="shared" si="13"/>
        <v>-</v>
      </c>
      <c r="BK28" s="80" t="str">
        <f t="shared" si="14"/>
        <v>-</v>
      </c>
      <c r="BL28" s="80" t="str">
        <f t="shared" si="15"/>
        <v>-</v>
      </c>
      <c r="BM28" s="80" t="str">
        <f t="shared" si="16"/>
        <v>-</v>
      </c>
      <c r="BN28" s="80" t="str">
        <f t="shared" si="17"/>
        <v>-</v>
      </c>
      <c r="BO28" s="80" t="str">
        <f t="shared" si="18"/>
        <v>-</v>
      </c>
      <c r="BP28" s="81" t="str">
        <f t="shared" si="39"/>
        <v/>
      </c>
      <c r="BQ28" s="77" t="str">
        <f t="shared" si="40"/>
        <v/>
      </c>
      <c r="BR28" s="75" t="str">
        <f t="shared" si="41"/>
        <v/>
      </c>
      <c r="BS28" s="74" t="str">
        <f t="shared" si="42"/>
        <v/>
      </c>
      <c r="BT28" s="77" t="str">
        <f t="shared" si="43"/>
        <v/>
      </c>
      <c r="BU28" s="75" t="str">
        <f t="shared" si="44"/>
        <v/>
      </c>
      <c r="BV28" s="74" t="str">
        <f t="shared" si="45"/>
        <v/>
      </c>
      <c r="BW28" s="77" t="str">
        <f t="shared" si="19"/>
        <v/>
      </c>
      <c r="BY28" s="104">
        <f t="shared" si="46"/>
        <v>0</v>
      </c>
      <c r="BZ28" s="106"/>
    </row>
    <row r="29" spans="2:78" s="1" customFormat="1" ht="61.5" customHeight="1" outlineLevel="1" x14ac:dyDescent="0.25">
      <c r="B29" s="41">
        <f t="shared" si="47"/>
        <v>7</v>
      </c>
      <c r="C29" s="218"/>
      <c r="D29" s="218"/>
      <c r="E29" s="218"/>
      <c r="F29" s="218"/>
      <c r="G29" s="42"/>
      <c r="H29" s="43"/>
      <c r="I29" s="44"/>
      <c r="J29" s="45" t="str">
        <f t="shared" si="20"/>
        <v/>
      </c>
      <c r="K29" s="93"/>
      <c r="L29" s="152" t="str">
        <f t="shared" si="21"/>
        <v>No Quote</v>
      </c>
      <c r="M29" s="153"/>
      <c r="N29" s="44"/>
      <c r="O29" s="45" t="str">
        <f t="shared" si="22"/>
        <v/>
      </c>
      <c r="P29" s="93"/>
      <c r="Q29" s="152" t="str">
        <f t="shared" si="23"/>
        <v>No Quote</v>
      </c>
      <c r="R29" s="153"/>
      <c r="S29" s="44"/>
      <c r="T29" s="45" t="str">
        <f t="shared" si="24"/>
        <v/>
      </c>
      <c r="U29" s="92"/>
      <c r="V29" s="152" t="str">
        <f t="shared" si="25"/>
        <v>No Quote</v>
      </c>
      <c r="W29" s="153"/>
      <c r="X29" s="44"/>
      <c r="Y29" s="45" t="str">
        <f t="shared" si="26"/>
        <v/>
      </c>
      <c r="Z29" s="93"/>
      <c r="AA29" s="152" t="str">
        <f t="shared" si="27"/>
        <v>No Quote</v>
      </c>
      <c r="AB29" s="153"/>
      <c r="AC29" s="44"/>
      <c r="AD29" s="45" t="str">
        <f t="shared" si="28"/>
        <v/>
      </c>
      <c r="AE29" s="92"/>
      <c r="AF29" s="152" t="str">
        <f t="shared" si="29"/>
        <v>No Quote</v>
      </c>
      <c r="AG29" s="153"/>
      <c r="AH29" s="44"/>
      <c r="AI29" s="45" t="str">
        <f t="shared" si="30"/>
        <v/>
      </c>
      <c r="AJ29" s="92"/>
      <c r="AK29" s="152" t="str">
        <f t="shared" si="31"/>
        <v>No Quote</v>
      </c>
      <c r="AL29" s="153"/>
      <c r="AM29" s="44"/>
      <c r="AN29" s="45" t="str">
        <f t="shared" si="32"/>
        <v/>
      </c>
      <c r="AO29" s="46"/>
      <c r="AP29" s="152" t="str">
        <f t="shared" si="33"/>
        <v>No Quote</v>
      </c>
      <c r="AQ29" s="153"/>
      <c r="AR29" s="44"/>
      <c r="AS29" s="45" t="str">
        <f t="shared" si="34"/>
        <v/>
      </c>
      <c r="AT29" s="92"/>
      <c r="AU29" s="152" t="str">
        <f t="shared" si="35"/>
        <v>No Quote</v>
      </c>
      <c r="AV29" s="153"/>
      <c r="AW29" s="44"/>
      <c r="AX29" s="45" t="str">
        <f t="shared" si="36"/>
        <v/>
      </c>
      <c r="AY29" s="92"/>
      <c r="AZ29" s="212" t="str">
        <f t="shared" si="37"/>
        <v>No Quote</v>
      </c>
      <c r="BA29" s="213"/>
      <c r="BB29" s="90"/>
      <c r="BC29" s="96"/>
      <c r="BD29" s="66" t="str">
        <f t="shared" si="38"/>
        <v/>
      </c>
      <c r="BE29" s="95"/>
      <c r="BF29" s="95"/>
      <c r="BG29" s="80" t="str">
        <f t="shared" si="10"/>
        <v>-</v>
      </c>
      <c r="BH29" s="80" t="str">
        <f t="shared" si="11"/>
        <v>-</v>
      </c>
      <c r="BI29" s="80" t="str">
        <f t="shared" si="12"/>
        <v>-</v>
      </c>
      <c r="BJ29" s="80" t="str">
        <f t="shared" si="13"/>
        <v>-</v>
      </c>
      <c r="BK29" s="80" t="str">
        <f t="shared" si="14"/>
        <v>-</v>
      </c>
      <c r="BL29" s="80" t="str">
        <f t="shared" si="15"/>
        <v>-</v>
      </c>
      <c r="BM29" s="80" t="str">
        <f t="shared" si="16"/>
        <v>-</v>
      </c>
      <c r="BN29" s="80" t="str">
        <f t="shared" si="17"/>
        <v>-</v>
      </c>
      <c r="BO29" s="80" t="str">
        <f t="shared" si="18"/>
        <v>-</v>
      </c>
      <c r="BP29" s="81" t="str">
        <f t="shared" si="39"/>
        <v/>
      </c>
      <c r="BQ29" s="77" t="str">
        <f t="shared" si="40"/>
        <v/>
      </c>
      <c r="BR29" s="75" t="str">
        <f t="shared" si="41"/>
        <v/>
      </c>
      <c r="BS29" s="74" t="str">
        <f t="shared" si="42"/>
        <v/>
      </c>
      <c r="BT29" s="77" t="str">
        <f t="shared" si="43"/>
        <v/>
      </c>
      <c r="BU29" s="75" t="str">
        <f t="shared" si="44"/>
        <v/>
      </c>
      <c r="BV29" s="74" t="str">
        <f t="shared" si="45"/>
        <v/>
      </c>
      <c r="BW29" s="77" t="str">
        <f t="shared" si="19"/>
        <v/>
      </c>
      <c r="BY29" s="104">
        <f t="shared" si="46"/>
        <v>0</v>
      </c>
      <c r="BZ29" s="106"/>
    </row>
    <row r="30" spans="2:78" s="1" customFormat="1" ht="61.5" customHeight="1" outlineLevel="1" x14ac:dyDescent="0.25">
      <c r="B30" s="41">
        <f t="shared" si="47"/>
        <v>8</v>
      </c>
      <c r="C30" s="218"/>
      <c r="D30" s="218"/>
      <c r="E30" s="218"/>
      <c r="F30" s="218"/>
      <c r="G30" s="42"/>
      <c r="H30" s="43"/>
      <c r="I30" s="44"/>
      <c r="J30" s="45" t="str">
        <f t="shared" si="20"/>
        <v/>
      </c>
      <c r="K30" s="93"/>
      <c r="L30" s="152" t="str">
        <f t="shared" si="21"/>
        <v>No Quote</v>
      </c>
      <c r="M30" s="153"/>
      <c r="N30" s="44"/>
      <c r="O30" s="45" t="str">
        <f t="shared" si="22"/>
        <v/>
      </c>
      <c r="P30" s="93"/>
      <c r="Q30" s="152" t="str">
        <f t="shared" si="23"/>
        <v>No Quote</v>
      </c>
      <c r="R30" s="153"/>
      <c r="S30" s="44"/>
      <c r="T30" s="45" t="str">
        <f t="shared" si="24"/>
        <v/>
      </c>
      <c r="U30" s="92"/>
      <c r="V30" s="152" t="str">
        <f t="shared" si="25"/>
        <v>No Quote</v>
      </c>
      <c r="W30" s="153"/>
      <c r="X30" s="44"/>
      <c r="Y30" s="45" t="str">
        <f t="shared" si="26"/>
        <v/>
      </c>
      <c r="Z30" s="93"/>
      <c r="AA30" s="152" t="str">
        <f t="shared" si="27"/>
        <v>No Quote</v>
      </c>
      <c r="AB30" s="153"/>
      <c r="AC30" s="44"/>
      <c r="AD30" s="45" t="str">
        <f t="shared" si="28"/>
        <v/>
      </c>
      <c r="AE30" s="92"/>
      <c r="AF30" s="152" t="str">
        <f t="shared" si="29"/>
        <v>No Quote</v>
      </c>
      <c r="AG30" s="153"/>
      <c r="AH30" s="44"/>
      <c r="AI30" s="45" t="str">
        <f t="shared" si="30"/>
        <v/>
      </c>
      <c r="AJ30" s="92"/>
      <c r="AK30" s="152" t="str">
        <f t="shared" si="31"/>
        <v>No Quote</v>
      </c>
      <c r="AL30" s="153"/>
      <c r="AM30" s="44"/>
      <c r="AN30" s="45" t="str">
        <f t="shared" si="32"/>
        <v/>
      </c>
      <c r="AO30" s="46"/>
      <c r="AP30" s="152" t="str">
        <f t="shared" si="33"/>
        <v>No Quote</v>
      </c>
      <c r="AQ30" s="153"/>
      <c r="AR30" s="44"/>
      <c r="AS30" s="45" t="str">
        <f t="shared" si="34"/>
        <v/>
      </c>
      <c r="AT30" s="92"/>
      <c r="AU30" s="152" t="str">
        <f t="shared" si="35"/>
        <v>No Quote</v>
      </c>
      <c r="AV30" s="153"/>
      <c r="AW30" s="44"/>
      <c r="AX30" s="45" t="str">
        <f t="shared" si="36"/>
        <v/>
      </c>
      <c r="AY30" s="92"/>
      <c r="AZ30" s="212" t="str">
        <f t="shared" si="37"/>
        <v>No Quote</v>
      </c>
      <c r="BA30" s="213"/>
      <c r="BB30" s="90"/>
      <c r="BC30" s="96"/>
      <c r="BD30" s="66" t="str">
        <f t="shared" si="38"/>
        <v/>
      </c>
      <c r="BE30" s="95"/>
      <c r="BF30" s="95"/>
      <c r="BG30" s="80" t="str">
        <f t="shared" si="10"/>
        <v>-</v>
      </c>
      <c r="BH30" s="80" t="str">
        <f t="shared" si="11"/>
        <v>-</v>
      </c>
      <c r="BI30" s="80" t="str">
        <f t="shared" si="12"/>
        <v>-</v>
      </c>
      <c r="BJ30" s="80" t="str">
        <f t="shared" si="13"/>
        <v>-</v>
      </c>
      <c r="BK30" s="80" t="str">
        <f t="shared" si="14"/>
        <v>-</v>
      </c>
      <c r="BL30" s="80" t="str">
        <f t="shared" si="15"/>
        <v>-</v>
      </c>
      <c r="BM30" s="80" t="str">
        <f t="shared" si="16"/>
        <v>-</v>
      </c>
      <c r="BN30" s="80" t="str">
        <f t="shared" si="17"/>
        <v>-</v>
      </c>
      <c r="BO30" s="80" t="str">
        <f t="shared" si="18"/>
        <v>-</v>
      </c>
      <c r="BP30" s="81" t="str">
        <f t="shared" si="39"/>
        <v/>
      </c>
      <c r="BQ30" s="77" t="str">
        <f t="shared" si="40"/>
        <v/>
      </c>
      <c r="BR30" s="75" t="str">
        <f t="shared" si="41"/>
        <v/>
      </c>
      <c r="BS30" s="74" t="str">
        <f t="shared" si="42"/>
        <v/>
      </c>
      <c r="BT30" s="77" t="str">
        <f t="shared" si="43"/>
        <v/>
      </c>
      <c r="BU30" s="75" t="str">
        <f t="shared" si="44"/>
        <v/>
      </c>
      <c r="BV30" s="74" t="str">
        <f t="shared" si="45"/>
        <v/>
      </c>
      <c r="BW30" s="77" t="str">
        <f t="shared" si="19"/>
        <v/>
      </c>
      <c r="BY30" s="104">
        <f t="shared" si="46"/>
        <v>0</v>
      </c>
      <c r="BZ30" s="106"/>
    </row>
    <row r="31" spans="2:78" s="1" customFormat="1" ht="61.5" customHeight="1" outlineLevel="1" x14ac:dyDescent="0.25">
      <c r="B31" s="41">
        <f t="shared" si="47"/>
        <v>9</v>
      </c>
      <c r="C31" s="218"/>
      <c r="D31" s="218"/>
      <c r="E31" s="218"/>
      <c r="F31" s="218"/>
      <c r="G31" s="42"/>
      <c r="H31" s="43"/>
      <c r="I31" s="44"/>
      <c r="J31" s="45" t="str">
        <f t="shared" si="20"/>
        <v/>
      </c>
      <c r="K31" s="93"/>
      <c r="L31" s="152" t="str">
        <f t="shared" si="21"/>
        <v>No Quote</v>
      </c>
      <c r="M31" s="153"/>
      <c r="N31" s="44"/>
      <c r="O31" s="45" t="str">
        <f t="shared" si="22"/>
        <v/>
      </c>
      <c r="P31" s="93"/>
      <c r="Q31" s="152" t="str">
        <f t="shared" si="23"/>
        <v>No Quote</v>
      </c>
      <c r="R31" s="153"/>
      <c r="S31" s="44"/>
      <c r="T31" s="45" t="str">
        <f t="shared" si="24"/>
        <v/>
      </c>
      <c r="U31" s="92"/>
      <c r="V31" s="152" t="str">
        <f t="shared" si="25"/>
        <v>No Quote</v>
      </c>
      <c r="W31" s="153"/>
      <c r="X31" s="44"/>
      <c r="Y31" s="45" t="str">
        <f t="shared" si="26"/>
        <v/>
      </c>
      <c r="Z31" s="93"/>
      <c r="AA31" s="152" t="str">
        <f t="shared" si="27"/>
        <v>No Quote</v>
      </c>
      <c r="AB31" s="153"/>
      <c r="AC31" s="44"/>
      <c r="AD31" s="45" t="str">
        <f t="shared" si="28"/>
        <v/>
      </c>
      <c r="AE31" s="92"/>
      <c r="AF31" s="152" t="str">
        <f t="shared" si="29"/>
        <v>No Quote</v>
      </c>
      <c r="AG31" s="153"/>
      <c r="AH31" s="44"/>
      <c r="AI31" s="45" t="str">
        <f t="shared" si="30"/>
        <v/>
      </c>
      <c r="AJ31" s="92"/>
      <c r="AK31" s="152" t="str">
        <f t="shared" si="31"/>
        <v>No Quote</v>
      </c>
      <c r="AL31" s="153"/>
      <c r="AM31" s="44"/>
      <c r="AN31" s="45" t="str">
        <f t="shared" si="32"/>
        <v/>
      </c>
      <c r="AO31" s="46"/>
      <c r="AP31" s="152" t="str">
        <f t="shared" si="33"/>
        <v>No Quote</v>
      </c>
      <c r="AQ31" s="153"/>
      <c r="AR31" s="44"/>
      <c r="AS31" s="45" t="str">
        <f t="shared" si="34"/>
        <v/>
      </c>
      <c r="AT31" s="92"/>
      <c r="AU31" s="152" t="str">
        <f t="shared" si="35"/>
        <v>No Quote</v>
      </c>
      <c r="AV31" s="153"/>
      <c r="AW31" s="44"/>
      <c r="AX31" s="45" t="str">
        <f t="shared" si="36"/>
        <v/>
      </c>
      <c r="AY31" s="92"/>
      <c r="AZ31" s="212" t="str">
        <f t="shared" si="37"/>
        <v>No Quote</v>
      </c>
      <c r="BA31" s="213"/>
      <c r="BB31" s="90"/>
      <c r="BC31" s="96"/>
      <c r="BD31" s="66" t="str">
        <f t="shared" si="38"/>
        <v/>
      </c>
      <c r="BE31" s="95"/>
      <c r="BF31" s="95"/>
      <c r="BG31" s="80" t="str">
        <f t="shared" si="10"/>
        <v>-</v>
      </c>
      <c r="BH31" s="80" t="str">
        <f t="shared" si="11"/>
        <v>-</v>
      </c>
      <c r="BI31" s="80" t="str">
        <f t="shared" si="12"/>
        <v>-</v>
      </c>
      <c r="BJ31" s="80" t="str">
        <f t="shared" si="13"/>
        <v>-</v>
      </c>
      <c r="BK31" s="80" t="str">
        <f t="shared" si="14"/>
        <v>-</v>
      </c>
      <c r="BL31" s="80" t="str">
        <f t="shared" si="15"/>
        <v>-</v>
      </c>
      <c r="BM31" s="80" t="str">
        <f t="shared" si="16"/>
        <v>-</v>
      </c>
      <c r="BN31" s="80" t="str">
        <f t="shared" si="17"/>
        <v>-</v>
      </c>
      <c r="BO31" s="80" t="str">
        <f t="shared" si="18"/>
        <v>-</v>
      </c>
      <c r="BP31" s="81" t="str">
        <f t="shared" si="39"/>
        <v/>
      </c>
      <c r="BQ31" s="77" t="str">
        <f t="shared" si="40"/>
        <v/>
      </c>
      <c r="BR31" s="75" t="str">
        <f t="shared" si="41"/>
        <v/>
      </c>
      <c r="BS31" s="74" t="str">
        <f t="shared" si="42"/>
        <v/>
      </c>
      <c r="BT31" s="77" t="str">
        <f t="shared" si="43"/>
        <v/>
      </c>
      <c r="BU31" s="75" t="str">
        <f t="shared" si="44"/>
        <v/>
      </c>
      <c r="BV31" s="74" t="str">
        <f t="shared" si="45"/>
        <v/>
      </c>
      <c r="BW31" s="77" t="str">
        <f t="shared" si="19"/>
        <v/>
      </c>
      <c r="BY31" s="104">
        <f t="shared" si="46"/>
        <v>0</v>
      </c>
      <c r="BZ31" s="106"/>
    </row>
    <row r="32" spans="2:78" s="1" customFormat="1" ht="61.5" customHeight="1" outlineLevel="1" x14ac:dyDescent="0.25">
      <c r="B32" s="41">
        <f t="shared" si="47"/>
        <v>10</v>
      </c>
      <c r="C32" s="218"/>
      <c r="D32" s="218"/>
      <c r="E32" s="218"/>
      <c r="F32" s="218"/>
      <c r="G32" s="42"/>
      <c r="H32" s="43"/>
      <c r="I32" s="44"/>
      <c r="J32" s="45" t="str">
        <f t="shared" si="20"/>
        <v/>
      </c>
      <c r="K32" s="93"/>
      <c r="L32" s="152" t="str">
        <f t="shared" si="21"/>
        <v>No Quote</v>
      </c>
      <c r="M32" s="153"/>
      <c r="N32" s="44"/>
      <c r="O32" s="45" t="str">
        <f t="shared" si="22"/>
        <v/>
      </c>
      <c r="P32" s="93"/>
      <c r="Q32" s="152" t="str">
        <f t="shared" si="23"/>
        <v>No Quote</v>
      </c>
      <c r="R32" s="153"/>
      <c r="S32" s="44"/>
      <c r="T32" s="45" t="str">
        <f t="shared" si="24"/>
        <v/>
      </c>
      <c r="U32" s="92"/>
      <c r="V32" s="152" t="str">
        <f t="shared" si="25"/>
        <v>No Quote</v>
      </c>
      <c r="W32" s="153"/>
      <c r="X32" s="44"/>
      <c r="Y32" s="45" t="str">
        <f t="shared" si="26"/>
        <v/>
      </c>
      <c r="Z32" s="93"/>
      <c r="AA32" s="152" t="str">
        <f t="shared" si="27"/>
        <v>No Quote</v>
      </c>
      <c r="AB32" s="153"/>
      <c r="AC32" s="44"/>
      <c r="AD32" s="45" t="str">
        <f t="shared" si="28"/>
        <v/>
      </c>
      <c r="AE32" s="92"/>
      <c r="AF32" s="152" t="str">
        <f t="shared" si="29"/>
        <v>No Quote</v>
      </c>
      <c r="AG32" s="153"/>
      <c r="AH32" s="44"/>
      <c r="AI32" s="45" t="str">
        <f t="shared" si="30"/>
        <v/>
      </c>
      <c r="AJ32" s="92"/>
      <c r="AK32" s="152" t="str">
        <f t="shared" si="31"/>
        <v>No Quote</v>
      </c>
      <c r="AL32" s="153"/>
      <c r="AM32" s="44"/>
      <c r="AN32" s="45" t="str">
        <f t="shared" si="32"/>
        <v/>
      </c>
      <c r="AO32" s="46"/>
      <c r="AP32" s="152" t="str">
        <f t="shared" si="33"/>
        <v>No Quote</v>
      </c>
      <c r="AQ32" s="153"/>
      <c r="AR32" s="44"/>
      <c r="AS32" s="45" t="str">
        <f t="shared" si="34"/>
        <v/>
      </c>
      <c r="AT32" s="92"/>
      <c r="AU32" s="152" t="str">
        <f t="shared" si="35"/>
        <v>No Quote</v>
      </c>
      <c r="AV32" s="153"/>
      <c r="AW32" s="44"/>
      <c r="AX32" s="45" t="str">
        <f t="shared" si="36"/>
        <v/>
      </c>
      <c r="AY32" s="92"/>
      <c r="AZ32" s="212" t="str">
        <f t="shared" si="37"/>
        <v>No Quote</v>
      </c>
      <c r="BA32" s="213"/>
      <c r="BB32" s="90"/>
      <c r="BC32" s="96"/>
      <c r="BD32" s="66" t="str">
        <f t="shared" si="38"/>
        <v/>
      </c>
      <c r="BE32" s="95"/>
      <c r="BF32" s="95"/>
      <c r="BG32" s="80" t="str">
        <f t="shared" si="10"/>
        <v>-</v>
      </c>
      <c r="BH32" s="80" t="str">
        <f t="shared" si="11"/>
        <v>-</v>
      </c>
      <c r="BI32" s="80" t="str">
        <f t="shared" si="12"/>
        <v>-</v>
      </c>
      <c r="BJ32" s="80" t="str">
        <f t="shared" si="13"/>
        <v>-</v>
      </c>
      <c r="BK32" s="80" t="str">
        <f t="shared" si="14"/>
        <v>-</v>
      </c>
      <c r="BL32" s="80" t="str">
        <f t="shared" si="15"/>
        <v>-</v>
      </c>
      <c r="BM32" s="80" t="str">
        <f t="shared" si="16"/>
        <v>-</v>
      </c>
      <c r="BN32" s="80" t="str">
        <f t="shared" si="17"/>
        <v>-</v>
      </c>
      <c r="BO32" s="80" t="str">
        <f t="shared" si="18"/>
        <v>-</v>
      </c>
      <c r="BP32" s="81" t="str">
        <f t="shared" si="39"/>
        <v/>
      </c>
      <c r="BQ32" s="77" t="str">
        <f t="shared" si="40"/>
        <v/>
      </c>
      <c r="BR32" s="75" t="str">
        <f t="shared" si="41"/>
        <v/>
      </c>
      <c r="BS32" s="74" t="str">
        <f t="shared" si="42"/>
        <v/>
      </c>
      <c r="BT32" s="77" t="str">
        <f t="shared" si="43"/>
        <v/>
      </c>
      <c r="BU32" s="75" t="str">
        <f t="shared" si="44"/>
        <v/>
      </c>
      <c r="BV32" s="74" t="str">
        <f t="shared" si="45"/>
        <v/>
      </c>
      <c r="BW32" s="77" t="str">
        <f t="shared" si="19"/>
        <v/>
      </c>
      <c r="BY32" s="104">
        <f t="shared" si="46"/>
        <v>0</v>
      </c>
      <c r="BZ32" s="106"/>
    </row>
    <row r="33" spans="2:78" s="1" customFormat="1" ht="61.5" customHeight="1" outlineLevel="1" x14ac:dyDescent="0.25">
      <c r="B33" s="41">
        <f t="shared" si="47"/>
        <v>11</v>
      </c>
      <c r="C33" s="218"/>
      <c r="D33" s="218"/>
      <c r="E33" s="218"/>
      <c r="F33" s="218"/>
      <c r="G33" s="42"/>
      <c r="H33" s="43"/>
      <c r="I33" s="44"/>
      <c r="J33" s="45" t="str">
        <f t="shared" si="20"/>
        <v/>
      </c>
      <c r="K33" s="93"/>
      <c r="L33" s="152" t="str">
        <f t="shared" si="21"/>
        <v>No Quote</v>
      </c>
      <c r="M33" s="153"/>
      <c r="N33" s="44"/>
      <c r="O33" s="45" t="str">
        <f t="shared" si="22"/>
        <v/>
      </c>
      <c r="P33" s="93"/>
      <c r="Q33" s="152" t="str">
        <f t="shared" si="23"/>
        <v>No Quote</v>
      </c>
      <c r="R33" s="153"/>
      <c r="S33" s="44"/>
      <c r="T33" s="45" t="str">
        <f t="shared" si="24"/>
        <v/>
      </c>
      <c r="U33" s="92"/>
      <c r="V33" s="152" t="str">
        <f t="shared" si="25"/>
        <v>No Quote</v>
      </c>
      <c r="W33" s="153"/>
      <c r="X33" s="44"/>
      <c r="Y33" s="45" t="str">
        <f t="shared" si="26"/>
        <v/>
      </c>
      <c r="Z33" s="93"/>
      <c r="AA33" s="152" t="str">
        <f t="shared" si="27"/>
        <v>No Quote</v>
      </c>
      <c r="AB33" s="153"/>
      <c r="AC33" s="44"/>
      <c r="AD33" s="45" t="str">
        <f t="shared" si="28"/>
        <v/>
      </c>
      <c r="AE33" s="92"/>
      <c r="AF33" s="152" t="str">
        <f t="shared" si="29"/>
        <v>No Quote</v>
      </c>
      <c r="AG33" s="153"/>
      <c r="AH33" s="44"/>
      <c r="AI33" s="45" t="str">
        <f t="shared" si="30"/>
        <v/>
      </c>
      <c r="AJ33" s="92"/>
      <c r="AK33" s="152" t="str">
        <f t="shared" si="31"/>
        <v>No Quote</v>
      </c>
      <c r="AL33" s="153"/>
      <c r="AM33" s="44"/>
      <c r="AN33" s="45" t="str">
        <f t="shared" si="32"/>
        <v/>
      </c>
      <c r="AO33" s="46"/>
      <c r="AP33" s="152" t="str">
        <f t="shared" si="33"/>
        <v>No Quote</v>
      </c>
      <c r="AQ33" s="153"/>
      <c r="AR33" s="44"/>
      <c r="AS33" s="45" t="str">
        <f t="shared" si="34"/>
        <v/>
      </c>
      <c r="AT33" s="92"/>
      <c r="AU33" s="152" t="str">
        <f t="shared" si="35"/>
        <v>No Quote</v>
      </c>
      <c r="AV33" s="153"/>
      <c r="AW33" s="44"/>
      <c r="AX33" s="45" t="str">
        <f t="shared" si="36"/>
        <v/>
      </c>
      <c r="AY33" s="92"/>
      <c r="AZ33" s="212" t="str">
        <f t="shared" si="37"/>
        <v>No Quote</v>
      </c>
      <c r="BA33" s="213"/>
      <c r="BB33" s="90"/>
      <c r="BC33" s="96"/>
      <c r="BD33" s="66" t="str">
        <f t="shared" si="38"/>
        <v/>
      </c>
      <c r="BE33" s="95"/>
      <c r="BF33" s="95"/>
      <c r="BG33" s="80" t="str">
        <f t="shared" si="10"/>
        <v>-</v>
      </c>
      <c r="BH33" s="80" t="str">
        <f t="shared" si="11"/>
        <v>-</v>
      </c>
      <c r="BI33" s="80" t="str">
        <f t="shared" si="12"/>
        <v>-</v>
      </c>
      <c r="BJ33" s="80" t="str">
        <f t="shared" si="13"/>
        <v>-</v>
      </c>
      <c r="BK33" s="80" t="str">
        <f t="shared" si="14"/>
        <v>-</v>
      </c>
      <c r="BL33" s="80" t="str">
        <f t="shared" si="15"/>
        <v>-</v>
      </c>
      <c r="BM33" s="80" t="str">
        <f t="shared" si="16"/>
        <v>-</v>
      </c>
      <c r="BN33" s="80" t="str">
        <f t="shared" si="17"/>
        <v>-</v>
      </c>
      <c r="BO33" s="80" t="str">
        <f t="shared" si="18"/>
        <v>-</v>
      </c>
      <c r="BP33" s="81" t="str">
        <f t="shared" si="39"/>
        <v/>
      </c>
      <c r="BQ33" s="77" t="str">
        <f t="shared" si="40"/>
        <v/>
      </c>
      <c r="BR33" s="75" t="str">
        <f t="shared" si="41"/>
        <v/>
      </c>
      <c r="BS33" s="74" t="str">
        <f t="shared" si="42"/>
        <v/>
      </c>
      <c r="BT33" s="77" t="str">
        <f t="shared" si="43"/>
        <v/>
      </c>
      <c r="BU33" s="75" t="str">
        <f t="shared" si="44"/>
        <v/>
      </c>
      <c r="BV33" s="74" t="str">
        <f t="shared" si="45"/>
        <v/>
      </c>
      <c r="BW33" s="77" t="str">
        <f t="shared" si="19"/>
        <v/>
      </c>
      <c r="BY33" s="104">
        <f t="shared" si="46"/>
        <v>0</v>
      </c>
      <c r="BZ33" s="106"/>
    </row>
    <row r="34" spans="2:78" s="1" customFormat="1" ht="61.5" customHeight="1" outlineLevel="1" x14ac:dyDescent="0.25">
      <c r="B34" s="41">
        <f t="shared" si="47"/>
        <v>12</v>
      </c>
      <c r="C34" s="218"/>
      <c r="D34" s="218"/>
      <c r="E34" s="218"/>
      <c r="F34" s="218"/>
      <c r="G34" s="42"/>
      <c r="H34" s="43"/>
      <c r="I34" s="44"/>
      <c r="J34" s="45" t="str">
        <f t="shared" si="20"/>
        <v/>
      </c>
      <c r="K34" s="93"/>
      <c r="L34" s="152" t="str">
        <f t="shared" si="21"/>
        <v>No Quote</v>
      </c>
      <c r="M34" s="153"/>
      <c r="N34" s="44"/>
      <c r="O34" s="45" t="str">
        <f t="shared" si="22"/>
        <v/>
      </c>
      <c r="P34" s="93"/>
      <c r="Q34" s="152" t="str">
        <f t="shared" si="23"/>
        <v>No Quote</v>
      </c>
      <c r="R34" s="153"/>
      <c r="S34" s="44"/>
      <c r="T34" s="45" t="str">
        <f t="shared" si="24"/>
        <v/>
      </c>
      <c r="U34" s="92"/>
      <c r="V34" s="152" t="str">
        <f t="shared" si="25"/>
        <v>No Quote</v>
      </c>
      <c r="W34" s="153"/>
      <c r="X34" s="44"/>
      <c r="Y34" s="45" t="str">
        <f t="shared" si="26"/>
        <v/>
      </c>
      <c r="Z34" s="93"/>
      <c r="AA34" s="152" t="str">
        <f t="shared" si="27"/>
        <v>No Quote</v>
      </c>
      <c r="AB34" s="153"/>
      <c r="AC34" s="44"/>
      <c r="AD34" s="45" t="str">
        <f t="shared" si="28"/>
        <v/>
      </c>
      <c r="AE34" s="92"/>
      <c r="AF34" s="152" t="str">
        <f t="shared" si="29"/>
        <v>No Quote</v>
      </c>
      <c r="AG34" s="153"/>
      <c r="AH34" s="44"/>
      <c r="AI34" s="45" t="str">
        <f t="shared" si="30"/>
        <v/>
      </c>
      <c r="AJ34" s="92"/>
      <c r="AK34" s="152" t="str">
        <f t="shared" si="31"/>
        <v>No Quote</v>
      </c>
      <c r="AL34" s="153"/>
      <c r="AM34" s="44"/>
      <c r="AN34" s="45" t="str">
        <f t="shared" si="32"/>
        <v/>
      </c>
      <c r="AO34" s="46"/>
      <c r="AP34" s="152" t="str">
        <f t="shared" si="33"/>
        <v>No Quote</v>
      </c>
      <c r="AQ34" s="153"/>
      <c r="AR34" s="44"/>
      <c r="AS34" s="45" t="str">
        <f t="shared" si="34"/>
        <v/>
      </c>
      <c r="AT34" s="92"/>
      <c r="AU34" s="152" t="str">
        <f t="shared" si="35"/>
        <v>No Quote</v>
      </c>
      <c r="AV34" s="153"/>
      <c r="AW34" s="44"/>
      <c r="AX34" s="45" t="str">
        <f t="shared" si="36"/>
        <v/>
      </c>
      <c r="AY34" s="92"/>
      <c r="AZ34" s="212" t="str">
        <f t="shared" si="37"/>
        <v>No Quote</v>
      </c>
      <c r="BA34" s="213"/>
      <c r="BB34" s="90"/>
      <c r="BC34" s="96"/>
      <c r="BD34" s="66" t="str">
        <f t="shared" si="38"/>
        <v/>
      </c>
      <c r="BE34" s="95"/>
      <c r="BF34" s="95"/>
      <c r="BG34" s="80" t="str">
        <f t="shared" si="10"/>
        <v>-</v>
      </c>
      <c r="BH34" s="80" t="str">
        <f t="shared" si="11"/>
        <v>-</v>
      </c>
      <c r="BI34" s="80" t="str">
        <f t="shared" si="12"/>
        <v>-</v>
      </c>
      <c r="BJ34" s="80" t="str">
        <f t="shared" si="13"/>
        <v>-</v>
      </c>
      <c r="BK34" s="80" t="str">
        <f t="shared" si="14"/>
        <v>-</v>
      </c>
      <c r="BL34" s="80" t="str">
        <f t="shared" si="15"/>
        <v>-</v>
      </c>
      <c r="BM34" s="80" t="str">
        <f t="shared" si="16"/>
        <v>-</v>
      </c>
      <c r="BN34" s="80" t="str">
        <f t="shared" si="17"/>
        <v>-</v>
      </c>
      <c r="BO34" s="80" t="str">
        <f t="shared" si="18"/>
        <v>-</v>
      </c>
      <c r="BP34" s="81" t="str">
        <f t="shared" si="39"/>
        <v/>
      </c>
      <c r="BQ34" s="77" t="str">
        <f t="shared" si="40"/>
        <v/>
      </c>
      <c r="BR34" s="75" t="str">
        <f t="shared" si="41"/>
        <v/>
      </c>
      <c r="BS34" s="74" t="str">
        <f t="shared" si="42"/>
        <v/>
      </c>
      <c r="BT34" s="77" t="str">
        <f t="shared" si="43"/>
        <v/>
      </c>
      <c r="BU34" s="75" t="str">
        <f t="shared" si="44"/>
        <v/>
      </c>
      <c r="BV34" s="74" t="str">
        <f t="shared" si="45"/>
        <v/>
      </c>
      <c r="BW34" s="77" t="str">
        <f t="shared" si="19"/>
        <v/>
      </c>
      <c r="BY34" s="104">
        <f t="shared" si="46"/>
        <v>0</v>
      </c>
      <c r="BZ34" s="106"/>
    </row>
    <row r="35" spans="2:78" s="1" customFormat="1" ht="61.5" customHeight="1" outlineLevel="1" x14ac:dyDescent="0.25">
      <c r="B35" s="41">
        <f t="shared" si="47"/>
        <v>13</v>
      </c>
      <c r="C35" s="218"/>
      <c r="D35" s="218"/>
      <c r="E35" s="218"/>
      <c r="F35" s="218"/>
      <c r="G35" s="42"/>
      <c r="H35" s="43"/>
      <c r="I35" s="44"/>
      <c r="J35" s="45" t="str">
        <f t="shared" si="20"/>
        <v/>
      </c>
      <c r="K35" s="93"/>
      <c r="L35" s="152" t="str">
        <f t="shared" si="21"/>
        <v>No Quote</v>
      </c>
      <c r="M35" s="153"/>
      <c r="N35" s="44"/>
      <c r="O35" s="45" t="str">
        <f t="shared" si="22"/>
        <v/>
      </c>
      <c r="P35" s="93"/>
      <c r="Q35" s="152" t="str">
        <f t="shared" si="23"/>
        <v>No Quote</v>
      </c>
      <c r="R35" s="153"/>
      <c r="S35" s="44"/>
      <c r="T35" s="45" t="str">
        <f t="shared" si="24"/>
        <v/>
      </c>
      <c r="U35" s="92"/>
      <c r="V35" s="152" t="str">
        <f t="shared" si="25"/>
        <v>No Quote</v>
      </c>
      <c r="W35" s="153"/>
      <c r="X35" s="44"/>
      <c r="Y35" s="45" t="str">
        <f t="shared" si="26"/>
        <v/>
      </c>
      <c r="Z35" s="93"/>
      <c r="AA35" s="152" t="str">
        <f t="shared" si="27"/>
        <v>No Quote</v>
      </c>
      <c r="AB35" s="153"/>
      <c r="AC35" s="44"/>
      <c r="AD35" s="45" t="str">
        <f t="shared" si="28"/>
        <v/>
      </c>
      <c r="AE35" s="92"/>
      <c r="AF35" s="152" t="str">
        <f t="shared" si="29"/>
        <v>No Quote</v>
      </c>
      <c r="AG35" s="153"/>
      <c r="AH35" s="44"/>
      <c r="AI35" s="45" t="str">
        <f t="shared" si="30"/>
        <v/>
      </c>
      <c r="AJ35" s="92"/>
      <c r="AK35" s="152" t="str">
        <f t="shared" si="31"/>
        <v>No Quote</v>
      </c>
      <c r="AL35" s="153"/>
      <c r="AM35" s="44"/>
      <c r="AN35" s="45" t="str">
        <f t="shared" si="32"/>
        <v/>
      </c>
      <c r="AO35" s="46"/>
      <c r="AP35" s="152" t="str">
        <f t="shared" si="33"/>
        <v>No Quote</v>
      </c>
      <c r="AQ35" s="153"/>
      <c r="AR35" s="44"/>
      <c r="AS35" s="45" t="str">
        <f t="shared" si="34"/>
        <v/>
      </c>
      <c r="AT35" s="92"/>
      <c r="AU35" s="152" t="str">
        <f t="shared" si="35"/>
        <v>No Quote</v>
      </c>
      <c r="AV35" s="153"/>
      <c r="AW35" s="44"/>
      <c r="AX35" s="45" t="str">
        <f t="shared" si="36"/>
        <v/>
      </c>
      <c r="AY35" s="92"/>
      <c r="AZ35" s="212" t="str">
        <f t="shared" si="37"/>
        <v>No Quote</v>
      </c>
      <c r="BA35" s="213"/>
      <c r="BB35" s="90"/>
      <c r="BC35" s="96"/>
      <c r="BD35" s="66" t="str">
        <f t="shared" si="38"/>
        <v/>
      </c>
      <c r="BE35" s="95"/>
      <c r="BF35" s="95"/>
      <c r="BG35" s="80" t="str">
        <f t="shared" si="10"/>
        <v>-</v>
      </c>
      <c r="BH35" s="80" t="str">
        <f t="shared" si="11"/>
        <v>-</v>
      </c>
      <c r="BI35" s="80" t="str">
        <f t="shared" si="12"/>
        <v>-</v>
      </c>
      <c r="BJ35" s="80" t="str">
        <f t="shared" si="13"/>
        <v>-</v>
      </c>
      <c r="BK35" s="80" t="str">
        <f t="shared" si="14"/>
        <v>-</v>
      </c>
      <c r="BL35" s="80" t="str">
        <f t="shared" si="15"/>
        <v>-</v>
      </c>
      <c r="BM35" s="80" t="str">
        <f t="shared" si="16"/>
        <v>-</v>
      </c>
      <c r="BN35" s="80" t="str">
        <f t="shared" si="17"/>
        <v>-</v>
      </c>
      <c r="BO35" s="80" t="str">
        <f t="shared" si="18"/>
        <v>-</v>
      </c>
      <c r="BP35" s="81" t="str">
        <f t="shared" si="39"/>
        <v/>
      </c>
      <c r="BQ35" s="77" t="str">
        <f t="shared" si="40"/>
        <v/>
      </c>
      <c r="BR35" s="75" t="str">
        <f t="shared" si="41"/>
        <v/>
      </c>
      <c r="BS35" s="74" t="str">
        <f t="shared" si="42"/>
        <v/>
      </c>
      <c r="BT35" s="77" t="str">
        <f t="shared" si="43"/>
        <v/>
      </c>
      <c r="BU35" s="75" t="str">
        <f t="shared" si="44"/>
        <v/>
      </c>
      <c r="BV35" s="74" t="str">
        <f t="shared" si="45"/>
        <v/>
      </c>
      <c r="BW35" s="77" t="str">
        <f t="shared" si="19"/>
        <v/>
      </c>
      <c r="BY35" s="104">
        <f t="shared" si="46"/>
        <v>0</v>
      </c>
      <c r="BZ35" s="106"/>
    </row>
    <row r="36" spans="2:78" s="1" customFormat="1" ht="61.5" customHeight="1" outlineLevel="1" x14ac:dyDescent="0.25">
      <c r="B36" s="41">
        <f t="shared" si="47"/>
        <v>14</v>
      </c>
      <c r="C36" s="218"/>
      <c r="D36" s="218"/>
      <c r="E36" s="218"/>
      <c r="F36" s="218"/>
      <c r="G36" s="42"/>
      <c r="H36" s="43"/>
      <c r="I36" s="44"/>
      <c r="J36" s="45" t="str">
        <f t="shared" si="20"/>
        <v/>
      </c>
      <c r="K36" s="93"/>
      <c r="L36" s="152" t="str">
        <f t="shared" si="21"/>
        <v>No Quote</v>
      </c>
      <c r="M36" s="153"/>
      <c r="N36" s="44"/>
      <c r="O36" s="45" t="str">
        <f t="shared" si="22"/>
        <v/>
      </c>
      <c r="P36" s="93"/>
      <c r="Q36" s="152" t="str">
        <f t="shared" si="23"/>
        <v>No Quote</v>
      </c>
      <c r="R36" s="153"/>
      <c r="S36" s="44"/>
      <c r="T36" s="45" t="str">
        <f t="shared" si="24"/>
        <v/>
      </c>
      <c r="U36" s="92"/>
      <c r="V36" s="152" t="str">
        <f t="shared" si="25"/>
        <v>No Quote</v>
      </c>
      <c r="W36" s="153"/>
      <c r="X36" s="44"/>
      <c r="Y36" s="45" t="str">
        <f t="shared" si="26"/>
        <v/>
      </c>
      <c r="Z36" s="93"/>
      <c r="AA36" s="152" t="str">
        <f t="shared" si="27"/>
        <v>No Quote</v>
      </c>
      <c r="AB36" s="153"/>
      <c r="AC36" s="44"/>
      <c r="AD36" s="45" t="str">
        <f t="shared" si="28"/>
        <v/>
      </c>
      <c r="AE36" s="92"/>
      <c r="AF36" s="152" t="str">
        <f t="shared" si="29"/>
        <v>No Quote</v>
      </c>
      <c r="AG36" s="153"/>
      <c r="AH36" s="44"/>
      <c r="AI36" s="45" t="str">
        <f t="shared" si="30"/>
        <v/>
      </c>
      <c r="AJ36" s="92"/>
      <c r="AK36" s="152" t="str">
        <f t="shared" si="31"/>
        <v>No Quote</v>
      </c>
      <c r="AL36" s="153"/>
      <c r="AM36" s="44"/>
      <c r="AN36" s="45" t="str">
        <f t="shared" si="32"/>
        <v/>
      </c>
      <c r="AO36" s="46"/>
      <c r="AP36" s="152" t="str">
        <f t="shared" si="33"/>
        <v>No Quote</v>
      </c>
      <c r="AQ36" s="153"/>
      <c r="AR36" s="44"/>
      <c r="AS36" s="45" t="str">
        <f t="shared" si="34"/>
        <v/>
      </c>
      <c r="AT36" s="92"/>
      <c r="AU36" s="152" t="str">
        <f t="shared" si="35"/>
        <v>No Quote</v>
      </c>
      <c r="AV36" s="153"/>
      <c r="AW36" s="44"/>
      <c r="AX36" s="45" t="str">
        <f t="shared" si="36"/>
        <v/>
      </c>
      <c r="AY36" s="92"/>
      <c r="AZ36" s="212" t="str">
        <f t="shared" si="37"/>
        <v>No Quote</v>
      </c>
      <c r="BA36" s="213"/>
      <c r="BB36" s="90"/>
      <c r="BC36" s="96"/>
      <c r="BD36" s="66" t="str">
        <f t="shared" si="38"/>
        <v/>
      </c>
      <c r="BE36" s="95"/>
      <c r="BF36" s="95"/>
      <c r="BG36" s="80" t="str">
        <f t="shared" si="10"/>
        <v>-</v>
      </c>
      <c r="BH36" s="80" t="str">
        <f t="shared" si="11"/>
        <v>-</v>
      </c>
      <c r="BI36" s="80" t="str">
        <f t="shared" si="12"/>
        <v>-</v>
      </c>
      <c r="BJ36" s="80" t="str">
        <f t="shared" si="13"/>
        <v>-</v>
      </c>
      <c r="BK36" s="80" t="str">
        <f t="shared" si="14"/>
        <v>-</v>
      </c>
      <c r="BL36" s="80" t="str">
        <f t="shared" si="15"/>
        <v>-</v>
      </c>
      <c r="BM36" s="80" t="str">
        <f t="shared" si="16"/>
        <v>-</v>
      </c>
      <c r="BN36" s="80" t="str">
        <f t="shared" si="17"/>
        <v>-</v>
      </c>
      <c r="BO36" s="80" t="str">
        <f t="shared" si="18"/>
        <v>-</v>
      </c>
      <c r="BP36" s="81" t="str">
        <f t="shared" si="39"/>
        <v/>
      </c>
      <c r="BQ36" s="77" t="str">
        <f t="shared" si="40"/>
        <v/>
      </c>
      <c r="BR36" s="75" t="str">
        <f t="shared" si="41"/>
        <v/>
      </c>
      <c r="BS36" s="74" t="str">
        <f t="shared" si="42"/>
        <v/>
      </c>
      <c r="BT36" s="77" t="str">
        <f t="shared" si="43"/>
        <v/>
      </c>
      <c r="BU36" s="75" t="str">
        <f t="shared" si="44"/>
        <v/>
      </c>
      <c r="BV36" s="74" t="str">
        <f t="shared" si="45"/>
        <v/>
      </c>
      <c r="BW36" s="77" t="str">
        <f t="shared" si="19"/>
        <v/>
      </c>
      <c r="BY36" s="104">
        <f t="shared" si="46"/>
        <v>0</v>
      </c>
      <c r="BZ36" s="106"/>
    </row>
    <row r="37" spans="2:78" s="1" customFormat="1" ht="61.5" customHeight="1" outlineLevel="1" x14ac:dyDescent="0.25">
      <c r="B37" s="41">
        <f t="shared" si="47"/>
        <v>15</v>
      </c>
      <c r="C37" s="218"/>
      <c r="D37" s="218"/>
      <c r="E37" s="218"/>
      <c r="F37" s="218"/>
      <c r="G37" s="42"/>
      <c r="H37" s="43"/>
      <c r="I37" s="44"/>
      <c r="J37" s="45" t="str">
        <f t="shared" si="20"/>
        <v/>
      </c>
      <c r="K37" s="93"/>
      <c r="L37" s="152" t="str">
        <f t="shared" si="21"/>
        <v>No Quote</v>
      </c>
      <c r="M37" s="153"/>
      <c r="N37" s="44"/>
      <c r="O37" s="45" t="str">
        <f t="shared" si="22"/>
        <v/>
      </c>
      <c r="P37" s="93"/>
      <c r="Q37" s="152" t="str">
        <f t="shared" si="23"/>
        <v>No Quote</v>
      </c>
      <c r="R37" s="153"/>
      <c r="S37" s="44"/>
      <c r="T37" s="45" t="str">
        <f t="shared" si="24"/>
        <v/>
      </c>
      <c r="U37" s="92"/>
      <c r="V37" s="152" t="str">
        <f t="shared" si="25"/>
        <v>No Quote</v>
      </c>
      <c r="W37" s="153"/>
      <c r="X37" s="44"/>
      <c r="Y37" s="45" t="str">
        <f t="shared" si="26"/>
        <v/>
      </c>
      <c r="Z37" s="93"/>
      <c r="AA37" s="152" t="str">
        <f t="shared" si="27"/>
        <v>No Quote</v>
      </c>
      <c r="AB37" s="153"/>
      <c r="AC37" s="44"/>
      <c r="AD37" s="45" t="str">
        <f t="shared" si="28"/>
        <v/>
      </c>
      <c r="AE37" s="92"/>
      <c r="AF37" s="152" t="str">
        <f t="shared" si="29"/>
        <v>No Quote</v>
      </c>
      <c r="AG37" s="153"/>
      <c r="AH37" s="44"/>
      <c r="AI37" s="45" t="str">
        <f t="shared" si="30"/>
        <v/>
      </c>
      <c r="AJ37" s="92"/>
      <c r="AK37" s="152" t="str">
        <f t="shared" si="31"/>
        <v>No Quote</v>
      </c>
      <c r="AL37" s="153"/>
      <c r="AM37" s="44"/>
      <c r="AN37" s="45" t="str">
        <f t="shared" si="32"/>
        <v/>
      </c>
      <c r="AO37" s="46"/>
      <c r="AP37" s="152" t="str">
        <f t="shared" si="33"/>
        <v>No Quote</v>
      </c>
      <c r="AQ37" s="153"/>
      <c r="AR37" s="44"/>
      <c r="AS37" s="45" t="str">
        <f t="shared" si="34"/>
        <v/>
      </c>
      <c r="AT37" s="92"/>
      <c r="AU37" s="152" t="str">
        <f t="shared" si="35"/>
        <v>No Quote</v>
      </c>
      <c r="AV37" s="153"/>
      <c r="AW37" s="44"/>
      <c r="AX37" s="45" t="str">
        <f t="shared" si="36"/>
        <v/>
      </c>
      <c r="AY37" s="92"/>
      <c r="AZ37" s="212" t="str">
        <f t="shared" si="37"/>
        <v>No Quote</v>
      </c>
      <c r="BA37" s="213"/>
      <c r="BB37" s="90"/>
      <c r="BC37" s="96"/>
      <c r="BD37" s="66" t="str">
        <f t="shared" si="38"/>
        <v/>
      </c>
      <c r="BE37" s="95"/>
      <c r="BF37" s="95"/>
      <c r="BG37" s="80" t="str">
        <f t="shared" si="10"/>
        <v>-</v>
      </c>
      <c r="BH37" s="80" t="str">
        <f t="shared" si="11"/>
        <v>-</v>
      </c>
      <c r="BI37" s="80" t="str">
        <f t="shared" si="12"/>
        <v>-</v>
      </c>
      <c r="BJ37" s="80" t="str">
        <f t="shared" si="13"/>
        <v>-</v>
      </c>
      <c r="BK37" s="80" t="str">
        <f t="shared" si="14"/>
        <v>-</v>
      </c>
      <c r="BL37" s="80" t="str">
        <f t="shared" si="15"/>
        <v>-</v>
      </c>
      <c r="BM37" s="80" t="str">
        <f t="shared" si="16"/>
        <v>-</v>
      </c>
      <c r="BN37" s="80" t="str">
        <f t="shared" si="17"/>
        <v>-</v>
      </c>
      <c r="BO37" s="80" t="str">
        <f t="shared" si="18"/>
        <v>-</v>
      </c>
      <c r="BP37" s="81" t="str">
        <f t="shared" si="39"/>
        <v/>
      </c>
      <c r="BQ37" s="77" t="str">
        <f t="shared" si="40"/>
        <v/>
      </c>
      <c r="BR37" s="75" t="str">
        <f t="shared" si="41"/>
        <v/>
      </c>
      <c r="BS37" s="74" t="str">
        <f t="shared" si="42"/>
        <v/>
      </c>
      <c r="BT37" s="77" t="str">
        <f t="shared" si="43"/>
        <v/>
      </c>
      <c r="BU37" s="75" t="str">
        <f t="shared" si="44"/>
        <v/>
      </c>
      <c r="BV37" s="74" t="str">
        <f t="shared" si="45"/>
        <v/>
      </c>
      <c r="BW37" s="77" t="str">
        <f t="shared" si="19"/>
        <v/>
      </c>
      <c r="BY37" s="104">
        <f t="shared" si="46"/>
        <v>0</v>
      </c>
      <c r="BZ37" s="106"/>
    </row>
    <row r="38" spans="2:78" s="1" customFormat="1" ht="61.5" customHeight="1" outlineLevel="1" x14ac:dyDescent="0.25">
      <c r="B38" s="41">
        <f t="shared" si="47"/>
        <v>16</v>
      </c>
      <c r="C38" s="218"/>
      <c r="D38" s="218"/>
      <c r="E38" s="218"/>
      <c r="F38" s="218"/>
      <c r="G38" s="42"/>
      <c r="H38" s="43"/>
      <c r="I38" s="44"/>
      <c r="J38" s="45" t="str">
        <f t="shared" si="20"/>
        <v/>
      </c>
      <c r="K38" s="93"/>
      <c r="L38" s="152" t="str">
        <f t="shared" si="21"/>
        <v>No Quote</v>
      </c>
      <c r="M38" s="153"/>
      <c r="N38" s="44"/>
      <c r="O38" s="45" t="str">
        <f t="shared" si="22"/>
        <v/>
      </c>
      <c r="P38" s="93"/>
      <c r="Q38" s="152" t="str">
        <f t="shared" si="23"/>
        <v>No Quote</v>
      </c>
      <c r="R38" s="153"/>
      <c r="S38" s="44"/>
      <c r="T38" s="45" t="str">
        <f t="shared" si="24"/>
        <v/>
      </c>
      <c r="U38" s="92"/>
      <c r="V38" s="152" t="str">
        <f t="shared" si="25"/>
        <v>No Quote</v>
      </c>
      <c r="W38" s="153"/>
      <c r="X38" s="44"/>
      <c r="Y38" s="45" t="str">
        <f t="shared" si="26"/>
        <v/>
      </c>
      <c r="Z38" s="93"/>
      <c r="AA38" s="152" t="str">
        <f t="shared" si="27"/>
        <v>No Quote</v>
      </c>
      <c r="AB38" s="153"/>
      <c r="AC38" s="44"/>
      <c r="AD38" s="45" t="str">
        <f t="shared" si="28"/>
        <v/>
      </c>
      <c r="AE38" s="92"/>
      <c r="AF38" s="152" t="str">
        <f t="shared" si="29"/>
        <v>No Quote</v>
      </c>
      <c r="AG38" s="153"/>
      <c r="AH38" s="44"/>
      <c r="AI38" s="45" t="str">
        <f t="shared" si="30"/>
        <v/>
      </c>
      <c r="AJ38" s="92"/>
      <c r="AK38" s="152" t="str">
        <f t="shared" si="31"/>
        <v>No Quote</v>
      </c>
      <c r="AL38" s="153"/>
      <c r="AM38" s="44"/>
      <c r="AN38" s="45" t="str">
        <f t="shared" si="32"/>
        <v/>
      </c>
      <c r="AO38" s="46"/>
      <c r="AP38" s="152" t="str">
        <f t="shared" si="33"/>
        <v>No Quote</v>
      </c>
      <c r="AQ38" s="153"/>
      <c r="AR38" s="44"/>
      <c r="AS38" s="45" t="str">
        <f t="shared" si="34"/>
        <v/>
      </c>
      <c r="AT38" s="92"/>
      <c r="AU38" s="152" t="str">
        <f t="shared" si="35"/>
        <v>No Quote</v>
      </c>
      <c r="AV38" s="153"/>
      <c r="AW38" s="44"/>
      <c r="AX38" s="45" t="str">
        <f t="shared" si="36"/>
        <v/>
      </c>
      <c r="AY38" s="92"/>
      <c r="AZ38" s="212" t="str">
        <f t="shared" si="37"/>
        <v>No Quote</v>
      </c>
      <c r="BA38" s="213"/>
      <c r="BB38" s="90"/>
      <c r="BC38" s="96"/>
      <c r="BD38" s="66" t="str">
        <f t="shared" si="38"/>
        <v/>
      </c>
      <c r="BE38" s="95"/>
      <c r="BF38" s="95"/>
      <c r="BG38" s="80" t="str">
        <f t="shared" si="10"/>
        <v>-</v>
      </c>
      <c r="BH38" s="80" t="str">
        <f t="shared" si="11"/>
        <v>-</v>
      </c>
      <c r="BI38" s="80" t="str">
        <f t="shared" si="12"/>
        <v>-</v>
      </c>
      <c r="BJ38" s="80" t="str">
        <f t="shared" si="13"/>
        <v>-</v>
      </c>
      <c r="BK38" s="80" t="str">
        <f t="shared" si="14"/>
        <v>-</v>
      </c>
      <c r="BL38" s="80" t="str">
        <f t="shared" si="15"/>
        <v>-</v>
      </c>
      <c r="BM38" s="80" t="str">
        <f t="shared" si="16"/>
        <v>-</v>
      </c>
      <c r="BN38" s="80" t="str">
        <f t="shared" si="17"/>
        <v>-</v>
      </c>
      <c r="BO38" s="80" t="str">
        <f t="shared" si="18"/>
        <v>-</v>
      </c>
      <c r="BP38" s="81" t="str">
        <f t="shared" si="39"/>
        <v/>
      </c>
      <c r="BQ38" s="77" t="str">
        <f t="shared" si="40"/>
        <v/>
      </c>
      <c r="BR38" s="75" t="str">
        <f t="shared" si="41"/>
        <v/>
      </c>
      <c r="BS38" s="74" t="str">
        <f t="shared" si="42"/>
        <v/>
      </c>
      <c r="BT38" s="77" t="str">
        <f t="shared" si="43"/>
        <v/>
      </c>
      <c r="BU38" s="75" t="str">
        <f t="shared" si="44"/>
        <v/>
      </c>
      <c r="BV38" s="74" t="str">
        <f t="shared" si="45"/>
        <v/>
      </c>
      <c r="BW38" s="77" t="str">
        <f t="shared" si="19"/>
        <v/>
      </c>
      <c r="BY38" s="104">
        <f t="shared" ref="BY38:BY51" si="48">SUMIFS($BP$23:$BP$51,$BQ$23:$BQ$51,BZ38)</f>
        <v>0</v>
      </c>
      <c r="BZ38" s="106"/>
    </row>
    <row r="39" spans="2:78" s="1" customFormat="1" ht="61.5" customHeight="1" outlineLevel="1" x14ac:dyDescent="0.25">
      <c r="B39" s="41">
        <f t="shared" si="47"/>
        <v>17</v>
      </c>
      <c r="C39" s="218"/>
      <c r="D39" s="218"/>
      <c r="E39" s="218"/>
      <c r="F39" s="218"/>
      <c r="G39" s="42"/>
      <c r="H39" s="43"/>
      <c r="I39" s="44"/>
      <c r="J39" s="45" t="str">
        <f t="shared" si="20"/>
        <v/>
      </c>
      <c r="K39" s="93"/>
      <c r="L39" s="152" t="str">
        <f t="shared" si="21"/>
        <v>No Quote</v>
      </c>
      <c r="M39" s="153"/>
      <c r="N39" s="44"/>
      <c r="O39" s="45" t="str">
        <f t="shared" si="22"/>
        <v/>
      </c>
      <c r="P39" s="93"/>
      <c r="Q39" s="152" t="str">
        <f t="shared" si="23"/>
        <v>No Quote</v>
      </c>
      <c r="R39" s="153"/>
      <c r="S39" s="44"/>
      <c r="T39" s="45" t="str">
        <f t="shared" si="24"/>
        <v/>
      </c>
      <c r="U39" s="92"/>
      <c r="V39" s="152" t="str">
        <f t="shared" si="25"/>
        <v>No Quote</v>
      </c>
      <c r="W39" s="153"/>
      <c r="X39" s="44"/>
      <c r="Y39" s="45" t="str">
        <f t="shared" si="26"/>
        <v/>
      </c>
      <c r="Z39" s="93"/>
      <c r="AA39" s="152" t="str">
        <f t="shared" si="27"/>
        <v>No Quote</v>
      </c>
      <c r="AB39" s="153"/>
      <c r="AC39" s="44"/>
      <c r="AD39" s="45" t="str">
        <f t="shared" si="28"/>
        <v/>
      </c>
      <c r="AE39" s="92"/>
      <c r="AF39" s="152" t="str">
        <f t="shared" si="29"/>
        <v>No Quote</v>
      </c>
      <c r="AG39" s="153"/>
      <c r="AH39" s="44"/>
      <c r="AI39" s="45" t="str">
        <f t="shared" si="30"/>
        <v/>
      </c>
      <c r="AJ39" s="92"/>
      <c r="AK39" s="152" t="str">
        <f t="shared" si="31"/>
        <v>No Quote</v>
      </c>
      <c r="AL39" s="153"/>
      <c r="AM39" s="44"/>
      <c r="AN39" s="45" t="str">
        <f t="shared" si="32"/>
        <v/>
      </c>
      <c r="AO39" s="46"/>
      <c r="AP39" s="152" t="str">
        <f t="shared" si="33"/>
        <v>No Quote</v>
      </c>
      <c r="AQ39" s="153"/>
      <c r="AR39" s="44"/>
      <c r="AS39" s="45" t="str">
        <f t="shared" si="34"/>
        <v/>
      </c>
      <c r="AT39" s="92"/>
      <c r="AU39" s="152" t="str">
        <f t="shared" si="35"/>
        <v>No Quote</v>
      </c>
      <c r="AV39" s="153"/>
      <c r="AW39" s="44"/>
      <c r="AX39" s="45" t="str">
        <f t="shared" si="36"/>
        <v/>
      </c>
      <c r="AY39" s="92"/>
      <c r="AZ39" s="212" t="str">
        <f t="shared" si="37"/>
        <v>No Quote</v>
      </c>
      <c r="BA39" s="213"/>
      <c r="BB39" s="90"/>
      <c r="BC39" s="96"/>
      <c r="BD39" s="66" t="str">
        <f t="shared" si="38"/>
        <v/>
      </c>
      <c r="BE39" s="95"/>
      <c r="BF39" s="95"/>
      <c r="BG39" s="80" t="str">
        <f t="shared" si="10"/>
        <v>-</v>
      </c>
      <c r="BH39" s="80" t="str">
        <f t="shared" si="11"/>
        <v>-</v>
      </c>
      <c r="BI39" s="80" t="str">
        <f t="shared" si="12"/>
        <v>-</v>
      </c>
      <c r="BJ39" s="80" t="str">
        <f t="shared" si="13"/>
        <v>-</v>
      </c>
      <c r="BK39" s="80" t="str">
        <f t="shared" si="14"/>
        <v>-</v>
      </c>
      <c r="BL39" s="80" t="str">
        <f t="shared" si="15"/>
        <v>-</v>
      </c>
      <c r="BM39" s="80" t="str">
        <f t="shared" si="16"/>
        <v>-</v>
      </c>
      <c r="BN39" s="80" t="str">
        <f t="shared" si="17"/>
        <v>-</v>
      </c>
      <c r="BO39" s="80" t="str">
        <f t="shared" si="18"/>
        <v>-</v>
      </c>
      <c r="BP39" s="81" t="str">
        <f t="shared" si="39"/>
        <v/>
      </c>
      <c r="BQ39" s="77" t="str">
        <f t="shared" si="40"/>
        <v/>
      </c>
      <c r="BR39" s="75" t="str">
        <f t="shared" si="41"/>
        <v/>
      </c>
      <c r="BS39" s="74" t="str">
        <f t="shared" si="42"/>
        <v/>
      </c>
      <c r="BT39" s="77" t="str">
        <f t="shared" si="43"/>
        <v/>
      </c>
      <c r="BU39" s="75" t="str">
        <f t="shared" si="44"/>
        <v/>
      </c>
      <c r="BV39" s="74" t="str">
        <f t="shared" si="45"/>
        <v/>
      </c>
      <c r="BW39" s="77" t="str">
        <f t="shared" si="19"/>
        <v/>
      </c>
      <c r="BY39" s="104">
        <f t="shared" si="48"/>
        <v>0</v>
      </c>
      <c r="BZ39" s="106"/>
    </row>
    <row r="40" spans="2:78" s="1" customFormat="1" ht="61.5" customHeight="1" outlineLevel="1" x14ac:dyDescent="0.25">
      <c r="B40" s="41">
        <f t="shared" si="47"/>
        <v>18</v>
      </c>
      <c r="C40" s="218"/>
      <c r="D40" s="218"/>
      <c r="E40" s="218"/>
      <c r="F40" s="218"/>
      <c r="G40" s="42"/>
      <c r="H40" s="43"/>
      <c r="I40" s="44"/>
      <c r="J40" s="45" t="str">
        <f t="shared" si="20"/>
        <v/>
      </c>
      <c r="K40" s="93"/>
      <c r="L40" s="152" t="str">
        <f t="shared" si="21"/>
        <v>No Quote</v>
      </c>
      <c r="M40" s="153"/>
      <c r="N40" s="44"/>
      <c r="O40" s="45" t="str">
        <f t="shared" si="22"/>
        <v/>
      </c>
      <c r="P40" s="93"/>
      <c r="Q40" s="152" t="str">
        <f t="shared" si="23"/>
        <v>No Quote</v>
      </c>
      <c r="R40" s="153"/>
      <c r="S40" s="44"/>
      <c r="T40" s="45" t="str">
        <f t="shared" si="24"/>
        <v/>
      </c>
      <c r="U40" s="92"/>
      <c r="V40" s="152" t="str">
        <f t="shared" si="25"/>
        <v>No Quote</v>
      </c>
      <c r="W40" s="153"/>
      <c r="X40" s="44"/>
      <c r="Y40" s="45" t="str">
        <f t="shared" si="26"/>
        <v/>
      </c>
      <c r="Z40" s="93"/>
      <c r="AA40" s="152" t="str">
        <f t="shared" si="27"/>
        <v>No Quote</v>
      </c>
      <c r="AB40" s="153"/>
      <c r="AC40" s="44"/>
      <c r="AD40" s="45" t="str">
        <f t="shared" si="28"/>
        <v/>
      </c>
      <c r="AE40" s="92"/>
      <c r="AF40" s="152" t="str">
        <f t="shared" si="29"/>
        <v>No Quote</v>
      </c>
      <c r="AG40" s="153"/>
      <c r="AH40" s="44"/>
      <c r="AI40" s="45" t="str">
        <f t="shared" si="30"/>
        <v/>
      </c>
      <c r="AJ40" s="92"/>
      <c r="AK40" s="152" t="str">
        <f t="shared" si="31"/>
        <v>No Quote</v>
      </c>
      <c r="AL40" s="153"/>
      <c r="AM40" s="44"/>
      <c r="AN40" s="45" t="str">
        <f t="shared" si="32"/>
        <v/>
      </c>
      <c r="AO40" s="46"/>
      <c r="AP40" s="152" t="str">
        <f t="shared" si="33"/>
        <v>No Quote</v>
      </c>
      <c r="AQ40" s="153"/>
      <c r="AR40" s="44"/>
      <c r="AS40" s="45" t="str">
        <f t="shared" si="34"/>
        <v/>
      </c>
      <c r="AT40" s="92"/>
      <c r="AU40" s="152" t="str">
        <f t="shared" si="35"/>
        <v>No Quote</v>
      </c>
      <c r="AV40" s="153"/>
      <c r="AW40" s="44"/>
      <c r="AX40" s="45" t="str">
        <f t="shared" si="36"/>
        <v/>
      </c>
      <c r="AY40" s="92"/>
      <c r="AZ40" s="212" t="str">
        <f t="shared" si="37"/>
        <v>No Quote</v>
      </c>
      <c r="BA40" s="213"/>
      <c r="BB40" s="90"/>
      <c r="BC40" s="96"/>
      <c r="BD40" s="66" t="str">
        <f t="shared" si="38"/>
        <v/>
      </c>
      <c r="BE40" s="95"/>
      <c r="BF40" s="95"/>
      <c r="BG40" s="80" t="str">
        <f t="shared" si="10"/>
        <v>-</v>
      </c>
      <c r="BH40" s="80" t="str">
        <f t="shared" si="11"/>
        <v>-</v>
      </c>
      <c r="BI40" s="80" t="str">
        <f t="shared" si="12"/>
        <v>-</v>
      </c>
      <c r="BJ40" s="80" t="str">
        <f t="shared" si="13"/>
        <v>-</v>
      </c>
      <c r="BK40" s="80" t="str">
        <f t="shared" si="14"/>
        <v>-</v>
      </c>
      <c r="BL40" s="80" t="str">
        <f t="shared" si="15"/>
        <v>-</v>
      </c>
      <c r="BM40" s="80" t="str">
        <f t="shared" si="16"/>
        <v>-</v>
      </c>
      <c r="BN40" s="80" t="str">
        <f t="shared" si="17"/>
        <v>-</v>
      </c>
      <c r="BO40" s="80" t="str">
        <f t="shared" si="18"/>
        <v>-</v>
      </c>
      <c r="BP40" s="81" t="str">
        <f t="shared" si="39"/>
        <v/>
      </c>
      <c r="BQ40" s="77" t="str">
        <f t="shared" si="40"/>
        <v/>
      </c>
      <c r="BR40" s="75" t="str">
        <f t="shared" si="41"/>
        <v/>
      </c>
      <c r="BS40" s="74" t="str">
        <f t="shared" si="42"/>
        <v/>
      </c>
      <c r="BT40" s="77" t="str">
        <f t="shared" si="43"/>
        <v/>
      </c>
      <c r="BU40" s="75" t="str">
        <f t="shared" si="44"/>
        <v/>
      </c>
      <c r="BV40" s="74" t="str">
        <f t="shared" si="45"/>
        <v/>
      </c>
      <c r="BW40" s="77" t="str">
        <f t="shared" si="19"/>
        <v/>
      </c>
      <c r="BY40" s="104">
        <f t="shared" si="48"/>
        <v>0</v>
      </c>
      <c r="BZ40" s="106"/>
    </row>
    <row r="41" spans="2:78" s="1" customFormat="1" ht="61.5" customHeight="1" outlineLevel="1" x14ac:dyDescent="0.25">
      <c r="B41" s="41">
        <f t="shared" si="47"/>
        <v>19</v>
      </c>
      <c r="C41" s="218"/>
      <c r="D41" s="218"/>
      <c r="E41" s="218"/>
      <c r="F41" s="218"/>
      <c r="G41" s="42"/>
      <c r="H41" s="43"/>
      <c r="I41" s="44"/>
      <c r="J41" s="45" t="str">
        <f t="shared" si="20"/>
        <v/>
      </c>
      <c r="K41" s="93"/>
      <c r="L41" s="152" t="str">
        <f t="shared" si="21"/>
        <v>No Quote</v>
      </c>
      <c r="M41" s="153"/>
      <c r="N41" s="44"/>
      <c r="O41" s="45" t="str">
        <f t="shared" si="22"/>
        <v/>
      </c>
      <c r="P41" s="93"/>
      <c r="Q41" s="152" t="str">
        <f t="shared" si="23"/>
        <v>No Quote</v>
      </c>
      <c r="R41" s="153"/>
      <c r="S41" s="44"/>
      <c r="T41" s="45" t="str">
        <f t="shared" si="24"/>
        <v/>
      </c>
      <c r="U41" s="92"/>
      <c r="V41" s="152" t="str">
        <f t="shared" si="25"/>
        <v>No Quote</v>
      </c>
      <c r="W41" s="153"/>
      <c r="X41" s="44"/>
      <c r="Y41" s="45" t="str">
        <f t="shared" si="26"/>
        <v/>
      </c>
      <c r="Z41" s="93"/>
      <c r="AA41" s="152" t="str">
        <f t="shared" si="27"/>
        <v>No Quote</v>
      </c>
      <c r="AB41" s="153"/>
      <c r="AC41" s="44"/>
      <c r="AD41" s="45" t="str">
        <f t="shared" si="28"/>
        <v/>
      </c>
      <c r="AE41" s="92"/>
      <c r="AF41" s="152" t="str">
        <f t="shared" si="29"/>
        <v>No Quote</v>
      </c>
      <c r="AG41" s="153"/>
      <c r="AH41" s="44"/>
      <c r="AI41" s="45" t="str">
        <f t="shared" si="30"/>
        <v/>
      </c>
      <c r="AJ41" s="92"/>
      <c r="AK41" s="152" t="str">
        <f t="shared" si="31"/>
        <v>No Quote</v>
      </c>
      <c r="AL41" s="153"/>
      <c r="AM41" s="44"/>
      <c r="AN41" s="45" t="str">
        <f t="shared" si="32"/>
        <v/>
      </c>
      <c r="AO41" s="46"/>
      <c r="AP41" s="152" t="str">
        <f t="shared" si="33"/>
        <v>No Quote</v>
      </c>
      <c r="AQ41" s="153"/>
      <c r="AR41" s="44"/>
      <c r="AS41" s="45" t="str">
        <f t="shared" si="34"/>
        <v/>
      </c>
      <c r="AT41" s="92"/>
      <c r="AU41" s="152" t="str">
        <f t="shared" si="35"/>
        <v>No Quote</v>
      </c>
      <c r="AV41" s="153"/>
      <c r="AW41" s="44"/>
      <c r="AX41" s="45" t="str">
        <f t="shared" si="36"/>
        <v/>
      </c>
      <c r="AY41" s="92"/>
      <c r="AZ41" s="212" t="str">
        <f t="shared" si="37"/>
        <v>No Quote</v>
      </c>
      <c r="BA41" s="213"/>
      <c r="BB41" s="90"/>
      <c r="BC41" s="96"/>
      <c r="BD41" s="66" t="str">
        <f t="shared" si="38"/>
        <v/>
      </c>
      <c r="BE41" s="95"/>
      <c r="BF41" s="95"/>
      <c r="BG41" s="80" t="str">
        <f t="shared" si="10"/>
        <v>-</v>
      </c>
      <c r="BH41" s="80" t="str">
        <f t="shared" si="11"/>
        <v>-</v>
      </c>
      <c r="BI41" s="80" t="str">
        <f t="shared" si="12"/>
        <v>-</v>
      </c>
      <c r="BJ41" s="80" t="str">
        <f t="shared" si="13"/>
        <v>-</v>
      </c>
      <c r="BK41" s="80" t="str">
        <f t="shared" si="14"/>
        <v>-</v>
      </c>
      <c r="BL41" s="80" t="str">
        <f t="shared" si="15"/>
        <v>-</v>
      </c>
      <c r="BM41" s="80" t="str">
        <f t="shared" si="16"/>
        <v>-</v>
      </c>
      <c r="BN41" s="80" t="str">
        <f t="shared" si="17"/>
        <v>-</v>
      </c>
      <c r="BO41" s="80" t="str">
        <f t="shared" si="18"/>
        <v>-</v>
      </c>
      <c r="BP41" s="81" t="str">
        <f t="shared" si="39"/>
        <v/>
      </c>
      <c r="BQ41" s="77" t="str">
        <f t="shared" si="40"/>
        <v/>
      </c>
      <c r="BR41" s="75" t="str">
        <f t="shared" si="41"/>
        <v/>
      </c>
      <c r="BS41" s="74" t="str">
        <f t="shared" si="42"/>
        <v/>
      </c>
      <c r="BT41" s="77" t="str">
        <f t="shared" si="43"/>
        <v/>
      </c>
      <c r="BU41" s="75" t="str">
        <f t="shared" si="44"/>
        <v/>
      </c>
      <c r="BV41" s="74" t="str">
        <f t="shared" si="45"/>
        <v/>
      </c>
      <c r="BW41" s="77" t="str">
        <f t="shared" si="19"/>
        <v/>
      </c>
      <c r="BY41" s="104">
        <f t="shared" si="48"/>
        <v>0</v>
      </c>
      <c r="BZ41" s="106"/>
    </row>
    <row r="42" spans="2:78" s="1" customFormat="1" ht="61.5" customHeight="1" outlineLevel="1" x14ac:dyDescent="0.25">
      <c r="B42" s="41">
        <f t="shared" si="47"/>
        <v>20</v>
      </c>
      <c r="C42" s="218"/>
      <c r="D42" s="218"/>
      <c r="E42" s="218"/>
      <c r="F42" s="218"/>
      <c r="G42" s="42"/>
      <c r="H42" s="43"/>
      <c r="I42" s="44"/>
      <c r="J42" s="45" t="str">
        <f t="shared" si="20"/>
        <v/>
      </c>
      <c r="K42" s="93"/>
      <c r="L42" s="152" t="str">
        <f t="shared" si="21"/>
        <v>No Quote</v>
      </c>
      <c r="M42" s="153"/>
      <c r="N42" s="44"/>
      <c r="O42" s="45" t="str">
        <f t="shared" si="22"/>
        <v/>
      </c>
      <c r="P42" s="93"/>
      <c r="Q42" s="152" t="str">
        <f t="shared" si="23"/>
        <v>No Quote</v>
      </c>
      <c r="R42" s="153"/>
      <c r="S42" s="44"/>
      <c r="T42" s="45" t="str">
        <f t="shared" si="24"/>
        <v/>
      </c>
      <c r="U42" s="92"/>
      <c r="V42" s="152" t="str">
        <f t="shared" si="25"/>
        <v>No Quote</v>
      </c>
      <c r="W42" s="153"/>
      <c r="X42" s="44"/>
      <c r="Y42" s="45" t="str">
        <f t="shared" si="26"/>
        <v/>
      </c>
      <c r="Z42" s="93"/>
      <c r="AA42" s="152" t="str">
        <f t="shared" si="27"/>
        <v>No Quote</v>
      </c>
      <c r="AB42" s="153"/>
      <c r="AC42" s="44"/>
      <c r="AD42" s="45" t="str">
        <f t="shared" si="28"/>
        <v/>
      </c>
      <c r="AE42" s="92"/>
      <c r="AF42" s="152" t="str">
        <f t="shared" si="29"/>
        <v>No Quote</v>
      </c>
      <c r="AG42" s="153"/>
      <c r="AH42" s="44"/>
      <c r="AI42" s="45" t="str">
        <f t="shared" si="30"/>
        <v/>
      </c>
      <c r="AJ42" s="92"/>
      <c r="AK42" s="152" t="str">
        <f t="shared" si="31"/>
        <v>No Quote</v>
      </c>
      <c r="AL42" s="153"/>
      <c r="AM42" s="44"/>
      <c r="AN42" s="45" t="str">
        <f t="shared" si="32"/>
        <v/>
      </c>
      <c r="AO42" s="46"/>
      <c r="AP42" s="152" t="str">
        <f t="shared" si="33"/>
        <v>No Quote</v>
      </c>
      <c r="AQ42" s="153"/>
      <c r="AR42" s="44"/>
      <c r="AS42" s="45" t="str">
        <f t="shared" si="34"/>
        <v/>
      </c>
      <c r="AT42" s="92"/>
      <c r="AU42" s="152" t="str">
        <f t="shared" si="35"/>
        <v>No Quote</v>
      </c>
      <c r="AV42" s="153"/>
      <c r="AW42" s="44"/>
      <c r="AX42" s="45" t="str">
        <f t="shared" si="36"/>
        <v/>
      </c>
      <c r="AY42" s="92"/>
      <c r="AZ42" s="212" t="str">
        <f t="shared" si="37"/>
        <v>No Quote</v>
      </c>
      <c r="BA42" s="213"/>
      <c r="BB42" s="90"/>
      <c r="BC42" s="96"/>
      <c r="BD42" s="66" t="str">
        <f t="shared" si="38"/>
        <v/>
      </c>
      <c r="BE42" s="95"/>
      <c r="BF42" s="95"/>
      <c r="BG42" s="80" t="str">
        <f t="shared" si="10"/>
        <v>-</v>
      </c>
      <c r="BH42" s="80" t="str">
        <f t="shared" si="11"/>
        <v>-</v>
      </c>
      <c r="BI42" s="80" t="str">
        <f t="shared" si="12"/>
        <v>-</v>
      </c>
      <c r="BJ42" s="80" t="str">
        <f t="shared" si="13"/>
        <v>-</v>
      </c>
      <c r="BK42" s="80" t="str">
        <f t="shared" si="14"/>
        <v>-</v>
      </c>
      <c r="BL42" s="80" t="str">
        <f t="shared" si="15"/>
        <v>-</v>
      </c>
      <c r="BM42" s="80" t="str">
        <f t="shared" si="16"/>
        <v>-</v>
      </c>
      <c r="BN42" s="80" t="str">
        <f t="shared" si="17"/>
        <v>-</v>
      </c>
      <c r="BO42" s="80" t="str">
        <f t="shared" si="18"/>
        <v>-</v>
      </c>
      <c r="BP42" s="81" t="str">
        <f t="shared" si="39"/>
        <v/>
      </c>
      <c r="BQ42" s="77" t="str">
        <f t="shared" si="40"/>
        <v/>
      </c>
      <c r="BR42" s="75" t="str">
        <f t="shared" si="41"/>
        <v/>
      </c>
      <c r="BS42" s="74" t="str">
        <f t="shared" si="42"/>
        <v/>
      </c>
      <c r="BT42" s="77" t="str">
        <f t="shared" si="43"/>
        <v/>
      </c>
      <c r="BU42" s="75" t="str">
        <f t="shared" si="44"/>
        <v/>
      </c>
      <c r="BV42" s="74" t="str">
        <f t="shared" si="45"/>
        <v/>
      </c>
      <c r="BW42" s="77" t="str">
        <f t="shared" si="19"/>
        <v/>
      </c>
      <c r="BY42" s="104">
        <f t="shared" si="48"/>
        <v>0</v>
      </c>
      <c r="BZ42" s="106"/>
    </row>
    <row r="43" spans="2:78" s="1" customFormat="1" ht="61.5" customHeight="1" outlineLevel="1" x14ac:dyDescent="0.25">
      <c r="B43" s="41">
        <f t="shared" si="47"/>
        <v>21</v>
      </c>
      <c r="C43" s="218"/>
      <c r="D43" s="218"/>
      <c r="E43" s="218"/>
      <c r="F43" s="218"/>
      <c r="G43" s="42"/>
      <c r="H43" s="43"/>
      <c r="I43" s="44"/>
      <c r="J43" s="45" t="str">
        <f t="shared" si="20"/>
        <v/>
      </c>
      <c r="K43" s="93"/>
      <c r="L43" s="152" t="str">
        <f t="shared" si="21"/>
        <v>No Quote</v>
      </c>
      <c r="M43" s="153"/>
      <c r="N43" s="44"/>
      <c r="O43" s="45" t="str">
        <f t="shared" si="22"/>
        <v/>
      </c>
      <c r="P43" s="93"/>
      <c r="Q43" s="152" t="str">
        <f t="shared" si="23"/>
        <v>No Quote</v>
      </c>
      <c r="R43" s="153"/>
      <c r="S43" s="44"/>
      <c r="T43" s="45" t="str">
        <f t="shared" si="24"/>
        <v/>
      </c>
      <c r="U43" s="92"/>
      <c r="V43" s="152" t="str">
        <f t="shared" si="25"/>
        <v>No Quote</v>
      </c>
      <c r="W43" s="153"/>
      <c r="X43" s="44"/>
      <c r="Y43" s="45" t="str">
        <f t="shared" si="26"/>
        <v/>
      </c>
      <c r="Z43" s="93"/>
      <c r="AA43" s="152" t="str">
        <f t="shared" si="27"/>
        <v>No Quote</v>
      </c>
      <c r="AB43" s="153"/>
      <c r="AC43" s="44"/>
      <c r="AD43" s="45" t="str">
        <f t="shared" si="28"/>
        <v/>
      </c>
      <c r="AE43" s="92"/>
      <c r="AF43" s="152" t="str">
        <f t="shared" si="29"/>
        <v>No Quote</v>
      </c>
      <c r="AG43" s="153"/>
      <c r="AH43" s="44"/>
      <c r="AI43" s="45" t="str">
        <f t="shared" si="30"/>
        <v/>
      </c>
      <c r="AJ43" s="92"/>
      <c r="AK43" s="152" t="str">
        <f t="shared" si="31"/>
        <v>No Quote</v>
      </c>
      <c r="AL43" s="153"/>
      <c r="AM43" s="44"/>
      <c r="AN43" s="45" t="str">
        <f t="shared" si="32"/>
        <v/>
      </c>
      <c r="AO43" s="46"/>
      <c r="AP43" s="152" t="str">
        <f t="shared" si="33"/>
        <v>No Quote</v>
      </c>
      <c r="AQ43" s="153"/>
      <c r="AR43" s="44"/>
      <c r="AS43" s="45" t="str">
        <f t="shared" si="34"/>
        <v/>
      </c>
      <c r="AT43" s="92"/>
      <c r="AU43" s="152" t="str">
        <f t="shared" si="35"/>
        <v>No Quote</v>
      </c>
      <c r="AV43" s="153"/>
      <c r="AW43" s="44"/>
      <c r="AX43" s="45" t="str">
        <f t="shared" si="36"/>
        <v/>
      </c>
      <c r="AY43" s="92"/>
      <c r="AZ43" s="212" t="str">
        <f t="shared" si="37"/>
        <v>No Quote</v>
      </c>
      <c r="BA43" s="213"/>
      <c r="BB43" s="90"/>
      <c r="BC43" s="96"/>
      <c r="BD43" s="66" t="str">
        <f t="shared" si="38"/>
        <v/>
      </c>
      <c r="BE43" s="95"/>
      <c r="BF43" s="95"/>
      <c r="BG43" s="80" t="str">
        <f t="shared" si="10"/>
        <v>-</v>
      </c>
      <c r="BH43" s="80" t="str">
        <f t="shared" si="11"/>
        <v>-</v>
      </c>
      <c r="BI43" s="80" t="str">
        <f t="shared" si="12"/>
        <v>-</v>
      </c>
      <c r="BJ43" s="80" t="str">
        <f t="shared" si="13"/>
        <v>-</v>
      </c>
      <c r="BK43" s="80" t="str">
        <f t="shared" si="14"/>
        <v>-</v>
      </c>
      <c r="BL43" s="80" t="str">
        <f t="shared" si="15"/>
        <v>-</v>
      </c>
      <c r="BM43" s="80" t="str">
        <f t="shared" si="16"/>
        <v>-</v>
      </c>
      <c r="BN43" s="80" t="str">
        <f t="shared" si="17"/>
        <v>-</v>
      </c>
      <c r="BO43" s="80" t="str">
        <f t="shared" si="18"/>
        <v>-</v>
      </c>
      <c r="BP43" s="81" t="str">
        <f t="shared" si="39"/>
        <v/>
      </c>
      <c r="BQ43" s="77" t="str">
        <f t="shared" si="40"/>
        <v/>
      </c>
      <c r="BR43" s="75" t="str">
        <f t="shared" si="41"/>
        <v/>
      </c>
      <c r="BS43" s="74" t="str">
        <f t="shared" si="42"/>
        <v/>
      </c>
      <c r="BT43" s="77" t="str">
        <f t="shared" si="43"/>
        <v/>
      </c>
      <c r="BU43" s="75" t="str">
        <f t="shared" si="44"/>
        <v/>
      </c>
      <c r="BV43" s="74" t="str">
        <f t="shared" si="45"/>
        <v/>
      </c>
      <c r="BW43" s="77" t="str">
        <f t="shared" si="19"/>
        <v/>
      </c>
      <c r="BY43" s="104">
        <f t="shared" si="48"/>
        <v>0</v>
      </c>
      <c r="BZ43" s="106"/>
    </row>
    <row r="44" spans="2:78" s="1" customFormat="1" ht="61.5" customHeight="1" outlineLevel="1" x14ac:dyDescent="0.25">
      <c r="B44" s="41">
        <f t="shared" si="47"/>
        <v>22</v>
      </c>
      <c r="C44" s="218"/>
      <c r="D44" s="218"/>
      <c r="E44" s="218"/>
      <c r="F44" s="218"/>
      <c r="G44" s="42"/>
      <c r="H44" s="43"/>
      <c r="I44" s="44"/>
      <c r="J44" s="45" t="str">
        <f t="shared" si="20"/>
        <v/>
      </c>
      <c r="K44" s="93"/>
      <c r="L44" s="152" t="str">
        <f t="shared" si="21"/>
        <v>No Quote</v>
      </c>
      <c r="M44" s="153"/>
      <c r="N44" s="44"/>
      <c r="O44" s="45" t="str">
        <f t="shared" si="22"/>
        <v/>
      </c>
      <c r="P44" s="93"/>
      <c r="Q44" s="152" t="str">
        <f t="shared" si="23"/>
        <v>No Quote</v>
      </c>
      <c r="R44" s="153"/>
      <c r="S44" s="44"/>
      <c r="T44" s="45" t="str">
        <f t="shared" si="24"/>
        <v/>
      </c>
      <c r="U44" s="92"/>
      <c r="V44" s="152" t="str">
        <f t="shared" si="25"/>
        <v>No Quote</v>
      </c>
      <c r="W44" s="153"/>
      <c r="X44" s="44"/>
      <c r="Y44" s="45" t="str">
        <f t="shared" si="26"/>
        <v/>
      </c>
      <c r="Z44" s="93"/>
      <c r="AA44" s="152" t="str">
        <f t="shared" si="27"/>
        <v>No Quote</v>
      </c>
      <c r="AB44" s="153"/>
      <c r="AC44" s="44"/>
      <c r="AD44" s="45" t="str">
        <f t="shared" si="28"/>
        <v/>
      </c>
      <c r="AE44" s="92"/>
      <c r="AF44" s="152" t="str">
        <f t="shared" si="29"/>
        <v>No Quote</v>
      </c>
      <c r="AG44" s="153"/>
      <c r="AH44" s="44"/>
      <c r="AI44" s="45" t="str">
        <f t="shared" si="30"/>
        <v/>
      </c>
      <c r="AJ44" s="92"/>
      <c r="AK44" s="152" t="str">
        <f t="shared" si="31"/>
        <v>No Quote</v>
      </c>
      <c r="AL44" s="153"/>
      <c r="AM44" s="44"/>
      <c r="AN44" s="45" t="str">
        <f t="shared" si="32"/>
        <v/>
      </c>
      <c r="AO44" s="46"/>
      <c r="AP44" s="152" t="str">
        <f t="shared" si="33"/>
        <v>No Quote</v>
      </c>
      <c r="AQ44" s="153"/>
      <c r="AR44" s="44"/>
      <c r="AS44" s="45" t="str">
        <f t="shared" si="34"/>
        <v/>
      </c>
      <c r="AT44" s="92"/>
      <c r="AU44" s="152" t="str">
        <f t="shared" si="35"/>
        <v>No Quote</v>
      </c>
      <c r="AV44" s="153"/>
      <c r="AW44" s="44"/>
      <c r="AX44" s="45" t="str">
        <f t="shared" si="36"/>
        <v/>
      </c>
      <c r="AY44" s="92"/>
      <c r="AZ44" s="212" t="str">
        <f t="shared" si="37"/>
        <v>No Quote</v>
      </c>
      <c r="BA44" s="213"/>
      <c r="BB44" s="90"/>
      <c r="BC44" s="96"/>
      <c r="BD44" s="66" t="str">
        <f t="shared" si="38"/>
        <v/>
      </c>
      <c r="BE44" s="95"/>
      <c r="BF44" s="95"/>
      <c r="BG44" s="80" t="str">
        <f t="shared" si="10"/>
        <v>-</v>
      </c>
      <c r="BH44" s="80" t="str">
        <f t="shared" si="11"/>
        <v>-</v>
      </c>
      <c r="BI44" s="80" t="str">
        <f t="shared" si="12"/>
        <v>-</v>
      </c>
      <c r="BJ44" s="80" t="str">
        <f t="shared" si="13"/>
        <v>-</v>
      </c>
      <c r="BK44" s="80" t="str">
        <f t="shared" si="14"/>
        <v>-</v>
      </c>
      <c r="BL44" s="80" t="str">
        <f t="shared" si="15"/>
        <v>-</v>
      </c>
      <c r="BM44" s="80" t="str">
        <f t="shared" si="16"/>
        <v>-</v>
      </c>
      <c r="BN44" s="80" t="str">
        <f t="shared" si="17"/>
        <v>-</v>
      </c>
      <c r="BO44" s="80" t="str">
        <f t="shared" si="18"/>
        <v>-</v>
      </c>
      <c r="BP44" s="81" t="str">
        <f t="shared" si="39"/>
        <v/>
      </c>
      <c r="BQ44" s="77" t="str">
        <f t="shared" si="40"/>
        <v/>
      </c>
      <c r="BR44" s="75" t="str">
        <f t="shared" si="41"/>
        <v/>
      </c>
      <c r="BS44" s="74" t="str">
        <f t="shared" si="42"/>
        <v/>
      </c>
      <c r="BT44" s="77" t="str">
        <f t="shared" si="43"/>
        <v/>
      </c>
      <c r="BU44" s="75" t="str">
        <f t="shared" si="44"/>
        <v/>
      </c>
      <c r="BV44" s="74" t="str">
        <f t="shared" si="45"/>
        <v/>
      </c>
      <c r="BW44" s="77" t="str">
        <f t="shared" si="19"/>
        <v/>
      </c>
      <c r="BY44" s="104">
        <f t="shared" si="48"/>
        <v>0</v>
      </c>
      <c r="BZ44" s="106"/>
    </row>
    <row r="45" spans="2:78" s="1" customFormat="1" ht="61.5" customHeight="1" outlineLevel="1" x14ac:dyDescent="0.25">
      <c r="B45" s="41">
        <f t="shared" si="47"/>
        <v>23</v>
      </c>
      <c r="C45" s="218"/>
      <c r="D45" s="218"/>
      <c r="E45" s="218"/>
      <c r="F45" s="218"/>
      <c r="G45" s="42"/>
      <c r="H45" s="43"/>
      <c r="I45" s="44"/>
      <c r="J45" s="45" t="str">
        <f t="shared" si="20"/>
        <v/>
      </c>
      <c r="K45" s="93"/>
      <c r="L45" s="152" t="str">
        <f t="shared" si="21"/>
        <v>No Quote</v>
      </c>
      <c r="M45" s="153"/>
      <c r="N45" s="44"/>
      <c r="O45" s="45" t="str">
        <f t="shared" si="22"/>
        <v/>
      </c>
      <c r="P45" s="93"/>
      <c r="Q45" s="152" t="str">
        <f t="shared" si="23"/>
        <v>No Quote</v>
      </c>
      <c r="R45" s="153"/>
      <c r="S45" s="44"/>
      <c r="T45" s="45" t="str">
        <f t="shared" si="24"/>
        <v/>
      </c>
      <c r="U45" s="92"/>
      <c r="V45" s="152" t="str">
        <f t="shared" si="25"/>
        <v>No Quote</v>
      </c>
      <c r="W45" s="153"/>
      <c r="X45" s="44"/>
      <c r="Y45" s="45" t="str">
        <f t="shared" si="26"/>
        <v/>
      </c>
      <c r="Z45" s="93"/>
      <c r="AA45" s="152" t="str">
        <f t="shared" si="27"/>
        <v>No Quote</v>
      </c>
      <c r="AB45" s="153"/>
      <c r="AC45" s="44"/>
      <c r="AD45" s="45" t="str">
        <f t="shared" si="28"/>
        <v/>
      </c>
      <c r="AE45" s="92"/>
      <c r="AF45" s="152" t="str">
        <f t="shared" si="29"/>
        <v>No Quote</v>
      </c>
      <c r="AG45" s="153"/>
      <c r="AH45" s="44"/>
      <c r="AI45" s="45" t="str">
        <f t="shared" si="30"/>
        <v/>
      </c>
      <c r="AJ45" s="92"/>
      <c r="AK45" s="152" t="str">
        <f t="shared" si="31"/>
        <v>No Quote</v>
      </c>
      <c r="AL45" s="153"/>
      <c r="AM45" s="44"/>
      <c r="AN45" s="45" t="str">
        <f t="shared" si="32"/>
        <v/>
      </c>
      <c r="AO45" s="46"/>
      <c r="AP45" s="152" t="str">
        <f t="shared" si="33"/>
        <v>No Quote</v>
      </c>
      <c r="AQ45" s="153"/>
      <c r="AR45" s="44"/>
      <c r="AS45" s="45" t="str">
        <f t="shared" si="34"/>
        <v/>
      </c>
      <c r="AT45" s="92"/>
      <c r="AU45" s="152" t="str">
        <f t="shared" si="35"/>
        <v>No Quote</v>
      </c>
      <c r="AV45" s="153"/>
      <c r="AW45" s="44"/>
      <c r="AX45" s="45" t="str">
        <f t="shared" si="36"/>
        <v/>
      </c>
      <c r="AY45" s="92"/>
      <c r="AZ45" s="212" t="str">
        <f t="shared" si="37"/>
        <v>No Quote</v>
      </c>
      <c r="BA45" s="213"/>
      <c r="BB45" s="90"/>
      <c r="BC45" s="96"/>
      <c r="BD45" s="66" t="str">
        <f t="shared" si="38"/>
        <v/>
      </c>
      <c r="BE45" s="95"/>
      <c r="BF45" s="95"/>
      <c r="BG45" s="80" t="str">
        <f t="shared" si="10"/>
        <v>-</v>
      </c>
      <c r="BH45" s="80" t="str">
        <f t="shared" si="11"/>
        <v>-</v>
      </c>
      <c r="BI45" s="80" t="str">
        <f t="shared" si="12"/>
        <v>-</v>
      </c>
      <c r="BJ45" s="80" t="str">
        <f t="shared" si="13"/>
        <v>-</v>
      </c>
      <c r="BK45" s="80" t="str">
        <f t="shared" si="14"/>
        <v>-</v>
      </c>
      <c r="BL45" s="80" t="str">
        <f t="shared" si="15"/>
        <v>-</v>
      </c>
      <c r="BM45" s="80" t="str">
        <f t="shared" si="16"/>
        <v>-</v>
      </c>
      <c r="BN45" s="80" t="str">
        <f t="shared" si="17"/>
        <v>-</v>
      </c>
      <c r="BO45" s="80" t="str">
        <f t="shared" si="18"/>
        <v>-</v>
      </c>
      <c r="BP45" s="81" t="str">
        <f t="shared" si="39"/>
        <v/>
      </c>
      <c r="BQ45" s="77" t="str">
        <f t="shared" si="40"/>
        <v/>
      </c>
      <c r="BR45" s="75" t="str">
        <f t="shared" si="41"/>
        <v/>
      </c>
      <c r="BS45" s="74" t="str">
        <f t="shared" si="42"/>
        <v/>
      </c>
      <c r="BT45" s="77" t="str">
        <f t="shared" si="43"/>
        <v/>
      </c>
      <c r="BU45" s="75" t="str">
        <f t="shared" si="44"/>
        <v/>
      </c>
      <c r="BV45" s="74" t="str">
        <f t="shared" si="45"/>
        <v/>
      </c>
      <c r="BW45" s="77" t="str">
        <f t="shared" si="19"/>
        <v/>
      </c>
      <c r="BY45" s="104">
        <f t="shared" si="48"/>
        <v>0</v>
      </c>
      <c r="BZ45" s="106"/>
    </row>
    <row r="46" spans="2:78" s="1" customFormat="1" ht="61.5" customHeight="1" outlineLevel="1" x14ac:dyDescent="0.25">
      <c r="B46" s="41">
        <f t="shared" si="47"/>
        <v>24</v>
      </c>
      <c r="C46" s="218"/>
      <c r="D46" s="218"/>
      <c r="E46" s="218"/>
      <c r="F46" s="218"/>
      <c r="G46" s="42"/>
      <c r="H46" s="43"/>
      <c r="I46" s="44"/>
      <c r="J46" s="45" t="str">
        <f t="shared" si="20"/>
        <v/>
      </c>
      <c r="K46" s="93"/>
      <c r="L46" s="152" t="str">
        <f t="shared" si="21"/>
        <v>No Quote</v>
      </c>
      <c r="M46" s="153"/>
      <c r="N46" s="44"/>
      <c r="O46" s="45" t="str">
        <f t="shared" si="22"/>
        <v/>
      </c>
      <c r="P46" s="93"/>
      <c r="Q46" s="152" t="str">
        <f t="shared" si="23"/>
        <v>No Quote</v>
      </c>
      <c r="R46" s="153"/>
      <c r="S46" s="44"/>
      <c r="T46" s="45" t="str">
        <f t="shared" si="24"/>
        <v/>
      </c>
      <c r="U46" s="92"/>
      <c r="V46" s="152" t="str">
        <f t="shared" si="25"/>
        <v>No Quote</v>
      </c>
      <c r="W46" s="153"/>
      <c r="X46" s="44"/>
      <c r="Y46" s="45" t="str">
        <f t="shared" si="26"/>
        <v/>
      </c>
      <c r="Z46" s="93"/>
      <c r="AA46" s="152" t="str">
        <f t="shared" si="27"/>
        <v>No Quote</v>
      </c>
      <c r="AB46" s="153"/>
      <c r="AC46" s="44"/>
      <c r="AD46" s="45" t="str">
        <f t="shared" si="28"/>
        <v/>
      </c>
      <c r="AE46" s="92"/>
      <c r="AF46" s="152" t="str">
        <f t="shared" si="29"/>
        <v>No Quote</v>
      </c>
      <c r="AG46" s="153"/>
      <c r="AH46" s="44"/>
      <c r="AI46" s="45" t="str">
        <f t="shared" si="30"/>
        <v/>
      </c>
      <c r="AJ46" s="92"/>
      <c r="AK46" s="152" t="str">
        <f t="shared" si="31"/>
        <v>No Quote</v>
      </c>
      <c r="AL46" s="153"/>
      <c r="AM46" s="44"/>
      <c r="AN46" s="45" t="str">
        <f t="shared" si="32"/>
        <v/>
      </c>
      <c r="AO46" s="46"/>
      <c r="AP46" s="152" t="str">
        <f t="shared" si="33"/>
        <v>No Quote</v>
      </c>
      <c r="AQ46" s="153"/>
      <c r="AR46" s="44"/>
      <c r="AS46" s="45" t="str">
        <f t="shared" si="34"/>
        <v/>
      </c>
      <c r="AT46" s="92"/>
      <c r="AU46" s="152" t="str">
        <f t="shared" si="35"/>
        <v>No Quote</v>
      </c>
      <c r="AV46" s="153"/>
      <c r="AW46" s="44"/>
      <c r="AX46" s="45" t="str">
        <f t="shared" si="36"/>
        <v/>
      </c>
      <c r="AY46" s="92"/>
      <c r="AZ46" s="212" t="str">
        <f t="shared" si="37"/>
        <v>No Quote</v>
      </c>
      <c r="BA46" s="213"/>
      <c r="BB46" s="90"/>
      <c r="BC46" s="96"/>
      <c r="BD46" s="66" t="str">
        <f t="shared" si="38"/>
        <v/>
      </c>
      <c r="BE46" s="95"/>
      <c r="BF46" s="95"/>
      <c r="BG46" s="80" t="str">
        <f t="shared" si="10"/>
        <v>-</v>
      </c>
      <c r="BH46" s="80" t="str">
        <f t="shared" si="11"/>
        <v>-</v>
      </c>
      <c r="BI46" s="80" t="str">
        <f t="shared" si="12"/>
        <v>-</v>
      </c>
      <c r="BJ46" s="80" t="str">
        <f t="shared" si="13"/>
        <v>-</v>
      </c>
      <c r="BK46" s="80" t="str">
        <f t="shared" si="14"/>
        <v>-</v>
      </c>
      <c r="BL46" s="80" t="str">
        <f t="shared" si="15"/>
        <v>-</v>
      </c>
      <c r="BM46" s="80" t="str">
        <f t="shared" si="16"/>
        <v>-</v>
      </c>
      <c r="BN46" s="80" t="str">
        <f t="shared" si="17"/>
        <v>-</v>
      </c>
      <c r="BO46" s="80" t="str">
        <f t="shared" si="18"/>
        <v>-</v>
      </c>
      <c r="BP46" s="81" t="str">
        <f t="shared" si="39"/>
        <v/>
      </c>
      <c r="BQ46" s="77" t="str">
        <f t="shared" si="40"/>
        <v/>
      </c>
      <c r="BR46" s="75" t="str">
        <f t="shared" si="41"/>
        <v/>
      </c>
      <c r="BS46" s="74" t="str">
        <f t="shared" si="42"/>
        <v/>
      </c>
      <c r="BT46" s="77" t="str">
        <f t="shared" si="43"/>
        <v/>
      </c>
      <c r="BU46" s="75" t="str">
        <f t="shared" si="44"/>
        <v/>
      </c>
      <c r="BV46" s="74" t="str">
        <f t="shared" si="45"/>
        <v/>
      </c>
      <c r="BW46" s="77" t="str">
        <f t="shared" si="19"/>
        <v/>
      </c>
      <c r="BY46" s="104">
        <f t="shared" si="48"/>
        <v>0</v>
      </c>
      <c r="BZ46" s="106"/>
    </row>
    <row r="47" spans="2:78" s="1" customFormat="1" ht="61.5" customHeight="1" outlineLevel="1" x14ac:dyDescent="0.25">
      <c r="B47" s="41">
        <f t="shared" si="47"/>
        <v>25</v>
      </c>
      <c r="C47" s="218"/>
      <c r="D47" s="218"/>
      <c r="E47" s="218"/>
      <c r="F47" s="218"/>
      <c r="G47" s="42"/>
      <c r="H47" s="43"/>
      <c r="I47" s="44"/>
      <c r="J47" s="45" t="str">
        <f t="shared" si="20"/>
        <v/>
      </c>
      <c r="K47" s="93"/>
      <c r="L47" s="152" t="str">
        <f t="shared" si="21"/>
        <v>No Quote</v>
      </c>
      <c r="M47" s="153"/>
      <c r="N47" s="44"/>
      <c r="O47" s="45" t="str">
        <f t="shared" si="22"/>
        <v/>
      </c>
      <c r="P47" s="93"/>
      <c r="Q47" s="152" t="str">
        <f t="shared" si="23"/>
        <v>No Quote</v>
      </c>
      <c r="R47" s="153"/>
      <c r="S47" s="44"/>
      <c r="T47" s="45" t="str">
        <f t="shared" si="24"/>
        <v/>
      </c>
      <c r="U47" s="92"/>
      <c r="V47" s="152" t="str">
        <f t="shared" si="25"/>
        <v>No Quote</v>
      </c>
      <c r="W47" s="153"/>
      <c r="X47" s="44"/>
      <c r="Y47" s="45" t="str">
        <f t="shared" si="26"/>
        <v/>
      </c>
      <c r="Z47" s="93"/>
      <c r="AA47" s="152" t="str">
        <f t="shared" si="27"/>
        <v>No Quote</v>
      </c>
      <c r="AB47" s="153"/>
      <c r="AC47" s="44"/>
      <c r="AD47" s="45" t="str">
        <f t="shared" si="28"/>
        <v/>
      </c>
      <c r="AE47" s="92"/>
      <c r="AF47" s="152" t="str">
        <f t="shared" si="29"/>
        <v>No Quote</v>
      </c>
      <c r="AG47" s="153"/>
      <c r="AH47" s="44"/>
      <c r="AI47" s="45" t="str">
        <f t="shared" si="30"/>
        <v/>
      </c>
      <c r="AJ47" s="92"/>
      <c r="AK47" s="152" t="str">
        <f t="shared" si="31"/>
        <v>No Quote</v>
      </c>
      <c r="AL47" s="153"/>
      <c r="AM47" s="44"/>
      <c r="AN47" s="45" t="str">
        <f t="shared" si="32"/>
        <v/>
      </c>
      <c r="AO47" s="46"/>
      <c r="AP47" s="152" t="str">
        <f t="shared" si="33"/>
        <v>No Quote</v>
      </c>
      <c r="AQ47" s="153"/>
      <c r="AR47" s="44"/>
      <c r="AS47" s="45" t="str">
        <f t="shared" si="34"/>
        <v/>
      </c>
      <c r="AT47" s="92"/>
      <c r="AU47" s="152" t="str">
        <f t="shared" si="35"/>
        <v>No Quote</v>
      </c>
      <c r="AV47" s="153"/>
      <c r="AW47" s="44"/>
      <c r="AX47" s="45" t="str">
        <f t="shared" si="36"/>
        <v/>
      </c>
      <c r="AY47" s="92"/>
      <c r="AZ47" s="212" t="str">
        <f t="shared" si="37"/>
        <v>No Quote</v>
      </c>
      <c r="BA47" s="213"/>
      <c r="BB47" s="90"/>
      <c r="BC47" s="96"/>
      <c r="BD47" s="66" t="str">
        <f t="shared" si="38"/>
        <v/>
      </c>
      <c r="BE47" s="95"/>
      <c r="BF47" s="95"/>
      <c r="BG47" s="80" t="str">
        <f t="shared" si="10"/>
        <v>-</v>
      </c>
      <c r="BH47" s="80" t="str">
        <f t="shared" si="11"/>
        <v>-</v>
      </c>
      <c r="BI47" s="80" t="str">
        <f t="shared" si="12"/>
        <v>-</v>
      </c>
      <c r="BJ47" s="80" t="str">
        <f t="shared" si="13"/>
        <v>-</v>
      </c>
      <c r="BK47" s="80" t="str">
        <f t="shared" si="14"/>
        <v>-</v>
      </c>
      <c r="BL47" s="80" t="str">
        <f t="shared" si="15"/>
        <v>-</v>
      </c>
      <c r="BM47" s="80" t="str">
        <f t="shared" si="16"/>
        <v>-</v>
      </c>
      <c r="BN47" s="80" t="str">
        <f t="shared" si="17"/>
        <v>-</v>
      </c>
      <c r="BO47" s="80" t="str">
        <f t="shared" si="18"/>
        <v>-</v>
      </c>
      <c r="BP47" s="81" t="str">
        <f t="shared" si="39"/>
        <v/>
      </c>
      <c r="BQ47" s="77" t="str">
        <f t="shared" si="40"/>
        <v/>
      </c>
      <c r="BR47" s="75" t="str">
        <f t="shared" si="41"/>
        <v/>
      </c>
      <c r="BS47" s="74" t="str">
        <f t="shared" si="42"/>
        <v/>
      </c>
      <c r="BT47" s="77" t="str">
        <f t="shared" si="43"/>
        <v/>
      </c>
      <c r="BU47" s="75" t="str">
        <f t="shared" si="44"/>
        <v/>
      </c>
      <c r="BV47" s="74" t="str">
        <f t="shared" si="45"/>
        <v/>
      </c>
      <c r="BW47" s="77" t="str">
        <f t="shared" si="19"/>
        <v/>
      </c>
      <c r="BY47" s="104">
        <f t="shared" si="48"/>
        <v>0</v>
      </c>
      <c r="BZ47" s="106"/>
    </row>
    <row r="48" spans="2:78" s="1" customFormat="1" ht="61.5" customHeight="1" outlineLevel="1" x14ac:dyDescent="0.25">
      <c r="B48" s="41">
        <f t="shared" si="47"/>
        <v>26</v>
      </c>
      <c r="C48" s="218"/>
      <c r="D48" s="218"/>
      <c r="E48" s="218"/>
      <c r="F48" s="218"/>
      <c r="G48" s="42"/>
      <c r="H48" s="43"/>
      <c r="I48" s="44"/>
      <c r="J48" s="45" t="str">
        <f t="shared" si="20"/>
        <v/>
      </c>
      <c r="K48" s="93"/>
      <c r="L48" s="152" t="str">
        <f t="shared" si="21"/>
        <v>No Quote</v>
      </c>
      <c r="M48" s="153"/>
      <c r="N48" s="44"/>
      <c r="O48" s="45" t="str">
        <f t="shared" si="22"/>
        <v/>
      </c>
      <c r="P48" s="93"/>
      <c r="Q48" s="152" t="str">
        <f t="shared" si="23"/>
        <v>No Quote</v>
      </c>
      <c r="R48" s="153"/>
      <c r="S48" s="44"/>
      <c r="T48" s="45" t="str">
        <f t="shared" si="24"/>
        <v/>
      </c>
      <c r="U48" s="92"/>
      <c r="V48" s="152" t="str">
        <f t="shared" si="25"/>
        <v>No Quote</v>
      </c>
      <c r="W48" s="153"/>
      <c r="X48" s="44"/>
      <c r="Y48" s="45" t="str">
        <f t="shared" si="26"/>
        <v/>
      </c>
      <c r="Z48" s="93"/>
      <c r="AA48" s="152" t="str">
        <f t="shared" si="27"/>
        <v>No Quote</v>
      </c>
      <c r="AB48" s="153"/>
      <c r="AC48" s="44"/>
      <c r="AD48" s="45" t="str">
        <f t="shared" si="28"/>
        <v/>
      </c>
      <c r="AE48" s="92"/>
      <c r="AF48" s="152" t="str">
        <f t="shared" si="29"/>
        <v>No Quote</v>
      </c>
      <c r="AG48" s="153"/>
      <c r="AH48" s="44"/>
      <c r="AI48" s="45" t="str">
        <f t="shared" si="30"/>
        <v/>
      </c>
      <c r="AJ48" s="92"/>
      <c r="AK48" s="152" t="str">
        <f t="shared" si="31"/>
        <v>No Quote</v>
      </c>
      <c r="AL48" s="153"/>
      <c r="AM48" s="44"/>
      <c r="AN48" s="45" t="str">
        <f t="shared" si="32"/>
        <v/>
      </c>
      <c r="AO48" s="46"/>
      <c r="AP48" s="152" t="str">
        <f t="shared" si="33"/>
        <v>No Quote</v>
      </c>
      <c r="AQ48" s="153"/>
      <c r="AR48" s="44"/>
      <c r="AS48" s="45" t="str">
        <f t="shared" si="34"/>
        <v/>
      </c>
      <c r="AT48" s="92"/>
      <c r="AU48" s="152" t="str">
        <f t="shared" si="35"/>
        <v>No Quote</v>
      </c>
      <c r="AV48" s="153"/>
      <c r="AW48" s="44"/>
      <c r="AX48" s="45" t="str">
        <f t="shared" si="36"/>
        <v/>
      </c>
      <c r="AY48" s="92"/>
      <c r="AZ48" s="212" t="str">
        <f t="shared" si="37"/>
        <v>No Quote</v>
      </c>
      <c r="BA48" s="213"/>
      <c r="BB48" s="90"/>
      <c r="BC48" s="96"/>
      <c r="BD48" s="66" t="str">
        <f t="shared" si="38"/>
        <v/>
      </c>
      <c r="BE48" s="95"/>
      <c r="BF48" s="95"/>
      <c r="BG48" s="80" t="str">
        <f t="shared" si="10"/>
        <v>-</v>
      </c>
      <c r="BH48" s="80" t="str">
        <f t="shared" si="11"/>
        <v>-</v>
      </c>
      <c r="BI48" s="80" t="str">
        <f t="shared" si="12"/>
        <v>-</v>
      </c>
      <c r="BJ48" s="80" t="str">
        <f t="shared" si="13"/>
        <v>-</v>
      </c>
      <c r="BK48" s="80" t="str">
        <f t="shared" si="14"/>
        <v>-</v>
      </c>
      <c r="BL48" s="80" t="str">
        <f t="shared" si="15"/>
        <v>-</v>
      </c>
      <c r="BM48" s="80" t="str">
        <f t="shared" si="16"/>
        <v>-</v>
      </c>
      <c r="BN48" s="80" t="str">
        <f t="shared" si="17"/>
        <v>-</v>
      </c>
      <c r="BO48" s="80" t="str">
        <f t="shared" si="18"/>
        <v>-</v>
      </c>
      <c r="BP48" s="81" t="str">
        <f t="shared" si="39"/>
        <v/>
      </c>
      <c r="BQ48" s="77" t="str">
        <f t="shared" si="40"/>
        <v/>
      </c>
      <c r="BR48" s="75" t="str">
        <f t="shared" si="41"/>
        <v/>
      </c>
      <c r="BS48" s="74" t="str">
        <f t="shared" si="42"/>
        <v/>
      </c>
      <c r="BT48" s="77" t="str">
        <f t="shared" si="43"/>
        <v/>
      </c>
      <c r="BU48" s="75" t="str">
        <f t="shared" si="44"/>
        <v/>
      </c>
      <c r="BV48" s="74" t="str">
        <f t="shared" si="45"/>
        <v/>
      </c>
      <c r="BW48" s="77" t="str">
        <f t="shared" si="19"/>
        <v/>
      </c>
      <c r="BY48" s="104">
        <f t="shared" si="48"/>
        <v>0</v>
      </c>
      <c r="BZ48" s="106"/>
    </row>
    <row r="49" spans="2:78" s="1" customFormat="1" ht="61.5" customHeight="1" outlineLevel="1" x14ac:dyDescent="0.25">
      <c r="B49" s="41">
        <f t="shared" si="47"/>
        <v>27</v>
      </c>
      <c r="C49" s="218"/>
      <c r="D49" s="218"/>
      <c r="E49" s="218"/>
      <c r="F49" s="218"/>
      <c r="G49" s="42"/>
      <c r="H49" s="43"/>
      <c r="I49" s="44"/>
      <c r="J49" s="45" t="str">
        <f t="shared" si="20"/>
        <v/>
      </c>
      <c r="K49" s="93"/>
      <c r="L49" s="152" t="str">
        <f t="shared" si="21"/>
        <v>No Quote</v>
      </c>
      <c r="M49" s="153"/>
      <c r="N49" s="44"/>
      <c r="O49" s="45" t="str">
        <f t="shared" si="22"/>
        <v/>
      </c>
      <c r="P49" s="93"/>
      <c r="Q49" s="152" t="str">
        <f t="shared" si="23"/>
        <v>No Quote</v>
      </c>
      <c r="R49" s="153"/>
      <c r="S49" s="44"/>
      <c r="T49" s="45" t="str">
        <f t="shared" si="24"/>
        <v/>
      </c>
      <c r="U49" s="92"/>
      <c r="V49" s="152" t="str">
        <f t="shared" si="25"/>
        <v>No Quote</v>
      </c>
      <c r="W49" s="153"/>
      <c r="X49" s="44"/>
      <c r="Y49" s="45" t="str">
        <f t="shared" si="26"/>
        <v/>
      </c>
      <c r="Z49" s="93"/>
      <c r="AA49" s="152" t="str">
        <f t="shared" si="27"/>
        <v>No Quote</v>
      </c>
      <c r="AB49" s="153"/>
      <c r="AC49" s="44"/>
      <c r="AD49" s="45" t="str">
        <f t="shared" si="28"/>
        <v/>
      </c>
      <c r="AE49" s="92"/>
      <c r="AF49" s="152" t="str">
        <f t="shared" si="29"/>
        <v>No Quote</v>
      </c>
      <c r="AG49" s="153"/>
      <c r="AH49" s="44"/>
      <c r="AI49" s="45" t="str">
        <f t="shared" si="30"/>
        <v/>
      </c>
      <c r="AJ49" s="92"/>
      <c r="AK49" s="152" t="str">
        <f t="shared" si="31"/>
        <v>No Quote</v>
      </c>
      <c r="AL49" s="153"/>
      <c r="AM49" s="44"/>
      <c r="AN49" s="45" t="str">
        <f t="shared" si="32"/>
        <v/>
      </c>
      <c r="AO49" s="46"/>
      <c r="AP49" s="152" t="str">
        <f t="shared" si="33"/>
        <v>No Quote</v>
      </c>
      <c r="AQ49" s="153"/>
      <c r="AR49" s="44"/>
      <c r="AS49" s="45" t="str">
        <f t="shared" si="34"/>
        <v/>
      </c>
      <c r="AT49" s="92"/>
      <c r="AU49" s="152" t="str">
        <f t="shared" si="35"/>
        <v>No Quote</v>
      </c>
      <c r="AV49" s="153"/>
      <c r="AW49" s="44"/>
      <c r="AX49" s="45" t="str">
        <f t="shared" si="36"/>
        <v/>
      </c>
      <c r="AY49" s="92"/>
      <c r="AZ49" s="212" t="str">
        <f t="shared" si="37"/>
        <v>No Quote</v>
      </c>
      <c r="BA49" s="213"/>
      <c r="BB49" s="90"/>
      <c r="BC49" s="96"/>
      <c r="BD49" s="66" t="str">
        <f t="shared" si="38"/>
        <v/>
      </c>
      <c r="BE49" s="95"/>
      <c r="BF49" s="95"/>
      <c r="BG49" s="80" t="str">
        <f t="shared" si="10"/>
        <v>-</v>
      </c>
      <c r="BH49" s="80" t="str">
        <f t="shared" si="11"/>
        <v>-</v>
      </c>
      <c r="BI49" s="80" t="str">
        <f t="shared" si="12"/>
        <v>-</v>
      </c>
      <c r="BJ49" s="80" t="str">
        <f t="shared" si="13"/>
        <v>-</v>
      </c>
      <c r="BK49" s="80" t="str">
        <f t="shared" si="14"/>
        <v>-</v>
      </c>
      <c r="BL49" s="80" t="str">
        <f t="shared" si="15"/>
        <v>-</v>
      </c>
      <c r="BM49" s="80" t="str">
        <f t="shared" si="16"/>
        <v>-</v>
      </c>
      <c r="BN49" s="80" t="str">
        <f t="shared" si="17"/>
        <v>-</v>
      </c>
      <c r="BO49" s="80" t="str">
        <f t="shared" si="18"/>
        <v>-</v>
      </c>
      <c r="BP49" s="81" t="str">
        <f t="shared" si="39"/>
        <v/>
      </c>
      <c r="BQ49" s="77" t="str">
        <f t="shared" si="40"/>
        <v/>
      </c>
      <c r="BR49" s="75" t="str">
        <f t="shared" si="41"/>
        <v/>
      </c>
      <c r="BS49" s="74" t="str">
        <f t="shared" si="42"/>
        <v/>
      </c>
      <c r="BT49" s="77" t="str">
        <f t="shared" si="43"/>
        <v/>
      </c>
      <c r="BU49" s="75" t="str">
        <f t="shared" si="44"/>
        <v/>
      </c>
      <c r="BV49" s="74" t="str">
        <f t="shared" si="45"/>
        <v/>
      </c>
      <c r="BW49" s="77" t="str">
        <f t="shared" si="19"/>
        <v/>
      </c>
      <c r="BY49" s="104">
        <f t="shared" si="48"/>
        <v>0</v>
      </c>
      <c r="BZ49" s="106"/>
    </row>
    <row r="50" spans="2:78" s="1" customFormat="1" ht="61.5" customHeight="1" outlineLevel="1" x14ac:dyDescent="0.25">
      <c r="B50" s="41">
        <f t="shared" si="47"/>
        <v>28</v>
      </c>
      <c r="C50" s="218"/>
      <c r="D50" s="218"/>
      <c r="E50" s="218"/>
      <c r="F50" s="218"/>
      <c r="G50" s="42"/>
      <c r="H50" s="43"/>
      <c r="I50" s="44"/>
      <c r="J50" s="45" t="str">
        <f t="shared" si="20"/>
        <v/>
      </c>
      <c r="K50" s="93"/>
      <c r="L50" s="152" t="str">
        <f t="shared" si="21"/>
        <v>No Quote</v>
      </c>
      <c r="M50" s="153"/>
      <c r="N50" s="44"/>
      <c r="O50" s="45" t="str">
        <f t="shared" si="22"/>
        <v/>
      </c>
      <c r="P50" s="93"/>
      <c r="Q50" s="152" t="str">
        <f t="shared" si="23"/>
        <v>No Quote</v>
      </c>
      <c r="R50" s="153"/>
      <c r="S50" s="44"/>
      <c r="T50" s="45" t="str">
        <f t="shared" si="24"/>
        <v/>
      </c>
      <c r="U50" s="92"/>
      <c r="V50" s="152" t="str">
        <f t="shared" si="25"/>
        <v>No Quote</v>
      </c>
      <c r="W50" s="153"/>
      <c r="X50" s="44"/>
      <c r="Y50" s="45" t="str">
        <f t="shared" si="26"/>
        <v/>
      </c>
      <c r="Z50" s="93"/>
      <c r="AA50" s="152" t="str">
        <f t="shared" si="27"/>
        <v>No Quote</v>
      </c>
      <c r="AB50" s="153"/>
      <c r="AC50" s="44"/>
      <c r="AD50" s="45" t="str">
        <f t="shared" si="28"/>
        <v/>
      </c>
      <c r="AE50" s="92"/>
      <c r="AF50" s="152" t="str">
        <f t="shared" si="29"/>
        <v>No Quote</v>
      </c>
      <c r="AG50" s="153"/>
      <c r="AH50" s="44"/>
      <c r="AI50" s="45" t="str">
        <f t="shared" si="30"/>
        <v/>
      </c>
      <c r="AJ50" s="92"/>
      <c r="AK50" s="152" t="str">
        <f t="shared" si="31"/>
        <v>No Quote</v>
      </c>
      <c r="AL50" s="153"/>
      <c r="AM50" s="44"/>
      <c r="AN50" s="45" t="str">
        <f t="shared" si="32"/>
        <v/>
      </c>
      <c r="AO50" s="46"/>
      <c r="AP50" s="152" t="str">
        <f t="shared" si="33"/>
        <v>No Quote</v>
      </c>
      <c r="AQ50" s="153"/>
      <c r="AR50" s="44"/>
      <c r="AS50" s="45" t="str">
        <f t="shared" si="34"/>
        <v/>
      </c>
      <c r="AT50" s="92"/>
      <c r="AU50" s="152" t="str">
        <f t="shared" si="35"/>
        <v>No Quote</v>
      </c>
      <c r="AV50" s="153"/>
      <c r="AW50" s="44"/>
      <c r="AX50" s="45" t="str">
        <f t="shared" si="36"/>
        <v/>
      </c>
      <c r="AY50" s="92"/>
      <c r="AZ50" s="212" t="str">
        <f t="shared" si="37"/>
        <v>No Quote</v>
      </c>
      <c r="BA50" s="213"/>
      <c r="BB50" s="90"/>
      <c r="BC50" s="96"/>
      <c r="BD50" s="66" t="str">
        <f t="shared" si="38"/>
        <v/>
      </c>
      <c r="BE50" s="95"/>
      <c r="BF50" s="95"/>
      <c r="BG50" s="80" t="str">
        <f t="shared" si="10"/>
        <v>-</v>
      </c>
      <c r="BH50" s="80" t="str">
        <f t="shared" si="11"/>
        <v>-</v>
      </c>
      <c r="BI50" s="80" t="str">
        <f t="shared" si="12"/>
        <v>-</v>
      </c>
      <c r="BJ50" s="80" t="str">
        <f t="shared" si="13"/>
        <v>-</v>
      </c>
      <c r="BK50" s="80" t="str">
        <f t="shared" si="14"/>
        <v>-</v>
      </c>
      <c r="BL50" s="80" t="str">
        <f t="shared" si="15"/>
        <v>-</v>
      </c>
      <c r="BM50" s="80" t="str">
        <f t="shared" si="16"/>
        <v>-</v>
      </c>
      <c r="BN50" s="80" t="str">
        <f t="shared" si="17"/>
        <v>-</v>
      </c>
      <c r="BO50" s="80" t="str">
        <f t="shared" si="18"/>
        <v>-</v>
      </c>
      <c r="BP50" s="81" t="str">
        <f t="shared" si="39"/>
        <v/>
      </c>
      <c r="BQ50" s="77" t="str">
        <f t="shared" si="40"/>
        <v/>
      </c>
      <c r="BR50" s="75" t="str">
        <f t="shared" si="41"/>
        <v/>
      </c>
      <c r="BS50" s="74" t="str">
        <f t="shared" si="42"/>
        <v/>
      </c>
      <c r="BT50" s="77" t="str">
        <f t="shared" si="43"/>
        <v/>
      </c>
      <c r="BU50" s="75" t="str">
        <f t="shared" si="44"/>
        <v/>
      </c>
      <c r="BV50" s="74" t="str">
        <f t="shared" si="45"/>
        <v/>
      </c>
      <c r="BW50" s="77" t="str">
        <f t="shared" si="19"/>
        <v/>
      </c>
      <c r="BY50" s="104">
        <f t="shared" si="48"/>
        <v>0</v>
      </c>
      <c r="BZ50" s="106"/>
    </row>
    <row r="51" spans="2:78" s="1" customFormat="1" ht="61.5" customHeight="1" outlineLevel="1" x14ac:dyDescent="0.25">
      <c r="B51" s="41">
        <f t="shared" si="47"/>
        <v>29</v>
      </c>
      <c r="C51" s="218"/>
      <c r="D51" s="218"/>
      <c r="E51" s="218"/>
      <c r="F51" s="218"/>
      <c r="G51" s="42"/>
      <c r="H51" s="43"/>
      <c r="I51" s="44"/>
      <c r="J51" s="45" t="str">
        <f t="shared" si="20"/>
        <v/>
      </c>
      <c r="K51" s="93"/>
      <c r="L51" s="152" t="str">
        <f t="shared" si="21"/>
        <v>No Quote</v>
      </c>
      <c r="M51" s="153"/>
      <c r="N51" s="44"/>
      <c r="O51" s="45" t="str">
        <f t="shared" si="22"/>
        <v/>
      </c>
      <c r="P51" s="93"/>
      <c r="Q51" s="152" t="str">
        <f t="shared" si="23"/>
        <v>No Quote</v>
      </c>
      <c r="R51" s="153"/>
      <c r="S51" s="44"/>
      <c r="T51" s="45" t="str">
        <f t="shared" si="24"/>
        <v/>
      </c>
      <c r="U51" s="92"/>
      <c r="V51" s="152" t="str">
        <f t="shared" si="25"/>
        <v>No Quote</v>
      </c>
      <c r="W51" s="153"/>
      <c r="X51" s="44"/>
      <c r="Y51" s="45" t="str">
        <f t="shared" si="26"/>
        <v/>
      </c>
      <c r="Z51" s="93"/>
      <c r="AA51" s="152" t="str">
        <f t="shared" si="27"/>
        <v>No Quote</v>
      </c>
      <c r="AB51" s="153"/>
      <c r="AC51" s="44"/>
      <c r="AD51" s="45" t="str">
        <f t="shared" si="28"/>
        <v/>
      </c>
      <c r="AE51" s="92"/>
      <c r="AF51" s="152" t="str">
        <f t="shared" si="29"/>
        <v>No Quote</v>
      </c>
      <c r="AG51" s="153"/>
      <c r="AH51" s="44"/>
      <c r="AI51" s="45" t="str">
        <f t="shared" si="30"/>
        <v/>
      </c>
      <c r="AJ51" s="92"/>
      <c r="AK51" s="152" t="str">
        <f t="shared" si="31"/>
        <v>No Quote</v>
      </c>
      <c r="AL51" s="153"/>
      <c r="AM51" s="44"/>
      <c r="AN51" s="45" t="str">
        <f t="shared" si="32"/>
        <v/>
      </c>
      <c r="AO51" s="46"/>
      <c r="AP51" s="152" t="str">
        <f t="shared" si="33"/>
        <v>No Quote</v>
      </c>
      <c r="AQ51" s="153"/>
      <c r="AR51" s="44"/>
      <c r="AS51" s="45" t="str">
        <f t="shared" si="34"/>
        <v/>
      </c>
      <c r="AT51" s="92"/>
      <c r="AU51" s="152" t="str">
        <f t="shared" si="35"/>
        <v>No Quote</v>
      </c>
      <c r="AV51" s="153"/>
      <c r="AW51" s="44"/>
      <c r="AX51" s="45" t="str">
        <f t="shared" si="36"/>
        <v/>
      </c>
      <c r="AY51" s="92"/>
      <c r="AZ51" s="212" t="str">
        <f t="shared" si="37"/>
        <v>No Quote</v>
      </c>
      <c r="BA51" s="213"/>
      <c r="BB51" s="90"/>
      <c r="BC51" s="96"/>
      <c r="BD51" s="66" t="str">
        <f t="shared" si="38"/>
        <v/>
      </c>
      <c r="BE51" s="95"/>
      <c r="BF51" s="95"/>
      <c r="BG51" s="80" t="str">
        <f t="shared" si="10"/>
        <v>-</v>
      </c>
      <c r="BH51" s="80" t="str">
        <f t="shared" si="11"/>
        <v>-</v>
      </c>
      <c r="BI51" s="80" t="str">
        <f t="shared" si="12"/>
        <v>-</v>
      </c>
      <c r="BJ51" s="80" t="str">
        <f t="shared" si="13"/>
        <v>-</v>
      </c>
      <c r="BK51" s="80" t="str">
        <f t="shared" si="14"/>
        <v>-</v>
      </c>
      <c r="BL51" s="80" t="str">
        <f t="shared" si="15"/>
        <v>-</v>
      </c>
      <c r="BM51" s="80" t="str">
        <f t="shared" si="16"/>
        <v>-</v>
      </c>
      <c r="BN51" s="80" t="str">
        <f t="shared" si="17"/>
        <v>-</v>
      </c>
      <c r="BO51" s="80" t="str">
        <f t="shared" si="18"/>
        <v>-</v>
      </c>
      <c r="BP51" s="81" t="str">
        <f t="shared" si="39"/>
        <v/>
      </c>
      <c r="BQ51" s="77" t="str">
        <f t="shared" si="40"/>
        <v/>
      </c>
      <c r="BR51" s="75" t="str">
        <f t="shared" si="41"/>
        <v/>
      </c>
      <c r="BS51" s="74" t="str">
        <f t="shared" si="42"/>
        <v/>
      </c>
      <c r="BT51" s="77" t="str">
        <f t="shared" si="43"/>
        <v/>
      </c>
      <c r="BU51" s="75" t="str">
        <f t="shared" si="44"/>
        <v/>
      </c>
      <c r="BV51" s="74" t="str">
        <f t="shared" si="45"/>
        <v/>
      </c>
      <c r="BW51" s="77" t="str">
        <f t="shared" si="19"/>
        <v/>
      </c>
      <c r="BY51" s="104">
        <f t="shared" si="48"/>
        <v>0</v>
      </c>
      <c r="BZ51" s="106"/>
    </row>
    <row r="52" spans="2:78" s="47" customFormat="1" ht="35.1" customHeight="1" x14ac:dyDescent="0.25">
      <c r="B52" s="214" t="s">
        <v>18</v>
      </c>
      <c r="C52" s="215"/>
      <c r="D52" s="215"/>
      <c r="E52" s="215"/>
      <c r="F52" s="215"/>
      <c r="G52" s="158" t="s">
        <v>36</v>
      </c>
      <c r="H52" s="159"/>
      <c r="I52" s="144">
        <f t="shared" ref="I52" si="49">SUMIF(K23:K51,"&lt;&gt;x",J23:J51)</f>
        <v>0</v>
      </c>
      <c r="J52" s="145"/>
      <c r="K52" s="145"/>
      <c r="L52" s="145"/>
      <c r="M52" s="146"/>
      <c r="N52" s="144">
        <f t="shared" ref="N52" si="50">SUMIF(P23:P51,"&lt;&gt;x",O23:O51)</f>
        <v>0</v>
      </c>
      <c r="O52" s="145"/>
      <c r="P52" s="145"/>
      <c r="Q52" s="145"/>
      <c r="R52" s="146"/>
      <c r="S52" s="144">
        <f t="shared" ref="S52" si="51">SUMIF(U23:U51,"&lt;&gt;x",T23:T51)</f>
        <v>0</v>
      </c>
      <c r="T52" s="145"/>
      <c r="U52" s="145"/>
      <c r="V52" s="145"/>
      <c r="W52" s="146"/>
      <c r="X52" s="144">
        <f t="shared" ref="X52" si="52">SUMIF(Z23:Z51,"&lt;&gt;x",Y23:Y51)</f>
        <v>0</v>
      </c>
      <c r="Y52" s="145"/>
      <c r="Z52" s="145"/>
      <c r="AA52" s="145"/>
      <c r="AB52" s="146"/>
      <c r="AC52" s="144">
        <f t="shared" ref="AC52" si="53">SUMIF(AE23:AE51,"&lt;&gt;x",AD23:AD51)</f>
        <v>0</v>
      </c>
      <c r="AD52" s="145"/>
      <c r="AE52" s="145"/>
      <c r="AF52" s="145"/>
      <c r="AG52" s="146"/>
      <c r="AH52" s="144">
        <f t="shared" ref="AH52" si="54">SUMIF(AJ23:AJ51,"&lt;&gt;x",AI23:AI51)</f>
        <v>0</v>
      </c>
      <c r="AI52" s="145"/>
      <c r="AJ52" s="145"/>
      <c r="AK52" s="145"/>
      <c r="AL52" s="146"/>
      <c r="AM52" s="144">
        <f t="shared" ref="AM52" si="55">SUMIF(AO23:AO51,"&lt;&gt;x",AN23:AN51)</f>
        <v>0</v>
      </c>
      <c r="AN52" s="145"/>
      <c r="AO52" s="145"/>
      <c r="AP52" s="145"/>
      <c r="AQ52" s="146"/>
      <c r="AR52" s="144">
        <f t="shared" ref="AR52" si="56">SUMIF(AT23:AT51,"&lt;&gt;x",AS23:AS51)</f>
        <v>0</v>
      </c>
      <c r="AS52" s="145"/>
      <c r="AT52" s="145"/>
      <c r="AU52" s="145"/>
      <c r="AV52" s="146"/>
      <c r="AW52" s="144">
        <f t="shared" ref="AW52" si="57">SUMIF(AY23:AY51,"&lt;&gt;x",AX23:AX51)</f>
        <v>0</v>
      </c>
      <c r="AX52" s="145"/>
      <c r="AY52" s="145"/>
      <c r="AZ52" s="145"/>
      <c r="BA52" s="157"/>
      <c r="BG52" s="116">
        <f>SUM(BG23:BG51)</f>
        <v>0</v>
      </c>
      <c r="BH52" s="116">
        <f t="shared" ref="BH52:BO52" si="58">SUM(BH23:BH51)</f>
        <v>0</v>
      </c>
      <c r="BI52" s="116">
        <f t="shared" si="58"/>
        <v>0</v>
      </c>
      <c r="BJ52" s="116">
        <f t="shared" si="58"/>
        <v>0</v>
      </c>
      <c r="BK52" s="116">
        <f t="shared" si="58"/>
        <v>0</v>
      </c>
      <c r="BL52" s="116">
        <f t="shared" si="58"/>
        <v>0</v>
      </c>
      <c r="BM52" s="116">
        <f t="shared" si="58"/>
        <v>0</v>
      </c>
      <c r="BN52" s="116">
        <f t="shared" si="58"/>
        <v>0</v>
      </c>
      <c r="BO52" s="116">
        <f t="shared" si="58"/>
        <v>0</v>
      </c>
      <c r="BP52" s="81" t="str">
        <f t="shared" si="39"/>
        <v/>
      </c>
      <c r="BQ52" s="77" t="str">
        <f t="shared" ref="BQ52" si="59">IF(BP52=BG52,$BG$20,IF(BP52=BH52,$BH$20,IF(BP52=BI52,$BI$20,IF(BP52=BJ52,$BJ$20,IF(BP52=BK52,$BK$20,IF(BP52=BL52,$BL$20,IF(BP52=BM52,$BM$20,IF(BP52=BN52,$BN$20,IF(BP52=BO52,$BO$20,"")))))))))</f>
        <v/>
      </c>
      <c r="BR52" s="75">
        <f t="shared" si="41"/>
        <v>0</v>
      </c>
      <c r="BS52" s="74" t="str">
        <f t="shared" si="42"/>
        <v/>
      </c>
      <c r="BT52" s="77">
        <f t="shared" ref="BT52" si="60">IFERROR(IF(BR52="","",IF(BR52=BG52,$BG$20,IF(BR52=BH52,$BH$20,IF(BR52=BI52,$BI$20,IF(BR52=BJ52,$BJ$20,IF(BR52=BK52,$BK$20,IF(BR52=BL52,$BL$20,IF(BR52=BM52,$BM$20,IF(BR52=BN52,$BN$20,IF(BR52=BO52,$BO$20,"")))))))))),"")</f>
        <v>0</v>
      </c>
      <c r="BU52" s="75">
        <f t="shared" si="44"/>
        <v>0</v>
      </c>
      <c r="BV52" s="74" t="str">
        <f t="shared" ref="BV52" si="61">IFERROR(IF((BU52-$BP52)/$BP52&lt;0%,"",(BU52-$BP52)/$BP52),"")</f>
        <v/>
      </c>
      <c r="BW52" s="77">
        <f t="shared" ref="BW52" si="62">IFERROR(IF(BU52="","",IF(BG52=BU52,$BG$20,IF(BH52=BU52,$BH$20,IF(BI52=BU52,$BI$20,IF(BJ52=BU52,$BJ$20,IF(BK52=BU52,$BK$20,IF(BL52=BU52,$BL$20,IF(BM52=BU52,$BM$20,IF(BN52=BU52,$BN$20,IF(BO52=BU52,$BO$20)))))))))),"")</f>
        <v>0</v>
      </c>
      <c r="BZ52" s="107"/>
    </row>
    <row r="53" spans="2:78" s="47" customFormat="1" ht="35.1" customHeight="1" outlineLevel="1" x14ac:dyDescent="0.25">
      <c r="B53" s="216"/>
      <c r="C53" s="217"/>
      <c r="D53" s="217"/>
      <c r="E53" s="217"/>
      <c r="F53" s="217"/>
      <c r="G53" s="158" t="s">
        <v>37</v>
      </c>
      <c r="H53" s="159"/>
      <c r="I53" s="144">
        <f>I52+(I52*11%)</f>
        <v>0</v>
      </c>
      <c r="J53" s="145"/>
      <c r="K53" s="145"/>
      <c r="L53" s="145"/>
      <c r="M53" s="146"/>
      <c r="N53" s="144">
        <f>N52+(N52*11%)</f>
        <v>0</v>
      </c>
      <c r="O53" s="145"/>
      <c r="P53" s="145"/>
      <c r="Q53" s="145"/>
      <c r="R53" s="146"/>
      <c r="S53" s="144">
        <f>S52+(S52*11%)</f>
        <v>0</v>
      </c>
      <c r="T53" s="145"/>
      <c r="U53" s="145"/>
      <c r="V53" s="145"/>
      <c r="W53" s="146"/>
      <c r="X53" s="144">
        <f>X52+(X52*11%)</f>
        <v>0</v>
      </c>
      <c r="Y53" s="145"/>
      <c r="Z53" s="145"/>
      <c r="AA53" s="145"/>
      <c r="AB53" s="146"/>
      <c r="AC53" s="144">
        <f>AC52+(AC52*11%)</f>
        <v>0</v>
      </c>
      <c r="AD53" s="145"/>
      <c r="AE53" s="145"/>
      <c r="AF53" s="145"/>
      <c r="AG53" s="146"/>
      <c r="AH53" s="144">
        <f>AH52+(AH52*11%)</f>
        <v>0</v>
      </c>
      <c r="AI53" s="145"/>
      <c r="AJ53" s="145"/>
      <c r="AK53" s="145"/>
      <c r="AL53" s="146"/>
      <c r="AM53" s="144">
        <f>AM52+(AM52*11%)</f>
        <v>0</v>
      </c>
      <c r="AN53" s="145"/>
      <c r="AO53" s="145"/>
      <c r="AP53" s="145"/>
      <c r="AQ53" s="146"/>
      <c r="AR53" s="144">
        <f>AR52+(AR52*11%)</f>
        <v>0</v>
      </c>
      <c r="AS53" s="145"/>
      <c r="AT53" s="145"/>
      <c r="AU53" s="145"/>
      <c r="AV53" s="146"/>
      <c r="AW53" s="144">
        <f>AW52+(AW52*11%)</f>
        <v>0</v>
      </c>
      <c r="AX53" s="145"/>
      <c r="AY53" s="145"/>
      <c r="AZ53" s="145"/>
      <c r="BA53" s="157"/>
      <c r="BG53" s="11" t="str">
        <f>IF(COUNTIF(BG23:BG51,"-")&gt;0,"No Full Item","Full Item")</f>
        <v>No Full Item</v>
      </c>
      <c r="BH53" s="11" t="str">
        <f t="shared" ref="BH53:BO53" si="63">IF(COUNTIF(BH23:BH51,"-")&gt;0,"No Full Item","Full Item")</f>
        <v>No Full Item</v>
      </c>
      <c r="BI53" s="11" t="str">
        <f t="shared" si="63"/>
        <v>No Full Item</v>
      </c>
      <c r="BJ53" s="11" t="str">
        <f t="shared" si="63"/>
        <v>No Full Item</v>
      </c>
      <c r="BK53" s="11" t="str">
        <f t="shared" si="63"/>
        <v>No Full Item</v>
      </c>
      <c r="BL53" s="11" t="str">
        <f t="shared" si="63"/>
        <v>No Full Item</v>
      </c>
      <c r="BM53" s="11" t="str">
        <f t="shared" si="63"/>
        <v>No Full Item</v>
      </c>
      <c r="BN53" s="11" t="str">
        <f t="shared" si="63"/>
        <v>No Full Item</v>
      </c>
      <c r="BO53" s="11" t="str">
        <f t="shared" si="63"/>
        <v>No Full Item</v>
      </c>
      <c r="BP53" s="72"/>
      <c r="BQ53" s="78"/>
      <c r="BS53" s="71"/>
      <c r="BT53" s="78"/>
      <c r="BW53" s="78"/>
      <c r="BZ53" s="107"/>
    </row>
    <row r="54" spans="2:78" s="47" customFormat="1" ht="35.1" customHeight="1" x14ac:dyDescent="0.25">
      <c r="B54" s="216"/>
      <c r="C54" s="217"/>
      <c r="D54" s="217"/>
      <c r="E54" s="217"/>
      <c r="F54" s="217"/>
      <c r="G54" s="158" t="s">
        <v>38</v>
      </c>
      <c r="H54" s="159"/>
      <c r="I54" s="144"/>
      <c r="J54" s="145"/>
      <c r="K54" s="145"/>
      <c r="L54" s="145"/>
      <c r="M54" s="146"/>
      <c r="N54" s="144"/>
      <c r="O54" s="145"/>
      <c r="P54" s="145"/>
      <c r="Q54" s="145"/>
      <c r="R54" s="146"/>
      <c r="S54" s="144"/>
      <c r="T54" s="145"/>
      <c r="U54" s="145"/>
      <c r="V54" s="145"/>
      <c r="W54" s="146"/>
      <c r="X54" s="144"/>
      <c r="Y54" s="145"/>
      <c r="Z54" s="145"/>
      <c r="AA54" s="145"/>
      <c r="AB54" s="146"/>
      <c r="AC54" s="144"/>
      <c r="AD54" s="145"/>
      <c r="AE54" s="145"/>
      <c r="AF54" s="145"/>
      <c r="AG54" s="146"/>
      <c r="AH54" s="144"/>
      <c r="AI54" s="145"/>
      <c r="AJ54" s="145"/>
      <c r="AK54" s="145"/>
      <c r="AL54" s="146"/>
      <c r="AM54" s="144"/>
      <c r="AN54" s="145"/>
      <c r="AO54" s="145"/>
      <c r="AP54" s="145"/>
      <c r="AQ54" s="146"/>
      <c r="AR54" s="144"/>
      <c r="AS54" s="145"/>
      <c r="AT54" s="145"/>
      <c r="AU54" s="145"/>
      <c r="AV54" s="146"/>
      <c r="AW54" s="144"/>
      <c r="AX54" s="145"/>
      <c r="AY54" s="145"/>
      <c r="AZ54" s="145"/>
      <c r="BA54" s="157"/>
      <c r="BP54" s="72"/>
      <c r="BQ54" s="78"/>
      <c r="BS54" s="71"/>
      <c r="BT54" s="78"/>
      <c r="BW54" s="78"/>
      <c r="BZ54" s="107"/>
    </row>
    <row r="55" spans="2:78" s="1" customFormat="1" ht="80.25" customHeight="1" x14ac:dyDescent="0.25">
      <c r="B55" s="208" t="s">
        <v>39</v>
      </c>
      <c r="C55" s="209"/>
      <c r="D55" s="209"/>
      <c r="E55" s="209"/>
      <c r="F55" s="209"/>
      <c r="G55" s="209"/>
      <c r="H55" s="210"/>
      <c r="I55" s="211"/>
      <c r="J55" s="195"/>
      <c r="K55" s="195"/>
      <c r="L55" s="195"/>
      <c r="M55" s="196"/>
      <c r="N55" s="194"/>
      <c r="O55" s="195"/>
      <c r="P55" s="195"/>
      <c r="Q55" s="195"/>
      <c r="R55" s="196"/>
      <c r="S55" s="194"/>
      <c r="T55" s="195"/>
      <c r="U55" s="195"/>
      <c r="V55" s="195"/>
      <c r="W55" s="196"/>
      <c r="X55" s="194"/>
      <c r="Y55" s="195"/>
      <c r="Z55" s="195"/>
      <c r="AA55" s="195"/>
      <c r="AB55" s="196"/>
      <c r="AC55" s="194"/>
      <c r="AD55" s="195"/>
      <c r="AE55" s="195"/>
      <c r="AF55" s="195"/>
      <c r="AG55" s="196"/>
      <c r="AH55" s="194"/>
      <c r="AI55" s="195"/>
      <c r="AJ55" s="195"/>
      <c r="AK55" s="195"/>
      <c r="AL55" s="196"/>
      <c r="AM55" s="194"/>
      <c r="AN55" s="195"/>
      <c r="AO55" s="195"/>
      <c r="AP55" s="195"/>
      <c r="AQ55" s="196"/>
      <c r="AR55" s="194"/>
      <c r="AS55" s="195"/>
      <c r="AT55" s="195"/>
      <c r="AU55" s="195"/>
      <c r="AV55" s="196"/>
      <c r="AW55" s="194"/>
      <c r="AX55" s="195"/>
      <c r="AY55" s="195"/>
      <c r="AZ55" s="195"/>
      <c r="BA55" s="197"/>
      <c r="BP55" s="82"/>
      <c r="BQ55" s="73"/>
      <c r="BS55" s="68"/>
      <c r="BT55" s="73"/>
      <c r="BW55" s="73"/>
      <c r="BZ55" s="3"/>
    </row>
    <row r="56" spans="2:78" s="1" customFormat="1" ht="115.5" customHeight="1" x14ac:dyDescent="0.25">
      <c r="B56" s="198"/>
      <c r="C56" s="199"/>
      <c r="D56" s="199"/>
      <c r="E56" s="199"/>
      <c r="F56" s="199"/>
      <c r="G56" s="199"/>
      <c r="H56" s="199"/>
      <c r="I56" s="200" t="s">
        <v>40</v>
      </c>
      <c r="J56" s="201"/>
      <c r="K56" s="201"/>
      <c r="L56" s="201"/>
      <c r="M56" s="202"/>
      <c r="N56" s="200" t="s">
        <v>40</v>
      </c>
      <c r="O56" s="201"/>
      <c r="P56" s="201"/>
      <c r="Q56" s="201"/>
      <c r="R56" s="202"/>
      <c r="S56" s="200" t="s">
        <v>40</v>
      </c>
      <c r="T56" s="201"/>
      <c r="U56" s="201"/>
      <c r="V56" s="201"/>
      <c r="W56" s="202"/>
      <c r="X56" s="200" t="s">
        <v>40</v>
      </c>
      <c r="Y56" s="201"/>
      <c r="Z56" s="201"/>
      <c r="AA56" s="201"/>
      <c r="AB56" s="202"/>
      <c r="AC56" s="200" t="s">
        <v>40</v>
      </c>
      <c r="AD56" s="201"/>
      <c r="AE56" s="201"/>
      <c r="AF56" s="201"/>
      <c r="AG56" s="202"/>
      <c r="AH56" s="200" t="s">
        <v>40</v>
      </c>
      <c r="AI56" s="201"/>
      <c r="AJ56" s="201"/>
      <c r="AK56" s="201"/>
      <c r="AL56" s="202"/>
      <c r="AM56" s="200" t="s">
        <v>40</v>
      </c>
      <c r="AN56" s="201"/>
      <c r="AO56" s="201"/>
      <c r="AP56" s="201"/>
      <c r="AQ56" s="202"/>
      <c r="AR56" s="200" t="s">
        <v>40</v>
      </c>
      <c r="AS56" s="201"/>
      <c r="AT56" s="201"/>
      <c r="AU56" s="201"/>
      <c r="AV56" s="202"/>
      <c r="AW56" s="176" t="s">
        <v>40</v>
      </c>
      <c r="AX56" s="177"/>
      <c r="AY56" s="177"/>
      <c r="AZ56" s="177"/>
      <c r="BA56" s="178"/>
      <c r="BP56" s="82"/>
      <c r="BQ56" s="73"/>
      <c r="BS56" s="68"/>
      <c r="BT56" s="73"/>
      <c r="BW56" s="73"/>
      <c r="BZ56" s="3"/>
    </row>
    <row r="57" spans="2:78" s="50" customFormat="1" ht="15" customHeight="1" x14ac:dyDescent="0.25">
      <c r="B57" s="179" t="s">
        <v>41</v>
      </c>
      <c r="C57" s="180"/>
      <c r="D57" s="180"/>
      <c r="E57" s="180"/>
      <c r="F57" s="180"/>
      <c r="G57" s="180"/>
      <c r="H57" s="181"/>
      <c r="I57" s="162" t="s">
        <v>42</v>
      </c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295"/>
      <c r="AM57" s="162" t="s">
        <v>56</v>
      </c>
      <c r="AN57" s="163"/>
      <c r="AO57" s="163"/>
      <c r="AP57" s="163"/>
      <c r="AQ57" s="163"/>
      <c r="AR57" s="167" t="s">
        <v>43</v>
      </c>
      <c r="AS57" s="168"/>
      <c r="AT57" s="168"/>
      <c r="AU57" s="168"/>
      <c r="AV57" s="168"/>
      <c r="AW57" s="168"/>
      <c r="AX57" s="168"/>
      <c r="AY57" s="168"/>
      <c r="AZ57" s="168"/>
      <c r="BA57" s="193"/>
      <c r="BP57" s="84"/>
      <c r="BQ57" s="73"/>
      <c r="BR57" s="1"/>
      <c r="BS57" s="68"/>
      <c r="BT57" s="73"/>
      <c r="BW57" s="73"/>
      <c r="BZ57" s="108"/>
    </row>
    <row r="58" spans="2:78" s="1" customFormat="1" ht="90" customHeight="1" x14ac:dyDescent="0.25">
      <c r="B58" s="186"/>
      <c r="C58" s="187"/>
      <c r="D58" s="187"/>
      <c r="E58" s="187"/>
      <c r="F58" s="187"/>
      <c r="G58" s="187"/>
      <c r="H58" s="188"/>
      <c r="I58" s="16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296"/>
      <c r="AM58" s="164"/>
      <c r="AN58" s="165"/>
      <c r="AO58" s="165"/>
      <c r="AP58" s="165"/>
      <c r="AQ58" s="165"/>
      <c r="AR58" s="164"/>
      <c r="AS58" s="165"/>
      <c r="AT58" s="165"/>
      <c r="AU58" s="165"/>
      <c r="AV58" s="165"/>
      <c r="AW58" s="165"/>
      <c r="AX58" s="165"/>
      <c r="AY58" s="165"/>
      <c r="AZ58" s="165"/>
      <c r="BA58" s="175"/>
      <c r="BP58" s="82"/>
      <c r="BQ58" s="73"/>
      <c r="BS58" s="68"/>
      <c r="BT58" s="73"/>
      <c r="BW58" s="73"/>
      <c r="BZ58" s="3"/>
    </row>
    <row r="59" spans="2:78" s="1" customFormat="1" ht="13.5" x14ac:dyDescent="0.25">
      <c r="B59" s="203" t="s">
        <v>51</v>
      </c>
      <c r="C59" s="204"/>
      <c r="D59" s="204"/>
      <c r="E59" s="204"/>
      <c r="F59" s="204"/>
      <c r="G59" s="204"/>
      <c r="H59" s="205"/>
      <c r="I59" s="206" t="s">
        <v>44</v>
      </c>
      <c r="J59" s="166"/>
      <c r="K59" s="166"/>
      <c r="L59" s="166"/>
      <c r="M59" s="166"/>
      <c r="N59" s="166" t="s">
        <v>57</v>
      </c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 t="s">
        <v>46</v>
      </c>
      <c r="AI59" s="166"/>
      <c r="AJ59" s="166"/>
      <c r="AK59" s="166"/>
      <c r="AL59" s="298"/>
      <c r="AM59" s="189" t="s">
        <v>53</v>
      </c>
      <c r="AN59" s="190"/>
      <c r="AO59" s="190"/>
      <c r="AP59" s="190"/>
      <c r="AQ59" s="190"/>
      <c r="AR59" s="206" t="str">
        <f>IF(OR($I$52&lt;200000000,$N$52&lt;200000000,$S$52&lt;200000000,$X$52&lt;200000000,$AC$52&lt;200000000,$AH$52&lt;200000000,$AM$52&lt;200000000,$AR$52&lt;200000000,$AW$52&lt;200000000),"Mochammad Rusfandy","Mochammad Rusfandy")</f>
        <v>Mochammad Rusfandy</v>
      </c>
      <c r="AS59" s="166"/>
      <c r="AT59" s="166"/>
      <c r="AU59" s="166"/>
      <c r="AV59" s="166"/>
      <c r="AW59" s="166" t="str">
        <f>IF(OR($I$52="",$N$52="",$S$52="",$X$52="",$AC$52="",$AH$52="",$AM$52="",$AR$52="",$AW$52=""),"",IF(OR($I$52&gt;50000000,$N$52&gt;200000000,$S$52&gt;200000000,$X$52&gt;200000000,$AC$52&gt;200000000,$AH$52&gt;200000000,$AM$52&gt;200000000,$AR$52&gt;200000000,$AW$52&gt;200000000),"Heri Gunawan",""))</f>
        <v/>
      </c>
      <c r="AX59" s="166"/>
      <c r="AY59" s="166"/>
      <c r="AZ59" s="166"/>
      <c r="BA59" s="182"/>
      <c r="BP59" s="82"/>
      <c r="BQ59" s="73"/>
      <c r="BS59" s="68"/>
      <c r="BT59" s="73"/>
      <c r="BW59" s="73"/>
      <c r="BZ59" s="3"/>
    </row>
    <row r="60" spans="2:78" s="1" customFormat="1" ht="13.5" x14ac:dyDescent="0.25">
      <c r="B60" s="51" t="s">
        <v>47</v>
      </c>
      <c r="C60" s="52"/>
      <c r="D60" s="183">
        <f ca="1">AX8</f>
        <v>46231</v>
      </c>
      <c r="E60" s="183"/>
      <c r="F60" s="183"/>
      <c r="G60" s="183"/>
      <c r="H60" s="184"/>
      <c r="I60" s="170" t="str">
        <f>IF(I59="","","Date:")</f>
        <v>Date:</v>
      </c>
      <c r="J60" s="170"/>
      <c r="K60" s="170"/>
      <c r="L60" s="170"/>
      <c r="M60" s="170"/>
      <c r="N60" s="170" t="str">
        <f>IF(N59="","","Date:")</f>
        <v>Date:</v>
      </c>
      <c r="O60" s="170"/>
      <c r="P60" s="170"/>
      <c r="Q60" s="170"/>
      <c r="R60" s="170"/>
      <c r="S60" s="170"/>
      <c r="T60" s="170"/>
      <c r="U60" s="170"/>
      <c r="V60" s="170"/>
      <c r="W60" s="170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170" t="str">
        <f>IF(AH59="","","Date:")</f>
        <v>Date:</v>
      </c>
      <c r="AI60" s="170"/>
      <c r="AJ60" s="170"/>
      <c r="AK60" s="170"/>
      <c r="AL60" s="297"/>
      <c r="AM60" s="191" t="s">
        <v>54</v>
      </c>
      <c r="AN60" s="192"/>
      <c r="AO60" s="192"/>
      <c r="AP60" s="192"/>
      <c r="AQ60" s="192"/>
      <c r="AR60" s="173" t="str">
        <f>IF(AR59="","","Date:")</f>
        <v>Date:</v>
      </c>
      <c r="AS60" s="170"/>
      <c r="AT60" s="170"/>
      <c r="AU60" s="170"/>
      <c r="AV60" s="170"/>
      <c r="AW60" s="170" t="str">
        <f>IF(AW59="","","Date:")</f>
        <v/>
      </c>
      <c r="AX60" s="170"/>
      <c r="AY60" s="170"/>
      <c r="AZ60" s="170"/>
      <c r="BA60" s="174"/>
      <c r="BP60" s="82"/>
      <c r="BQ60" s="73"/>
      <c r="BS60" s="68"/>
      <c r="BT60" s="73"/>
      <c r="BW60" s="73"/>
      <c r="BZ60" s="3"/>
    </row>
    <row r="61" spans="2:78" s="1" customFormat="1" ht="15.75" customHeight="1" thickBot="1" x14ac:dyDescent="0.3">
      <c r="B61" s="299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0"/>
      <c r="AL61" s="300"/>
      <c r="AM61" s="300"/>
      <c r="AN61" s="300"/>
      <c r="AO61" s="300"/>
      <c r="AP61" s="300"/>
      <c r="AQ61" s="300"/>
      <c r="AR61" s="300"/>
      <c r="AS61" s="300"/>
      <c r="AT61" s="300"/>
      <c r="AU61" s="300"/>
      <c r="AV61" s="300"/>
      <c r="AW61" s="300"/>
      <c r="AX61" s="300"/>
      <c r="AY61" s="300"/>
      <c r="AZ61" s="300"/>
      <c r="BA61" s="301"/>
      <c r="BP61" s="82"/>
      <c r="BQ61" s="73"/>
      <c r="BS61" s="68"/>
      <c r="BT61" s="73"/>
      <c r="BW61" s="73"/>
      <c r="BZ61" s="3"/>
    </row>
    <row r="62" spans="2:78" ht="17.25" hidden="1" thickTop="1" x14ac:dyDescent="0.25">
      <c r="L62" s="58"/>
      <c r="M62" s="58"/>
    </row>
    <row r="63" spans="2:78" ht="17.25" hidden="1" thickTop="1" x14ac:dyDescent="0.25">
      <c r="L63" s="58"/>
      <c r="M63" s="58"/>
    </row>
    <row r="64" spans="2:78" ht="17.25" hidden="1" thickTop="1" x14ac:dyDescent="0.25">
      <c r="J64" s="160"/>
      <c r="K64" s="161"/>
      <c r="L64" s="161"/>
      <c r="M64" s="161"/>
    </row>
    <row r="65" spans="4:16" ht="17.25" hidden="1" thickTop="1" x14ac:dyDescent="0.25">
      <c r="J65" s="160"/>
      <c r="K65" s="161"/>
      <c r="L65" s="161"/>
      <c r="M65" s="161"/>
    </row>
    <row r="66" spans="4:16" ht="17.25" hidden="1" thickTop="1" x14ac:dyDescent="0.25">
      <c r="J66" s="160"/>
      <c r="K66" s="161"/>
      <c r="L66" s="161"/>
      <c r="M66" s="161"/>
    </row>
    <row r="67" spans="4:16" ht="17.25" hidden="1" thickTop="1" x14ac:dyDescent="0.25">
      <c r="J67" s="160"/>
      <c r="K67" s="161"/>
      <c r="L67" s="161"/>
      <c r="M67" s="161"/>
      <c r="N67" s="160"/>
      <c r="O67" s="161"/>
      <c r="P67" s="161"/>
    </row>
    <row r="68" spans="4:16" ht="17.25" hidden="1" thickTop="1" x14ac:dyDescent="0.25">
      <c r="J68" s="160"/>
      <c r="K68" s="161"/>
      <c r="L68" s="161"/>
      <c r="M68" s="161"/>
    </row>
    <row r="69" spans="4:16" ht="17.25" hidden="1" thickTop="1" x14ac:dyDescent="0.25">
      <c r="J69" s="161"/>
      <c r="K69" s="161"/>
      <c r="L69" s="161"/>
      <c r="M69" s="161"/>
    </row>
    <row r="70" spans="4:16" ht="17.25" hidden="1" thickTop="1" x14ac:dyDescent="0.25">
      <c r="L70" s="58"/>
      <c r="M70" s="58"/>
    </row>
    <row r="71" spans="4:16" ht="17.25" hidden="1" thickTop="1" x14ac:dyDescent="0.25">
      <c r="L71" s="171"/>
      <c r="M71" s="171"/>
    </row>
    <row r="72" spans="4:16" ht="17.25" hidden="1" thickTop="1" x14ac:dyDescent="0.25"/>
    <row r="73" spans="4:16" ht="17.25" hidden="1" thickTop="1" x14ac:dyDescent="0.25"/>
    <row r="74" spans="4:16" ht="17.25" hidden="1" thickTop="1" x14ac:dyDescent="0.25">
      <c r="D74" s="59"/>
      <c r="E74" s="59"/>
      <c r="F74" s="59"/>
      <c r="G74" s="59"/>
      <c r="H74" s="59"/>
      <c r="I74" s="59"/>
    </row>
    <row r="75" spans="4:16" ht="17.25" hidden="1" thickTop="1" x14ac:dyDescent="0.25">
      <c r="D75" s="59"/>
      <c r="E75" s="59"/>
      <c r="F75" s="59"/>
      <c r="G75" s="59"/>
      <c r="H75" s="59"/>
      <c r="I75" s="59"/>
    </row>
    <row r="76" spans="4:16" ht="17.25" hidden="1" thickTop="1" x14ac:dyDescent="0.25">
      <c r="D76" s="59"/>
      <c r="E76" s="59"/>
      <c r="F76" s="59"/>
      <c r="G76" s="59"/>
      <c r="H76" s="59"/>
      <c r="I76" s="59"/>
    </row>
    <row r="77" spans="4:16" ht="17.25" hidden="1" thickTop="1" x14ac:dyDescent="0.25">
      <c r="D77" s="59"/>
      <c r="E77" s="59"/>
      <c r="F77" s="59"/>
      <c r="G77" s="59"/>
      <c r="H77" s="59"/>
      <c r="I77" s="59"/>
    </row>
    <row r="78" spans="4:16" ht="17.25" hidden="1" thickTop="1" x14ac:dyDescent="0.25">
      <c r="D78" s="59"/>
      <c r="E78" s="59"/>
      <c r="F78" s="60"/>
      <c r="G78" s="59"/>
      <c r="H78" s="59"/>
      <c r="I78" s="59"/>
    </row>
    <row r="79" spans="4:16" ht="15" hidden="1" customHeight="1" x14ac:dyDescent="0.25">
      <c r="D79" s="59"/>
      <c r="E79" s="59"/>
      <c r="F79" s="172"/>
      <c r="G79" s="172"/>
      <c r="H79" s="172"/>
      <c r="I79" s="59"/>
    </row>
    <row r="80" spans="4:16" ht="15" hidden="1" customHeight="1" x14ac:dyDescent="0.25">
      <c r="D80" s="59"/>
      <c r="E80" s="59"/>
      <c r="F80" s="172"/>
      <c r="G80" s="172"/>
      <c r="H80" s="172"/>
      <c r="I80" s="61"/>
      <c r="J80" s="62"/>
    </row>
    <row r="81" spans="4:9" ht="17.25" hidden="1" thickTop="1" x14ac:dyDescent="0.25">
      <c r="D81" s="59"/>
      <c r="E81" s="59"/>
      <c r="F81" s="59"/>
      <c r="G81" s="59"/>
      <c r="H81" s="59"/>
      <c r="I81" s="59"/>
    </row>
    <row r="82" spans="4:9" ht="17.25" hidden="1" thickTop="1" x14ac:dyDescent="0.25">
      <c r="D82" s="59"/>
      <c r="E82" s="59"/>
      <c r="F82" s="59"/>
      <c r="G82" s="59"/>
      <c r="H82" s="59"/>
      <c r="I82" s="59"/>
    </row>
    <row r="83" spans="4:9" ht="17.25" hidden="1" thickTop="1" x14ac:dyDescent="0.25">
      <c r="D83" s="59"/>
      <c r="E83" s="59"/>
      <c r="F83" s="59"/>
      <c r="G83" s="59"/>
      <c r="H83" s="59"/>
      <c r="I83" s="63"/>
    </row>
    <row r="84" spans="4:9" ht="17.25" hidden="1" thickTop="1" x14ac:dyDescent="0.25">
      <c r="D84" s="59"/>
      <c r="E84" s="59"/>
      <c r="F84" s="59"/>
      <c r="G84" s="59"/>
      <c r="H84" s="59"/>
      <c r="I84" s="59"/>
    </row>
  </sheetData>
  <mergeCells count="527">
    <mergeCell ref="AW13:BA14"/>
    <mergeCell ref="AM55:AQ55"/>
    <mergeCell ref="J69:M69"/>
    <mergeCell ref="L71:M71"/>
    <mergeCell ref="X18:Y18"/>
    <mergeCell ref="Z18:AB18"/>
    <mergeCell ref="AC18:AD18"/>
    <mergeCell ref="AE18:AG18"/>
    <mergeCell ref="X19:AB19"/>
    <mergeCell ref="AC19:AG19"/>
    <mergeCell ref="X20:AB20"/>
    <mergeCell ref="AC20:AG20"/>
    <mergeCell ref="X21:AB21"/>
    <mergeCell ref="AC21:AG21"/>
    <mergeCell ref="AA22:AB22"/>
    <mergeCell ref="AF22:AG22"/>
    <mergeCell ref="AF41:AG41"/>
    <mergeCell ref="AA42:AB42"/>
    <mergeCell ref="X52:AB52"/>
    <mergeCell ref="AC52:AG52"/>
    <mergeCell ref="X53:AB53"/>
    <mergeCell ref="I18:J18"/>
    <mergeCell ref="B61:BA61"/>
    <mergeCell ref="AR59:AV59"/>
    <mergeCell ref="F79:H80"/>
    <mergeCell ref="J66:M66"/>
    <mergeCell ref="J67:M67"/>
    <mergeCell ref="N67:P67"/>
    <mergeCell ref="J68:M68"/>
    <mergeCell ref="AA24:AB24"/>
    <mergeCell ref="AF24:AG24"/>
    <mergeCell ref="AA25:AB25"/>
    <mergeCell ref="AF25:AG25"/>
    <mergeCell ref="AA26:AB26"/>
    <mergeCell ref="AF26:AG26"/>
    <mergeCell ref="AA32:AB32"/>
    <mergeCell ref="AF32:AG32"/>
    <mergeCell ref="AA33:AB33"/>
    <mergeCell ref="AF33:AG33"/>
    <mergeCell ref="AA34:AB34"/>
    <mergeCell ref="AF34:AG34"/>
    <mergeCell ref="AA28:AB28"/>
    <mergeCell ref="AF28:AG28"/>
    <mergeCell ref="AA29:AB29"/>
    <mergeCell ref="AC53:AG53"/>
    <mergeCell ref="J64:M64"/>
    <mergeCell ref="J65:M65"/>
    <mergeCell ref="AF30:AG30"/>
    <mergeCell ref="AW59:BA59"/>
    <mergeCell ref="D60:H60"/>
    <mergeCell ref="I60:M60"/>
    <mergeCell ref="N60:R60"/>
    <mergeCell ref="S60:W60"/>
    <mergeCell ref="AH60:AL60"/>
    <mergeCell ref="AR60:AV60"/>
    <mergeCell ref="AW60:BA60"/>
    <mergeCell ref="B59:H59"/>
    <mergeCell ref="I59:M59"/>
    <mergeCell ref="N59:R59"/>
    <mergeCell ref="S59:W59"/>
    <mergeCell ref="AH59:AL59"/>
    <mergeCell ref="AM59:AQ59"/>
    <mergeCell ref="AM60:AQ60"/>
    <mergeCell ref="X59:AB59"/>
    <mergeCell ref="AM53:AQ53"/>
    <mergeCell ref="AR53:AV53"/>
    <mergeCell ref="AW53:BA53"/>
    <mergeCell ref="AC59:AG59"/>
    <mergeCell ref="AR56:AV56"/>
    <mergeCell ref="AW56:BA56"/>
    <mergeCell ref="B57:H57"/>
    <mergeCell ref="B58:H58"/>
    <mergeCell ref="AR58:BA58"/>
    <mergeCell ref="X56:AB56"/>
    <mergeCell ref="AC56:AG56"/>
    <mergeCell ref="B56:H56"/>
    <mergeCell ref="I56:M56"/>
    <mergeCell ref="N56:R56"/>
    <mergeCell ref="S56:W56"/>
    <mergeCell ref="AH56:AL56"/>
    <mergeCell ref="AM56:AQ56"/>
    <mergeCell ref="AM57:AQ57"/>
    <mergeCell ref="AM58:AQ58"/>
    <mergeCell ref="AR57:BA57"/>
    <mergeCell ref="I57:AL57"/>
    <mergeCell ref="I58:AL58"/>
    <mergeCell ref="AH55:AL55"/>
    <mergeCell ref="B55:H55"/>
    <mergeCell ref="AR55:AV55"/>
    <mergeCell ref="AW55:BA55"/>
    <mergeCell ref="G54:H54"/>
    <mergeCell ref="I54:M54"/>
    <mergeCell ref="N54:R54"/>
    <mergeCell ref="S54:W54"/>
    <mergeCell ref="AH54:AL54"/>
    <mergeCell ref="AM54:AQ54"/>
    <mergeCell ref="X54:AB54"/>
    <mergeCell ref="AC54:AG54"/>
    <mergeCell ref="X55:AB55"/>
    <mergeCell ref="AC55:AG55"/>
    <mergeCell ref="I55:M55"/>
    <mergeCell ref="N55:R55"/>
    <mergeCell ref="S55:W55"/>
    <mergeCell ref="AR54:AV54"/>
    <mergeCell ref="AW54:BA54"/>
    <mergeCell ref="AU51:AV51"/>
    <mergeCell ref="AZ51:BA51"/>
    <mergeCell ref="B52:F54"/>
    <mergeCell ref="G52:H52"/>
    <mergeCell ref="I52:M52"/>
    <mergeCell ref="N52:R52"/>
    <mergeCell ref="S52:W52"/>
    <mergeCell ref="AH52:AL52"/>
    <mergeCell ref="AM52:AQ52"/>
    <mergeCell ref="AR52:AV52"/>
    <mergeCell ref="C51:F51"/>
    <mergeCell ref="L51:M51"/>
    <mergeCell ref="Q51:R51"/>
    <mergeCell ref="V51:W51"/>
    <mergeCell ref="AK51:AL51"/>
    <mergeCell ref="AP51:AQ51"/>
    <mergeCell ref="AA51:AB51"/>
    <mergeCell ref="AF51:AG51"/>
    <mergeCell ref="AW52:BA52"/>
    <mergeCell ref="G53:H53"/>
    <mergeCell ref="I53:M53"/>
    <mergeCell ref="N53:R53"/>
    <mergeCell ref="S53:W53"/>
    <mergeCell ref="AH53:AL53"/>
    <mergeCell ref="AU49:AV49"/>
    <mergeCell ref="AZ49:BA49"/>
    <mergeCell ref="C50:F50"/>
    <mergeCell ref="L50:M50"/>
    <mergeCell ref="Q50:R50"/>
    <mergeCell ref="V50:W50"/>
    <mergeCell ref="AK50:AL50"/>
    <mergeCell ref="AP50:AQ50"/>
    <mergeCell ref="AU50:AV50"/>
    <mergeCell ref="AZ50:BA50"/>
    <mergeCell ref="C49:F49"/>
    <mergeCell ref="L49:M49"/>
    <mergeCell ref="Q49:R49"/>
    <mergeCell ref="V49:W49"/>
    <mergeCell ref="AK49:AL49"/>
    <mergeCell ref="AP49:AQ49"/>
    <mergeCell ref="AA49:AB49"/>
    <mergeCell ref="AF49:AG49"/>
    <mergeCell ref="AA50:AB50"/>
    <mergeCell ref="AF50:AG50"/>
    <mergeCell ref="AU47:AV47"/>
    <mergeCell ref="AZ47:BA47"/>
    <mergeCell ref="C48:F48"/>
    <mergeCell ref="L48:M48"/>
    <mergeCell ref="Q48:R48"/>
    <mergeCell ref="V48:W48"/>
    <mergeCell ref="AK48:AL48"/>
    <mergeCell ref="AP48:AQ48"/>
    <mergeCell ref="AU48:AV48"/>
    <mergeCell ref="AZ48:BA48"/>
    <mergeCell ref="C47:F47"/>
    <mergeCell ref="L47:M47"/>
    <mergeCell ref="Q47:R47"/>
    <mergeCell ref="V47:W47"/>
    <mergeCell ref="AK47:AL47"/>
    <mergeCell ref="AP47:AQ47"/>
    <mergeCell ref="AA47:AB47"/>
    <mergeCell ref="AF47:AG47"/>
    <mergeCell ref="AA48:AB48"/>
    <mergeCell ref="AF48:AG48"/>
    <mergeCell ref="AU45:AV45"/>
    <mergeCell ref="AZ45:BA45"/>
    <mergeCell ref="C46:F46"/>
    <mergeCell ref="L46:M46"/>
    <mergeCell ref="Q46:R46"/>
    <mergeCell ref="V46:W46"/>
    <mergeCell ref="AK46:AL46"/>
    <mergeCell ref="AP46:AQ46"/>
    <mergeCell ref="AU46:AV46"/>
    <mergeCell ref="AZ46:BA46"/>
    <mergeCell ref="C45:F45"/>
    <mergeCell ref="L45:M45"/>
    <mergeCell ref="Q45:R45"/>
    <mergeCell ref="V45:W45"/>
    <mergeCell ref="AK45:AL45"/>
    <mergeCell ref="AP45:AQ45"/>
    <mergeCell ref="AA45:AB45"/>
    <mergeCell ref="AF45:AG45"/>
    <mergeCell ref="AA46:AB46"/>
    <mergeCell ref="AF46:AG46"/>
    <mergeCell ref="AU43:AV43"/>
    <mergeCell ref="AZ43:BA43"/>
    <mergeCell ref="C44:F44"/>
    <mergeCell ref="L44:M44"/>
    <mergeCell ref="Q44:R44"/>
    <mergeCell ref="V44:W44"/>
    <mergeCell ref="AK44:AL44"/>
    <mergeCell ref="AP44:AQ44"/>
    <mergeCell ref="AU44:AV44"/>
    <mergeCell ref="AZ44:BA44"/>
    <mergeCell ref="C43:F43"/>
    <mergeCell ref="L43:M43"/>
    <mergeCell ref="Q43:R43"/>
    <mergeCell ref="V43:W43"/>
    <mergeCell ref="AK43:AL43"/>
    <mergeCell ref="AP43:AQ43"/>
    <mergeCell ref="AA43:AB43"/>
    <mergeCell ref="AF43:AG43"/>
    <mergeCell ref="AA44:AB44"/>
    <mergeCell ref="AF44:AG44"/>
    <mergeCell ref="AU41:AV41"/>
    <mergeCell ref="AZ41:BA41"/>
    <mergeCell ref="C42:F42"/>
    <mergeCell ref="L42:M42"/>
    <mergeCell ref="Q42:R42"/>
    <mergeCell ref="V42:W42"/>
    <mergeCell ref="AK42:AL42"/>
    <mergeCell ref="AP42:AQ42"/>
    <mergeCell ref="AU42:AV42"/>
    <mergeCell ref="AZ42:BA42"/>
    <mergeCell ref="C41:F41"/>
    <mergeCell ref="L41:M41"/>
    <mergeCell ref="Q41:R41"/>
    <mergeCell ref="V41:W41"/>
    <mergeCell ref="AK41:AL41"/>
    <mergeCell ref="AP41:AQ41"/>
    <mergeCell ref="AF42:AG42"/>
    <mergeCell ref="AA41:AB41"/>
    <mergeCell ref="AU39:AV39"/>
    <mergeCell ref="AZ39:BA39"/>
    <mergeCell ref="C40:F40"/>
    <mergeCell ref="L40:M40"/>
    <mergeCell ref="Q40:R40"/>
    <mergeCell ref="V40:W40"/>
    <mergeCell ref="AK40:AL40"/>
    <mergeCell ref="AP40:AQ40"/>
    <mergeCell ref="AU40:AV40"/>
    <mergeCell ref="AZ40:BA40"/>
    <mergeCell ref="C39:F39"/>
    <mergeCell ref="L39:M39"/>
    <mergeCell ref="Q39:R39"/>
    <mergeCell ref="V39:W39"/>
    <mergeCell ref="AK39:AL39"/>
    <mergeCell ref="AP39:AQ39"/>
    <mergeCell ref="AA39:AB39"/>
    <mergeCell ref="AF39:AG39"/>
    <mergeCell ref="AA40:AB40"/>
    <mergeCell ref="AF40:AG40"/>
    <mergeCell ref="AU37:AV37"/>
    <mergeCell ref="AZ37:BA37"/>
    <mergeCell ref="C38:F38"/>
    <mergeCell ref="L38:M38"/>
    <mergeCell ref="Q38:R38"/>
    <mergeCell ref="V38:W38"/>
    <mergeCell ref="AK38:AL38"/>
    <mergeCell ref="AP38:AQ38"/>
    <mergeCell ref="AU38:AV38"/>
    <mergeCell ref="AZ38:BA38"/>
    <mergeCell ref="C37:F37"/>
    <mergeCell ref="L37:M37"/>
    <mergeCell ref="Q37:R37"/>
    <mergeCell ref="V37:W37"/>
    <mergeCell ref="AK37:AL37"/>
    <mergeCell ref="AP37:AQ37"/>
    <mergeCell ref="AA37:AB37"/>
    <mergeCell ref="AF37:AG37"/>
    <mergeCell ref="AA38:AB38"/>
    <mergeCell ref="AF38:AG38"/>
    <mergeCell ref="AU35:AV35"/>
    <mergeCell ref="AZ35:BA35"/>
    <mergeCell ref="C36:F36"/>
    <mergeCell ref="L36:M36"/>
    <mergeCell ref="Q36:R36"/>
    <mergeCell ref="V36:W36"/>
    <mergeCell ref="AK36:AL36"/>
    <mergeCell ref="AP36:AQ36"/>
    <mergeCell ref="AU36:AV36"/>
    <mergeCell ref="AZ36:BA36"/>
    <mergeCell ref="C35:F35"/>
    <mergeCell ref="L35:M35"/>
    <mergeCell ref="Q35:R35"/>
    <mergeCell ref="V35:W35"/>
    <mergeCell ref="AK35:AL35"/>
    <mergeCell ref="AP35:AQ35"/>
    <mergeCell ref="AA35:AB35"/>
    <mergeCell ref="AF35:AG35"/>
    <mergeCell ref="AA36:AB36"/>
    <mergeCell ref="AF36:AG36"/>
    <mergeCell ref="AU33:AV33"/>
    <mergeCell ref="AZ33:BA33"/>
    <mergeCell ref="C34:F34"/>
    <mergeCell ref="L34:M34"/>
    <mergeCell ref="Q34:R34"/>
    <mergeCell ref="V34:W34"/>
    <mergeCell ref="AK34:AL34"/>
    <mergeCell ref="AP34:AQ34"/>
    <mergeCell ref="AU34:AV34"/>
    <mergeCell ref="AZ34:BA34"/>
    <mergeCell ref="C33:F33"/>
    <mergeCell ref="L33:M33"/>
    <mergeCell ref="Q33:R33"/>
    <mergeCell ref="V33:W33"/>
    <mergeCell ref="AK33:AL33"/>
    <mergeCell ref="AP33:AQ33"/>
    <mergeCell ref="AU31:AV31"/>
    <mergeCell ref="AZ31:BA31"/>
    <mergeCell ref="C32:F32"/>
    <mergeCell ref="L32:M32"/>
    <mergeCell ref="Q32:R32"/>
    <mergeCell ref="V32:W32"/>
    <mergeCell ref="AK32:AL32"/>
    <mergeCell ref="AP32:AQ32"/>
    <mergeCell ref="AU32:AV32"/>
    <mergeCell ref="AZ32:BA32"/>
    <mergeCell ref="C31:F31"/>
    <mergeCell ref="L31:M31"/>
    <mergeCell ref="Q31:R31"/>
    <mergeCell ref="V31:W31"/>
    <mergeCell ref="AK31:AL31"/>
    <mergeCell ref="AP31:AQ31"/>
    <mergeCell ref="AA31:AB31"/>
    <mergeCell ref="AF31:AG31"/>
    <mergeCell ref="AU29:AV29"/>
    <mergeCell ref="AZ29:BA29"/>
    <mergeCell ref="C30:F30"/>
    <mergeCell ref="L30:M30"/>
    <mergeCell ref="Q30:R30"/>
    <mergeCell ref="V30:W30"/>
    <mergeCell ref="AK30:AL30"/>
    <mergeCell ref="AP30:AQ30"/>
    <mergeCell ref="AU30:AV30"/>
    <mergeCell ref="AZ30:BA30"/>
    <mergeCell ref="C29:F29"/>
    <mergeCell ref="L29:M29"/>
    <mergeCell ref="Q29:R29"/>
    <mergeCell ref="V29:W29"/>
    <mergeCell ref="AK29:AL29"/>
    <mergeCell ref="AP29:AQ29"/>
    <mergeCell ref="AA30:AB30"/>
    <mergeCell ref="AF29:AG29"/>
    <mergeCell ref="AU27:AV27"/>
    <mergeCell ref="AZ27:BA27"/>
    <mergeCell ref="C28:F28"/>
    <mergeCell ref="L28:M28"/>
    <mergeCell ref="Q28:R28"/>
    <mergeCell ref="V28:W28"/>
    <mergeCell ref="AK28:AL28"/>
    <mergeCell ref="AP28:AQ28"/>
    <mergeCell ref="AU28:AV28"/>
    <mergeCell ref="AZ28:BA28"/>
    <mergeCell ref="C27:F27"/>
    <mergeCell ref="L27:M27"/>
    <mergeCell ref="Q27:R27"/>
    <mergeCell ref="V27:W27"/>
    <mergeCell ref="AK27:AL27"/>
    <mergeCell ref="AP27:AQ27"/>
    <mergeCell ref="AA27:AB27"/>
    <mergeCell ref="AF27:AG27"/>
    <mergeCell ref="AU25:AV25"/>
    <mergeCell ref="AZ25:BA25"/>
    <mergeCell ref="C26:F26"/>
    <mergeCell ref="L26:M26"/>
    <mergeCell ref="Q26:R26"/>
    <mergeCell ref="V26:W26"/>
    <mergeCell ref="AK26:AL26"/>
    <mergeCell ref="AP26:AQ26"/>
    <mergeCell ref="AU26:AV26"/>
    <mergeCell ref="AZ26:BA26"/>
    <mergeCell ref="C25:F25"/>
    <mergeCell ref="L25:M25"/>
    <mergeCell ref="Q25:R25"/>
    <mergeCell ref="V25:W25"/>
    <mergeCell ref="AK25:AL25"/>
    <mergeCell ref="AP25:AQ25"/>
    <mergeCell ref="AU23:AV23"/>
    <mergeCell ref="AZ23:BA23"/>
    <mergeCell ref="C24:F24"/>
    <mergeCell ref="L24:M24"/>
    <mergeCell ref="Q24:R24"/>
    <mergeCell ref="V24:W24"/>
    <mergeCell ref="AK24:AL24"/>
    <mergeCell ref="AP24:AQ24"/>
    <mergeCell ref="AU24:AV24"/>
    <mergeCell ref="AZ24:BA24"/>
    <mergeCell ref="C23:F23"/>
    <mergeCell ref="L23:M23"/>
    <mergeCell ref="Q23:R23"/>
    <mergeCell ref="V23:W23"/>
    <mergeCell ref="AK23:AL23"/>
    <mergeCell ref="AP23:AQ23"/>
    <mergeCell ref="AA23:AB23"/>
    <mergeCell ref="AF23:AG23"/>
    <mergeCell ref="C22:F22"/>
    <mergeCell ref="L22:M22"/>
    <mergeCell ref="Q22:R22"/>
    <mergeCell ref="V22:W22"/>
    <mergeCell ref="AK22:AL22"/>
    <mergeCell ref="AP22:AQ22"/>
    <mergeCell ref="AU22:AV22"/>
    <mergeCell ref="AZ22:BA22"/>
    <mergeCell ref="G21:H21"/>
    <mergeCell ref="I21:M21"/>
    <mergeCell ref="N21:R21"/>
    <mergeCell ref="S21:W21"/>
    <mergeCell ref="AH21:AL21"/>
    <mergeCell ref="AM21:AQ21"/>
    <mergeCell ref="BP19:BP22"/>
    <mergeCell ref="G20:H20"/>
    <mergeCell ref="I20:M20"/>
    <mergeCell ref="N20:R20"/>
    <mergeCell ref="S20:W20"/>
    <mergeCell ref="AH20:AL20"/>
    <mergeCell ref="AM20:AQ20"/>
    <mergeCell ref="AR20:AV20"/>
    <mergeCell ref="AW20:BA20"/>
    <mergeCell ref="BG20:BG22"/>
    <mergeCell ref="AR21:AV21"/>
    <mergeCell ref="AW21:BA21"/>
    <mergeCell ref="BJ20:BJ22"/>
    <mergeCell ref="BK20:BK22"/>
    <mergeCell ref="BH20:BH22"/>
    <mergeCell ref="BI20:BI22"/>
    <mergeCell ref="AR19:AV19"/>
    <mergeCell ref="AW19:BA19"/>
    <mergeCell ref="AM19:AQ19"/>
    <mergeCell ref="AH19:AL19"/>
    <mergeCell ref="BL20:BL22"/>
    <mergeCell ref="BM20:BM22"/>
    <mergeCell ref="BN20:BN22"/>
    <mergeCell ref="BO20:BO22"/>
    <mergeCell ref="N17:R17"/>
    <mergeCell ref="S17:W17"/>
    <mergeCell ref="X17:AB17"/>
    <mergeCell ref="AC17:AG17"/>
    <mergeCell ref="I16:M16"/>
    <mergeCell ref="N16:R16"/>
    <mergeCell ref="S16:W16"/>
    <mergeCell ref="G17:H17"/>
    <mergeCell ref="AY18:BA18"/>
    <mergeCell ref="AJ18:AL18"/>
    <mergeCell ref="AM18:AN18"/>
    <mergeCell ref="AO18:AQ18"/>
    <mergeCell ref="AR18:AS18"/>
    <mergeCell ref="AT18:AV18"/>
    <mergeCell ref="AW18:AX18"/>
    <mergeCell ref="AH17:AL17"/>
    <mergeCell ref="B4:F6"/>
    <mergeCell ref="B7:D7"/>
    <mergeCell ref="AR11:AV11"/>
    <mergeCell ref="AW11:BA11"/>
    <mergeCell ref="X11:AB11"/>
    <mergeCell ref="AC11:AG11"/>
    <mergeCell ref="AX7:BA7"/>
    <mergeCell ref="B8:D8"/>
    <mergeCell ref="AX8:BA8"/>
    <mergeCell ref="B9:D9"/>
    <mergeCell ref="B10:C10"/>
    <mergeCell ref="F10:H10"/>
    <mergeCell ref="F7:Q7"/>
    <mergeCell ref="F8:Q8"/>
    <mergeCell ref="F9:Q9"/>
    <mergeCell ref="G4:AY6"/>
    <mergeCell ref="S11:W11"/>
    <mergeCell ref="AH11:AL11"/>
    <mergeCell ref="AM11:AQ11"/>
    <mergeCell ref="AR17:AV17"/>
    <mergeCell ref="AW17:BA17"/>
    <mergeCell ref="AM17:AQ17"/>
    <mergeCell ref="AM16:AQ16"/>
    <mergeCell ref="AW15:BA15"/>
    <mergeCell ref="AW16:BA16"/>
    <mergeCell ref="B19:F20"/>
    <mergeCell ref="G19:H19"/>
    <mergeCell ref="I19:M19"/>
    <mergeCell ref="N19:R19"/>
    <mergeCell ref="S19:W19"/>
    <mergeCell ref="B18:E18"/>
    <mergeCell ref="AH16:AL16"/>
    <mergeCell ref="X15:AB15"/>
    <mergeCell ref="AC15:AG15"/>
    <mergeCell ref="X16:AB16"/>
    <mergeCell ref="G18:H18"/>
    <mergeCell ref="K18:M18"/>
    <mergeCell ref="N18:O18"/>
    <mergeCell ref="P18:R18"/>
    <mergeCell ref="S18:T18"/>
    <mergeCell ref="U18:W18"/>
    <mergeCell ref="AH18:AI18"/>
    <mergeCell ref="I17:M17"/>
    <mergeCell ref="AR16:AV16"/>
    <mergeCell ref="B11:F11"/>
    <mergeCell ref="G11:H12"/>
    <mergeCell ref="I11:M11"/>
    <mergeCell ref="N11:R11"/>
    <mergeCell ref="B12:F12"/>
    <mergeCell ref="J12:M12"/>
    <mergeCell ref="O12:R12"/>
    <mergeCell ref="T12:W12"/>
    <mergeCell ref="AI12:AL12"/>
    <mergeCell ref="AC16:AG16"/>
    <mergeCell ref="Y12:AB12"/>
    <mergeCell ref="AD12:AG12"/>
    <mergeCell ref="X13:AB14"/>
    <mergeCell ref="AC13:AG14"/>
    <mergeCell ref="BY21:BZ21"/>
    <mergeCell ref="BY22:BZ22"/>
    <mergeCell ref="BU22:BW22"/>
    <mergeCell ref="AN12:AQ12"/>
    <mergeCell ref="AS12:AV12"/>
    <mergeCell ref="AX12:BA12"/>
    <mergeCell ref="B13:F13"/>
    <mergeCell ref="G13:H14"/>
    <mergeCell ref="I13:M14"/>
    <mergeCell ref="N13:R14"/>
    <mergeCell ref="S13:W14"/>
    <mergeCell ref="AH13:AL14"/>
    <mergeCell ref="AM13:AQ14"/>
    <mergeCell ref="AR13:AV14"/>
    <mergeCell ref="B14:F16"/>
    <mergeCell ref="G15:H15"/>
    <mergeCell ref="I15:M15"/>
    <mergeCell ref="N15:R15"/>
    <mergeCell ref="S15:W15"/>
    <mergeCell ref="AH15:AL15"/>
    <mergeCell ref="AM15:AQ15"/>
    <mergeCell ref="AR15:AV15"/>
    <mergeCell ref="G16:H16"/>
    <mergeCell ref="BR22:BT22"/>
  </mergeCells>
  <conditionalFormatting sqref="I23:M51">
    <cfRule type="expression" dxfId="148" priority="9" stopIfTrue="1">
      <formula>$L23="No Quote"</formula>
    </cfRule>
  </conditionalFormatting>
  <conditionalFormatting sqref="K18">
    <cfRule type="expression" dxfId="147" priority="31" stopIfTrue="1">
      <formula>$I$18&gt;0</formula>
    </cfRule>
  </conditionalFormatting>
  <conditionalFormatting sqref="N23:R51">
    <cfRule type="expression" dxfId="146" priority="8" stopIfTrue="1">
      <formula>$Q23="No Quote"</formula>
    </cfRule>
  </conditionalFormatting>
  <conditionalFormatting sqref="P18">
    <cfRule type="expression" dxfId="145" priority="45" stopIfTrue="1">
      <formula>$N$18</formula>
    </cfRule>
    <cfRule type="expression" dxfId="144" priority="30" stopIfTrue="1">
      <formula>$N$18&gt;0</formula>
    </cfRule>
  </conditionalFormatting>
  <conditionalFormatting sqref="S23:S51 U23:W51">
    <cfRule type="expression" dxfId="143" priority="86" stopIfTrue="1">
      <formula>$V23="No Quote"</formula>
    </cfRule>
  </conditionalFormatting>
  <conditionalFormatting sqref="T23:T51">
    <cfRule type="expression" dxfId="142" priority="7" stopIfTrue="1">
      <formula>$L23="No Quote"</formula>
    </cfRule>
  </conditionalFormatting>
  <conditionalFormatting sqref="U18">
    <cfRule type="expression" dxfId="141" priority="44" stopIfTrue="1">
      <formula>$S$18&gt;0</formula>
    </cfRule>
  </conditionalFormatting>
  <conditionalFormatting sqref="X23:X51 Z23:AB51">
    <cfRule type="expression" dxfId="140" priority="63" stopIfTrue="1">
      <formula>$AA23="No Quote"</formula>
    </cfRule>
  </conditionalFormatting>
  <conditionalFormatting sqref="Y23:Y51">
    <cfRule type="expression" dxfId="139" priority="6" stopIfTrue="1">
      <formula>$Q23="No Quote"</formula>
    </cfRule>
  </conditionalFormatting>
  <conditionalFormatting sqref="Z18">
    <cfRule type="expression" dxfId="138" priority="43" stopIfTrue="1">
      <formula>$X$18&gt;0</formula>
    </cfRule>
  </conditionalFormatting>
  <conditionalFormatting sqref="AC23:AC51 AE23:AG51">
    <cfRule type="expression" dxfId="137" priority="56" stopIfTrue="1">
      <formula>$AF23="No Quote"</formula>
    </cfRule>
  </conditionalFormatting>
  <conditionalFormatting sqref="AD23:AD51">
    <cfRule type="expression" dxfId="136" priority="5" stopIfTrue="1">
      <formula>$L23="No Quote"</formula>
    </cfRule>
  </conditionalFormatting>
  <conditionalFormatting sqref="AE18">
    <cfRule type="expression" dxfId="135" priority="42" stopIfTrue="1">
      <formula>$AC$18&gt;0</formula>
    </cfRule>
  </conditionalFormatting>
  <conditionalFormatting sqref="AH23:AH51 AJ23:AL51">
    <cfRule type="expression" dxfId="134" priority="87" stopIfTrue="1">
      <formula>$AK23="No Quote"</formula>
    </cfRule>
  </conditionalFormatting>
  <conditionalFormatting sqref="AI23:AI51">
    <cfRule type="expression" dxfId="133" priority="4" stopIfTrue="1">
      <formula>$Q23="No Quote"</formula>
    </cfRule>
  </conditionalFormatting>
  <conditionalFormatting sqref="AJ18">
    <cfRule type="expression" dxfId="132" priority="41" stopIfTrue="1">
      <formula>$AH$18&gt;0</formula>
    </cfRule>
  </conditionalFormatting>
  <conditionalFormatting sqref="AM23:AM51 AO23:AQ51">
    <cfRule type="expression" dxfId="131" priority="85" stopIfTrue="1">
      <formula>$AP23="No Quote"</formula>
    </cfRule>
  </conditionalFormatting>
  <conditionalFormatting sqref="AN23:AN51">
    <cfRule type="expression" dxfId="130" priority="3" stopIfTrue="1">
      <formula>$L23="No Quote"</formula>
    </cfRule>
  </conditionalFormatting>
  <conditionalFormatting sqref="AO18">
    <cfRule type="expression" dxfId="129" priority="40" stopIfTrue="1">
      <formula>$AM$18&gt;0</formula>
    </cfRule>
  </conditionalFormatting>
  <conditionalFormatting sqref="AR23:AR51 AT23:AV51">
    <cfRule type="expression" dxfId="128" priority="84" stopIfTrue="1">
      <formula>$AU23="No Quote"</formula>
    </cfRule>
  </conditionalFormatting>
  <conditionalFormatting sqref="AS23:AS51">
    <cfRule type="expression" dxfId="127" priority="2" stopIfTrue="1">
      <formula>$Q23="No Quote"</formula>
    </cfRule>
  </conditionalFormatting>
  <conditionalFormatting sqref="AT18">
    <cfRule type="expression" dxfId="126" priority="39" stopIfTrue="1">
      <formula>$AR$18&gt;0</formula>
    </cfRule>
  </conditionalFormatting>
  <conditionalFormatting sqref="AW23:AW51 AY23:BA51">
    <cfRule type="expression" dxfId="125" priority="83" stopIfTrue="1">
      <formula>$AZ23="No Quote"</formula>
    </cfRule>
  </conditionalFormatting>
  <conditionalFormatting sqref="AX23:AX51">
    <cfRule type="expression" dxfId="124" priority="1" stopIfTrue="1">
      <formula>$L23="No Quote"</formula>
    </cfRule>
  </conditionalFormatting>
  <conditionalFormatting sqref="AY18">
    <cfRule type="expression" dxfId="123" priority="38" stopIfTrue="1">
      <formula>$AW$18&gt;0</formula>
    </cfRule>
  </conditionalFormatting>
  <conditionalFormatting sqref="BD23:BD51">
    <cfRule type="expression" dxfId="122" priority="24" stopIfTrue="1">
      <formula>$BD23&gt;$BP23</formula>
    </cfRule>
  </conditionalFormatting>
  <conditionalFormatting sqref="BG23:BG51">
    <cfRule type="expression" dxfId="121" priority="12" stopIfTrue="1">
      <formula>$BG23=$BP23</formula>
    </cfRule>
  </conditionalFormatting>
  <conditionalFormatting sqref="BG24:BO51">
    <cfRule type="expression" dxfId="120" priority="20" stopIfTrue="1">
      <formula>$BL24=$BU24</formula>
    </cfRule>
  </conditionalFormatting>
  <conditionalFormatting sqref="BH23:BH51">
    <cfRule type="expression" dxfId="119" priority="13" stopIfTrue="1">
      <formula>$BH23=$BP23</formula>
    </cfRule>
  </conditionalFormatting>
  <conditionalFormatting sqref="BI23:BI51">
    <cfRule type="expression" dxfId="118" priority="14" stopIfTrue="1">
      <formula>$BI23=$BP23</formula>
    </cfRule>
  </conditionalFormatting>
  <conditionalFormatting sqref="BJ23:BJ51">
    <cfRule type="expression" dxfId="117" priority="15" stopIfTrue="1">
      <formula>$BJ23=$BP23</formula>
    </cfRule>
  </conditionalFormatting>
  <conditionalFormatting sqref="BK23:BK51">
    <cfRule type="expression" dxfId="116" priority="16" stopIfTrue="1">
      <formula>$BK23=$BP23</formula>
    </cfRule>
  </conditionalFormatting>
  <conditionalFormatting sqref="BL23:BL51">
    <cfRule type="expression" dxfId="115" priority="17" stopIfTrue="1">
      <formula>$BL23=$BP23</formula>
    </cfRule>
  </conditionalFormatting>
  <conditionalFormatting sqref="BM23:BM51">
    <cfRule type="expression" dxfId="114" priority="18" stopIfTrue="1">
      <formula>$BM23=$BP23</formula>
    </cfRule>
  </conditionalFormatting>
  <conditionalFormatting sqref="BN23:BN51">
    <cfRule type="expression" dxfId="113" priority="19" stopIfTrue="1">
      <formula>$BN23=$BP23</formula>
    </cfRule>
  </conditionalFormatting>
  <conditionalFormatting sqref="BO23:BO51">
    <cfRule type="expression" dxfId="112" priority="22" stopIfTrue="1">
      <formula>$BO23=$BP23</formula>
    </cfRule>
  </conditionalFormatting>
  <dataValidations disablePrompts="1" count="3">
    <dataValidation type="list" allowBlank="1" showInputMessage="1" showErrorMessage="1" sqref="N59:R59" xr:uid="{50A58031-C3CF-45BE-9A3A-9F6413AAC288}">
      <formula1>"Zulkifli Bastiandi, Teuku Syamsul Rizal, Ifit Prabowo"</formula1>
    </dataValidation>
    <dataValidation type="list" allowBlank="1" showInputMessage="1" sqref="I21:BA21" xr:uid="{FF5C54BF-6F73-4329-B215-D339AACBCBE5}">
      <formula1>"MSW Tanjung, IBT Mekar Putih"</formula1>
    </dataValidation>
    <dataValidation type="list" allowBlank="1" showInputMessage="1" sqref="I20:BA20" xr:uid="{B98D0962-4FE1-4D70-A992-147BA71AFEEA}">
      <formula1>"Subject prior to sales"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3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5EA5-8855-4D22-8655-6569B016C6AD}">
  <sheetPr codeName="Sheet9">
    <pageSetUpPr fitToPage="1"/>
  </sheetPr>
  <dimension ref="A1:BT84"/>
  <sheetViews>
    <sheetView showGridLines="0" view="pageBreakPreview" zoomScale="55" zoomScaleNormal="55" zoomScaleSheetLayoutView="55" workbookViewId="0">
      <selection activeCell="B58" sqref="B58:H58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43" width="15.7109375" style="4" customWidth="1"/>
    <col min="44" max="46" width="10.7109375" style="4" customWidth="1"/>
    <col min="47" max="61" width="15.7109375" style="4" customWidth="1"/>
    <col min="62" max="62" width="15.7109375" style="59" customWidth="1"/>
    <col min="63" max="63" width="22" style="58" bestFit="1" customWidth="1"/>
    <col min="64" max="64" width="12" style="4" customWidth="1" outlineLevel="1"/>
    <col min="65" max="65" width="4.7109375" style="69" customWidth="1" outlineLevel="1"/>
    <col min="66" max="66" width="22" style="58" customWidth="1" outlineLevel="1"/>
    <col min="67" max="67" width="9.7109375" style="4" customWidth="1" outlineLevel="1"/>
    <col min="68" max="68" width="4.7109375" style="4" customWidth="1" outlineLevel="1"/>
    <col min="69" max="69" width="22" style="58" bestFit="1" customWidth="1" outlineLevel="1"/>
    <col min="70" max="70" width="9.28515625" customWidth="1"/>
    <col min="71" max="71" width="9.28515625" style="4" customWidth="1"/>
    <col min="72" max="72" width="20.7109375" style="5" customWidth="1"/>
    <col min="73" max="16384" width="9.28515625" style="4" hidden="1"/>
  </cols>
  <sheetData>
    <row r="1" spans="2:72" s="1" customFormat="1" ht="13.5" x14ac:dyDescent="0.25">
      <c r="D1" s="2"/>
      <c r="U1" s="3"/>
      <c r="BJ1" s="82"/>
      <c r="BK1" s="73"/>
      <c r="BM1" s="68"/>
      <c r="BN1" s="73"/>
      <c r="BQ1" s="73"/>
      <c r="BT1" s="3"/>
    </row>
    <row r="2" spans="2:72" s="1" customFormat="1" ht="13.5" x14ac:dyDescent="0.25">
      <c r="D2" s="2"/>
      <c r="U2" s="3"/>
      <c r="BJ2" s="82"/>
      <c r="BK2" s="73"/>
      <c r="BM2" s="68"/>
      <c r="BN2" s="73"/>
      <c r="BQ2" s="73"/>
      <c r="BT2" s="3"/>
    </row>
    <row r="3" spans="2:72" ht="17.25" thickBot="1" x14ac:dyDescent="0.3"/>
    <row r="4" spans="2:72" ht="20.100000000000001" customHeight="1" thickTop="1" x14ac:dyDescent="0.25">
      <c r="B4" s="272" t="s">
        <v>2</v>
      </c>
      <c r="C4" s="273"/>
      <c r="D4" s="273"/>
      <c r="E4" s="273"/>
      <c r="F4" s="273"/>
      <c r="G4" s="276" t="s">
        <v>3</v>
      </c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6"/>
      <c r="AV4" s="7"/>
    </row>
    <row r="5" spans="2:72" ht="20.100000000000001" customHeight="1" x14ac:dyDescent="0.25">
      <c r="B5" s="274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8"/>
      <c r="AV5" s="9"/>
    </row>
    <row r="6" spans="2:72" ht="20.100000000000001" customHeight="1" x14ac:dyDescent="0.25">
      <c r="B6" s="274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8"/>
      <c r="AV6" s="9"/>
    </row>
    <row r="7" spans="2:72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U7" s="13"/>
      <c r="AP7" s="14"/>
      <c r="AQ7" s="15"/>
      <c r="AS7" s="278" t="s">
        <v>6</v>
      </c>
      <c r="AT7" s="278"/>
      <c r="AU7" s="278"/>
      <c r="AV7" s="279"/>
      <c r="BJ7" s="83"/>
      <c r="BK7" s="76"/>
      <c r="BM7" s="70"/>
      <c r="BN7" s="76"/>
      <c r="BQ7" s="76"/>
      <c r="BT7" s="13"/>
    </row>
    <row r="8" spans="2:72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U8" s="13"/>
      <c r="AP8" s="16"/>
      <c r="AQ8" s="15"/>
      <c r="AS8" s="256">
        <f ca="1">TODAY()</f>
        <v>46231</v>
      </c>
      <c r="AT8" s="256"/>
      <c r="AU8" s="256"/>
      <c r="AV8" s="257"/>
      <c r="BJ8" s="83"/>
      <c r="BK8" s="76"/>
      <c r="BM8" s="70"/>
      <c r="BN8" s="76"/>
      <c r="BQ8" s="76"/>
      <c r="BT8" s="13"/>
    </row>
    <row r="9" spans="2:72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U9" s="13"/>
      <c r="AR9" s="10"/>
      <c r="AS9" s="17"/>
      <c r="AT9" s="17"/>
      <c r="AU9" s="17"/>
      <c r="AV9" s="18"/>
      <c r="BJ9" s="83"/>
      <c r="BK9" s="76"/>
      <c r="BM9" s="70"/>
      <c r="BN9" s="76"/>
      <c r="BQ9" s="76"/>
      <c r="BT9" s="13"/>
    </row>
    <row r="10" spans="2:72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AV10" s="21"/>
    </row>
    <row r="11" spans="2:72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 t="shared" ref="S11" si="0">N11+1</f>
        <v>3</v>
      </c>
      <c r="T11" s="252"/>
      <c r="U11" s="252"/>
      <c r="V11" s="252"/>
      <c r="W11" s="253"/>
      <c r="X11" s="251">
        <f t="shared" ref="X11" si="1">S11+1</f>
        <v>4</v>
      </c>
      <c r="Y11" s="252"/>
      <c r="Z11" s="252"/>
      <c r="AA11" s="252"/>
      <c r="AB11" s="253"/>
      <c r="AC11" s="251">
        <f>X11+1</f>
        <v>5</v>
      </c>
      <c r="AD11" s="252"/>
      <c r="AE11" s="252"/>
      <c r="AF11" s="252"/>
      <c r="AG11" s="253"/>
      <c r="AH11" s="251">
        <f t="shared" ref="AH11" si="2">AC11+1</f>
        <v>6</v>
      </c>
      <c r="AI11" s="252"/>
      <c r="AJ11" s="252"/>
      <c r="AK11" s="252"/>
      <c r="AL11" s="253"/>
      <c r="AM11" s="251">
        <f t="shared" ref="AM11" si="3">AH11+1</f>
        <v>7</v>
      </c>
      <c r="AN11" s="252"/>
      <c r="AO11" s="252"/>
      <c r="AP11" s="252"/>
      <c r="AQ11" s="253"/>
      <c r="AR11" s="251">
        <f t="shared" ref="AR11" si="4">AM11+1</f>
        <v>8</v>
      </c>
      <c r="AS11" s="252"/>
      <c r="AT11" s="252"/>
      <c r="AU11" s="252"/>
      <c r="AV11" s="280"/>
      <c r="BJ11" s="82"/>
      <c r="BK11" s="73"/>
      <c r="BM11" s="68"/>
      <c r="BN11" s="73"/>
      <c r="BQ11" s="73"/>
      <c r="BT11" s="3"/>
    </row>
    <row r="12" spans="2:72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 t="s">
        <v>51</v>
      </c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7"/>
      <c r="X12" s="22"/>
      <c r="Y12" s="140"/>
      <c r="Z12" s="140"/>
      <c r="AA12" s="140"/>
      <c r="AB12" s="147"/>
      <c r="AC12" s="22"/>
      <c r="AD12" s="140"/>
      <c r="AE12" s="140"/>
      <c r="AF12" s="140"/>
      <c r="AG12" s="147"/>
      <c r="AH12" s="22"/>
      <c r="AI12" s="140"/>
      <c r="AJ12" s="140"/>
      <c r="AK12" s="140"/>
      <c r="AL12" s="147"/>
      <c r="AM12" s="22"/>
      <c r="AN12" s="140"/>
      <c r="AO12" s="140"/>
      <c r="AP12" s="140"/>
      <c r="AQ12" s="147"/>
      <c r="AR12" s="22"/>
      <c r="AS12" s="140"/>
      <c r="AT12" s="140"/>
      <c r="AU12" s="140"/>
      <c r="AV12" s="141"/>
      <c r="BB12" s="3"/>
      <c r="BC12" s="3"/>
      <c r="BJ12" s="82"/>
      <c r="BK12" s="73"/>
      <c r="BM12" s="68"/>
      <c r="BN12" s="73"/>
      <c r="BQ12" s="73"/>
      <c r="BT12" s="3"/>
    </row>
    <row r="13" spans="2:72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48"/>
      <c r="X13" s="128">
        <v>0</v>
      </c>
      <c r="Y13" s="129"/>
      <c r="Z13" s="129"/>
      <c r="AA13" s="129"/>
      <c r="AB13" s="148"/>
      <c r="AC13" s="128">
        <v>0</v>
      </c>
      <c r="AD13" s="129"/>
      <c r="AE13" s="129"/>
      <c r="AF13" s="129"/>
      <c r="AG13" s="148"/>
      <c r="AH13" s="128">
        <v>0</v>
      </c>
      <c r="AI13" s="129"/>
      <c r="AJ13" s="129"/>
      <c r="AK13" s="129"/>
      <c r="AL13" s="148"/>
      <c r="AM13" s="128">
        <v>0</v>
      </c>
      <c r="AN13" s="129"/>
      <c r="AO13" s="129"/>
      <c r="AP13" s="129"/>
      <c r="AQ13" s="148"/>
      <c r="AR13" s="128">
        <v>0</v>
      </c>
      <c r="AS13" s="129"/>
      <c r="AT13" s="129"/>
      <c r="AU13" s="129"/>
      <c r="AV13" s="130"/>
      <c r="BJ13" s="82"/>
      <c r="BK13" s="73"/>
      <c r="BM13" s="68"/>
      <c r="BN13" s="73"/>
      <c r="BQ13" s="73"/>
      <c r="BT13" s="3"/>
    </row>
    <row r="14" spans="2:72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49"/>
      <c r="X14" s="131"/>
      <c r="Y14" s="132"/>
      <c r="Z14" s="132"/>
      <c r="AA14" s="132"/>
      <c r="AB14" s="149"/>
      <c r="AC14" s="131"/>
      <c r="AD14" s="132"/>
      <c r="AE14" s="132"/>
      <c r="AF14" s="132"/>
      <c r="AG14" s="149"/>
      <c r="AH14" s="131"/>
      <c r="AI14" s="132"/>
      <c r="AJ14" s="132"/>
      <c r="AK14" s="132"/>
      <c r="AL14" s="149"/>
      <c r="AM14" s="131"/>
      <c r="AN14" s="132"/>
      <c r="AO14" s="132"/>
      <c r="AP14" s="132"/>
      <c r="AQ14" s="149"/>
      <c r="AR14" s="131"/>
      <c r="AS14" s="132"/>
      <c r="AT14" s="132"/>
      <c r="AU14" s="132"/>
      <c r="AV14" s="133"/>
      <c r="BJ14" s="82"/>
      <c r="BK14" s="73"/>
      <c r="BM14" s="68"/>
      <c r="BN14" s="73"/>
      <c r="BQ14" s="73"/>
      <c r="BT14" s="3"/>
    </row>
    <row r="15" spans="2:72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50"/>
      <c r="X15" s="134"/>
      <c r="Y15" s="135"/>
      <c r="Z15" s="135"/>
      <c r="AA15" s="135"/>
      <c r="AB15" s="150"/>
      <c r="AC15" s="134"/>
      <c r="AD15" s="135"/>
      <c r="AE15" s="135"/>
      <c r="AF15" s="135"/>
      <c r="AG15" s="150"/>
      <c r="AH15" s="134"/>
      <c r="AI15" s="135"/>
      <c r="AJ15" s="135"/>
      <c r="AK15" s="135"/>
      <c r="AL15" s="150"/>
      <c r="AM15" s="134"/>
      <c r="AN15" s="135"/>
      <c r="AO15" s="135"/>
      <c r="AP15" s="135"/>
      <c r="AQ15" s="150"/>
      <c r="AR15" s="134"/>
      <c r="AS15" s="135"/>
      <c r="AT15" s="135"/>
      <c r="AU15" s="135"/>
      <c r="AV15" s="136"/>
      <c r="BJ15" s="82"/>
      <c r="BK15" s="73"/>
      <c r="BM15" s="68"/>
      <c r="BN15" s="73"/>
      <c r="BQ15" s="73"/>
      <c r="BT15" s="3"/>
    </row>
    <row r="16" spans="2:72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51"/>
      <c r="X16" s="137" t="s">
        <v>51</v>
      </c>
      <c r="Y16" s="138"/>
      <c r="Z16" s="138"/>
      <c r="AA16" s="138"/>
      <c r="AB16" s="151"/>
      <c r="AC16" s="137" t="s">
        <v>51</v>
      </c>
      <c r="AD16" s="138"/>
      <c r="AE16" s="138"/>
      <c r="AF16" s="138"/>
      <c r="AG16" s="151"/>
      <c r="AH16" s="137" t="s">
        <v>51</v>
      </c>
      <c r="AI16" s="138"/>
      <c r="AJ16" s="138"/>
      <c r="AK16" s="138"/>
      <c r="AL16" s="151"/>
      <c r="AM16" s="137" t="s">
        <v>51</v>
      </c>
      <c r="AN16" s="138"/>
      <c r="AO16" s="138"/>
      <c r="AP16" s="138"/>
      <c r="AQ16" s="151"/>
      <c r="AR16" s="137" t="s">
        <v>51</v>
      </c>
      <c r="AS16" s="138"/>
      <c r="AT16" s="138"/>
      <c r="AU16" s="138"/>
      <c r="AV16" s="139"/>
      <c r="BJ16" s="82"/>
      <c r="BK16" s="73"/>
      <c r="BM16" s="68"/>
      <c r="BN16" s="73"/>
      <c r="BQ16" s="73"/>
      <c r="BT16" s="3"/>
    </row>
    <row r="17" spans="2:72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7"/>
      <c r="X17" s="302"/>
      <c r="Y17" s="303"/>
      <c r="Z17" s="303"/>
      <c r="AA17" s="303"/>
      <c r="AB17" s="304"/>
      <c r="AC17" s="239"/>
      <c r="AD17" s="240"/>
      <c r="AE17" s="240"/>
      <c r="AF17" s="240"/>
      <c r="AG17" s="247"/>
      <c r="AH17" s="239"/>
      <c r="AI17" s="240"/>
      <c r="AJ17" s="240"/>
      <c r="AK17" s="240"/>
      <c r="AL17" s="247"/>
      <c r="AM17" s="239"/>
      <c r="AN17" s="240"/>
      <c r="AO17" s="240"/>
      <c r="AP17" s="240"/>
      <c r="AQ17" s="247"/>
      <c r="AR17" s="239"/>
      <c r="AS17" s="240"/>
      <c r="AT17" s="240"/>
      <c r="AU17" s="240"/>
      <c r="AV17" s="241"/>
      <c r="BJ17" s="82"/>
      <c r="BK17" s="73"/>
      <c r="BM17" s="68"/>
      <c r="BN17" s="73"/>
      <c r="BQ17" s="73"/>
      <c r="BT17" s="3"/>
    </row>
    <row r="18" spans="2:72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5"/>
      <c r="X18" s="242" t="str">
        <f>IF(X12="","",IF(X12="NV","","30"))</f>
        <v/>
      </c>
      <c r="Y18" s="243"/>
      <c r="Z18" s="244" t="str">
        <f>IFERROR(IF(X17+X18="","",X17+X18),"")</f>
        <v/>
      </c>
      <c r="AA18" s="244"/>
      <c r="AB18" s="245"/>
      <c r="AC18" s="242" t="str">
        <f>IF(AC12="","",IF(AC12="NV","","30"))</f>
        <v/>
      </c>
      <c r="AD18" s="243"/>
      <c r="AE18" s="244" t="str">
        <f>IFERROR(IF(AC17+AC18="","",AC17+AC18),"")</f>
        <v/>
      </c>
      <c r="AF18" s="244"/>
      <c r="AG18" s="245"/>
      <c r="AH18" s="242" t="str">
        <f>IF(AH12="","",IF(AH12="NV","","30"))</f>
        <v/>
      </c>
      <c r="AI18" s="243"/>
      <c r="AJ18" s="244" t="str">
        <f>IFERROR(IF(AH17+AH18="","",AH17+AH18),"")</f>
        <v/>
      </c>
      <c r="AK18" s="244"/>
      <c r="AL18" s="245"/>
      <c r="AM18" s="242" t="str">
        <f>IF(AM12="","",IF(AM12="NV","","30"))</f>
        <v/>
      </c>
      <c r="AN18" s="243"/>
      <c r="AO18" s="244" t="str">
        <f>IFERROR(IF(AM17+AM18="","",AM17+AM18),"")</f>
        <v/>
      </c>
      <c r="AP18" s="244"/>
      <c r="AQ18" s="245"/>
      <c r="AR18" s="242" t="str">
        <f>IF(AR12="","",IF(AR12="NV","","30"))</f>
        <v/>
      </c>
      <c r="AS18" s="243"/>
      <c r="AT18" s="244" t="str">
        <f>IFERROR(IF(AR17+AR18="","",AR17+AR18),"")</f>
        <v/>
      </c>
      <c r="AU18" s="244"/>
      <c r="AV18" s="246"/>
      <c r="BJ18" s="82"/>
      <c r="BK18" s="73"/>
      <c r="BM18" s="68"/>
      <c r="BN18" s="73"/>
      <c r="BQ18" s="73"/>
      <c r="BT18" s="3"/>
    </row>
    <row r="19" spans="2:72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159"/>
      <c r="X19" s="227" t="str">
        <f>IF(X12="NV","",IF(X12="","-","45 days"))</f>
        <v>-</v>
      </c>
      <c r="Y19" s="124"/>
      <c r="Z19" s="124"/>
      <c r="AA19" s="124"/>
      <c r="AB19" s="159"/>
      <c r="AC19" s="227" t="str">
        <f>IF(AC12="NV","",IF(AC12="","-","45 days"))</f>
        <v>-</v>
      </c>
      <c r="AD19" s="124"/>
      <c r="AE19" s="124"/>
      <c r="AF19" s="124"/>
      <c r="AG19" s="159"/>
      <c r="AH19" s="227" t="str">
        <f>IF(AH12="NV","",IF(AH12="","-","45 days"))</f>
        <v>-</v>
      </c>
      <c r="AI19" s="124"/>
      <c r="AJ19" s="124"/>
      <c r="AK19" s="124"/>
      <c r="AL19" s="159"/>
      <c r="AM19" s="227" t="str">
        <f>IF(AM12="NV","",IF(AM12="","-","45 days"))</f>
        <v>-</v>
      </c>
      <c r="AN19" s="124"/>
      <c r="AO19" s="124"/>
      <c r="AP19" s="124"/>
      <c r="AQ19" s="159"/>
      <c r="AR19" s="227" t="str">
        <f>IF(AR12="NV","",IF(AR12="","-","45 days"))</f>
        <v>-</v>
      </c>
      <c r="AS19" s="124"/>
      <c r="AT19" s="124"/>
      <c r="AU19" s="124"/>
      <c r="AV19" s="228"/>
      <c r="BB19" s="25">
        <v>1</v>
      </c>
      <c r="BC19" s="25">
        <f>BB19+1</f>
        <v>2</v>
      </c>
      <c r="BD19" s="25">
        <f t="shared" ref="BD19:BI19" si="5">BC19+1</f>
        <v>3</v>
      </c>
      <c r="BE19" s="25">
        <f t="shared" si="5"/>
        <v>4</v>
      </c>
      <c r="BF19" s="25">
        <f>BE19+1</f>
        <v>5</v>
      </c>
      <c r="BG19" s="25">
        <f t="shared" si="5"/>
        <v>6</v>
      </c>
      <c r="BH19" s="25">
        <f t="shared" si="5"/>
        <v>7</v>
      </c>
      <c r="BI19" s="25">
        <f t="shared" si="5"/>
        <v>8</v>
      </c>
      <c r="BJ19" s="125" t="s">
        <v>18</v>
      </c>
      <c r="BK19" s="73"/>
      <c r="BM19" s="68"/>
      <c r="BN19" s="73"/>
      <c r="BQ19" s="73"/>
      <c r="BT19" s="3"/>
    </row>
    <row r="20" spans="2:72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159"/>
      <c r="X20" s="227" t="s">
        <v>50</v>
      </c>
      <c r="Y20" s="124"/>
      <c r="Z20" s="124"/>
      <c r="AA20" s="124"/>
      <c r="AB20" s="159"/>
      <c r="AC20" s="227" t="s">
        <v>50</v>
      </c>
      <c r="AD20" s="124"/>
      <c r="AE20" s="124"/>
      <c r="AF20" s="124"/>
      <c r="AG20" s="159"/>
      <c r="AH20" s="227" t="s">
        <v>50</v>
      </c>
      <c r="AI20" s="124"/>
      <c r="AJ20" s="124"/>
      <c r="AK20" s="124"/>
      <c r="AL20" s="159"/>
      <c r="AM20" s="227" t="s">
        <v>50</v>
      </c>
      <c r="AN20" s="124"/>
      <c r="AO20" s="124"/>
      <c r="AP20" s="124"/>
      <c r="AQ20" s="159"/>
      <c r="AR20" s="227" t="s">
        <v>50</v>
      </c>
      <c r="AS20" s="124"/>
      <c r="AT20" s="124"/>
      <c r="AU20" s="124"/>
      <c r="AV20" s="228"/>
      <c r="BB20" s="223">
        <f>J12</f>
        <v>0</v>
      </c>
      <c r="BC20" s="223">
        <f>O12</f>
        <v>0</v>
      </c>
      <c r="BD20" s="223">
        <f>T12</f>
        <v>0</v>
      </c>
      <c r="BE20" s="223">
        <f>Y12</f>
        <v>0</v>
      </c>
      <c r="BF20" s="223">
        <f>AD12</f>
        <v>0</v>
      </c>
      <c r="BG20" s="223">
        <f>AI12</f>
        <v>0</v>
      </c>
      <c r="BH20" s="223">
        <f>AN12</f>
        <v>0</v>
      </c>
      <c r="BI20" s="223">
        <f>AS12</f>
        <v>0</v>
      </c>
      <c r="BJ20" s="126"/>
      <c r="BT20" s="3"/>
    </row>
    <row r="21" spans="2:72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 t="str">
        <f>IF(J12="","","MSW Tanjung")</f>
        <v/>
      </c>
      <c r="J21" s="155"/>
      <c r="K21" s="155"/>
      <c r="L21" s="155"/>
      <c r="M21" s="156"/>
      <c r="N21" s="154" t="str">
        <f>IF(O12="","","MSW Tanjung")</f>
        <v/>
      </c>
      <c r="O21" s="155"/>
      <c r="P21" s="155"/>
      <c r="Q21" s="155"/>
      <c r="R21" s="156"/>
      <c r="S21" s="154" t="str">
        <f>IF(T12="","","MSW Tanjung")</f>
        <v/>
      </c>
      <c r="T21" s="155"/>
      <c r="U21" s="155"/>
      <c r="V21" s="155"/>
      <c r="W21" s="156"/>
      <c r="X21" s="154" t="str">
        <f>IF(Y12="","","MSW Tanjung")</f>
        <v/>
      </c>
      <c r="Y21" s="155"/>
      <c r="Z21" s="155"/>
      <c r="AA21" s="155"/>
      <c r="AB21" s="156"/>
      <c r="AC21" s="154" t="str">
        <f>IF(AD12="","","MSW Tanjung")</f>
        <v/>
      </c>
      <c r="AD21" s="155"/>
      <c r="AE21" s="155"/>
      <c r="AF21" s="155"/>
      <c r="AG21" s="156"/>
      <c r="AH21" s="154" t="str">
        <f>IF(AI12="","","MSW Tanjung")</f>
        <v/>
      </c>
      <c r="AI21" s="155"/>
      <c r="AJ21" s="155"/>
      <c r="AK21" s="155"/>
      <c r="AL21" s="156"/>
      <c r="AM21" s="154" t="str">
        <f>IF(AN12="","","MSW Tanjung")</f>
        <v/>
      </c>
      <c r="AN21" s="155"/>
      <c r="AO21" s="155"/>
      <c r="AP21" s="155"/>
      <c r="AQ21" s="156"/>
      <c r="AR21" s="154" t="str">
        <f>IF(AS12="","","MSW Tanjung")</f>
        <v/>
      </c>
      <c r="AS21" s="155"/>
      <c r="AT21" s="155"/>
      <c r="AU21" s="155"/>
      <c r="AV21" s="222"/>
      <c r="AW21" s="50"/>
      <c r="AX21" s="50"/>
      <c r="BB21" s="223"/>
      <c r="BC21" s="223"/>
      <c r="BD21" s="223"/>
      <c r="BE21" s="223"/>
      <c r="BF21" s="223"/>
      <c r="BG21" s="223"/>
      <c r="BH21" s="223"/>
      <c r="BI21" s="223"/>
      <c r="BJ21" s="126"/>
      <c r="BK21" s="73"/>
      <c r="BM21" s="68"/>
      <c r="BN21" s="73"/>
      <c r="BQ21" s="73"/>
      <c r="BS21" s="123">
        <f>SUM(BS23:BS35)</f>
        <v>0</v>
      </c>
      <c r="BT21" s="124"/>
    </row>
    <row r="22" spans="2:72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2" t="s">
        <v>26</v>
      </c>
      <c r="O22" s="30" t="s">
        <v>18</v>
      </c>
      <c r="P22" s="33" t="s">
        <v>27</v>
      </c>
      <c r="Q22" s="220" t="s">
        <v>28</v>
      </c>
      <c r="R22" s="233"/>
      <c r="S22" s="34" t="s">
        <v>26</v>
      </c>
      <c r="T22" s="30" t="s">
        <v>18</v>
      </c>
      <c r="U22" s="35" t="s">
        <v>27</v>
      </c>
      <c r="V22" s="220" t="s">
        <v>28</v>
      </c>
      <c r="W22" s="221"/>
      <c r="X22" s="32" t="s">
        <v>26</v>
      </c>
      <c r="Y22" s="30" t="s">
        <v>18</v>
      </c>
      <c r="Z22" s="33" t="s">
        <v>27</v>
      </c>
      <c r="AA22" s="305" t="s">
        <v>28</v>
      </c>
      <c r="AB22" s="306"/>
      <c r="AC22" s="36" t="s">
        <v>26</v>
      </c>
      <c r="AD22" s="30" t="s">
        <v>18</v>
      </c>
      <c r="AE22" s="35" t="s">
        <v>27</v>
      </c>
      <c r="AF22" s="220" t="s">
        <v>28</v>
      </c>
      <c r="AG22" s="221"/>
      <c r="AH22" s="36" t="s">
        <v>26</v>
      </c>
      <c r="AI22" s="30" t="s">
        <v>18</v>
      </c>
      <c r="AJ22" s="35" t="s">
        <v>27</v>
      </c>
      <c r="AK22" s="220" t="s">
        <v>28</v>
      </c>
      <c r="AL22" s="221"/>
      <c r="AM22" s="36" t="s">
        <v>26</v>
      </c>
      <c r="AN22" s="30" t="s">
        <v>18</v>
      </c>
      <c r="AO22" s="35" t="s">
        <v>27</v>
      </c>
      <c r="AP22" s="220" t="s">
        <v>28</v>
      </c>
      <c r="AQ22" s="221"/>
      <c r="AR22" s="37" t="s">
        <v>26</v>
      </c>
      <c r="AS22" s="38" t="s">
        <v>18</v>
      </c>
      <c r="AT22" s="39" t="s">
        <v>27</v>
      </c>
      <c r="AU22" s="229" t="s">
        <v>28</v>
      </c>
      <c r="AV22" s="230"/>
      <c r="AW22" s="40" t="s">
        <v>29</v>
      </c>
      <c r="AX22" s="40" t="s">
        <v>0</v>
      </c>
      <c r="AY22" s="40" t="s">
        <v>30</v>
      </c>
      <c r="AZ22" s="40" t="s">
        <v>31</v>
      </c>
      <c r="BA22" s="117" t="s">
        <v>1</v>
      </c>
      <c r="BB22" s="223"/>
      <c r="BC22" s="223"/>
      <c r="BD22" s="223"/>
      <c r="BE22" s="223"/>
      <c r="BF22" s="223"/>
      <c r="BG22" s="223"/>
      <c r="BH22" s="223"/>
      <c r="BI22" s="223"/>
      <c r="BJ22" s="127"/>
      <c r="BK22" s="79" t="s">
        <v>32</v>
      </c>
      <c r="BL22" s="219" t="s">
        <v>33</v>
      </c>
      <c r="BM22" s="219"/>
      <c r="BN22" s="219"/>
      <c r="BO22" s="219" t="s">
        <v>34</v>
      </c>
      <c r="BP22" s="219"/>
      <c r="BQ22" s="219"/>
      <c r="BS22" s="142" t="s">
        <v>35</v>
      </c>
      <c r="BT22" s="143"/>
    </row>
    <row r="23" spans="2:72" s="1" customFormat="1" ht="61.5" customHeight="1" x14ac:dyDescent="0.25">
      <c r="B23" s="41">
        <v>1</v>
      </c>
      <c r="C23" s="218"/>
      <c r="D23" s="218"/>
      <c r="E23" s="218"/>
      <c r="F23" s="218"/>
      <c r="G23" s="42"/>
      <c r="H23" s="43"/>
      <c r="I23" s="44"/>
      <c r="J23" s="45" t="str">
        <f>IF($G23="","",$G23*I23)</f>
        <v/>
      </c>
      <c r="K23" s="93"/>
      <c r="L23" s="152" t="str">
        <f>IF($I23="","No Quote",IF($K23="","","No Comply"))</f>
        <v>No Quote</v>
      </c>
      <c r="M23" s="153"/>
      <c r="N23" s="44"/>
      <c r="O23" s="45" t="str">
        <f>IF($G23="","",$G23*N23)</f>
        <v/>
      </c>
      <c r="P23" s="93"/>
      <c r="Q23" s="152" t="str">
        <f>IF($N23="","No Quote",IF($P23="","","No Comply"))</f>
        <v>No Quote</v>
      </c>
      <c r="R23" s="153"/>
      <c r="S23" s="44"/>
      <c r="T23" s="45" t="str">
        <f>IF($G23="","",$G23*S23)</f>
        <v/>
      </c>
      <c r="U23" s="92"/>
      <c r="V23" s="152" t="str">
        <f>IF($S23="","No Quote",IF($U23="","","No Comply"))</f>
        <v>No Quote</v>
      </c>
      <c r="W23" s="153"/>
      <c r="X23" s="44"/>
      <c r="Y23" s="45" t="str">
        <f>IF($G23="","",$G23*X23)</f>
        <v/>
      </c>
      <c r="Z23" s="93"/>
      <c r="AA23" s="307" t="str">
        <f>IF($X23="","No Quote",IF($Z23="","","No Comply"))</f>
        <v>No Quote</v>
      </c>
      <c r="AB23" s="308"/>
      <c r="AC23" s="44"/>
      <c r="AD23" s="45" t="str">
        <f>IF($G23="","",$G23*AC23)</f>
        <v/>
      </c>
      <c r="AE23" s="92"/>
      <c r="AF23" s="152" t="str">
        <f>IF($AC23="","No Quote",IF(AE23="","","No Comply"))</f>
        <v>No Quote</v>
      </c>
      <c r="AG23" s="153"/>
      <c r="AH23" s="44"/>
      <c r="AI23" s="45" t="str">
        <f>IF($G23="","",$G23*AH23)</f>
        <v/>
      </c>
      <c r="AJ23" s="92"/>
      <c r="AK23" s="152" t="str">
        <f>IF($AH23="","No Quote",IF($AJ23="","","No Comply"))</f>
        <v>No Quote</v>
      </c>
      <c r="AL23" s="153"/>
      <c r="AM23" s="44"/>
      <c r="AN23" s="45" t="str">
        <f>IF($G23="","",$G23*AM23)</f>
        <v/>
      </c>
      <c r="AO23" s="92"/>
      <c r="AP23" s="152" t="str">
        <f>IF($AM23="","No Quote",IF($AO23="","","No Comply"))</f>
        <v>No Quote</v>
      </c>
      <c r="AQ23" s="153"/>
      <c r="AR23" s="44"/>
      <c r="AS23" s="45" t="str">
        <f>IF($G23="","",$G23*AR23)</f>
        <v/>
      </c>
      <c r="AT23" s="92"/>
      <c r="AU23" s="212" t="str">
        <f>IF($AR23="","No Quote",IF($AT23="","","No Comply"))</f>
        <v>No Quote</v>
      </c>
      <c r="AV23" s="213"/>
      <c r="AW23" s="90"/>
      <c r="AX23" s="96"/>
      <c r="AY23" s="66" t="str">
        <f>IF(AW23="","",$AW23*$G23)</f>
        <v/>
      </c>
      <c r="AZ23" s="95"/>
      <c r="BA23" s="95"/>
      <c r="BB23" s="80" t="str">
        <f>IF(OR(K23="X",J23=""),"-",J23)</f>
        <v>-</v>
      </c>
      <c r="BC23" s="94" t="str">
        <f>IF(OR(P23="X",O23=""),"-",O23)</f>
        <v>-</v>
      </c>
      <c r="BD23" s="80" t="str">
        <f>IF(OR(U23="X",T23=""),"-",T23)</f>
        <v>-</v>
      </c>
      <c r="BE23" s="80" t="str">
        <f>IF(OR(Z23="X",Y23=""),"-",Y23)</f>
        <v>-</v>
      </c>
      <c r="BF23" s="80" t="str">
        <f>IF(OR(AE23="X",AD23=""),"-",AD23)</f>
        <v>-</v>
      </c>
      <c r="BG23" s="80" t="str">
        <f>IF(OR(AJ23="X",AI23=""),"-",AI23)</f>
        <v>-</v>
      </c>
      <c r="BH23" s="80" t="str">
        <f>IF(OR(AO23="X",AN23=""),"-",AN23)</f>
        <v>-</v>
      </c>
      <c r="BI23" s="80" t="str">
        <f>IF(OR(AT23="X",AS23=""),"-",AS23)</f>
        <v>-</v>
      </c>
      <c r="BJ23" s="81" t="str">
        <f t="shared" ref="BJ23:BJ52" si="6">IFERROR(SMALL($BB23:$BI23,COUNTIF($BB23:$BI23,0)+1),"")</f>
        <v/>
      </c>
      <c r="BK23" s="77" t="str">
        <f>IF(BJ23=BB23,$BB$20,IF(BJ23=BC23,$BC$20,IF(BJ23=BD23,$BD$20,IF(BJ23=BE23,$BE$20,IF(BJ23=BF23,$BF$20,IF(BJ23=BG23,$BG$20,IF(BJ23=BH23,$BH$20,IF(BJ23=BI23,$BI$20,""))))))))</f>
        <v/>
      </c>
      <c r="BL23" s="75" t="str">
        <f t="shared" ref="BL23:BL52" si="7">IFERROR(SMALL($BB23:$BI23,2),"")</f>
        <v/>
      </c>
      <c r="BM23" s="74" t="str">
        <f>IFERROR(IF(($BL23-$BJ23)/$BJ23&lt;0%,"",($BL23-$BJ23)/$BJ23),"")</f>
        <v/>
      </c>
      <c r="BN23" s="77" t="str">
        <f>IFERROR(IF(BL23="","",IF(BL23=BB23,$BB$20,IF(BL23=BC23,$BC$20,IF(BL23=BD23,$BD$20,IF(BL23=BE23,$BE$20,IF(BL23=BF23,$BF$20,IF(BL23=BG23,$BG$20,IF(BL23=BH23,$BH$20,IF(BL23=BI23,$BI$20,""))))))))),"")</f>
        <v/>
      </c>
      <c r="BO23" s="75" t="str">
        <f t="shared" ref="BO23:BO52" si="8">IFERROR(SMALL($BB23:$BI23,3),"")</f>
        <v/>
      </c>
      <c r="BP23" s="74" t="str">
        <f>IFERROR(IF((BO23-$BJ23)/$BJ23&lt;0%,"",(BO23-$BJ23)/$BJ23),"")</f>
        <v/>
      </c>
      <c r="BQ23" s="77" t="str">
        <f>IFERROR(IF(BO23="","",IF(BO23=BB23,$BB$20,IF(BO23=BC23,$BC$20,IF(BO23=BD23,$BD$20,IF(BO23=BE23,$BE$20,IF(BO23=BF23,$BF$20,IF(BO23=BG23,$BG$20,IF(BO23=BH23,$BH$20,IF(BO23=BI23,$BI$20,""))))))))),"")</f>
        <v/>
      </c>
      <c r="BS23" s="104">
        <f>SUMIFS($BJ$23:$BJ$51,$BK$23:$BK$51,BT23)</f>
        <v>0</v>
      </c>
      <c r="BT23" s="105"/>
    </row>
    <row r="24" spans="2:72" s="1" customFormat="1" ht="61.5" customHeight="1" x14ac:dyDescent="0.25">
      <c r="B24" s="41">
        <f>B23+1</f>
        <v>2</v>
      </c>
      <c r="C24" s="218"/>
      <c r="D24" s="218"/>
      <c r="E24" s="218"/>
      <c r="F24" s="218"/>
      <c r="G24" s="42"/>
      <c r="H24" s="43"/>
      <c r="I24" s="44"/>
      <c r="J24" s="45" t="str">
        <f t="shared" ref="J24:J51" si="9">IF($G24="","",$G24*I24)</f>
        <v/>
      </c>
      <c r="K24" s="93"/>
      <c r="L24" s="152" t="str">
        <f t="shared" ref="L24:L51" si="10">IF($I24="","No Quote",IF($K24="","","No Comply"))</f>
        <v>No Quote</v>
      </c>
      <c r="M24" s="153"/>
      <c r="N24" s="44"/>
      <c r="O24" s="45" t="str">
        <f t="shared" ref="O24:O51" si="11">IF($G24="","",$G24*N24)</f>
        <v/>
      </c>
      <c r="P24" s="93"/>
      <c r="Q24" s="152" t="str">
        <f t="shared" ref="Q24:Q51" si="12">IF($N24="","No Quote",IF($P24="","","No Comply"))</f>
        <v>No Quote</v>
      </c>
      <c r="R24" s="153"/>
      <c r="S24" s="44"/>
      <c r="T24" s="45" t="str">
        <f t="shared" ref="T24:T51" si="13">IF($G24="","",$G24*S24)</f>
        <v/>
      </c>
      <c r="U24" s="92"/>
      <c r="V24" s="152" t="str">
        <f t="shared" ref="V24:V51" si="14">IF($S24="","No Quote",IF($U24="","","No Comply"))</f>
        <v>No Quote</v>
      </c>
      <c r="W24" s="153"/>
      <c r="X24" s="44"/>
      <c r="Y24" s="45" t="str">
        <f t="shared" ref="Y24:Y51" si="15">IF($G24="","",$G24*X24)</f>
        <v/>
      </c>
      <c r="Z24" s="93"/>
      <c r="AA24" s="212" t="str">
        <f t="shared" ref="AA24:AA51" si="16">IF($X24="","No Quote",IF($Z24="","","No Comply"))</f>
        <v>No Quote</v>
      </c>
      <c r="AB24" s="309"/>
      <c r="AC24" s="44"/>
      <c r="AD24" s="45" t="str">
        <f t="shared" ref="AD24:AD51" si="17">IF($G24="","",$G24*AC24)</f>
        <v/>
      </c>
      <c r="AE24" s="92"/>
      <c r="AF24" s="152" t="str">
        <f t="shared" ref="AF24:AF51" si="18">IF($AC24="","No Quote",IF(AE24="","","No Comply"))</f>
        <v>No Quote</v>
      </c>
      <c r="AG24" s="153"/>
      <c r="AH24" s="44"/>
      <c r="AI24" s="45" t="str">
        <f t="shared" ref="AI24:AI51" si="19">IF($G24="","",$G24*AH24)</f>
        <v/>
      </c>
      <c r="AJ24" s="92"/>
      <c r="AK24" s="152" t="str">
        <f t="shared" ref="AK24:AK51" si="20">IF($AH24="","No Quote",IF($AJ24="","","No Comply"))</f>
        <v>No Quote</v>
      </c>
      <c r="AL24" s="153"/>
      <c r="AM24" s="44"/>
      <c r="AN24" s="45" t="str">
        <f t="shared" ref="AN24:AN51" si="21">IF($G24="","",$G24*AM24)</f>
        <v/>
      </c>
      <c r="AO24" s="92"/>
      <c r="AP24" s="152" t="str">
        <f t="shared" ref="AP24:AP51" si="22">IF($AM24="","No Quote",IF($AO24="","","No Comply"))</f>
        <v>No Quote</v>
      </c>
      <c r="AQ24" s="153"/>
      <c r="AR24" s="44"/>
      <c r="AS24" s="45" t="str">
        <f t="shared" ref="AS24:AS51" si="23">IF($G24="","",$G24*AR24)</f>
        <v/>
      </c>
      <c r="AT24" s="92"/>
      <c r="AU24" s="212" t="str">
        <f t="shared" ref="AU24:AU51" si="24">IF($AR24="","No Quote",IF($AT24="","","No Comply"))</f>
        <v>No Quote</v>
      </c>
      <c r="AV24" s="213"/>
      <c r="AW24" s="90"/>
      <c r="AX24" s="96"/>
      <c r="AY24" s="66" t="str">
        <f t="shared" ref="AY24:AY51" si="25">IF(AW24="","",$AW24*$G24)</f>
        <v/>
      </c>
      <c r="AZ24" s="95"/>
      <c r="BA24" s="95"/>
      <c r="BB24" s="80" t="str">
        <f t="shared" ref="BB24:BB51" si="26">IF(OR(K24="X",J24=""),"-",J24)</f>
        <v>-</v>
      </c>
      <c r="BC24" s="80" t="str">
        <f t="shared" ref="BC24:BC51" si="27">IF(OR(P24="X",O24=""),"-",O24)</f>
        <v>-</v>
      </c>
      <c r="BD24" s="80" t="str">
        <f t="shared" ref="BD24:BD51" si="28">IF(OR(U24="X",T24=""),"-",T24)</f>
        <v>-</v>
      </c>
      <c r="BE24" s="80" t="str">
        <f t="shared" ref="BE24:BE51" si="29">IF(OR(Z24="X",Y24=""),"-",Y24)</f>
        <v>-</v>
      </c>
      <c r="BF24" s="80" t="str">
        <f t="shared" ref="BF24:BF51" si="30">IF(OR(AE24="X",AD24=""),"-",AD24)</f>
        <v>-</v>
      </c>
      <c r="BG24" s="80" t="str">
        <f t="shared" ref="BG24:BG51" si="31">IF(OR(AJ24="X",AI24=""),"-",AI24)</f>
        <v>-</v>
      </c>
      <c r="BH24" s="80" t="str">
        <f t="shared" ref="BH24:BH51" si="32">IF(OR(AO24="X",AN24=""),"-",AN24)</f>
        <v>-</v>
      </c>
      <c r="BI24" s="80" t="str">
        <f t="shared" ref="BI24:BI51" si="33">IF(OR(AT24="X",AS24=""),"-",AS24)</f>
        <v>-</v>
      </c>
      <c r="BJ24" s="81" t="str">
        <f t="shared" si="6"/>
        <v/>
      </c>
      <c r="BK24" s="77" t="str">
        <f t="shared" ref="BK24:BK51" si="34">IF(BJ24=BB24,$BB$20,IF(BJ24=BC24,$BC$20,IF(BJ24=BD24,$BD$20,IF(BJ24=BE24,$BE$20,IF(BJ24=BF24,$BF$20,IF(BJ24=BG24,$BG$20,IF(BJ24=BH24,$BH$20,IF(BJ24=BI24,$BI$20,""))))))))</f>
        <v/>
      </c>
      <c r="BL24" s="75" t="str">
        <f t="shared" si="7"/>
        <v/>
      </c>
      <c r="BM24" s="74" t="str">
        <f t="shared" ref="BM24:BM52" si="35">IFERROR(IF(($BL24-$BJ24)/$BJ24&lt;0%,"",($BL24-$BJ24)/$BJ24),"")</f>
        <v/>
      </c>
      <c r="BN24" s="77" t="str">
        <f t="shared" ref="BN24:BN51" si="36">IFERROR(IF(BL24="","",IF(BL24=BB24,$BB$20,IF(BL24=BC24,$BC$20,IF(BL24=BD24,$BD$20,IF(BL24=BE24,$BE$20,IF(BL24=BF24,$BF$20,IF(BL24=BG24,$BG$20,IF(BL24=BH24,$BH$20,IF(BL24=BI24,$BI$20,""))))))))),"")</f>
        <v/>
      </c>
      <c r="BO24" s="75" t="str">
        <f t="shared" si="8"/>
        <v/>
      </c>
      <c r="BP24" s="74" t="str">
        <f t="shared" ref="BP24:BP51" si="37">IFERROR(IF((BO24-$BJ24)/$BJ24&lt;0%,"",(BO24-$BJ24)/$BJ24),"")</f>
        <v/>
      </c>
      <c r="BQ24" s="77" t="str">
        <f t="shared" ref="BQ24:BQ51" si="38">IFERROR(IF(BO24="","",IF(BO24=BB24,$BB$20,IF(BO24=BC24,$BC$20,IF(BO24=BD24,$BD$20,IF(BO24=BE24,$BE$20,IF(BO24=BF24,$BF$20,IF(BO24=BG24,$BG$20,IF(BO24=BH24,$BH$20,IF(BO24=BI24,$BI$20,""))))))))),"")</f>
        <v/>
      </c>
      <c r="BS24" s="104">
        <f t="shared" ref="BS24:BS35" si="39">SUMIFS($BJ$23:$BJ$51,$BK$23:$BK$51,BT24)</f>
        <v>0</v>
      </c>
      <c r="BT24" s="106"/>
    </row>
    <row r="25" spans="2:72" s="1" customFormat="1" ht="61.5" customHeight="1" x14ac:dyDescent="0.25">
      <c r="B25" s="41">
        <f t="shared" ref="B25:B51" si="40">B24+1</f>
        <v>3</v>
      </c>
      <c r="C25" s="218"/>
      <c r="D25" s="218"/>
      <c r="E25" s="218"/>
      <c r="F25" s="218"/>
      <c r="G25" s="42"/>
      <c r="H25" s="43"/>
      <c r="I25" s="44"/>
      <c r="J25" s="45" t="str">
        <f t="shared" si="9"/>
        <v/>
      </c>
      <c r="K25" s="93"/>
      <c r="L25" s="152" t="str">
        <f t="shared" si="10"/>
        <v>No Quote</v>
      </c>
      <c r="M25" s="153"/>
      <c r="N25" s="44"/>
      <c r="O25" s="45" t="str">
        <f t="shared" si="11"/>
        <v/>
      </c>
      <c r="P25" s="93"/>
      <c r="Q25" s="152" t="str">
        <f t="shared" si="12"/>
        <v>No Quote</v>
      </c>
      <c r="R25" s="153"/>
      <c r="S25" s="44"/>
      <c r="T25" s="45" t="str">
        <f t="shared" si="13"/>
        <v/>
      </c>
      <c r="U25" s="92"/>
      <c r="V25" s="152" t="str">
        <f t="shared" si="14"/>
        <v>No Quote</v>
      </c>
      <c r="W25" s="153"/>
      <c r="X25" s="44"/>
      <c r="Y25" s="45" t="str">
        <f t="shared" si="15"/>
        <v/>
      </c>
      <c r="Z25" s="93"/>
      <c r="AA25" s="212" t="str">
        <f t="shared" si="16"/>
        <v>No Quote</v>
      </c>
      <c r="AB25" s="309"/>
      <c r="AC25" s="44"/>
      <c r="AD25" s="45" t="str">
        <f t="shared" si="17"/>
        <v/>
      </c>
      <c r="AE25" s="92"/>
      <c r="AF25" s="152" t="str">
        <f t="shared" si="18"/>
        <v>No Quote</v>
      </c>
      <c r="AG25" s="153"/>
      <c r="AH25" s="44"/>
      <c r="AI25" s="45" t="str">
        <f t="shared" si="19"/>
        <v/>
      </c>
      <c r="AJ25" s="92"/>
      <c r="AK25" s="152" t="str">
        <f t="shared" si="20"/>
        <v>No Quote</v>
      </c>
      <c r="AL25" s="153"/>
      <c r="AM25" s="44"/>
      <c r="AN25" s="45" t="str">
        <f t="shared" si="21"/>
        <v/>
      </c>
      <c r="AO25" s="92"/>
      <c r="AP25" s="152" t="str">
        <f t="shared" si="22"/>
        <v>No Quote</v>
      </c>
      <c r="AQ25" s="153"/>
      <c r="AR25" s="44"/>
      <c r="AS25" s="45" t="str">
        <f t="shared" si="23"/>
        <v/>
      </c>
      <c r="AT25" s="92"/>
      <c r="AU25" s="212" t="str">
        <f t="shared" si="24"/>
        <v>No Quote</v>
      </c>
      <c r="AV25" s="213"/>
      <c r="AW25" s="90"/>
      <c r="AX25" s="96"/>
      <c r="AY25" s="66" t="str">
        <f t="shared" si="25"/>
        <v/>
      </c>
      <c r="AZ25" s="95"/>
      <c r="BA25" s="95"/>
      <c r="BB25" s="80" t="str">
        <f t="shared" si="26"/>
        <v>-</v>
      </c>
      <c r="BC25" s="80" t="str">
        <f t="shared" si="27"/>
        <v>-</v>
      </c>
      <c r="BD25" s="80" t="str">
        <f t="shared" si="28"/>
        <v>-</v>
      </c>
      <c r="BE25" s="80" t="str">
        <f t="shared" si="29"/>
        <v>-</v>
      </c>
      <c r="BF25" s="80" t="str">
        <f t="shared" si="30"/>
        <v>-</v>
      </c>
      <c r="BG25" s="80" t="str">
        <f t="shared" si="31"/>
        <v>-</v>
      </c>
      <c r="BH25" s="80" t="str">
        <f t="shared" si="32"/>
        <v>-</v>
      </c>
      <c r="BI25" s="80" t="str">
        <f t="shared" si="33"/>
        <v>-</v>
      </c>
      <c r="BJ25" s="81" t="str">
        <f t="shared" si="6"/>
        <v/>
      </c>
      <c r="BK25" s="77" t="str">
        <f t="shared" si="34"/>
        <v/>
      </c>
      <c r="BL25" s="75" t="str">
        <f t="shared" si="7"/>
        <v/>
      </c>
      <c r="BM25" s="74" t="str">
        <f t="shared" si="35"/>
        <v/>
      </c>
      <c r="BN25" s="77" t="str">
        <f t="shared" si="36"/>
        <v/>
      </c>
      <c r="BO25" s="75" t="str">
        <f t="shared" si="8"/>
        <v/>
      </c>
      <c r="BP25" s="74" t="str">
        <f t="shared" si="37"/>
        <v/>
      </c>
      <c r="BQ25" s="77" t="str">
        <f t="shared" si="38"/>
        <v/>
      </c>
      <c r="BS25" s="104">
        <f t="shared" si="39"/>
        <v>0</v>
      </c>
      <c r="BT25" s="106"/>
    </row>
    <row r="26" spans="2:72" s="1" customFormat="1" ht="61.5" customHeight="1" x14ac:dyDescent="0.25">
      <c r="B26" s="41">
        <f t="shared" si="40"/>
        <v>4</v>
      </c>
      <c r="C26" s="218"/>
      <c r="D26" s="218"/>
      <c r="E26" s="218"/>
      <c r="F26" s="218"/>
      <c r="G26" s="42"/>
      <c r="H26" s="43"/>
      <c r="I26" s="44"/>
      <c r="J26" s="45" t="str">
        <f t="shared" si="9"/>
        <v/>
      </c>
      <c r="K26" s="93"/>
      <c r="L26" s="152" t="str">
        <f t="shared" si="10"/>
        <v>No Quote</v>
      </c>
      <c r="M26" s="153"/>
      <c r="N26" s="44"/>
      <c r="O26" s="45" t="str">
        <f t="shared" si="11"/>
        <v/>
      </c>
      <c r="P26" s="93"/>
      <c r="Q26" s="152" t="str">
        <f t="shared" si="12"/>
        <v>No Quote</v>
      </c>
      <c r="R26" s="153"/>
      <c r="S26" s="44"/>
      <c r="T26" s="45" t="str">
        <f t="shared" si="13"/>
        <v/>
      </c>
      <c r="U26" s="92"/>
      <c r="V26" s="152" t="str">
        <f t="shared" si="14"/>
        <v>No Quote</v>
      </c>
      <c r="W26" s="153"/>
      <c r="X26" s="44"/>
      <c r="Y26" s="45" t="str">
        <f t="shared" si="15"/>
        <v/>
      </c>
      <c r="Z26" s="93"/>
      <c r="AA26" s="212" t="str">
        <f t="shared" si="16"/>
        <v>No Quote</v>
      </c>
      <c r="AB26" s="309"/>
      <c r="AC26" s="44"/>
      <c r="AD26" s="45" t="str">
        <f t="shared" si="17"/>
        <v/>
      </c>
      <c r="AE26" s="92"/>
      <c r="AF26" s="152" t="str">
        <f t="shared" si="18"/>
        <v>No Quote</v>
      </c>
      <c r="AG26" s="153"/>
      <c r="AH26" s="44"/>
      <c r="AI26" s="45" t="str">
        <f t="shared" si="19"/>
        <v/>
      </c>
      <c r="AJ26" s="92"/>
      <c r="AK26" s="152" t="str">
        <f t="shared" si="20"/>
        <v>No Quote</v>
      </c>
      <c r="AL26" s="153"/>
      <c r="AM26" s="44"/>
      <c r="AN26" s="45" t="str">
        <f t="shared" si="21"/>
        <v/>
      </c>
      <c r="AO26" s="92"/>
      <c r="AP26" s="152" t="str">
        <f t="shared" si="22"/>
        <v>No Quote</v>
      </c>
      <c r="AQ26" s="153"/>
      <c r="AR26" s="44"/>
      <c r="AS26" s="45" t="str">
        <f t="shared" si="23"/>
        <v/>
      </c>
      <c r="AT26" s="92"/>
      <c r="AU26" s="212" t="str">
        <f t="shared" si="24"/>
        <v>No Quote</v>
      </c>
      <c r="AV26" s="213"/>
      <c r="AW26" s="90"/>
      <c r="AX26" s="96"/>
      <c r="AY26" s="66" t="str">
        <f t="shared" si="25"/>
        <v/>
      </c>
      <c r="AZ26" s="95"/>
      <c r="BA26" s="95"/>
      <c r="BB26" s="80" t="str">
        <f t="shared" si="26"/>
        <v>-</v>
      </c>
      <c r="BC26" s="80" t="str">
        <f t="shared" si="27"/>
        <v>-</v>
      </c>
      <c r="BD26" s="80" t="str">
        <f t="shared" si="28"/>
        <v>-</v>
      </c>
      <c r="BE26" s="80" t="str">
        <f t="shared" si="29"/>
        <v>-</v>
      </c>
      <c r="BF26" s="80" t="str">
        <f t="shared" si="30"/>
        <v>-</v>
      </c>
      <c r="BG26" s="80" t="str">
        <f t="shared" si="31"/>
        <v>-</v>
      </c>
      <c r="BH26" s="80" t="str">
        <f t="shared" si="32"/>
        <v>-</v>
      </c>
      <c r="BI26" s="80" t="str">
        <f t="shared" si="33"/>
        <v>-</v>
      </c>
      <c r="BJ26" s="81" t="str">
        <f t="shared" si="6"/>
        <v/>
      </c>
      <c r="BK26" s="77" t="str">
        <f t="shared" si="34"/>
        <v/>
      </c>
      <c r="BL26" s="75" t="str">
        <f t="shared" si="7"/>
        <v/>
      </c>
      <c r="BM26" s="74" t="str">
        <f t="shared" si="35"/>
        <v/>
      </c>
      <c r="BN26" s="77" t="str">
        <f t="shared" si="36"/>
        <v/>
      </c>
      <c r="BO26" s="75" t="str">
        <f t="shared" si="8"/>
        <v/>
      </c>
      <c r="BP26" s="74" t="str">
        <f t="shared" si="37"/>
        <v/>
      </c>
      <c r="BQ26" s="77" t="str">
        <f t="shared" si="38"/>
        <v/>
      </c>
      <c r="BS26" s="104">
        <f t="shared" si="39"/>
        <v>0</v>
      </c>
      <c r="BT26" s="106"/>
    </row>
    <row r="27" spans="2:72" s="1" customFormat="1" ht="61.5" customHeight="1" x14ac:dyDescent="0.25">
      <c r="B27" s="41">
        <f t="shared" si="40"/>
        <v>5</v>
      </c>
      <c r="C27" s="218"/>
      <c r="D27" s="218"/>
      <c r="E27" s="218"/>
      <c r="F27" s="218"/>
      <c r="G27" s="42"/>
      <c r="H27" s="43"/>
      <c r="I27" s="44"/>
      <c r="J27" s="45" t="str">
        <f t="shared" si="9"/>
        <v/>
      </c>
      <c r="K27" s="93"/>
      <c r="L27" s="152" t="str">
        <f t="shared" si="10"/>
        <v>No Quote</v>
      </c>
      <c r="M27" s="153"/>
      <c r="N27" s="44"/>
      <c r="O27" s="45" t="str">
        <f t="shared" si="11"/>
        <v/>
      </c>
      <c r="P27" s="93"/>
      <c r="Q27" s="152" t="str">
        <f t="shared" si="12"/>
        <v>No Quote</v>
      </c>
      <c r="R27" s="153"/>
      <c r="S27" s="44"/>
      <c r="T27" s="45" t="str">
        <f t="shared" si="13"/>
        <v/>
      </c>
      <c r="U27" s="92"/>
      <c r="V27" s="152" t="str">
        <f t="shared" si="14"/>
        <v>No Quote</v>
      </c>
      <c r="W27" s="153"/>
      <c r="X27" s="44"/>
      <c r="Y27" s="45" t="str">
        <f t="shared" si="15"/>
        <v/>
      </c>
      <c r="Z27" s="93"/>
      <c r="AA27" s="212" t="str">
        <f t="shared" si="16"/>
        <v>No Quote</v>
      </c>
      <c r="AB27" s="309"/>
      <c r="AC27" s="44"/>
      <c r="AD27" s="45" t="str">
        <f t="shared" si="17"/>
        <v/>
      </c>
      <c r="AE27" s="92"/>
      <c r="AF27" s="152" t="str">
        <f t="shared" si="18"/>
        <v>No Quote</v>
      </c>
      <c r="AG27" s="153"/>
      <c r="AH27" s="44"/>
      <c r="AI27" s="45" t="str">
        <f t="shared" si="19"/>
        <v/>
      </c>
      <c r="AJ27" s="92"/>
      <c r="AK27" s="152" t="str">
        <f t="shared" si="20"/>
        <v>No Quote</v>
      </c>
      <c r="AL27" s="153"/>
      <c r="AM27" s="44"/>
      <c r="AN27" s="45" t="str">
        <f t="shared" si="21"/>
        <v/>
      </c>
      <c r="AO27" s="92"/>
      <c r="AP27" s="152" t="str">
        <f t="shared" si="22"/>
        <v>No Quote</v>
      </c>
      <c r="AQ27" s="153"/>
      <c r="AR27" s="44"/>
      <c r="AS27" s="45" t="str">
        <f t="shared" si="23"/>
        <v/>
      </c>
      <c r="AT27" s="92"/>
      <c r="AU27" s="212" t="str">
        <f t="shared" si="24"/>
        <v>No Quote</v>
      </c>
      <c r="AV27" s="213"/>
      <c r="AW27" s="90"/>
      <c r="AX27" s="96"/>
      <c r="AY27" s="66" t="str">
        <f t="shared" si="25"/>
        <v/>
      </c>
      <c r="AZ27" s="95"/>
      <c r="BA27" s="95"/>
      <c r="BB27" s="80" t="str">
        <f t="shared" si="26"/>
        <v>-</v>
      </c>
      <c r="BC27" s="80" t="str">
        <f t="shared" si="27"/>
        <v>-</v>
      </c>
      <c r="BD27" s="80" t="str">
        <f t="shared" si="28"/>
        <v>-</v>
      </c>
      <c r="BE27" s="80" t="str">
        <f t="shared" si="29"/>
        <v>-</v>
      </c>
      <c r="BF27" s="80" t="str">
        <f t="shared" si="30"/>
        <v>-</v>
      </c>
      <c r="BG27" s="80" t="str">
        <f t="shared" si="31"/>
        <v>-</v>
      </c>
      <c r="BH27" s="80" t="str">
        <f t="shared" si="32"/>
        <v>-</v>
      </c>
      <c r="BI27" s="80" t="str">
        <f t="shared" si="33"/>
        <v>-</v>
      </c>
      <c r="BJ27" s="81" t="str">
        <f t="shared" si="6"/>
        <v/>
      </c>
      <c r="BK27" s="77" t="str">
        <f t="shared" si="34"/>
        <v/>
      </c>
      <c r="BL27" s="75" t="str">
        <f t="shared" si="7"/>
        <v/>
      </c>
      <c r="BM27" s="74" t="str">
        <f t="shared" si="35"/>
        <v/>
      </c>
      <c r="BN27" s="77" t="str">
        <f t="shared" si="36"/>
        <v/>
      </c>
      <c r="BO27" s="75" t="str">
        <f t="shared" si="8"/>
        <v/>
      </c>
      <c r="BP27" s="74" t="str">
        <f t="shared" si="37"/>
        <v/>
      </c>
      <c r="BQ27" s="77" t="str">
        <f t="shared" si="38"/>
        <v/>
      </c>
      <c r="BS27" s="104">
        <f t="shared" si="39"/>
        <v>0</v>
      </c>
      <c r="BT27" s="106"/>
    </row>
    <row r="28" spans="2:72" s="1" customFormat="1" ht="61.5" customHeight="1" outlineLevel="1" x14ac:dyDescent="0.25">
      <c r="B28" s="41">
        <f t="shared" si="40"/>
        <v>6</v>
      </c>
      <c r="C28" s="218"/>
      <c r="D28" s="218"/>
      <c r="E28" s="218"/>
      <c r="F28" s="218"/>
      <c r="G28" s="42"/>
      <c r="H28" s="43"/>
      <c r="I28" s="44"/>
      <c r="J28" s="45" t="str">
        <f t="shared" si="9"/>
        <v/>
      </c>
      <c r="K28" s="93"/>
      <c r="L28" s="152" t="str">
        <f t="shared" si="10"/>
        <v>No Quote</v>
      </c>
      <c r="M28" s="153"/>
      <c r="N28" s="44"/>
      <c r="O28" s="45" t="str">
        <f t="shared" si="11"/>
        <v/>
      </c>
      <c r="P28" s="93"/>
      <c r="Q28" s="152" t="str">
        <f t="shared" si="12"/>
        <v>No Quote</v>
      </c>
      <c r="R28" s="153"/>
      <c r="S28" s="44"/>
      <c r="T28" s="45" t="str">
        <f t="shared" si="13"/>
        <v/>
      </c>
      <c r="U28" s="92"/>
      <c r="V28" s="152" t="str">
        <f t="shared" si="14"/>
        <v>No Quote</v>
      </c>
      <c r="W28" s="153"/>
      <c r="X28" s="44"/>
      <c r="Y28" s="45" t="str">
        <f t="shared" si="15"/>
        <v/>
      </c>
      <c r="Z28" s="93"/>
      <c r="AA28" s="212" t="str">
        <f t="shared" si="16"/>
        <v>No Quote</v>
      </c>
      <c r="AB28" s="309"/>
      <c r="AC28" s="44"/>
      <c r="AD28" s="45" t="str">
        <f t="shared" si="17"/>
        <v/>
      </c>
      <c r="AE28" s="92"/>
      <c r="AF28" s="152" t="str">
        <f t="shared" si="18"/>
        <v>No Quote</v>
      </c>
      <c r="AG28" s="153"/>
      <c r="AH28" s="44"/>
      <c r="AI28" s="45" t="str">
        <f t="shared" si="19"/>
        <v/>
      </c>
      <c r="AJ28" s="92"/>
      <c r="AK28" s="152" t="str">
        <f t="shared" si="20"/>
        <v>No Quote</v>
      </c>
      <c r="AL28" s="153"/>
      <c r="AM28" s="44"/>
      <c r="AN28" s="45" t="str">
        <f t="shared" si="21"/>
        <v/>
      </c>
      <c r="AO28" s="92"/>
      <c r="AP28" s="152" t="str">
        <f t="shared" si="22"/>
        <v>No Quote</v>
      </c>
      <c r="AQ28" s="153"/>
      <c r="AR28" s="44"/>
      <c r="AS28" s="45" t="str">
        <f t="shared" si="23"/>
        <v/>
      </c>
      <c r="AT28" s="92"/>
      <c r="AU28" s="212" t="str">
        <f t="shared" si="24"/>
        <v>No Quote</v>
      </c>
      <c r="AV28" s="213"/>
      <c r="AW28" s="90"/>
      <c r="AX28" s="96"/>
      <c r="AY28" s="66" t="str">
        <f t="shared" si="25"/>
        <v/>
      </c>
      <c r="AZ28" s="95"/>
      <c r="BA28" s="95"/>
      <c r="BB28" s="80" t="str">
        <f t="shared" si="26"/>
        <v>-</v>
      </c>
      <c r="BC28" s="80" t="str">
        <f t="shared" si="27"/>
        <v>-</v>
      </c>
      <c r="BD28" s="80" t="str">
        <f t="shared" si="28"/>
        <v>-</v>
      </c>
      <c r="BE28" s="80" t="str">
        <f t="shared" si="29"/>
        <v>-</v>
      </c>
      <c r="BF28" s="80" t="str">
        <f t="shared" si="30"/>
        <v>-</v>
      </c>
      <c r="BG28" s="80" t="str">
        <f t="shared" si="31"/>
        <v>-</v>
      </c>
      <c r="BH28" s="80" t="str">
        <f t="shared" si="32"/>
        <v>-</v>
      </c>
      <c r="BI28" s="80" t="str">
        <f t="shared" si="33"/>
        <v>-</v>
      </c>
      <c r="BJ28" s="81" t="str">
        <f t="shared" si="6"/>
        <v/>
      </c>
      <c r="BK28" s="77" t="str">
        <f t="shared" si="34"/>
        <v/>
      </c>
      <c r="BL28" s="75" t="str">
        <f t="shared" si="7"/>
        <v/>
      </c>
      <c r="BM28" s="74" t="str">
        <f t="shared" si="35"/>
        <v/>
      </c>
      <c r="BN28" s="77" t="str">
        <f t="shared" si="36"/>
        <v/>
      </c>
      <c r="BO28" s="75" t="str">
        <f t="shared" si="8"/>
        <v/>
      </c>
      <c r="BP28" s="74" t="str">
        <f t="shared" si="37"/>
        <v/>
      </c>
      <c r="BQ28" s="77" t="str">
        <f t="shared" si="38"/>
        <v/>
      </c>
      <c r="BS28" s="104">
        <f t="shared" si="39"/>
        <v>0</v>
      </c>
      <c r="BT28" s="106"/>
    </row>
    <row r="29" spans="2:72" s="1" customFormat="1" ht="61.5" customHeight="1" outlineLevel="1" x14ac:dyDescent="0.25">
      <c r="B29" s="41">
        <f t="shared" si="40"/>
        <v>7</v>
      </c>
      <c r="C29" s="218"/>
      <c r="D29" s="218"/>
      <c r="E29" s="218"/>
      <c r="F29" s="218"/>
      <c r="G29" s="42"/>
      <c r="H29" s="43"/>
      <c r="I29" s="44"/>
      <c r="J29" s="45" t="str">
        <f t="shared" si="9"/>
        <v/>
      </c>
      <c r="K29" s="93"/>
      <c r="L29" s="152" t="str">
        <f t="shared" si="10"/>
        <v>No Quote</v>
      </c>
      <c r="M29" s="153"/>
      <c r="N29" s="44"/>
      <c r="O29" s="45" t="str">
        <f t="shared" si="11"/>
        <v/>
      </c>
      <c r="P29" s="93"/>
      <c r="Q29" s="152" t="str">
        <f t="shared" si="12"/>
        <v>No Quote</v>
      </c>
      <c r="R29" s="153"/>
      <c r="S29" s="44"/>
      <c r="T29" s="45" t="str">
        <f t="shared" si="13"/>
        <v/>
      </c>
      <c r="U29" s="92"/>
      <c r="V29" s="152" t="str">
        <f t="shared" si="14"/>
        <v>No Quote</v>
      </c>
      <c r="W29" s="153"/>
      <c r="X29" s="44"/>
      <c r="Y29" s="45" t="str">
        <f t="shared" si="15"/>
        <v/>
      </c>
      <c r="Z29" s="93"/>
      <c r="AA29" s="212" t="str">
        <f t="shared" si="16"/>
        <v>No Quote</v>
      </c>
      <c r="AB29" s="309"/>
      <c r="AC29" s="44"/>
      <c r="AD29" s="45" t="str">
        <f t="shared" si="17"/>
        <v/>
      </c>
      <c r="AE29" s="92"/>
      <c r="AF29" s="152" t="str">
        <f t="shared" si="18"/>
        <v>No Quote</v>
      </c>
      <c r="AG29" s="153"/>
      <c r="AH29" s="44"/>
      <c r="AI29" s="45" t="str">
        <f t="shared" si="19"/>
        <v/>
      </c>
      <c r="AJ29" s="92"/>
      <c r="AK29" s="152" t="str">
        <f t="shared" si="20"/>
        <v>No Quote</v>
      </c>
      <c r="AL29" s="153"/>
      <c r="AM29" s="44"/>
      <c r="AN29" s="45" t="str">
        <f t="shared" si="21"/>
        <v/>
      </c>
      <c r="AO29" s="92"/>
      <c r="AP29" s="152" t="str">
        <f t="shared" si="22"/>
        <v>No Quote</v>
      </c>
      <c r="AQ29" s="153"/>
      <c r="AR29" s="44"/>
      <c r="AS29" s="45" t="str">
        <f t="shared" si="23"/>
        <v/>
      </c>
      <c r="AT29" s="92"/>
      <c r="AU29" s="212" t="str">
        <f t="shared" si="24"/>
        <v>No Quote</v>
      </c>
      <c r="AV29" s="213"/>
      <c r="AW29" s="90"/>
      <c r="AX29" s="96"/>
      <c r="AY29" s="66" t="str">
        <f t="shared" si="25"/>
        <v/>
      </c>
      <c r="AZ29" s="95"/>
      <c r="BA29" s="95"/>
      <c r="BB29" s="80" t="str">
        <f t="shared" si="26"/>
        <v>-</v>
      </c>
      <c r="BC29" s="80" t="str">
        <f t="shared" si="27"/>
        <v>-</v>
      </c>
      <c r="BD29" s="80" t="str">
        <f t="shared" si="28"/>
        <v>-</v>
      </c>
      <c r="BE29" s="80" t="str">
        <f t="shared" si="29"/>
        <v>-</v>
      </c>
      <c r="BF29" s="80" t="str">
        <f t="shared" si="30"/>
        <v>-</v>
      </c>
      <c r="BG29" s="80" t="str">
        <f t="shared" si="31"/>
        <v>-</v>
      </c>
      <c r="BH29" s="80" t="str">
        <f t="shared" si="32"/>
        <v>-</v>
      </c>
      <c r="BI29" s="80" t="str">
        <f t="shared" si="33"/>
        <v>-</v>
      </c>
      <c r="BJ29" s="81" t="str">
        <f t="shared" si="6"/>
        <v/>
      </c>
      <c r="BK29" s="77" t="str">
        <f t="shared" si="34"/>
        <v/>
      </c>
      <c r="BL29" s="75" t="str">
        <f t="shared" si="7"/>
        <v/>
      </c>
      <c r="BM29" s="74" t="str">
        <f t="shared" si="35"/>
        <v/>
      </c>
      <c r="BN29" s="77" t="str">
        <f t="shared" si="36"/>
        <v/>
      </c>
      <c r="BO29" s="75" t="str">
        <f t="shared" si="8"/>
        <v/>
      </c>
      <c r="BP29" s="74" t="str">
        <f t="shared" si="37"/>
        <v/>
      </c>
      <c r="BQ29" s="77" t="str">
        <f t="shared" si="38"/>
        <v/>
      </c>
      <c r="BS29" s="104">
        <f t="shared" si="39"/>
        <v>0</v>
      </c>
      <c r="BT29" s="106"/>
    </row>
    <row r="30" spans="2:72" s="1" customFormat="1" ht="61.5" customHeight="1" outlineLevel="1" x14ac:dyDescent="0.25">
      <c r="B30" s="41">
        <f t="shared" si="40"/>
        <v>8</v>
      </c>
      <c r="C30" s="218"/>
      <c r="D30" s="218"/>
      <c r="E30" s="218"/>
      <c r="F30" s="218"/>
      <c r="G30" s="42"/>
      <c r="H30" s="43"/>
      <c r="I30" s="44"/>
      <c r="J30" s="45" t="str">
        <f t="shared" si="9"/>
        <v/>
      </c>
      <c r="K30" s="93"/>
      <c r="L30" s="152" t="str">
        <f t="shared" si="10"/>
        <v>No Quote</v>
      </c>
      <c r="M30" s="153"/>
      <c r="N30" s="44"/>
      <c r="O30" s="45" t="str">
        <f t="shared" si="11"/>
        <v/>
      </c>
      <c r="P30" s="93"/>
      <c r="Q30" s="152" t="str">
        <f t="shared" si="12"/>
        <v>No Quote</v>
      </c>
      <c r="R30" s="153"/>
      <c r="S30" s="44"/>
      <c r="T30" s="45" t="str">
        <f t="shared" si="13"/>
        <v/>
      </c>
      <c r="U30" s="92"/>
      <c r="V30" s="152" t="str">
        <f t="shared" si="14"/>
        <v>No Quote</v>
      </c>
      <c r="W30" s="153"/>
      <c r="X30" s="44"/>
      <c r="Y30" s="45" t="str">
        <f t="shared" si="15"/>
        <v/>
      </c>
      <c r="Z30" s="93"/>
      <c r="AA30" s="212" t="str">
        <f t="shared" si="16"/>
        <v>No Quote</v>
      </c>
      <c r="AB30" s="309"/>
      <c r="AC30" s="44"/>
      <c r="AD30" s="45" t="str">
        <f t="shared" si="17"/>
        <v/>
      </c>
      <c r="AE30" s="92"/>
      <c r="AF30" s="152" t="str">
        <f t="shared" si="18"/>
        <v>No Quote</v>
      </c>
      <c r="AG30" s="153"/>
      <c r="AH30" s="44"/>
      <c r="AI30" s="45" t="str">
        <f t="shared" si="19"/>
        <v/>
      </c>
      <c r="AJ30" s="92"/>
      <c r="AK30" s="152" t="str">
        <f t="shared" si="20"/>
        <v>No Quote</v>
      </c>
      <c r="AL30" s="153"/>
      <c r="AM30" s="44"/>
      <c r="AN30" s="45" t="str">
        <f t="shared" si="21"/>
        <v/>
      </c>
      <c r="AO30" s="92"/>
      <c r="AP30" s="152" t="str">
        <f t="shared" si="22"/>
        <v>No Quote</v>
      </c>
      <c r="AQ30" s="153"/>
      <c r="AR30" s="44"/>
      <c r="AS30" s="45" t="str">
        <f t="shared" si="23"/>
        <v/>
      </c>
      <c r="AT30" s="92"/>
      <c r="AU30" s="212" t="str">
        <f t="shared" si="24"/>
        <v>No Quote</v>
      </c>
      <c r="AV30" s="213"/>
      <c r="AW30" s="90"/>
      <c r="AX30" s="96"/>
      <c r="AY30" s="66" t="str">
        <f t="shared" si="25"/>
        <v/>
      </c>
      <c r="AZ30" s="95"/>
      <c r="BA30" s="95"/>
      <c r="BB30" s="80" t="str">
        <f t="shared" si="26"/>
        <v>-</v>
      </c>
      <c r="BC30" s="80" t="str">
        <f t="shared" si="27"/>
        <v>-</v>
      </c>
      <c r="BD30" s="80" t="str">
        <f t="shared" si="28"/>
        <v>-</v>
      </c>
      <c r="BE30" s="80" t="str">
        <f t="shared" si="29"/>
        <v>-</v>
      </c>
      <c r="BF30" s="80" t="str">
        <f t="shared" si="30"/>
        <v>-</v>
      </c>
      <c r="BG30" s="80" t="str">
        <f t="shared" si="31"/>
        <v>-</v>
      </c>
      <c r="BH30" s="80" t="str">
        <f t="shared" si="32"/>
        <v>-</v>
      </c>
      <c r="BI30" s="80" t="str">
        <f t="shared" si="33"/>
        <v>-</v>
      </c>
      <c r="BJ30" s="81" t="str">
        <f t="shared" si="6"/>
        <v/>
      </c>
      <c r="BK30" s="77" t="str">
        <f t="shared" si="34"/>
        <v/>
      </c>
      <c r="BL30" s="75" t="str">
        <f t="shared" si="7"/>
        <v/>
      </c>
      <c r="BM30" s="74" t="str">
        <f t="shared" si="35"/>
        <v/>
      </c>
      <c r="BN30" s="77" t="str">
        <f t="shared" si="36"/>
        <v/>
      </c>
      <c r="BO30" s="75" t="str">
        <f t="shared" si="8"/>
        <v/>
      </c>
      <c r="BP30" s="74" t="str">
        <f t="shared" si="37"/>
        <v/>
      </c>
      <c r="BQ30" s="77" t="str">
        <f t="shared" si="38"/>
        <v/>
      </c>
      <c r="BS30" s="104">
        <f t="shared" si="39"/>
        <v>0</v>
      </c>
      <c r="BT30" s="106"/>
    </row>
    <row r="31" spans="2:72" s="1" customFormat="1" ht="61.5" customHeight="1" outlineLevel="1" x14ac:dyDescent="0.25">
      <c r="B31" s="41">
        <f t="shared" si="40"/>
        <v>9</v>
      </c>
      <c r="C31" s="218"/>
      <c r="D31" s="218"/>
      <c r="E31" s="218"/>
      <c r="F31" s="218"/>
      <c r="G31" s="42"/>
      <c r="H31" s="43"/>
      <c r="I31" s="44"/>
      <c r="J31" s="45" t="str">
        <f t="shared" si="9"/>
        <v/>
      </c>
      <c r="K31" s="93"/>
      <c r="L31" s="152" t="str">
        <f t="shared" si="10"/>
        <v>No Quote</v>
      </c>
      <c r="M31" s="153"/>
      <c r="N31" s="44"/>
      <c r="O31" s="45" t="str">
        <f t="shared" si="11"/>
        <v/>
      </c>
      <c r="P31" s="93"/>
      <c r="Q31" s="152" t="str">
        <f t="shared" si="12"/>
        <v>No Quote</v>
      </c>
      <c r="R31" s="153"/>
      <c r="S31" s="44"/>
      <c r="T31" s="45" t="str">
        <f t="shared" si="13"/>
        <v/>
      </c>
      <c r="U31" s="92"/>
      <c r="V31" s="152" t="str">
        <f t="shared" si="14"/>
        <v>No Quote</v>
      </c>
      <c r="W31" s="153"/>
      <c r="X31" s="44"/>
      <c r="Y31" s="45" t="str">
        <f t="shared" si="15"/>
        <v/>
      </c>
      <c r="Z31" s="93"/>
      <c r="AA31" s="212" t="str">
        <f t="shared" si="16"/>
        <v>No Quote</v>
      </c>
      <c r="AB31" s="309"/>
      <c r="AC31" s="44"/>
      <c r="AD31" s="45" t="str">
        <f t="shared" si="17"/>
        <v/>
      </c>
      <c r="AE31" s="92"/>
      <c r="AF31" s="152" t="str">
        <f t="shared" si="18"/>
        <v>No Quote</v>
      </c>
      <c r="AG31" s="153"/>
      <c r="AH31" s="44"/>
      <c r="AI31" s="45" t="str">
        <f t="shared" si="19"/>
        <v/>
      </c>
      <c r="AJ31" s="92"/>
      <c r="AK31" s="152" t="str">
        <f t="shared" si="20"/>
        <v>No Quote</v>
      </c>
      <c r="AL31" s="153"/>
      <c r="AM31" s="44"/>
      <c r="AN31" s="45" t="str">
        <f t="shared" si="21"/>
        <v/>
      </c>
      <c r="AO31" s="92"/>
      <c r="AP31" s="152" t="str">
        <f t="shared" si="22"/>
        <v>No Quote</v>
      </c>
      <c r="AQ31" s="153"/>
      <c r="AR31" s="44"/>
      <c r="AS31" s="45" t="str">
        <f t="shared" si="23"/>
        <v/>
      </c>
      <c r="AT31" s="92"/>
      <c r="AU31" s="212" t="str">
        <f t="shared" si="24"/>
        <v>No Quote</v>
      </c>
      <c r="AV31" s="213"/>
      <c r="AW31" s="90"/>
      <c r="AX31" s="96"/>
      <c r="AY31" s="66" t="str">
        <f t="shared" si="25"/>
        <v/>
      </c>
      <c r="AZ31" s="95"/>
      <c r="BA31" s="95"/>
      <c r="BB31" s="80" t="str">
        <f t="shared" si="26"/>
        <v>-</v>
      </c>
      <c r="BC31" s="80" t="str">
        <f t="shared" si="27"/>
        <v>-</v>
      </c>
      <c r="BD31" s="80" t="str">
        <f t="shared" si="28"/>
        <v>-</v>
      </c>
      <c r="BE31" s="80" t="str">
        <f t="shared" si="29"/>
        <v>-</v>
      </c>
      <c r="BF31" s="80" t="str">
        <f t="shared" si="30"/>
        <v>-</v>
      </c>
      <c r="BG31" s="80" t="str">
        <f t="shared" si="31"/>
        <v>-</v>
      </c>
      <c r="BH31" s="80" t="str">
        <f t="shared" si="32"/>
        <v>-</v>
      </c>
      <c r="BI31" s="80" t="str">
        <f t="shared" si="33"/>
        <v>-</v>
      </c>
      <c r="BJ31" s="81" t="str">
        <f t="shared" si="6"/>
        <v/>
      </c>
      <c r="BK31" s="77" t="str">
        <f t="shared" si="34"/>
        <v/>
      </c>
      <c r="BL31" s="75" t="str">
        <f t="shared" si="7"/>
        <v/>
      </c>
      <c r="BM31" s="74" t="str">
        <f t="shared" si="35"/>
        <v/>
      </c>
      <c r="BN31" s="77" t="str">
        <f t="shared" si="36"/>
        <v/>
      </c>
      <c r="BO31" s="75" t="str">
        <f t="shared" si="8"/>
        <v/>
      </c>
      <c r="BP31" s="74" t="str">
        <f t="shared" si="37"/>
        <v/>
      </c>
      <c r="BQ31" s="77" t="str">
        <f t="shared" si="38"/>
        <v/>
      </c>
      <c r="BS31" s="104">
        <f t="shared" si="39"/>
        <v>0</v>
      </c>
      <c r="BT31" s="106"/>
    </row>
    <row r="32" spans="2:72" s="1" customFormat="1" ht="61.5" customHeight="1" outlineLevel="1" x14ac:dyDescent="0.25">
      <c r="B32" s="41">
        <f t="shared" si="40"/>
        <v>10</v>
      </c>
      <c r="C32" s="218"/>
      <c r="D32" s="218"/>
      <c r="E32" s="218"/>
      <c r="F32" s="218"/>
      <c r="G32" s="42"/>
      <c r="H32" s="43"/>
      <c r="I32" s="44"/>
      <c r="J32" s="45" t="str">
        <f t="shared" si="9"/>
        <v/>
      </c>
      <c r="K32" s="93"/>
      <c r="L32" s="152" t="str">
        <f t="shared" si="10"/>
        <v>No Quote</v>
      </c>
      <c r="M32" s="153"/>
      <c r="N32" s="44"/>
      <c r="O32" s="45" t="str">
        <f t="shared" si="11"/>
        <v/>
      </c>
      <c r="P32" s="93"/>
      <c r="Q32" s="152" t="str">
        <f t="shared" si="12"/>
        <v>No Quote</v>
      </c>
      <c r="R32" s="153"/>
      <c r="S32" s="44"/>
      <c r="T32" s="45" t="str">
        <f t="shared" si="13"/>
        <v/>
      </c>
      <c r="U32" s="92"/>
      <c r="V32" s="152" t="str">
        <f t="shared" si="14"/>
        <v>No Quote</v>
      </c>
      <c r="W32" s="153"/>
      <c r="X32" s="44"/>
      <c r="Y32" s="45" t="str">
        <f t="shared" si="15"/>
        <v/>
      </c>
      <c r="Z32" s="93"/>
      <c r="AA32" s="212" t="str">
        <f t="shared" si="16"/>
        <v>No Quote</v>
      </c>
      <c r="AB32" s="309"/>
      <c r="AC32" s="44"/>
      <c r="AD32" s="45" t="str">
        <f t="shared" si="17"/>
        <v/>
      </c>
      <c r="AE32" s="92"/>
      <c r="AF32" s="152" t="str">
        <f t="shared" si="18"/>
        <v>No Quote</v>
      </c>
      <c r="AG32" s="153"/>
      <c r="AH32" s="44"/>
      <c r="AI32" s="45" t="str">
        <f t="shared" si="19"/>
        <v/>
      </c>
      <c r="AJ32" s="92"/>
      <c r="AK32" s="152" t="str">
        <f t="shared" si="20"/>
        <v>No Quote</v>
      </c>
      <c r="AL32" s="153"/>
      <c r="AM32" s="44"/>
      <c r="AN32" s="45" t="str">
        <f t="shared" si="21"/>
        <v/>
      </c>
      <c r="AO32" s="92"/>
      <c r="AP32" s="152" t="str">
        <f t="shared" si="22"/>
        <v>No Quote</v>
      </c>
      <c r="AQ32" s="153"/>
      <c r="AR32" s="44"/>
      <c r="AS32" s="45" t="str">
        <f t="shared" si="23"/>
        <v/>
      </c>
      <c r="AT32" s="92"/>
      <c r="AU32" s="212" t="str">
        <f t="shared" si="24"/>
        <v>No Quote</v>
      </c>
      <c r="AV32" s="213"/>
      <c r="AW32" s="90"/>
      <c r="AX32" s="96"/>
      <c r="AY32" s="66" t="str">
        <f t="shared" si="25"/>
        <v/>
      </c>
      <c r="AZ32" s="95"/>
      <c r="BA32" s="95"/>
      <c r="BB32" s="80" t="str">
        <f t="shared" si="26"/>
        <v>-</v>
      </c>
      <c r="BC32" s="80" t="str">
        <f t="shared" si="27"/>
        <v>-</v>
      </c>
      <c r="BD32" s="80" t="str">
        <f t="shared" si="28"/>
        <v>-</v>
      </c>
      <c r="BE32" s="80" t="str">
        <f t="shared" si="29"/>
        <v>-</v>
      </c>
      <c r="BF32" s="80" t="str">
        <f t="shared" si="30"/>
        <v>-</v>
      </c>
      <c r="BG32" s="80" t="str">
        <f t="shared" si="31"/>
        <v>-</v>
      </c>
      <c r="BH32" s="80" t="str">
        <f t="shared" si="32"/>
        <v>-</v>
      </c>
      <c r="BI32" s="80" t="str">
        <f t="shared" si="33"/>
        <v>-</v>
      </c>
      <c r="BJ32" s="81" t="str">
        <f t="shared" si="6"/>
        <v/>
      </c>
      <c r="BK32" s="77" t="str">
        <f t="shared" si="34"/>
        <v/>
      </c>
      <c r="BL32" s="75" t="str">
        <f t="shared" si="7"/>
        <v/>
      </c>
      <c r="BM32" s="74" t="str">
        <f t="shared" si="35"/>
        <v/>
      </c>
      <c r="BN32" s="77" t="str">
        <f t="shared" si="36"/>
        <v/>
      </c>
      <c r="BO32" s="75" t="str">
        <f t="shared" si="8"/>
        <v/>
      </c>
      <c r="BP32" s="74" t="str">
        <f t="shared" si="37"/>
        <v/>
      </c>
      <c r="BQ32" s="77" t="str">
        <f t="shared" si="38"/>
        <v/>
      </c>
      <c r="BS32" s="104">
        <f t="shared" si="39"/>
        <v>0</v>
      </c>
      <c r="BT32" s="106"/>
    </row>
    <row r="33" spans="2:72" s="1" customFormat="1" ht="61.5" customHeight="1" outlineLevel="1" x14ac:dyDescent="0.25">
      <c r="B33" s="41">
        <f t="shared" si="40"/>
        <v>11</v>
      </c>
      <c r="C33" s="218"/>
      <c r="D33" s="218"/>
      <c r="E33" s="218"/>
      <c r="F33" s="218"/>
      <c r="G33" s="42"/>
      <c r="H33" s="43"/>
      <c r="I33" s="44"/>
      <c r="J33" s="45" t="str">
        <f t="shared" si="9"/>
        <v/>
      </c>
      <c r="K33" s="93"/>
      <c r="L33" s="152" t="str">
        <f t="shared" si="10"/>
        <v>No Quote</v>
      </c>
      <c r="M33" s="153"/>
      <c r="N33" s="44"/>
      <c r="O33" s="45" t="str">
        <f t="shared" si="11"/>
        <v/>
      </c>
      <c r="P33" s="93"/>
      <c r="Q33" s="152" t="str">
        <f t="shared" si="12"/>
        <v>No Quote</v>
      </c>
      <c r="R33" s="153"/>
      <c r="S33" s="44"/>
      <c r="T33" s="45" t="str">
        <f t="shared" si="13"/>
        <v/>
      </c>
      <c r="U33" s="92"/>
      <c r="V33" s="152" t="str">
        <f t="shared" si="14"/>
        <v>No Quote</v>
      </c>
      <c r="W33" s="153"/>
      <c r="X33" s="44"/>
      <c r="Y33" s="45" t="str">
        <f t="shared" si="15"/>
        <v/>
      </c>
      <c r="Z33" s="93"/>
      <c r="AA33" s="212" t="str">
        <f t="shared" si="16"/>
        <v>No Quote</v>
      </c>
      <c r="AB33" s="309"/>
      <c r="AC33" s="44"/>
      <c r="AD33" s="45" t="str">
        <f t="shared" si="17"/>
        <v/>
      </c>
      <c r="AE33" s="92"/>
      <c r="AF33" s="152" t="str">
        <f t="shared" si="18"/>
        <v>No Quote</v>
      </c>
      <c r="AG33" s="153"/>
      <c r="AH33" s="44"/>
      <c r="AI33" s="45" t="str">
        <f t="shared" si="19"/>
        <v/>
      </c>
      <c r="AJ33" s="92"/>
      <c r="AK33" s="152" t="str">
        <f t="shared" si="20"/>
        <v>No Quote</v>
      </c>
      <c r="AL33" s="153"/>
      <c r="AM33" s="44"/>
      <c r="AN33" s="45" t="str">
        <f t="shared" si="21"/>
        <v/>
      </c>
      <c r="AO33" s="92"/>
      <c r="AP33" s="152" t="str">
        <f t="shared" si="22"/>
        <v>No Quote</v>
      </c>
      <c r="AQ33" s="153"/>
      <c r="AR33" s="44"/>
      <c r="AS33" s="45" t="str">
        <f t="shared" si="23"/>
        <v/>
      </c>
      <c r="AT33" s="92"/>
      <c r="AU33" s="212" t="str">
        <f t="shared" si="24"/>
        <v>No Quote</v>
      </c>
      <c r="AV33" s="213"/>
      <c r="AW33" s="90"/>
      <c r="AX33" s="96"/>
      <c r="AY33" s="66" t="str">
        <f t="shared" si="25"/>
        <v/>
      </c>
      <c r="AZ33" s="95"/>
      <c r="BA33" s="95"/>
      <c r="BB33" s="80" t="str">
        <f t="shared" si="26"/>
        <v>-</v>
      </c>
      <c r="BC33" s="80" t="str">
        <f t="shared" si="27"/>
        <v>-</v>
      </c>
      <c r="BD33" s="80" t="str">
        <f t="shared" si="28"/>
        <v>-</v>
      </c>
      <c r="BE33" s="80" t="str">
        <f t="shared" si="29"/>
        <v>-</v>
      </c>
      <c r="BF33" s="80" t="str">
        <f t="shared" si="30"/>
        <v>-</v>
      </c>
      <c r="BG33" s="80" t="str">
        <f t="shared" si="31"/>
        <v>-</v>
      </c>
      <c r="BH33" s="80" t="str">
        <f t="shared" si="32"/>
        <v>-</v>
      </c>
      <c r="BI33" s="80" t="str">
        <f t="shared" si="33"/>
        <v>-</v>
      </c>
      <c r="BJ33" s="81" t="str">
        <f t="shared" si="6"/>
        <v/>
      </c>
      <c r="BK33" s="77" t="str">
        <f t="shared" si="34"/>
        <v/>
      </c>
      <c r="BL33" s="75" t="str">
        <f t="shared" si="7"/>
        <v/>
      </c>
      <c r="BM33" s="74" t="str">
        <f t="shared" si="35"/>
        <v/>
      </c>
      <c r="BN33" s="77" t="str">
        <f t="shared" si="36"/>
        <v/>
      </c>
      <c r="BO33" s="75" t="str">
        <f t="shared" si="8"/>
        <v/>
      </c>
      <c r="BP33" s="74" t="str">
        <f t="shared" si="37"/>
        <v/>
      </c>
      <c r="BQ33" s="77" t="str">
        <f t="shared" si="38"/>
        <v/>
      </c>
      <c r="BS33" s="104">
        <f t="shared" si="39"/>
        <v>0</v>
      </c>
      <c r="BT33" s="106"/>
    </row>
    <row r="34" spans="2:72" s="1" customFormat="1" ht="61.5" customHeight="1" outlineLevel="1" x14ac:dyDescent="0.25">
      <c r="B34" s="41">
        <f t="shared" si="40"/>
        <v>12</v>
      </c>
      <c r="C34" s="218"/>
      <c r="D34" s="218"/>
      <c r="E34" s="218"/>
      <c r="F34" s="218"/>
      <c r="G34" s="42"/>
      <c r="H34" s="43"/>
      <c r="I34" s="44"/>
      <c r="J34" s="45" t="str">
        <f t="shared" si="9"/>
        <v/>
      </c>
      <c r="K34" s="93"/>
      <c r="L34" s="152" t="str">
        <f t="shared" si="10"/>
        <v>No Quote</v>
      </c>
      <c r="M34" s="153"/>
      <c r="N34" s="44"/>
      <c r="O34" s="45" t="str">
        <f t="shared" si="11"/>
        <v/>
      </c>
      <c r="P34" s="93"/>
      <c r="Q34" s="152" t="str">
        <f t="shared" si="12"/>
        <v>No Quote</v>
      </c>
      <c r="R34" s="153"/>
      <c r="S34" s="44"/>
      <c r="T34" s="45" t="str">
        <f t="shared" si="13"/>
        <v/>
      </c>
      <c r="U34" s="92"/>
      <c r="V34" s="152" t="str">
        <f t="shared" si="14"/>
        <v>No Quote</v>
      </c>
      <c r="W34" s="153"/>
      <c r="X34" s="44"/>
      <c r="Y34" s="45" t="str">
        <f t="shared" si="15"/>
        <v/>
      </c>
      <c r="Z34" s="93"/>
      <c r="AA34" s="212" t="str">
        <f t="shared" si="16"/>
        <v>No Quote</v>
      </c>
      <c r="AB34" s="309"/>
      <c r="AC34" s="44"/>
      <c r="AD34" s="45" t="str">
        <f t="shared" si="17"/>
        <v/>
      </c>
      <c r="AE34" s="92"/>
      <c r="AF34" s="152" t="str">
        <f t="shared" si="18"/>
        <v>No Quote</v>
      </c>
      <c r="AG34" s="153"/>
      <c r="AH34" s="44"/>
      <c r="AI34" s="45" t="str">
        <f t="shared" si="19"/>
        <v/>
      </c>
      <c r="AJ34" s="92"/>
      <c r="AK34" s="152" t="str">
        <f t="shared" si="20"/>
        <v>No Quote</v>
      </c>
      <c r="AL34" s="153"/>
      <c r="AM34" s="44"/>
      <c r="AN34" s="45" t="str">
        <f t="shared" si="21"/>
        <v/>
      </c>
      <c r="AO34" s="92"/>
      <c r="AP34" s="152" t="str">
        <f t="shared" si="22"/>
        <v>No Quote</v>
      </c>
      <c r="AQ34" s="153"/>
      <c r="AR34" s="44"/>
      <c r="AS34" s="45" t="str">
        <f t="shared" si="23"/>
        <v/>
      </c>
      <c r="AT34" s="92"/>
      <c r="AU34" s="212" t="str">
        <f t="shared" si="24"/>
        <v>No Quote</v>
      </c>
      <c r="AV34" s="213"/>
      <c r="AW34" s="90"/>
      <c r="AX34" s="96"/>
      <c r="AY34" s="66" t="str">
        <f t="shared" si="25"/>
        <v/>
      </c>
      <c r="AZ34" s="95"/>
      <c r="BA34" s="95"/>
      <c r="BB34" s="80" t="str">
        <f t="shared" si="26"/>
        <v>-</v>
      </c>
      <c r="BC34" s="80" t="str">
        <f t="shared" si="27"/>
        <v>-</v>
      </c>
      <c r="BD34" s="80" t="str">
        <f t="shared" si="28"/>
        <v>-</v>
      </c>
      <c r="BE34" s="80" t="str">
        <f t="shared" si="29"/>
        <v>-</v>
      </c>
      <c r="BF34" s="80" t="str">
        <f t="shared" si="30"/>
        <v>-</v>
      </c>
      <c r="BG34" s="80" t="str">
        <f t="shared" si="31"/>
        <v>-</v>
      </c>
      <c r="BH34" s="80" t="str">
        <f t="shared" si="32"/>
        <v>-</v>
      </c>
      <c r="BI34" s="80" t="str">
        <f t="shared" si="33"/>
        <v>-</v>
      </c>
      <c r="BJ34" s="81" t="str">
        <f t="shared" si="6"/>
        <v/>
      </c>
      <c r="BK34" s="77" t="str">
        <f t="shared" si="34"/>
        <v/>
      </c>
      <c r="BL34" s="75" t="str">
        <f t="shared" si="7"/>
        <v/>
      </c>
      <c r="BM34" s="74" t="str">
        <f t="shared" si="35"/>
        <v/>
      </c>
      <c r="BN34" s="77" t="str">
        <f t="shared" si="36"/>
        <v/>
      </c>
      <c r="BO34" s="75" t="str">
        <f t="shared" si="8"/>
        <v/>
      </c>
      <c r="BP34" s="74" t="str">
        <f t="shared" si="37"/>
        <v/>
      </c>
      <c r="BQ34" s="77" t="str">
        <f t="shared" si="38"/>
        <v/>
      </c>
      <c r="BS34" s="104">
        <f t="shared" si="39"/>
        <v>0</v>
      </c>
      <c r="BT34" s="106"/>
    </row>
    <row r="35" spans="2:72" s="1" customFormat="1" ht="61.5" customHeight="1" outlineLevel="1" x14ac:dyDescent="0.25">
      <c r="B35" s="41">
        <f t="shared" si="40"/>
        <v>13</v>
      </c>
      <c r="C35" s="218"/>
      <c r="D35" s="218"/>
      <c r="E35" s="218"/>
      <c r="F35" s="218"/>
      <c r="G35" s="42"/>
      <c r="H35" s="43"/>
      <c r="I35" s="44"/>
      <c r="J35" s="45" t="str">
        <f t="shared" si="9"/>
        <v/>
      </c>
      <c r="K35" s="93"/>
      <c r="L35" s="152" t="str">
        <f t="shared" si="10"/>
        <v>No Quote</v>
      </c>
      <c r="M35" s="153"/>
      <c r="N35" s="44"/>
      <c r="O35" s="45" t="str">
        <f t="shared" si="11"/>
        <v/>
      </c>
      <c r="P35" s="93"/>
      <c r="Q35" s="152" t="str">
        <f t="shared" si="12"/>
        <v>No Quote</v>
      </c>
      <c r="R35" s="153"/>
      <c r="S35" s="44"/>
      <c r="T35" s="45" t="str">
        <f t="shared" si="13"/>
        <v/>
      </c>
      <c r="U35" s="92"/>
      <c r="V35" s="152" t="str">
        <f t="shared" si="14"/>
        <v>No Quote</v>
      </c>
      <c r="W35" s="153"/>
      <c r="X35" s="44"/>
      <c r="Y35" s="45" t="str">
        <f t="shared" si="15"/>
        <v/>
      </c>
      <c r="Z35" s="93"/>
      <c r="AA35" s="212" t="str">
        <f t="shared" si="16"/>
        <v>No Quote</v>
      </c>
      <c r="AB35" s="309"/>
      <c r="AC35" s="44"/>
      <c r="AD35" s="45" t="str">
        <f t="shared" si="17"/>
        <v/>
      </c>
      <c r="AE35" s="92"/>
      <c r="AF35" s="152" t="str">
        <f t="shared" si="18"/>
        <v>No Quote</v>
      </c>
      <c r="AG35" s="153"/>
      <c r="AH35" s="44"/>
      <c r="AI35" s="45" t="str">
        <f t="shared" si="19"/>
        <v/>
      </c>
      <c r="AJ35" s="92"/>
      <c r="AK35" s="152" t="str">
        <f t="shared" si="20"/>
        <v>No Quote</v>
      </c>
      <c r="AL35" s="153"/>
      <c r="AM35" s="44"/>
      <c r="AN35" s="45" t="str">
        <f t="shared" si="21"/>
        <v/>
      </c>
      <c r="AO35" s="92"/>
      <c r="AP35" s="152" t="str">
        <f t="shared" si="22"/>
        <v>No Quote</v>
      </c>
      <c r="AQ35" s="153"/>
      <c r="AR35" s="44"/>
      <c r="AS35" s="45" t="str">
        <f t="shared" si="23"/>
        <v/>
      </c>
      <c r="AT35" s="92"/>
      <c r="AU35" s="212" t="str">
        <f t="shared" si="24"/>
        <v>No Quote</v>
      </c>
      <c r="AV35" s="213"/>
      <c r="AW35" s="90"/>
      <c r="AX35" s="96"/>
      <c r="AY35" s="66" t="str">
        <f t="shared" si="25"/>
        <v/>
      </c>
      <c r="AZ35" s="95"/>
      <c r="BA35" s="95"/>
      <c r="BB35" s="80" t="str">
        <f t="shared" si="26"/>
        <v>-</v>
      </c>
      <c r="BC35" s="80" t="str">
        <f t="shared" si="27"/>
        <v>-</v>
      </c>
      <c r="BD35" s="80" t="str">
        <f t="shared" si="28"/>
        <v>-</v>
      </c>
      <c r="BE35" s="80" t="str">
        <f t="shared" si="29"/>
        <v>-</v>
      </c>
      <c r="BF35" s="80" t="str">
        <f t="shared" si="30"/>
        <v>-</v>
      </c>
      <c r="BG35" s="80" t="str">
        <f t="shared" si="31"/>
        <v>-</v>
      </c>
      <c r="BH35" s="80" t="str">
        <f t="shared" si="32"/>
        <v>-</v>
      </c>
      <c r="BI35" s="80" t="str">
        <f t="shared" si="33"/>
        <v>-</v>
      </c>
      <c r="BJ35" s="81" t="str">
        <f t="shared" si="6"/>
        <v/>
      </c>
      <c r="BK35" s="77" t="str">
        <f t="shared" si="34"/>
        <v/>
      </c>
      <c r="BL35" s="75" t="str">
        <f t="shared" si="7"/>
        <v/>
      </c>
      <c r="BM35" s="74" t="str">
        <f t="shared" si="35"/>
        <v/>
      </c>
      <c r="BN35" s="77" t="str">
        <f t="shared" si="36"/>
        <v/>
      </c>
      <c r="BO35" s="75" t="str">
        <f t="shared" si="8"/>
        <v/>
      </c>
      <c r="BP35" s="74" t="str">
        <f t="shared" si="37"/>
        <v/>
      </c>
      <c r="BQ35" s="77" t="str">
        <f t="shared" si="38"/>
        <v/>
      </c>
      <c r="BS35" s="104">
        <f t="shared" si="39"/>
        <v>0</v>
      </c>
      <c r="BT35" s="106"/>
    </row>
    <row r="36" spans="2:72" s="1" customFormat="1" ht="61.5" customHeight="1" outlineLevel="1" x14ac:dyDescent="0.25">
      <c r="B36" s="41">
        <f t="shared" si="40"/>
        <v>14</v>
      </c>
      <c r="C36" s="218"/>
      <c r="D36" s="218"/>
      <c r="E36" s="218"/>
      <c r="F36" s="218"/>
      <c r="G36" s="42"/>
      <c r="H36" s="43"/>
      <c r="I36" s="44"/>
      <c r="J36" s="45" t="str">
        <f t="shared" si="9"/>
        <v/>
      </c>
      <c r="K36" s="93"/>
      <c r="L36" s="152" t="str">
        <f t="shared" si="10"/>
        <v>No Quote</v>
      </c>
      <c r="M36" s="153"/>
      <c r="N36" s="44"/>
      <c r="O36" s="45" t="str">
        <f t="shared" si="11"/>
        <v/>
      </c>
      <c r="P36" s="93"/>
      <c r="Q36" s="152" t="str">
        <f t="shared" si="12"/>
        <v>No Quote</v>
      </c>
      <c r="R36" s="153"/>
      <c r="S36" s="44"/>
      <c r="T36" s="45" t="str">
        <f t="shared" si="13"/>
        <v/>
      </c>
      <c r="U36" s="92"/>
      <c r="V36" s="152" t="str">
        <f t="shared" si="14"/>
        <v>No Quote</v>
      </c>
      <c r="W36" s="153"/>
      <c r="X36" s="44"/>
      <c r="Y36" s="45" t="str">
        <f t="shared" si="15"/>
        <v/>
      </c>
      <c r="Z36" s="93"/>
      <c r="AA36" s="212" t="str">
        <f t="shared" si="16"/>
        <v>No Quote</v>
      </c>
      <c r="AB36" s="309"/>
      <c r="AC36" s="44"/>
      <c r="AD36" s="45" t="str">
        <f t="shared" si="17"/>
        <v/>
      </c>
      <c r="AE36" s="92"/>
      <c r="AF36" s="152" t="str">
        <f t="shared" si="18"/>
        <v>No Quote</v>
      </c>
      <c r="AG36" s="153"/>
      <c r="AH36" s="44"/>
      <c r="AI36" s="45" t="str">
        <f t="shared" si="19"/>
        <v/>
      </c>
      <c r="AJ36" s="92"/>
      <c r="AK36" s="152" t="str">
        <f t="shared" si="20"/>
        <v>No Quote</v>
      </c>
      <c r="AL36" s="153"/>
      <c r="AM36" s="44"/>
      <c r="AN36" s="45" t="str">
        <f t="shared" si="21"/>
        <v/>
      </c>
      <c r="AO36" s="92"/>
      <c r="AP36" s="152" t="str">
        <f t="shared" si="22"/>
        <v>No Quote</v>
      </c>
      <c r="AQ36" s="153"/>
      <c r="AR36" s="44"/>
      <c r="AS36" s="45" t="str">
        <f t="shared" si="23"/>
        <v/>
      </c>
      <c r="AT36" s="92"/>
      <c r="AU36" s="212" t="str">
        <f t="shared" si="24"/>
        <v>No Quote</v>
      </c>
      <c r="AV36" s="213"/>
      <c r="AW36" s="90"/>
      <c r="AX36" s="96"/>
      <c r="AY36" s="66" t="str">
        <f t="shared" si="25"/>
        <v/>
      </c>
      <c r="AZ36" s="95"/>
      <c r="BA36" s="95"/>
      <c r="BB36" s="80" t="str">
        <f t="shared" si="26"/>
        <v>-</v>
      </c>
      <c r="BC36" s="80" t="str">
        <f t="shared" si="27"/>
        <v>-</v>
      </c>
      <c r="BD36" s="80" t="str">
        <f t="shared" si="28"/>
        <v>-</v>
      </c>
      <c r="BE36" s="80" t="str">
        <f t="shared" si="29"/>
        <v>-</v>
      </c>
      <c r="BF36" s="80" t="str">
        <f t="shared" si="30"/>
        <v>-</v>
      </c>
      <c r="BG36" s="80" t="str">
        <f t="shared" si="31"/>
        <v>-</v>
      </c>
      <c r="BH36" s="80" t="str">
        <f t="shared" si="32"/>
        <v>-</v>
      </c>
      <c r="BI36" s="80" t="str">
        <f t="shared" si="33"/>
        <v>-</v>
      </c>
      <c r="BJ36" s="81" t="str">
        <f t="shared" si="6"/>
        <v/>
      </c>
      <c r="BK36" s="77" t="str">
        <f t="shared" si="34"/>
        <v/>
      </c>
      <c r="BL36" s="75" t="str">
        <f t="shared" si="7"/>
        <v/>
      </c>
      <c r="BM36" s="74" t="str">
        <f t="shared" si="35"/>
        <v/>
      </c>
      <c r="BN36" s="77" t="str">
        <f t="shared" si="36"/>
        <v/>
      </c>
      <c r="BO36" s="75" t="str">
        <f t="shared" si="8"/>
        <v/>
      </c>
      <c r="BP36" s="74" t="str">
        <f t="shared" si="37"/>
        <v/>
      </c>
      <c r="BQ36" s="77" t="str">
        <f t="shared" si="38"/>
        <v/>
      </c>
      <c r="BS36" s="104">
        <f t="shared" ref="BS36:BS51" si="41">SUMIFS($BJ$23:$BJ$51,$BK$23:$BK$51,BT36)</f>
        <v>0</v>
      </c>
      <c r="BT36" s="106"/>
    </row>
    <row r="37" spans="2:72" s="1" customFormat="1" ht="61.5" customHeight="1" outlineLevel="1" x14ac:dyDescent="0.25">
      <c r="B37" s="41">
        <f t="shared" si="40"/>
        <v>15</v>
      </c>
      <c r="C37" s="218"/>
      <c r="D37" s="218"/>
      <c r="E37" s="218"/>
      <c r="F37" s="218"/>
      <c r="G37" s="42"/>
      <c r="H37" s="43"/>
      <c r="I37" s="44"/>
      <c r="J37" s="45" t="str">
        <f t="shared" si="9"/>
        <v/>
      </c>
      <c r="K37" s="93"/>
      <c r="L37" s="152" t="str">
        <f t="shared" si="10"/>
        <v>No Quote</v>
      </c>
      <c r="M37" s="153"/>
      <c r="N37" s="44"/>
      <c r="O37" s="45" t="str">
        <f t="shared" si="11"/>
        <v/>
      </c>
      <c r="P37" s="93"/>
      <c r="Q37" s="152" t="str">
        <f t="shared" si="12"/>
        <v>No Quote</v>
      </c>
      <c r="R37" s="153"/>
      <c r="S37" s="44"/>
      <c r="T37" s="45" t="str">
        <f t="shared" si="13"/>
        <v/>
      </c>
      <c r="U37" s="92"/>
      <c r="V37" s="152" t="str">
        <f t="shared" si="14"/>
        <v>No Quote</v>
      </c>
      <c r="W37" s="153"/>
      <c r="X37" s="44"/>
      <c r="Y37" s="45" t="str">
        <f t="shared" si="15"/>
        <v/>
      </c>
      <c r="Z37" s="93"/>
      <c r="AA37" s="212" t="str">
        <f t="shared" si="16"/>
        <v>No Quote</v>
      </c>
      <c r="AB37" s="309"/>
      <c r="AC37" s="44"/>
      <c r="AD37" s="45" t="str">
        <f t="shared" si="17"/>
        <v/>
      </c>
      <c r="AE37" s="92"/>
      <c r="AF37" s="152" t="str">
        <f t="shared" si="18"/>
        <v>No Quote</v>
      </c>
      <c r="AG37" s="153"/>
      <c r="AH37" s="44"/>
      <c r="AI37" s="45" t="str">
        <f t="shared" si="19"/>
        <v/>
      </c>
      <c r="AJ37" s="92"/>
      <c r="AK37" s="152" t="str">
        <f t="shared" si="20"/>
        <v>No Quote</v>
      </c>
      <c r="AL37" s="153"/>
      <c r="AM37" s="44"/>
      <c r="AN37" s="45" t="str">
        <f t="shared" si="21"/>
        <v/>
      </c>
      <c r="AO37" s="92"/>
      <c r="AP37" s="152" t="str">
        <f t="shared" si="22"/>
        <v>No Quote</v>
      </c>
      <c r="AQ37" s="153"/>
      <c r="AR37" s="44"/>
      <c r="AS37" s="45" t="str">
        <f t="shared" si="23"/>
        <v/>
      </c>
      <c r="AT37" s="92"/>
      <c r="AU37" s="212" t="str">
        <f t="shared" si="24"/>
        <v>No Quote</v>
      </c>
      <c r="AV37" s="213"/>
      <c r="AW37" s="90"/>
      <c r="AX37" s="96"/>
      <c r="AY37" s="66" t="str">
        <f t="shared" si="25"/>
        <v/>
      </c>
      <c r="AZ37" s="95"/>
      <c r="BA37" s="95"/>
      <c r="BB37" s="80" t="str">
        <f t="shared" si="26"/>
        <v>-</v>
      </c>
      <c r="BC37" s="80" t="str">
        <f t="shared" si="27"/>
        <v>-</v>
      </c>
      <c r="BD37" s="80" t="str">
        <f t="shared" si="28"/>
        <v>-</v>
      </c>
      <c r="BE37" s="80" t="str">
        <f t="shared" si="29"/>
        <v>-</v>
      </c>
      <c r="BF37" s="80" t="str">
        <f t="shared" si="30"/>
        <v>-</v>
      </c>
      <c r="BG37" s="80" t="str">
        <f t="shared" si="31"/>
        <v>-</v>
      </c>
      <c r="BH37" s="80" t="str">
        <f t="shared" si="32"/>
        <v>-</v>
      </c>
      <c r="BI37" s="80" t="str">
        <f t="shared" si="33"/>
        <v>-</v>
      </c>
      <c r="BJ37" s="81" t="str">
        <f t="shared" si="6"/>
        <v/>
      </c>
      <c r="BK37" s="77" t="str">
        <f t="shared" si="34"/>
        <v/>
      </c>
      <c r="BL37" s="75" t="str">
        <f t="shared" si="7"/>
        <v/>
      </c>
      <c r="BM37" s="74" t="str">
        <f t="shared" si="35"/>
        <v/>
      </c>
      <c r="BN37" s="77" t="str">
        <f t="shared" si="36"/>
        <v/>
      </c>
      <c r="BO37" s="75" t="str">
        <f t="shared" si="8"/>
        <v/>
      </c>
      <c r="BP37" s="74" t="str">
        <f t="shared" si="37"/>
        <v/>
      </c>
      <c r="BQ37" s="77" t="str">
        <f t="shared" si="38"/>
        <v/>
      </c>
      <c r="BS37" s="104">
        <f t="shared" si="41"/>
        <v>0</v>
      </c>
      <c r="BT37" s="106"/>
    </row>
    <row r="38" spans="2:72" s="1" customFormat="1" ht="61.5" customHeight="1" outlineLevel="1" x14ac:dyDescent="0.25">
      <c r="B38" s="41">
        <f t="shared" si="40"/>
        <v>16</v>
      </c>
      <c r="C38" s="218"/>
      <c r="D38" s="218"/>
      <c r="E38" s="218"/>
      <c r="F38" s="218"/>
      <c r="G38" s="42"/>
      <c r="H38" s="43"/>
      <c r="I38" s="44"/>
      <c r="J38" s="45" t="str">
        <f t="shared" si="9"/>
        <v/>
      </c>
      <c r="K38" s="93"/>
      <c r="L38" s="152" t="str">
        <f t="shared" si="10"/>
        <v>No Quote</v>
      </c>
      <c r="M38" s="153"/>
      <c r="N38" s="44"/>
      <c r="O38" s="45" t="str">
        <f t="shared" si="11"/>
        <v/>
      </c>
      <c r="P38" s="93"/>
      <c r="Q38" s="152" t="str">
        <f t="shared" si="12"/>
        <v>No Quote</v>
      </c>
      <c r="R38" s="153"/>
      <c r="S38" s="44"/>
      <c r="T38" s="45" t="str">
        <f t="shared" si="13"/>
        <v/>
      </c>
      <c r="U38" s="92"/>
      <c r="V38" s="152" t="str">
        <f t="shared" si="14"/>
        <v>No Quote</v>
      </c>
      <c r="W38" s="153"/>
      <c r="X38" s="44"/>
      <c r="Y38" s="45" t="str">
        <f t="shared" si="15"/>
        <v/>
      </c>
      <c r="Z38" s="93"/>
      <c r="AA38" s="212" t="str">
        <f t="shared" si="16"/>
        <v>No Quote</v>
      </c>
      <c r="AB38" s="309"/>
      <c r="AC38" s="44"/>
      <c r="AD38" s="45" t="str">
        <f t="shared" si="17"/>
        <v/>
      </c>
      <c r="AE38" s="92"/>
      <c r="AF38" s="152" t="str">
        <f t="shared" si="18"/>
        <v>No Quote</v>
      </c>
      <c r="AG38" s="153"/>
      <c r="AH38" s="44"/>
      <c r="AI38" s="45" t="str">
        <f t="shared" si="19"/>
        <v/>
      </c>
      <c r="AJ38" s="92"/>
      <c r="AK38" s="152" t="str">
        <f t="shared" si="20"/>
        <v>No Quote</v>
      </c>
      <c r="AL38" s="153"/>
      <c r="AM38" s="44"/>
      <c r="AN38" s="45" t="str">
        <f t="shared" si="21"/>
        <v/>
      </c>
      <c r="AO38" s="92"/>
      <c r="AP38" s="152" t="str">
        <f t="shared" si="22"/>
        <v>No Quote</v>
      </c>
      <c r="AQ38" s="153"/>
      <c r="AR38" s="44"/>
      <c r="AS38" s="45" t="str">
        <f t="shared" si="23"/>
        <v/>
      </c>
      <c r="AT38" s="92"/>
      <c r="AU38" s="212" t="str">
        <f t="shared" si="24"/>
        <v>No Quote</v>
      </c>
      <c r="AV38" s="213"/>
      <c r="AW38" s="90"/>
      <c r="AX38" s="96"/>
      <c r="AY38" s="66" t="str">
        <f t="shared" si="25"/>
        <v/>
      </c>
      <c r="AZ38" s="95"/>
      <c r="BA38" s="95"/>
      <c r="BB38" s="80" t="str">
        <f t="shared" si="26"/>
        <v>-</v>
      </c>
      <c r="BC38" s="80" t="str">
        <f t="shared" si="27"/>
        <v>-</v>
      </c>
      <c r="BD38" s="80" t="str">
        <f t="shared" si="28"/>
        <v>-</v>
      </c>
      <c r="BE38" s="80" t="str">
        <f t="shared" si="29"/>
        <v>-</v>
      </c>
      <c r="BF38" s="80" t="str">
        <f t="shared" si="30"/>
        <v>-</v>
      </c>
      <c r="BG38" s="80" t="str">
        <f t="shared" si="31"/>
        <v>-</v>
      </c>
      <c r="BH38" s="80" t="str">
        <f t="shared" si="32"/>
        <v>-</v>
      </c>
      <c r="BI38" s="80" t="str">
        <f t="shared" si="33"/>
        <v>-</v>
      </c>
      <c r="BJ38" s="81" t="str">
        <f t="shared" si="6"/>
        <v/>
      </c>
      <c r="BK38" s="77" t="str">
        <f t="shared" si="34"/>
        <v/>
      </c>
      <c r="BL38" s="75" t="str">
        <f t="shared" si="7"/>
        <v/>
      </c>
      <c r="BM38" s="74" t="str">
        <f t="shared" si="35"/>
        <v/>
      </c>
      <c r="BN38" s="77" t="str">
        <f t="shared" si="36"/>
        <v/>
      </c>
      <c r="BO38" s="75" t="str">
        <f t="shared" si="8"/>
        <v/>
      </c>
      <c r="BP38" s="74" t="str">
        <f t="shared" si="37"/>
        <v/>
      </c>
      <c r="BQ38" s="77" t="str">
        <f t="shared" si="38"/>
        <v/>
      </c>
      <c r="BS38" s="104">
        <f t="shared" si="41"/>
        <v>0</v>
      </c>
      <c r="BT38" s="106"/>
    </row>
    <row r="39" spans="2:72" s="1" customFormat="1" ht="61.5" customHeight="1" outlineLevel="1" x14ac:dyDescent="0.25">
      <c r="B39" s="41">
        <f t="shared" si="40"/>
        <v>17</v>
      </c>
      <c r="C39" s="218"/>
      <c r="D39" s="218"/>
      <c r="E39" s="218"/>
      <c r="F39" s="218"/>
      <c r="G39" s="42"/>
      <c r="H39" s="43"/>
      <c r="I39" s="44"/>
      <c r="J39" s="45" t="str">
        <f t="shared" si="9"/>
        <v/>
      </c>
      <c r="K39" s="93"/>
      <c r="L39" s="152" t="str">
        <f t="shared" si="10"/>
        <v>No Quote</v>
      </c>
      <c r="M39" s="153"/>
      <c r="N39" s="44"/>
      <c r="O39" s="45" t="str">
        <f t="shared" si="11"/>
        <v/>
      </c>
      <c r="P39" s="93"/>
      <c r="Q39" s="152" t="str">
        <f t="shared" si="12"/>
        <v>No Quote</v>
      </c>
      <c r="R39" s="153"/>
      <c r="S39" s="44"/>
      <c r="T39" s="45" t="str">
        <f t="shared" si="13"/>
        <v/>
      </c>
      <c r="U39" s="92"/>
      <c r="V39" s="152" t="str">
        <f t="shared" si="14"/>
        <v>No Quote</v>
      </c>
      <c r="W39" s="153"/>
      <c r="X39" s="44"/>
      <c r="Y39" s="45" t="str">
        <f t="shared" si="15"/>
        <v/>
      </c>
      <c r="Z39" s="93"/>
      <c r="AA39" s="212" t="str">
        <f t="shared" si="16"/>
        <v>No Quote</v>
      </c>
      <c r="AB39" s="309"/>
      <c r="AC39" s="44"/>
      <c r="AD39" s="45" t="str">
        <f t="shared" si="17"/>
        <v/>
      </c>
      <c r="AE39" s="92"/>
      <c r="AF39" s="152" t="str">
        <f t="shared" si="18"/>
        <v>No Quote</v>
      </c>
      <c r="AG39" s="153"/>
      <c r="AH39" s="44"/>
      <c r="AI39" s="45" t="str">
        <f t="shared" si="19"/>
        <v/>
      </c>
      <c r="AJ39" s="92"/>
      <c r="AK39" s="152" t="str">
        <f t="shared" si="20"/>
        <v>No Quote</v>
      </c>
      <c r="AL39" s="153"/>
      <c r="AM39" s="44"/>
      <c r="AN39" s="45" t="str">
        <f t="shared" si="21"/>
        <v/>
      </c>
      <c r="AO39" s="92"/>
      <c r="AP39" s="152" t="str">
        <f t="shared" si="22"/>
        <v>No Quote</v>
      </c>
      <c r="AQ39" s="153"/>
      <c r="AR39" s="44"/>
      <c r="AS39" s="45" t="str">
        <f t="shared" si="23"/>
        <v/>
      </c>
      <c r="AT39" s="92"/>
      <c r="AU39" s="212" t="str">
        <f t="shared" si="24"/>
        <v>No Quote</v>
      </c>
      <c r="AV39" s="213"/>
      <c r="AW39" s="90"/>
      <c r="AX39" s="96"/>
      <c r="AY39" s="66" t="str">
        <f t="shared" si="25"/>
        <v/>
      </c>
      <c r="AZ39" s="95"/>
      <c r="BA39" s="95"/>
      <c r="BB39" s="80" t="str">
        <f t="shared" si="26"/>
        <v>-</v>
      </c>
      <c r="BC39" s="80" t="str">
        <f t="shared" si="27"/>
        <v>-</v>
      </c>
      <c r="BD39" s="80" t="str">
        <f t="shared" si="28"/>
        <v>-</v>
      </c>
      <c r="BE39" s="80" t="str">
        <f t="shared" si="29"/>
        <v>-</v>
      </c>
      <c r="BF39" s="80" t="str">
        <f t="shared" si="30"/>
        <v>-</v>
      </c>
      <c r="BG39" s="80" t="str">
        <f t="shared" si="31"/>
        <v>-</v>
      </c>
      <c r="BH39" s="80" t="str">
        <f t="shared" si="32"/>
        <v>-</v>
      </c>
      <c r="BI39" s="80" t="str">
        <f t="shared" si="33"/>
        <v>-</v>
      </c>
      <c r="BJ39" s="81" t="str">
        <f t="shared" si="6"/>
        <v/>
      </c>
      <c r="BK39" s="77" t="str">
        <f t="shared" si="34"/>
        <v/>
      </c>
      <c r="BL39" s="75" t="str">
        <f t="shared" si="7"/>
        <v/>
      </c>
      <c r="BM39" s="74" t="str">
        <f t="shared" si="35"/>
        <v/>
      </c>
      <c r="BN39" s="77" t="str">
        <f t="shared" si="36"/>
        <v/>
      </c>
      <c r="BO39" s="75" t="str">
        <f t="shared" si="8"/>
        <v/>
      </c>
      <c r="BP39" s="74" t="str">
        <f t="shared" si="37"/>
        <v/>
      </c>
      <c r="BQ39" s="77" t="str">
        <f t="shared" si="38"/>
        <v/>
      </c>
      <c r="BS39" s="104">
        <f t="shared" si="41"/>
        <v>0</v>
      </c>
      <c r="BT39" s="106"/>
    </row>
    <row r="40" spans="2:72" s="1" customFormat="1" ht="61.5" customHeight="1" outlineLevel="1" x14ac:dyDescent="0.25">
      <c r="B40" s="41">
        <f t="shared" si="40"/>
        <v>18</v>
      </c>
      <c r="C40" s="218"/>
      <c r="D40" s="218"/>
      <c r="E40" s="218"/>
      <c r="F40" s="218"/>
      <c r="G40" s="42"/>
      <c r="H40" s="43"/>
      <c r="I40" s="44"/>
      <c r="J40" s="45" t="str">
        <f t="shared" si="9"/>
        <v/>
      </c>
      <c r="K40" s="93"/>
      <c r="L40" s="152" t="str">
        <f t="shared" si="10"/>
        <v>No Quote</v>
      </c>
      <c r="M40" s="153"/>
      <c r="N40" s="44"/>
      <c r="O40" s="45" t="str">
        <f t="shared" si="11"/>
        <v/>
      </c>
      <c r="P40" s="93"/>
      <c r="Q40" s="152" t="str">
        <f t="shared" si="12"/>
        <v>No Quote</v>
      </c>
      <c r="R40" s="153"/>
      <c r="S40" s="44"/>
      <c r="T40" s="45" t="str">
        <f t="shared" si="13"/>
        <v/>
      </c>
      <c r="U40" s="92"/>
      <c r="V40" s="152" t="str">
        <f t="shared" si="14"/>
        <v>No Quote</v>
      </c>
      <c r="W40" s="153"/>
      <c r="X40" s="44"/>
      <c r="Y40" s="45" t="str">
        <f t="shared" si="15"/>
        <v/>
      </c>
      <c r="Z40" s="93"/>
      <c r="AA40" s="212" t="str">
        <f t="shared" si="16"/>
        <v>No Quote</v>
      </c>
      <c r="AB40" s="309"/>
      <c r="AC40" s="44"/>
      <c r="AD40" s="45" t="str">
        <f t="shared" si="17"/>
        <v/>
      </c>
      <c r="AE40" s="92"/>
      <c r="AF40" s="152" t="str">
        <f t="shared" si="18"/>
        <v>No Quote</v>
      </c>
      <c r="AG40" s="153"/>
      <c r="AH40" s="44"/>
      <c r="AI40" s="45" t="str">
        <f t="shared" si="19"/>
        <v/>
      </c>
      <c r="AJ40" s="92"/>
      <c r="AK40" s="152" t="str">
        <f t="shared" si="20"/>
        <v>No Quote</v>
      </c>
      <c r="AL40" s="153"/>
      <c r="AM40" s="44"/>
      <c r="AN40" s="45" t="str">
        <f t="shared" si="21"/>
        <v/>
      </c>
      <c r="AO40" s="92"/>
      <c r="AP40" s="152" t="str">
        <f t="shared" si="22"/>
        <v>No Quote</v>
      </c>
      <c r="AQ40" s="153"/>
      <c r="AR40" s="44"/>
      <c r="AS40" s="45" t="str">
        <f t="shared" si="23"/>
        <v/>
      </c>
      <c r="AT40" s="92"/>
      <c r="AU40" s="212" t="str">
        <f t="shared" si="24"/>
        <v>No Quote</v>
      </c>
      <c r="AV40" s="213"/>
      <c r="AW40" s="90"/>
      <c r="AX40" s="96"/>
      <c r="AY40" s="66" t="str">
        <f t="shared" si="25"/>
        <v/>
      </c>
      <c r="AZ40" s="95"/>
      <c r="BA40" s="95"/>
      <c r="BB40" s="80" t="str">
        <f t="shared" si="26"/>
        <v>-</v>
      </c>
      <c r="BC40" s="80" t="str">
        <f t="shared" si="27"/>
        <v>-</v>
      </c>
      <c r="BD40" s="80" t="str">
        <f t="shared" si="28"/>
        <v>-</v>
      </c>
      <c r="BE40" s="80" t="str">
        <f t="shared" si="29"/>
        <v>-</v>
      </c>
      <c r="BF40" s="80" t="str">
        <f t="shared" si="30"/>
        <v>-</v>
      </c>
      <c r="BG40" s="80" t="str">
        <f t="shared" si="31"/>
        <v>-</v>
      </c>
      <c r="BH40" s="80" t="str">
        <f t="shared" si="32"/>
        <v>-</v>
      </c>
      <c r="BI40" s="80" t="str">
        <f t="shared" si="33"/>
        <v>-</v>
      </c>
      <c r="BJ40" s="81" t="str">
        <f t="shared" si="6"/>
        <v/>
      </c>
      <c r="BK40" s="77" t="str">
        <f t="shared" si="34"/>
        <v/>
      </c>
      <c r="BL40" s="75" t="str">
        <f t="shared" si="7"/>
        <v/>
      </c>
      <c r="BM40" s="74" t="str">
        <f t="shared" si="35"/>
        <v/>
      </c>
      <c r="BN40" s="77" t="str">
        <f t="shared" si="36"/>
        <v/>
      </c>
      <c r="BO40" s="75" t="str">
        <f t="shared" si="8"/>
        <v/>
      </c>
      <c r="BP40" s="74" t="str">
        <f t="shared" si="37"/>
        <v/>
      </c>
      <c r="BQ40" s="77" t="str">
        <f t="shared" si="38"/>
        <v/>
      </c>
      <c r="BS40" s="104">
        <f t="shared" si="41"/>
        <v>0</v>
      </c>
      <c r="BT40" s="106"/>
    </row>
    <row r="41" spans="2:72" s="1" customFormat="1" ht="61.5" customHeight="1" outlineLevel="1" x14ac:dyDescent="0.25">
      <c r="B41" s="41">
        <f t="shared" si="40"/>
        <v>19</v>
      </c>
      <c r="C41" s="218"/>
      <c r="D41" s="218"/>
      <c r="E41" s="218"/>
      <c r="F41" s="218"/>
      <c r="G41" s="42"/>
      <c r="H41" s="43"/>
      <c r="I41" s="44"/>
      <c r="J41" s="45" t="str">
        <f t="shared" si="9"/>
        <v/>
      </c>
      <c r="K41" s="93"/>
      <c r="L41" s="152" t="str">
        <f t="shared" si="10"/>
        <v>No Quote</v>
      </c>
      <c r="M41" s="153"/>
      <c r="N41" s="44"/>
      <c r="O41" s="45" t="str">
        <f t="shared" si="11"/>
        <v/>
      </c>
      <c r="P41" s="93"/>
      <c r="Q41" s="152" t="str">
        <f t="shared" si="12"/>
        <v>No Quote</v>
      </c>
      <c r="R41" s="153"/>
      <c r="S41" s="44"/>
      <c r="T41" s="45" t="str">
        <f t="shared" si="13"/>
        <v/>
      </c>
      <c r="U41" s="92"/>
      <c r="V41" s="152" t="str">
        <f t="shared" si="14"/>
        <v>No Quote</v>
      </c>
      <c r="W41" s="153"/>
      <c r="X41" s="44"/>
      <c r="Y41" s="45" t="str">
        <f t="shared" si="15"/>
        <v/>
      </c>
      <c r="Z41" s="93"/>
      <c r="AA41" s="212" t="str">
        <f t="shared" si="16"/>
        <v>No Quote</v>
      </c>
      <c r="AB41" s="309"/>
      <c r="AC41" s="44"/>
      <c r="AD41" s="45" t="str">
        <f t="shared" si="17"/>
        <v/>
      </c>
      <c r="AE41" s="92"/>
      <c r="AF41" s="152" t="str">
        <f t="shared" si="18"/>
        <v>No Quote</v>
      </c>
      <c r="AG41" s="153"/>
      <c r="AH41" s="44"/>
      <c r="AI41" s="45" t="str">
        <f t="shared" si="19"/>
        <v/>
      </c>
      <c r="AJ41" s="92"/>
      <c r="AK41" s="152" t="str">
        <f t="shared" si="20"/>
        <v>No Quote</v>
      </c>
      <c r="AL41" s="153"/>
      <c r="AM41" s="44"/>
      <c r="AN41" s="45" t="str">
        <f t="shared" si="21"/>
        <v/>
      </c>
      <c r="AO41" s="92"/>
      <c r="AP41" s="152" t="str">
        <f t="shared" si="22"/>
        <v>No Quote</v>
      </c>
      <c r="AQ41" s="153"/>
      <c r="AR41" s="44"/>
      <c r="AS41" s="45" t="str">
        <f t="shared" si="23"/>
        <v/>
      </c>
      <c r="AT41" s="92"/>
      <c r="AU41" s="212" t="str">
        <f t="shared" si="24"/>
        <v>No Quote</v>
      </c>
      <c r="AV41" s="213"/>
      <c r="AW41" s="90"/>
      <c r="AX41" s="96"/>
      <c r="AY41" s="66" t="str">
        <f t="shared" si="25"/>
        <v/>
      </c>
      <c r="AZ41" s="95"/>
      <c r="BA41" s="95"/>
      <c r="BB41" s="80" t="str">
        <f t="shared" si="26"/>
        <v>-</v>
      </c>
      <c r="BC41" s="80" t="str">
        <f t="shared" si="27"/>
        <v>-</v>
      </c>
      <c r="BD41" s="80" t="str">
        <f t="shared" si="28"/>
        <v>-</v>
      </c>
      <c r="BE41" s="80" t="str">
        <f t="shared" si="29"/>
        <v>-</v>
      </c>
      <c r="BF41" s="80" t="str">
        <f t="shared" si="30"/>
        <v>-</v>
      </c>
      <c r="BG41" s="80" t="str">
        <f t="shared" si="31"/>
        <v>-</v>
      </c>
      <c r="BH41" s="80" t="str">
        <f t="shared" si="32"/>
        <v>-</v>
      </c>
      <c r="BI41" s="80" t="str">
        <f t="shared" si="33"/>
        <v>-</v>
      </c>
      <c r="BJ41" s="81" t="str">
        <f t="shared" si="6"/>
        <v/>
      </c>
      <c r="BK41" s="77" t="str">
        <f t="shared" si="34"/>
        <v/>
      </c>
      <c r="BL41" s="75" t="str">
        <f t="shared" si="7"/>
        <v/>
      </c>
      <c r="BM41" s="74" t="str">
        <f t="shared" si="35"/>
        <v/>
      </c>
      <c r="BN41" s="77" t="str">
        <f t="shared" si="36"/>
        <v/>
      </c>
      <c r="BO41" s="75" t="str">
        <f t="shared" si="8"/>
        <v/>
      </c>
      <c r="BP41" s="74" t="str">
        <f t="shared" si="37"/>
        <v/>
      </c>
      <c r="BQ41" s="77" t="str">
        <f t="shared" si="38"/>
        <v/>
      </c>
      <c r="BS41" s="104">
        <f t="shared" si="41"/>
        <v>0</v>
      </c>
      <c r="BT41" s="106"/>
    </row>
    <row r="42" spans="2:72" s="1" customFormat="1" ht="61.5" customHeight="1" outlineLevel="1" x14ac:dyDescent="0.25">
      <c r="B42" s="41">
        <f t="shared" si="40"/>
        <v>20</v>
      </c>
      <c r="C42" s="218"/>
      <c r="D42" s="218"/>
      <c r="E42" s="218"/>
      <c r="F42" s="218"/>
      <c r="G42" s="42"/>
      <c r="H42" s="43"/>
      <c r="I42" s="44"/>
      <c r="J42" s="45" t="str">
        <f t="shared" si="9"/>
        <v/>
      </c>
      <c r="K42" s="93"/>
      <c r="L42" s="152" t="str">
        <f t="shared" si="10"/>
        <v>No Quote</v>
      </c>
      <c r="M42" s="153"/>
      <c r="N42" s="44"/>
      <c r="O42" s="45" t="str">
        <f t="shared" si="11"/>
        <v/>
      </c>
      <c r="P42" s="93"/>
      <c r="Q42" s="152" t="str">
        <f t="shared" si="12"/>
        <v>No Quote</v>
      </c>
      <c r="R42" s="153"/>
      <c r="S42" s="44"/>
      <c r="T42" s="45" t="str">
        <f t="shared" si="13"/>
        <v/>
      </c>
      <c r="U42" s="92"/>
      <c r="V42" s="152" t="str">
        <f t="shared" si="14"/>
        <v>No Quote</v>
      </c>
      <c r="W42" s="153"/>
      <c r="X42" s="44"/>
      <c r="Y42" s="45" t="str">
        <f t="shared" si="15"/>
        <v/>
      </c>
      <c r="Z42" s="93"/>
      <c r="AA42" s="212" t="str">
        <f t="shared" si="16"/>
        <v>No Quote</v>
      </c>
      <c r="AB42" s="309"/>
      <c r="AC42" s="44"/>
      <c r="AD42" s="45" t="str">
        <f t="shared" si="17"/>
        <v/>
      </c>
      <c r="AE42" s="92"/>
      <c r="AF42" s="152" t="str">
        <f t="shared" si="18"/>
        <v>No Quote</v>
      </c>
      <c r="AG42" s="153"/>
      <c r="AH42" s="44"/>
      <c r="AI42" s="45" t="str">
        <f t="shared" si="19"/>
        <v/>
      </c>
      <c r="AJ42" s="92"/>
      <c r="AK42" s="152" t="str">
        <f t="shared" si="20"/>
        <v>No Quote</v>
      </c>
      <c r="AL42" s="153"/>
      <c r="AM42" s="44"/>
      <c r="AN42" s="45" t="str">
        <f t="shared" si="21"/>
        <v/>
      </c>
      <c r="AO42" s="92"/>
      <c r="AP42" s="152" t="str">
        <f t="shared" si="22"/>
        <v>No Quote</v>
      </c>
      <c r="AQ42" s="153"/>
      <c r="AR42" s="44"/>
      <c r="AS42" s="45" t="str">
        <f t="shared" si="23"/>
        <v/>
      </c>
      <c r="AT42" s="92"/>
      <c r="AU42" s="212" t="str">
        <f t="shared" si="24"/>
        <v>No Quote</v>
      </c>
      <c r="AV42" s="213"/>
      <c r="AW42" s="90"/>
      <c r="AX42" s="96"/>
      <c r="AY42" s="66" t="str">
        <f t="shared" si="25"/>
        <v/>
      </c>
      <c r="AZ42" s="95"/>
      <c r="BA42" s="95"/>
      <c r="BB42" s="80" t="str">
        <f t="shared" si="26"/>
        <v>-</v>
      </c>
      <c r="BC42" s="80" t="str">
        <f t="shared" si="27"/>
        <v>-</v>
      </c>
      <c r="BD42" s="80" t="str">
        <f t="shared" si="28"/>
        <v>-</v>
      </c>
      <c r="BE42" s="80" t="str">
        <f t="shared" si="29"/>
        <v>-</v>
      </c>
      <c r="BF42" s="80" t="str">
        <f t="shared" si="30"/>
        <v>-</v>
      </c>
      <c r="BG42" s="80" t="str">
        <f t="shared" si="31"/>
        <v>-</v>
      </c>
      <c r="BH42" s="80" t="str">
        <f t="shared" si="32"/>
        <v>-</v>
      </c>
      <c r="BI42" s="80" t="str">
        <f t="shared" si="33"/>
        <v>-</v>
      </c>
      <c r="BJ42" s="81" t="str">
        <f t="shared" si="6"/>
        <v/>
      </c>
      <c r="BK42" s="77" t="str">
        <f t="shared" si="34"/>
        <v/>
      </c>
      <c r="BL42" s="75" t="str">
        <f t="shared" si="7"/>
        <v/>
      </c>
      <c r="BM42" s="74" t="str">
        <f t="shared" si="35"/>
        <v/>
      </c>
      <c r="BN42" s="77" t="str">
        <f t="shared" si="36"/>
        <v/>
      </c>
      <c r="BO42" s="75" t="str">
        <f t="shared" si="8"/>
        <v/>
      </c>
      <c r="BP42" s="74" t="str">
        <f t="shared" si="37"/>
        <v/>
      </c>
      <c r="BQ42" s="77" t="str">
        <f t="shared" si="38"/>
        <v/>
      </c>
      <c r="BS42" s="104">
        <f t="shared" si="41"/>
        <v>0</v>
      </c>
      <c r="BT42" s="106"/>
    </row>
    <row r="43" spans="2:72" s="1" customFormat="1" ht="61.5" customHeight="1" outlineLevel="1" x14ac:dyDescent="0.25">
      <c r="B43" s="41">
        <f t="shared" si="40"/>
        <v>21</v>
      </c>
      <c r="C43" s="218"/>
      <c r="D43" s="218"/>
      <c r="E43" s="218"/>
      <c r="F43" s="218"/>
      <c r="G43" s="42"/>
      <c r="H43" s="43"/>
      <c r="I43" s="44"/>
      <c r="J43" s="45" t="str">
        <f t="shared" si="9"/>
        <v/>
      </c>
      <c r="K43" s="93"/>
      <c r="L43" s="152" t="str">
        <f t="shared" si="10"/>
        <v>No Quote</v>
      </c>
      <c r="M43" s="153"/>
      <c r="N43" s="44"/>
      <c r="O43" s="45" t="str">
        <f t="shared" si="11"/>
        <v/>
      </c>
      <c r="P43" s="93"/>
      <c r="Q43" s="152" t="str">
        <f t="shared" si="12"/>
        <v>No Quote</v>
      </c>
      <c r="R43" s="153"/>
      <c r="S43" s="44"/>
      <c r="T43" s="45" t="str">
        <f t="shared" si="13"/>
        <v/>
      </c>
      <c r="U43" s="92"/>
      <c r="V43" s="152" t="str">
        <f t="shared" si="14"/>
        <v>No Quote</v>
      </c>
      <c r="W43" s="153"/>
      <c r="X43" s="44"/>
      <c r="Y43" s="45" t="str">
        <f t="shared" si="15"/>
        <v/>
      </c>
      <c r="Z43" s="93"/>
      <c r="AA43" s="212" t="str">
        <f t="shared" si="16"/>
        <v>No Quote</v>
      </c>
      <c r="AB43" s="309"/>
      <c r="AC43" s="44"/>
      <c r="AD43" s="45" t="str">
        <f t="shared" si="17"/>
        <v/>
      </c>
      <c r="AE43" s="92"/>
      <c r="AF43" s="152" t="str">
        <f t="shared" si="18"/>
        <v>No Quote</v>
      </c>
      <c r="AG43" s="153"/>
      <c r="AH43" s="44"/>
      <c r="AI43" s="45" t="str">
        <f t="shared" si="19"/>
        <v/>
      </c>
      <c r="AJ43" s="92"/>
      <c r="AK43" s="152" t="str">
        <f t="shared" si="20"/>
        <v>No Quote</v>
      </c>
      <c r="AL43" s="153"/>
      <c r="AM43" s="44"/>
      <c r="AN43" s="45" t="str">
        <f t="shared" si="21"/>
        <v/>
      </c>
      <c r="AO43" s="92"/>
      <c r="AP43" s="152" t="str">
        <f t="shared" si="22"/>
        <v>No Quote</v>
      </c>
      <c r="AQ43" s="153"/>
      <c r="AR43" s="44"/>
      <c r="AS43" s="45" t="str">
        <f t="shared" si="23"/>
        <v/>
      </c>
      <c r="AT43" s="92"/>
      <c r="AU43" s="212" t="str">
        <f t="shared" si="24"/>
        <v>No Quote</v>
      </c>
      <c r="AV43" s="213"/>
      <c r="AW43" s="90"/>
      <c r="AX43" s="96"/>
      <c r="AY43" s="66" t="str">
        <f t="shared" si="25"/>
        <v/>
      </c>
      <c r="AZ43" s="95"/>
      <c r="BA43" s="95"/>
      <c r="BB43" s="80" t="str">
        <f t="shared" si="26"/>
        <v>-</v>
      </c>
      <c r="BC43" s="80" t="str">
        <f t="shared" si="27"/>
        <v>-</v>
      </c>
      <c r="BD43" s="80" t="str">
        <f t="shared" si="28"/>
        <v>-</v>
      </c>
      <c r="BE43" s="80" t="str">
        <f t="shared" si="29"/>
        <v>-</v>
      </c>
      <c r="BF43" s="80" t="str">
        <f t="shared" si="30"/>
        <v>-</v>
      </c>
      <c r="BG43" s="80" t="str">
        <f t="shared" si="31"/>
        <v>-</v>
      </c>
      <c r="BH43" s="80" t="str">
        <f t="shared" si="32"/>
        <v>-</v>
      </c>
      <c r="BI43" s="80" t="str">
        <f t="shared" si="33"/>
        <v>-</v>
      </c>
      <c r="BJ43" s="81" t="str">
        <f t="shared" si="6"/>
        <v/>
      </c>
      <c r="BK43" s="77" t="str">
        <f t="shared" si="34"/>
        <v/>
      </c>
      <c r="BL43" s="75" t="str">
        <f t="shared" si="7"/>
        <v/>
      </c>
      <c r="BM43" s="74" t="str">
        <f t="shared" si="35"/>
        <v/>
      </c>
      <c r="BN43" s="77" t="str">
        <f t="shared" si="36"/>
        <v/>
      </c>
      <c r="BO43" s="75" t="str">
        <f t="shared" si="8"/>
        <v/>
      </c>
      <c r="BP43" s="74" t="str">
        <f t="shared" si="37"/>
        <v/>
      </c>
      <c r="BQ43" s="77" t="str">
        <f t="shared" si="38"/>
        <v/>
      </c>
      <c r="BS43" s="104">
        <f t="shared" si="41"/>
        <v>0</v>
      </c>
      <c r="BT43" s="106"/>
    </row>
    <row r="44" spans="2:72" s="1" customFormat="1" ht="61.5" customHeight="1" outlineLevel="1" x14ac:dyDescent="0.25">
      <c r="B44" s="41">
        <f t="shared" si="40"/>
        <v>22</v>
      </c>
      <c r="C44" s="218"/>
      <c r="D44" s="218"/>
      <c r="E44" s="218"/>
      <c r="F44" s="218"/>
      <c r="G44" s="42"/>
      <c r="H44" s="43"/>
      <c r="I44" s="44"/>
      <c r="J44" s="45" t="str">
        <f t="shared" si="9"/>
        <v/>
      </c>
      <c r="K44" s="93"/>
      <c r="L44" s="152" t="str">
        <f t="shared" si="10"/>
        <v>No Quote</v>
      </c>
      <c r="M44" s="153"/>
      <c r="N44" s="44"/>
      <c r="O44" s="45" t="str">
        <f t="shared" si="11"/>
        <v/>
      </c>
      <c r="P44" s="93"/>
      <c r="Q44" s="152" t="str">
        <f t="shared" si="12"/>
        <v>No Quote</v>
      </c>
      <c r="R44" s="153"/>
      <c r="S44" s="44"/>
      <c r="T44" s="45" t="str">
        <f t="shared" si="13"/>
        <v/>
      </c>
      <c r="U44" s="92"/>
      <c r="V44" s="152" t="str">
        <f t="shared" si="14"/>
        <v>No Quote</v>
      </c>
      <c r="W44" s="153"/>
      <c r="X44" s="44"/>
      <c r="Y44" s="45" t="str">
        <f t="shared" si="15"/>
        <v/>
      </c>
      <c r="Z44" s="93"/>
      <c r="AA44" s="212" t="str">
        <f t="shared" si="16"/>
        <v>No Quote</v>
      </c>
      <c r="AB44" s="309"/>
      <c r="AC44" s="44"/>
      <c r="AD44" s="45" t="str">
        <f t="shared" si="17"/>
        <v/>
      </c>
      <c r="AE44" s="92"/>
      <c r="AF44" s="152" t="str">
        <f t="shared" si="18"/>
        <v>No Quote</v>
      </c>
      <c r="AG44" s="153"/>
      <c r="AH44" s="44"/>
      <c r="AI44" s="45" t="str">
        <f t="shared" si="19"/>
        <v/>
      </c>
      <c r="AJ44" s="92"/>
      <c r="AK44" s="152" t="str">
        <f t="shared" si="20"/>
        <v>No Quote</v>
      </c>
      <c r="AL44" s="153"/>
      <c r="AM44" s="44"/>
      <c r="AN44" s="45" t="str">
        <f t="shared" si="21"/>
        <v/>
      </c>
      <c r="AO44" s="92"/>
      <c r="AP44" s="152" t="str">
        <f t="shared" si="22"/>
        <v>No Quote</v>
      </c>
      <c r="AQ44" s="153"/>
      <c r="AR44" s="44"/>
      <c r="AS44" s="45" t="str">
        <f t="shared" si="23"/>
        <v/>
      </c>
      <c r="AT44" s="92"/>
      <c r="AU44" s="212" t="str">
        <f t="shared" si="24"/>
        <v>No Quote</v>
      </c>
      <c r="AV44" s="213"/>
      <c r="AW44" s="90"/>
      <c r="AX44" s="96"/>
      <c r="AY44" s="66" t="str">
        <f t="shared" si="25"/>
        <v/>
      </c>
      <c r="AZ44" s="95"/>
      <c r="BA44" s="95"/>
      <c r="BB44" s="80" t="str">
        <f t="shared" si="26"/>
        <v>-</v>
      </c>
      <c r="BC44" s="80" t="str">
        <f t="shared" si="27"/>
        <v>-</v>
      </c>
      <c r="BD44" s="80" t="str">
        <f t="shared" si="28"/>
        <v>-</v>
      </c>
      <c r="BE44" s="80" t="str">
        <f t="shared" si="29"/>
        <v>-</v>
      </c>
      <c r="BF44" s="80" t="str">
        <f t="shared" si="30"/>
        <v>-</v>
      </c>
      <c r="BG44" s="80" t="str">
        <f t="shared" si="31"/>
        <v>-</v>
      </c>
      <c r="BH44" s="80" t="str">
        <f t="shared" si="32"/>
        <v>-</v>
      </c>
      <c r="BI44" s="80" t="str">
        <f t="shared" si="33"/>
        <v>-</v>
      </c>
      <c r="BJ44" s="81" t="str">
        <f t="shared" si="6"/>
        <v/>
      </c>
      <c r="BK44" s="77" t="str">
        <f t="shared" si="34"/>
        <v/>
      </c>
      <c r="BL44" s="75" t="str">
        <f t="shared" si="7"/>
        <v/>
      </c>
      <c r="BM44" s="74" t="str">
        <f t="shared" si="35"/>
        <v/>
      </c>
      <c r="BN44" s="77" t="str">
        <f t="shared" si="36"/>
        <v/>
      </c>
      <c r="BO44" s="75" t="str">
        <f t="shared" si="8"/>
        <v/>
      </c>
      <c r="BP44" s="74" t="str">
        <f t="shared" si="37"/>
        <v/>
      </c>
      <c r="BQ44" s="77" t="str">
        <f t="shared" si="38"/>
        <v/>
      </c>
      <c r="BS44" s="104">
        <f t="shared" si="41"/>
        <v>0</v>
      </c>
      <c r="BT44" s="106"/>
    </row>
    <row r="45" spans="2:72" s="1" customFormat="1" ht="61.5" customHeight="1" outlineLevel="1" x14ac:dyDescent="0.25">
      <c r="B45" s="41">
        <f t="shared" si="40"/>
        <v>23</v>
      </c>
      <c r="C45" s="218"/>
      <c r="D45" s="218"/>
      <c r="E45" s="218"/>
      <c r="F45" s="218"/>
      <c r="G45" s="42"/>
      <c r="H45" s="43"/>
      <c r="I45" s="44"/>
      <c r="J45" s="45" t="str">
        <f t="shared" si="9"/>
        <v/>
      </c>
      <c r="K45" s="93"/>
      <c r="L45" s="152" t="str">
        <f t="shared" si="10"/>
        <v>No Quote</v>
      </c>
      <c r="M45" s="153"/>
      <c r="N45" s="44"/>
      <c r="O45" s="45" t="str">
        <f t="shared" si="11"/>
        <v/>
      </c>
      <c r="P45" s="93"/>
      <c r="Q45" s="152" t="str">
        <f t="shared" si="12"/>
        <v>No Quote</v>
      </c>
      <c r="R45" s="153"/>
      <c r="S45" s="44"/>
      <c r="T45" s="45" t="str">
        <f t="shared" si="13"/>
        <v/>
      </c>
      <c r="U45" s="92"/>
      <c r="V45" s="152" t="str">
        <f t="shared" si="14"/>
        <v>No Quote</v>
      </c>
      <c r="W45" s="153"/>
      <c r="X45" s="44"/>
      <c r="Y45" s="45" t="str">
        <f t="shared" si="15"/>
        <v/>
      </c>
      <c r="Z45" s="93"/>
      <c r="AA45" s="212" t="str">
        <f t="shared" si="16"/>
        <v>No Quote</v>
      </c>
      <c r="AB45" s="309"/>
      <c r="AC45" s="44"/>
      <c r="AD45" s="45" t="str">
        <f t="shared" si="17"/>
        <v/>
      </c>
      <c r="AE45" s="92"/>
      <c r="AF45" s="152" t="str">
        <f t="shared" si="18"/>
        <v>No Quote</v>
      </c>
      <c r="AG45" s="153"/>
      <c r="AH45" s="44"/>
      <c r="AI45" s="45" t="str">
        <f t="shared" si="19"/>
        <v/>
      </c>
      <c r="AJ45" s="92"/>
      <c r="AK45" s="152" t="str">
        <f t="shared" si="20"/>
        <v>No Quote</v>
      </c>
      <c r="AL45" s="153"/>
      <c r="AM45" s="44"/>
      <c r="AN45" s="45" t="str">
        <f t="shared" si="21"/>
        <v/>
      </c>
      <c r="AO45" s="92"/>
      <c r="AP45" s="152" t="str">
        <f t="shared" si="22"/>
        <v>No Quote</v>
      </c>
      <c r="AQ45" s="153"/>
      <c r="AR45" s="44"/>
      <c r="AS45" s="45" t="str">
        <f t="shared" si="23"/>
        <v/>
      </c>
      <c r="AT45" s="92"/>
      <c r="AU45" s="212" t="str">
        <f t="shared" si="24"/>
        <v>No Quote</v>
      </c>
      <c r="AV45" s="213"/>
      <c r="AW45" s="90"/>
      <c r="AX45" s="96"/>
      <c r="AY45" s="66" t="str">
        <f t="shared" si="25"/>
        <v/>
      </c>
      <c r="AZ45" s="95"/>
      <c r="BA45" s="95"/>
      <c r="BB45" s="80" t="str">
        <f t="shared" si="26"/>
        <v>-</v>
      </c>
      <c r="BC45" s="80" t="str">
        <f t="shared" si="27"/>
        <v>-</v>
      </c>
      <c r="BD45" s="80" t="str">
        <f t="shared" si="28"/>
        <v>-</v>
      </c>
      <c r="BE45" s="80" t="str">
        <f t="shared" si="29"/>
        <v>-</v>
      </c>
      <c r="BF45" s="80" t="str">
        <f t="shared" si="30"/>
        <v>-</v>
      </c>
      <c r="BG45" s="80" t="str">
        <f t="shared" si="31"/>
        <v>-</v>
      </c>
      <c r="BH45" s="80" t="str">
        <f t="shared" si="32"/>
        <v>-</v>
      </c>
      <c r="BI45" s="80" t="str">
        <f t="shared" si="33"/>
        <v>-</v>
      </c>
      <c r="BJ45" s="81" t="str">
        <f t="shared" si="6"/>
        <v/>
      </c>
      <c r="BK45" s="77" t="str">
        <f t="shared" si="34"/>
        <v/>
      </c>
      <c r="BL45" s="75" t="str">
        <f t="shared" si="7"/>
        <v/>
      </c>
      <c r="BM45" s="74" t="str">
        <f t="shared" si="35"/>
        <v/>
      </c>
      <c r="BN45" s="77" t="str">
        <f t="shared" si="36"/>
        <v/>
      </c>
      <c r="BO45" s="75" t="str">
        <f t="shared" si="8"/>
        <v/>
      </c>
      <c r="BP45" s="74" t="str">
        <f t="shared" si="37"/>
        <v/>
      </c>
      <c r="BQ45" s="77" t="str">
        <f t="shared" si="38"/>
        <v/>
      </c>
      <c r="BS45" s="104">
        <f t="shared" si="41"/>
        <v>0</v>
      </c>
      <c r="BT45" s="106"/>
    </row>
    <row r="46" spans="2:72" s="1" customFormat="1" ht="61.5" customHeight="1" outlineLevel="1" x14ac:dyDescent="0.25">
      <c r="B46" s="41">
        <f t="shared" si="40"/>
        <v>24</v>
      </c>
      <c r="C46" s="218"/>
      <c r="D46" s="218"/>
      <c r="E46" s="218"/>
      <c r="F46" s="218"/>
      <c r="G46" s="42"/>
      <c r="H46" s="43"/>
      <c r="I46" s="44"/>
      <c r="J46" s="45" t="str">
        <f t="shared" si="9"/>
        <v/>
      </c>
      <c r="K46" s="93"/>
      <c r="L46" s="152" t="str">
        <f t="shared" si="10"/>
        <v>No Quote</v>
      </c>
      <c r="M46" s="153"/>
      <c r="N46" s="44"/>
      <c r="O46" s="45" t="str">
        <f t="shared" si="11"/>
        <v/>
      </c>
      <c r="P46" s="93"/>
      <c r="Q46" s="152" t="str">
        <f t="shared" si="12"/>
        <v>No Quote</v>
      </c>
      <c r="R46" s="153"/>
      <c r="S46" s="44"/>
      <c r="T46" s="45" t="str">
        <f t="shared" si="13"/>
        <v/>
      </c>
      <c r="U46" s="92"/>
      <c r="V46" s="152" t="str">
        <f t="shared" si="14"/>
        <v>No Quote</v>
      </c>
      <c r="W46" s="153"/>
      <c r="X46" s="44"/>
      <c r="Y46" s="45" t="str">
        <f t="shared" si="15"/>
        <v/>
      </c>
      <c r="Z46" s="93"/>
      <c r="AA46" s="212" t="str">
        <f t="shared" si="16"/>
        <v>No Quote</v>
      </c>
      <c r="AB46" s="309"/>
      <c r="AC46" s="44"/>
      <c r="AD46" s="45" t="str">
        <f t="shared" si="17"/>
        <v/>
      </c>
      <c r="AE46" s="92"/>
      <c r="AF46" s="152" t="str">
        <f t="shared" si="18"/>
        <v>No Quote</v>
      </c>
      <c r="AG46" s="153"/>
      <c r="AH46" s="44"/>
      <c r="AI46" s="45" t="str">
        <f t="shared" si="19"/>
        <v/>
      </c>
      <c r="AJ46" s="92"/>
      <c r="AK46" s="152" t="str">
        <f t="shared" si="20"/>
        <v>No Quote</v>
      </c>
      <c r="AL46" s="153"/>
      <c r="AM46" s="44"/>
      <c r="AN46" s="45" t="str">
        <f t="shared" si="21"/>
        <v/>
      </c>
      <c r="AO46" s="92"/>
      <c r="AP46" s="152" t="str">
        <f t="shared" si="22"/>
        <v>No Quote</v>
      </c>
      <c r="AQ46" s="153"/>
      <c r="AR46" s="44"/>
      <c r="AS46" s="45" t="str">
        <f t="shared" si="23"/>
        <v/>
      </c>
      <c r="AT46" s="92"/>
      <c r="AU46" s="212" t="str">
        <f t="shared" si="24"/>
        <v>No Quote</v>
      </c>
      <c r="AV46" s="213"/>
      <c r="AW46" s="90"/>
      <c r="AX46" s="96"/>
      <c r="AY46" s="66" t="str">
        <f t="shared" si="25"/>
        <v/>
      </c>
      <c r="AZ46" s="95"/>
      <c r="BA46" s="95"/>
      <c r="BB46" s="80" t="str">
        <f t="shared" si="26"/>
        <v>-</v>
      </c>
      <c r="BC46" s="80" t="str">
        <f t="shared" si="27"/>
        <v>-</v>
      </c>
      <c r="BD46" s="80" t="str">
        <f t="shared" si="28"/>
        <v>-</v>
      </c>
      <c r="BE46" s="80" t="str">
        <f t="shared" si="29"/>
        <v>-</v>
      </c>
      <c r="BF46" s="80" t="str">
        <f t="shared" si="30"/>
        <v>-</v>
      </c>
      <c r="BG46" s="80" t="str">
        <f t="shared" si="31"/>
        <v>-</v>
      </c>
      <c r="BH46" s="80" t="str">
        <f t="shared" si="32"/>
        <v>-</v>
      </c>
      <c r="BI46" s="80" t="str">
        <f t="shared" si="33"/>
        <v>-</v>
      </c>
      <c r="BJ46" s="81" t="str">
        <f t="shared" si="6"/>
        <v/>
      </c>
      <c r="BK46" s="77" t="str">
        <f t="shared" si="34"/>
        <v/>
      </c>
      <c r="BL46" s="75" t="str">
        <f t="shared" si="7"/>
        <v/>
      </c>
      <c r="BM46" s="74" t="str">
        <f t="shared" si="35"/>
        <v/>
      </c>
      <c r="BN46" s="77" t="str">
        <f t="shared" si="36"/>
        <v/>
      </c>
      <c r="BO46" s="75" t="str">
        <f t="shared" si="8"/>
        <v/>
      </c>
      <c r="BP46" s="74" t="str">
        <f t="shared" si="37"/>
        <v/>
      </c>
      <c r="BQ46" s="77" t="str">
        <f t="shared" si="38"/>
        <v/>
      </c>
      <c r="BS46" s="104">
        <f t="shared" si="41"/>
        <v>0</v>
      </c>
      <c r="BT46" s="106"/>
    </row>
    <row r="47" spans="2:72" s="1" customFormat="1" ht="61.5" customHeight="1" outlineLevel="1" x14ac:dyDescent="0.25">
      <c r="B47" s="41">
        <f t="shared" si="40"/>
        <v>25</v>
      </c>
      <c r="C47" s="218"/>
      <c r="D47" s="218"/>
      <c r="E47" s="218"/>
      <c r="F47" s="218"/>
      <c r="G47" s="42"/>
      <c r="H47" s="43"/>
      <c r="I47" s="44"/>
      <c r="J47" s="45" t="str">
        <f t="shared" si="9"/>
        <v/>
      </c>
      <c r="K47" s="93"/>
      <c r="L47" s="152" t="str">
        <f t="shared" si="10"/>
        <v>No Quote</v>
      </c>
      <c r="M47" s="153"/>
      <c r="N47" s="44"/>
      <c r="O47" s="45" t="str">
        <f t="shared" si="11"/>
        <v/>
      </c>
      <c r="P47" s="93"/>
      <c r="Q47" s="152" t="str">
        <f t="shared" si="12"/>
        <v>No Quote</v>
      </c>
      <c r="R47" s="153"/>
      <c r="S47" s="44"/>
      <c r="T47" s="45" t="str">
        <f t="shared" si="13"/>
        <v/>
      </c>
      <c r="U47" s="92"/>
      <c r="V47" s="152" t="str">
        <f t="shared" si="14"/>
        <v>No Quote</v>
      </c>
      <c r="W47" s="153"/>
      <c r="X47" s="44"/>
      <c r="Y47" s="45" t="str">
        <f t="shared" si="15"/>
        <v/>
      </c>
      <c r="Z47" s="93"/>
      <c r="AA47" s="212" t="str">
        <f t="shared" si="16"/>
        <v>No Quote</v>
      </c>
      <c r="AB47" s="309"/>
      <c r="AC47" s="44"/>
      <c r="AD47" s="45" t="str">
        <f t="shared" si="17"/>
        <v/>
      </c>
      <c r="AE47" s="92"/>
      <c r="AF47" s="152" t="str">
        <f t="shared" si="18"/>
        <v>No Quote</v>
      </c>
      <c r="AG47" s="153"/>
      <c r="AH47" s="44"/>
      <c r="AI47" s="45" t="str">
        <f t="shared" si="19"/>
        <v/>
      </c>
      <c r="AJ47" s="92"/>
      <c r="AK47" s="152" t="str">
        <f t="shared" si="20"/>
        <v>No Quote</v>
      </c>
      <c r="AL47" s="153"/>
      <c r="AM47" s="44"/>
      <c r="AN47" s="45" t="str">
        <f t="shared" si="21"/>
        <v/>
      </c>
      <c r="AO47" s="92"/>
      <c r="AP47" s="152" t="str">
        <f t="shared" si="22"/>
        <v>No Quote</v>
      </c>
      <c r="AQ47" s="153"/>
      <c r="AR47" s="44"/>
      <c r="AS47" s="45" t="str">
        <f t="shared" si="23"/>
        <v/>
      </c>
      <c r="AT47" s="92"/>
      <c r="AU47" s="212" t="str">
        <f t="shared" si="24"/>
        <v>No Quote</v>
      </c>
      <c r="AV47" s="213"/>
      <c r="AW47" s="90"/>
      <c r="AX47" s="96"/>
      <c r="AY47" s="66" t="str">
        <f t="shared" si="25"/>
        <v/>
      </c>
      <c r="AZ47" s="95"/>
      <c r="BA47" s="95"/>
      <c r="BB47" s="80" t="str">
        <f t="shared" si="26"/>
        <v>-</v>
      </c>
      <c r="BC47" s="80" t="str">
        <f t="shared" si="27"/>
        <v>-</v>
      </c>
      <c r="BD47" s="80" t="str">
        <f t="shared" si="28"/>
        <v>-</v>
      </c>
      <c r="BE47" s="80" t="str">
        <f t="shared" si="29"/>
        <v>-</v>
      </c>
      <c r="BF47" s="80" t="str">
        <f t="shared" si="30"/>
        <v>-</v>
      </c>
      <c r="BG47" s="80" t="str">
        <f t="shared" si="31"/>
        <v>-</v>
      </c>
      <c r="BH47" s="80" t="str">
        <f t="shared" si="32"/>
        <v>-</v>
      </c>
      <c r="BI47" s="80" t="str">
        <f t="shared" si="33"/>
        <v>-</v>
      </c>
      <c r="BJ47" s="81" t="str">
        <f t="shared" si="6"/>
        <v/>
      </c>
      <c r="BK47" s="77" t="str">
        <f t="shared" si="34"/>
        <v/>
      </c>
      <c r="BL47" s="75" t="str">
        <f t="shared" si="7"/>
        <v/>
      </c>
      <c r="BM47" s="74" t="str">
        <f t="shared" si="35"/>
        <v/>
      </c>
      <c r="BN47" s="77" t="str">
        <f t="shared" si="36"/>
        <v/>
      </c>
      <c r="BO47" s="75" t="str">
        <f t="shared" si="8"/>
        <v/>
      </c>
      <c r="BP47" s="74" t="str">
        <f t="shared" si="37"/>
        <v/>
      </c>
      <c r="BQ47" s="77" t="str">
        <f t="shared" si="38"/>
        <v/>
      </c>
      <c r="BS47" s="104">
        <f t="shared" si="41"/>
        <v>0</v>
      </c>
      <c r="BT47" s="106"/>
    </row>
    <row r="48" spans="2:72" s="1" customFormat="1" ht="61.5" customHeight="1" outlineLevel="1" x14ac:dyDescent="0.25">
      <c r="B48" s="41">
        <f t="shared" si="40"/>
        <v>26</v>
      </c>
      <c r="C48" s="218"/>
      <c r="D48" s="218"/>
      <c r="E48" s="218"/>
      <c r="F48" s="218"/>
      <c r="G48" s="42"/>
      <c r="H48" s="43"/>
      <c r="I48" s="44"/>
      <c r="J48" s="45" t="str">
        <f t="shared" si="9"/>
        <v/>
      </c>
      <c r="K48" s="93"/>
      <c r="L48" s="152" t="str">
        <f t="shared" si="10"/>
        <v>No Quote</v>
      </c>
      <c r="M48" s="153"/>
      <c r="N48" s="44"/>
      <c r="O48" s="45" t="str">
        <f t="shared" si="11"/>
        <v/>
      </c>
      <c r="P48" s="93"/>
      <c r="Q48" s="152" t="str">
        <f t="shared" si="12"/>
        <v>No Quote</v>
      </c>
      <c r="R48" s="153"/>
      <c r="S48" s="44"/>
      <c r="T48" s="45" t="str">
        <f t="shared" si="13"/>
        <v/>
      </c>
      <c r="U48" s="92"/>
      <c r="V48" s="152" t="str">
        <f t="shared" si="14"/>
        <v>No Quote</v>
      </c>
      <c r="W48" s="153"/>
      <c r="X48" s="44"/>
      <c r="Y48" s="45" t="str">
        <f t="shared" si="15"/>
        <v/>
      </c>
      <c r="Z48" s="93"/>
      <c r="AA48" s="212" t="str">
        <f t="shared" si="16"/>
        <v>No Quote</v>
      </c>
      <c r="AB48" s="309"/>
      <c r="AC48" s="44"/>
      <c r="AD48" s="45" t="str">
        <f t="shared" si="17"/>
        <v/>
      </c>
      <c r="AE48" s="92"/>
      <c r="AF48" s="152" t="str">
        <f t="shared" si="18"/>
        <v>No Quote</v>
      </c>
      <c r="AG48" s="153"/>
      <c r="AH48" s="44"/>
      <c r="AI48" s="45" t="str">
        <f t="shared" si="19"/>
        <v/>
      </c>
      <c r="AJ48" s="92"/>
      <c r="AK48" s="152" t="str">
        <f t="shared" si="20"/>
        <v>No Quote</v>
      </c>
      <c r="AL48" s="153"/>
      <c r="AM48" s="44"/>
      <c r="AN48" s="45" t="str">
        <f t="shared" si="21"/>
        <v/>
      </c>
      <c r="AO48" s="92"/>
      <c r="AP48" s="152" t="str">
        <f t="shared" si="22"/>
        <v>No Quote</v>
      </c>
      <c r="AQ48" s="153"/>
      <c r="AR48" s="44"/>
      <c r="AS48" s="45" t="str">
        <f t="shared" si="23"/>
        <v/>
      </c>
      <c r="AT48" s="92"/>
      <c r="AU48" s="212" t="str">
        <f t="shared" si="24"/>
        <v>No Quote</v>
      </c>
      <c r="AV48" s="213"/>
      <c r="AW48" s="90"/>
      <c r="AX48" s="96"/>
      <c r="AY48" s="66" t="str">
        <f t="shared" si="25"/>
        <v/>
      </c>
      <c r="AZ48" s="95"/>
      <c r="BA48" s="95"/>
      <c r="BB48" s="80" t="str">
        <f t="shared" si="26"/>
        <v>-</v>
      </c>
      <c r="BC48" s="80" t="str">
        <f t="shared" si="27"/>
        <v>-</v>
      </c>
      <c r="BD48" s="80" t="str">
        <f t="shared" si="28"/>
        <v>-</v>
      </c>
      <c r="BE48" s="80" t="str">
        <f t="shared" si="29"/>
        <v>-</v>
      </c>
      <c r="BF48" s="80" t="str">
        <f t="shared" si="30"/>
        <v>-</v>
      </c>
      <c r="BG48" s="80" t="str">
        <f t="shared" si="31"/>
        <v>-</v>
      </c>
      <c r="BH48" s="80" t="str">
        <f t="shared" si="32"/>
        <v>-</v>
      </c>
      <c r="BI48" s="80" t="str">
        <f t="shared" si="33"/>
        <v>-</v>
      </c>
      <c r="BJ48" s="81" t="str">
        <f t="shared" si="6"/>
        <v/>
      </c>
      <c r="BK48" s="77" t="str">
        <f t="shared" si="34"/>
        <v/>
      </c>
      <c r="BL48" s="75" t="str">
        <f t="shared" si="7"/>
        <v/>
      </c>
      <c r="BM48" s="74" t="str">
        <f t="shared" si="35"/>
        <v/>
      </c>
      <c r="BN48" s="77" t="str">
        <f t="shared" si="36"/>
        <v/>
      </c>
      <c r="BO48" s="75" t="str">
        <f t="shared" si="8"/>
        <v/>
      </c>
      <c r="BP48" s="74" t="str">
        <f t="shared" si="37"/>
        <v/>
      </c>
      <c r="BQ48" s="77" t="str">
        <f t="shared" si="38"/>
        <v/>
      </c>
      <c r="BS48" s="104">
        <f t="shared" si="41"/>
        <v>0</v>
      </c>
      <c r="BT48" s="106"/>
    </row>
    <row r="49" spans="2:72" s="1" customFormat="1" ht="61.5" customHeight="1" outlineLevel="1" x14ac:dyDescent="0.25">
      <c r="B49" s="41">
        <f t="shared" si="40"/>
        <v>27</v>
      </c>
      <c r="C49" s="218"/>
      <c r="D49" s="218"/>
      <c r="E49" s="218"/>
      <c r="F49" s="218"/>
      <c r="G49" s="42"/>
      <c r="H49" s="43"/>
      <c r="I49" s="44"/>
      <c r="J49" s="45" t="str">
        <f t="shared" si="9"/>
        <v/>
      </c>
      <c r="K49" s="93"/>
      <c r="L49" s="152" t="str">
        <f t="shared" si="10"/>
        <v>No Quote</v>
      </c>
      <c r="M49" s="153"/>
      <c r="N49" s="44"/>
      <c r="O49" s="45" t="str">
        <f t="shared" si="11"/>
        <v/>
      </c>
      <c r="P49" s="93"/>
      <c r="Q49" s="152" t="str">
        <f t="shared" si="12"/>
        <v>No Quote</v>
      </c>
      <c r="R49" s="153"/>
      <c r="S49" s="44"/>
      <c r="T49" s="45" t="str">
        <f t="shared" si="13"/>
        <v/>
      </c>
      <c r="U49" s="92"/>
      <c r="V49" s="152" t="str">
        <f t="shared" si="14"/>
        <v>No Quote</v>
      </c>
      <c r="W49" s="153"/>
      <c r="X49" s="44"/>
      <c r="Y49" s="45" t="str">
        <f t="shared" si="15"/>
        <v/>
      </c>
      <c r="Z49" s="93"/>
      <c r="AA49" s="212" t="str">
        <f t="shared" si="16"/>
        <v>No Quote</v>
      </c>
      <c r="AB49" s="309"/>
      <c r="AC49" s="44"/>
      <c r="AD49" s="45" t="str">
        <f t="shared" si="17"/>
        <v/>
      </c>
      <c r="AE49" s="92"/>
      <c r="AF49" s="152" t="str">
        <f t="shared" si="18"/>
        <v>No Quote</v>
      </c>
      <c r="AG49" s="153"/>
      <c r="AH49" s="44"/>
      <c r="AI49" s="45" t="str">
        <f t="shared" si="19"/>
        <v/>
      </c>
      <c r="AJ49" s="92"/>
      <c r="AK49" s="152" t="str">
        <f t="shared" si="20"/>
        <v>No Quote</v>
      </c>
      <c r="AL49" s="153"/>
      <c r="AM49" s="44"/>
      <c r="AN49" s="45" t="str">
        <f t="shared" si="21"/>
        <v/>
      </c>
      <c r="AO49" s="92"/>
      <c r="AP49" s="152" t="str">
        <f t="shared" si="22"/>
        <v>No Quote</v>
      </c>
      <c r="AQ49" s="153"/>
      <c r="AR49" s="44"/>
      <c r="AS49" s="45" t="str">
        <f t="shared" si="23"/>
        <v/>
      </c>
      <c r="AT49" s="92"/>
      <c r="AU49" s="212" t="str">
        <f t="shared" si="24"/>
        <v>No Quote</v>
      </c>
      <c r="AV49" s="213"/>
      <c r="AW49" s="90"/>
      <c r="AX49" s="96"/>
      <c r="AY49" s="66" t="str">
        <f t="shared" si="25"/>
        <v/>
      </c>
      <c r="AZ49" s="95"/>
      <c r="BA49" s="95"/>
      <c r="BB49" s="80" t="str">
        <f t="shared" si="26"/>
        <v>-</v>
      </c>
      <c r="BC49" s="80" t="str">
        <f t="shared" si="27"/>
        <v>-</v>
      </c>
      <c r="BD49" s="80" t="str">
        <f t="shared" si="28"/>
        <v>-</v>
      </c>
      <c r="BE49" s="80" t="str">
        <f t="shared" si="29"/>
        <v>-</v>
      </c>
      <c r="BF49" s="80" t="str">
        <f t="shared" si="30"/>
        <v>-</v>
      </c>
      <c r="BG49" s="80" t="str">
        <f t="shared" si="31"/>
        <v>-</v>
      </c>
      <c r="BH49" s="80" t="str">
        <f t="shared" si="32"/>
        <v>-</v>
      </c>
      <c r="BI49" s="80" t="str">
        <f t="shared" si="33"/>
        <v>-</v>
      </c>
      <c r="BJ49" s="81" t="str">
        <f t="shared" si="6"/>
        <v/>
      </c>
      <c r="BK49" s="77" t="str">
        <f t="shared" si="34"/>
        <v/>
      </c>
      <c r="BL49" s="75" t="str">
        <f t="shared" si="7"/>
        <v/>
      </c>
      <c r="BM49" s="74" t="str">
        <f t="shared" si="35"/>
        <v/>
      </c>
      <c r="BN49" s="77" t="str">
        <f t="shared" si="36"/>
        <v/>
      </c>
      <c r="BO49" s="75" t="str">
        <f t="shared" si="8"/>
        <v/>
      </c>
      <c r="BP49" s="74" t="str">
        <f t="shared" si="37"/>
        <v/>
      </c>
      <c r="BQ49" s="77" t="str">
        <f t="shared" si="38"/>
        <v/>
      </c>
      <c r="BS49" s="104">
        <f t="shared" si="41"/>
        <v>0</v>
      </c>
      <c r="BT49" s="106"/>
    </row>
    <row r="50" spans="2:72" s="1" customFormat="1" ht="61.5" customHeight="1" outlineLevel="1" x14ac:dyDescent="0.25">
      <c r="B50" s="41">
        <f t="shared" si="40"/>
        <v>28</v>
      </c>
      <c r="C50" s="218"/>
      <c r="D50" s="218"/>
      <c r="E50" s="218"/>
      <c r="F50" s="218"/>
      <c r="G50" s="42"/>
      <c r="H50" s="43"/>
      <c r="I50" s="44"/>
      <c r="J50" s="45" t="str">
        <f t="shared" si="9"/>
        <v/>
      </c>
      <c r="K50" s="93"/>
      <c r="L50" s="152" t="str">
        <f t="shared" si="10"/>
        <v>No Quote</v>
      </c>
      <c r="M50" s="153"/>
      <c r="N50" s="44"/>
      <c r="O50" s="45" t="str">
        <f t="shared" si="11"/>
        <v/>
      </c>
      <c r="P50" s="93"/>
      <c r="Q50" s="152" t="str">
        <f t="shared" si="12"/>
        <v>No Quote</v>
      </c>
      <c r="R50" s="153"/>
      <c r="S50" s="44"/>
      <c r="T50" s="45" t="str">
        <f t="shared" si="13"/>
        <v/>
      </c>
      <c r="U50" s="92"/>
      <c r="V50" s="152" t="str">
        <f t="shared" si="14"/>
        <v>No Quote</v>
      </c>
      <c r="W50" s="153"/>
      <c r="X50" s="44"/>
      <c r="Y50" s="45" t="str">
        <f t="shared" si="15"/>
        <v/>
      </c>
      <c r="Z50" s="93"/>
      <c r="AA50" s="212" t="str">
        <f t="shared" si="16"/>
        <v>No Quote</v>
      </c>
      <c r="AB50" s="309"/>
      <c r="AC50" s="44"/>
      <c r="AD50" s="45" t="str">
        <f t="shared" si="17"/>
        <v/>
      </c>
      <c r="AE50" s="92"/>
      <c r="AF50" s="152" t="str">
        <f t="shared" si="18"/>
        <v>No Quote</v>
      </c>
      <c r="AG50" s="153"/>
      <c r="AH50" s="44"/>
      <c r="AI50" s="45" t="str">
        <f t="shared" si="19"/>
        <v/>
      </c>
      <c r="AJ50" s="92"/>
      <c r="AK50" s="152" t="str">
        <f t="shared" si="20"/>
        <v>No Quote</v>
      </c>
      <c r="AL50" s="153"/>
      <c r="AM50" s="44"/>
      <c r="AN50" s="45" t="str">
        <f t="shared" si="21"/>
        <v/>
      </c>
      <c r="AO50" s="92"/>
      <c r="AP50" s="152" t="str">
        <f t="shared" si="22"/>
        <v>No Quote</v>
      </c>
      <c r="AQ50" s="153"/>
      <c r="AR50" s="44"/>
      <c r="AS50" s="45" t="str">
        <f t="shared" si="23"/>
        <v/>
      </c>
      <c r="AT50" s="92"/>
      <c r="AU50" s="212" t="str">
        <f t="shared" si="24"/>
        <v>No Quote</v>
      </c>
      <c r="AV50" s="213"/>
      <c r="AW50" s="90"/>
      <c r="AX50" s="96"/>
      <c r="AY50" s="66" t="str">
        <f t="shared" si="25"/>
        <v/>
      </c>
      <c r="AZ50" s="95"/>
      <c r="BA50" s="95"/>
      <c r="BB50" s="80" t="str">
        <f t="shared" si="26"/>
        <v>-</v>
      </c>
      <c r="BC50" s="80" t="str">
        <f t="shared" si="27"/>
        <v>-</v>
      </c>
      <c r="BD50" s="80" t="str">
        <f t="shared" si="28"/>
        <v>-</v>
      </c>
      <c r="BE50" s="80" t="str">
        <f t="shared" si="29"/>
        <v>-</v>
      </c>
      <c r="BF50" s="80" t="str">
        <f t="shared" si="30"/>
        <v>-</v>
      </c>
      <c r="BG50" s="80" t="str">
        <f t="shared" si="31"/>
        <v>-</v>
      </c>
      <c r="BH50" s="80" t="str">
        <f t="shared" si="32"/>
        <v>-</v>
      </c>
      <c r="BI50" s="80" t="str">
        <f t="shared" si="33"/>
        <v>-</v>
      </c>
      <c r="BJ50" s="81" t="str">
        <f t="shared" si="6"/>
        <v/>
      </c>
      <c r="BK50" s="77" t="str">
        <f t="shared" si="34"/>
        <v/>
      </c>
      <c r="BL50" s="75" t="str">
        <f t="shared" si="7"/>
        <v/>
      </c>
      <c r="BM50" s="74" t="str">
        <f t="shared" si="35"/>
        <v/>
      </c>
      <c r="BN50" s="77" t="str">
        <f t="shared" si="36"/>
        <v/>
      </c>
      <c r="BO50" s="75" t="str">
        <f t="shared" si="8"/>
        <v/>
      </c>
      <c r="BP50" s="74" t="str">
        <f t="shared" si="37"/>
        <v/>
      </c>
      <c r="BQ50" s="77" t="str">
        <f t="shared" si="38"/>
        <v/>
      </c>
      <c r="BS50" s="104">
        <f t="shared" si="41"/>
        <v>0</v>
      </c>
      <c r="BT50" s="106"/>
    </row>
    <row r="51" spans="2:72" s="1" customFormat="1" ht="61.5" customHeight="1" outlineLevel="1" x14ac:dyDescent="0.25">
      <c r="B51" s="41">
        <f t="shared" si="40"/>
        <v>29</v>
      </c>
      <c r="C51" s="218"/>
      <c r="D51" s="218"/>
      <c r="E51" s="218"/>
      <c r="F51" s="218"/>
      <c r="G51" s="42"/>
      <c r="H51" s="43"/>
      <c r="I51" s="44"/>
      <c r="J51" s="45" t="str">
        <f t="shared" si="9"/>
        <v/>
      </c>
      <c r="K51" s="93"/>
      <c r="L51" s="152" t="str">
        <f t="shared" si="10"/>
        <v>No Quote</v>
      </c>
      <c r="M51" s="153"/>
      <c r="N51" s="44"/>
      <c r="O51" s="45" t="str">
        <f t="shared" si="11"/>
        <v/>
      </c>
      <c r="P51" s="93"/>
      <c r="Q51" s="152" t="str">
        <f t="shared" si="12"/>
        <v>No Quote</v>
      </c>
      <c r="R51" s="153"/>
      <c r="S51" s="44"/>
      <c r="T51" s="45" t="str">
        <f t="shared" si="13"/>
        <v/>
      </c>
      <c r="U51" s="92"/>
      <c r="V51" s="152" t="str">
        <f t="shared" si="14"/>
        <v>No Quote</v>
      </c>
      <c r="W51" s="153"/>
      <c r="X51" s="44"/>
      <c r="Y51" s="45" t="str">
        <f t="shared" si="15"/>
        <v/>
      </c>
      <c r="Z51" s="93"/>
      <c r="AA51" s="310" t="str">
        <f t="shared" si="16"/>
        <v>No Quote</v>
      </c>
      <c r="AB51" s="311"/>
      <c r="AC51" s="44"/>
      <c r="AD51" s="45" t="str">
        <f t="shared" si="17"/>
        <v/>
      </c>
      <c r="AE51" s="92"/>
      <c r="AF51" s="152" t="str">
        <f t="shared" si="18"/>
        <v>No Quote</v>
      </c>
      <c r="AG51" s="153"/>
      <c r="AH51" s="44"/>
      <c r="AI51" s="45" t="str">
        <f t="shared" si="19"/>
        <v/>
      </c>
      <c r="AJ51" s="92"/>
      <c r="AK51" s="152" t="str">
        <f t="shared" si="20"/>
        <v>No Quote</v>
      </c>
      <c r="AL51" s="153"/>
      <c r="AM51" s="44"/>
      <c r="AN51" s="45" t="str">
        <f t="shared" si="21"/>
        <v/>
      </c>
      <c r="AO51" s="92"/>
      <c r="AP51" s="152" t="str">
        <f t="shared" si="22"/>
        <v>No Quote</v>
      </c>
      <c r="AQ51" s="153"/>
      <c r="AR51" s="44"/>
      <c r="AS51" s="45" t="str">
        <f t="shared" si="23"/>
        <v/>
      </c>
      <c r="AT51" s="92"/>
      <c r="AU51" s="212" t="str">
        <f t="shared" si="24"/>
        <v>No Quote</v>
      </c>
      <c r="AV51" s="213"/>
      <c r="AW51" s="90"/>
      <c r="AX51" s="96"/>
      <c r="AY51" s="66" t="str">
        <f t="shared" si="25"/>
        <v/>
      </c>
      <c r="AZ51" s="95"/>
      <c r="BA51" s="95"/>
      <c r="BB51" s="80" t="str">
        <f t="shared" si="26"/>
        <v>-</v>
      </c>
      <c r="BC51" s="80" t="str">
        <f t="shared" si="27"/>
        <v>-</v>
      </c>
      <c r="BD51" s="80" t="str">
        <f t="shared" si="28"/>
        <v>-</v>
      </c>
      <c r="BE51" s="80" t="str">
        <f t="shared" si="29"/>
        <v>-</v>
      </c>
      <c r="BF51" s="80" t="str">
        <f t="shared" si="30"/>
        <v>-</v>
      </c>
      <c r="BG51" s="80" t="str">
        <f t="shared" si="31"/>
        <v>-</v>
      </c>
      <c r="BH51" s="80" t="str">
        <f t="shared" si="32"/>
        <v>-</v>
      </c>
      <c r="BI51" s="80" t="str">
        <f t="shared" si="33"/>
        <v>-</v>
      </c>
      <c r="BJ51" s="81" t="str">
        <f t="shared" si="6"/>
        <v/>
      </c>
      <c r="BK51" s="77" t="str">
        <f t="shared" si="34"/>
        <v/>
      </c>
      <c r="BL51" s="75" t="str">
        <f t="shared" si="7"/>
        <v/>
      </c>
      <c r="BM51" s="74" t="str">
        <f t="shared" si="35"/>
        <v/>
      </c>
      <c r="BN51" s="77" t="str">
        <f t="shared" si="36"/>
        <v/>
      </c>
      <c r="BO51" s="75" t="str">
        <f t="shared" si="8"/>
        <v/>
      </c>
      <c r="BP51" s="74" t="str">
        <f t="shared" si="37"/>
        <v/>
      </c>
      <c r="BQ51" s="77" t="str">
        <f t="shared" si="38"/>
        <v/>
      </c>
      <c r="BS51" s="104">
        <f t="shared" si="41"/>
        <v>0</v>
      </c>
      <c r="BT51" s="106"/>
    </row>
    <row r="52" spans="2:72" s="47" customFormat="1" ht="35.1" customHeight="1" x14ac:dyDescent="0.25">
      <c r="B52" s="214" t="s">
        <v>18</v>
      </c>
      <c r="C52" s="215"/>
      <c r="D52" s="215"/>
      <c r="E52" s="215"/>
      <c r="F52" s="215"/>
      <c r="G52" s="158" t="s">
        <v>36</v>
      </c>
      <c r="H52" s="159"/>
      <c r="I52" s="144">
        <f t="shared" ref="I52" si="42">SUMIF(K23:K51,"&lt;&gt;x",J23:J51)</f>
        <v>0</v>
      </c>
      <c r="J52" s="145"/>
      <c r="K52" s="145"/>
      <c r="L52" s="145"/>
      <c r="M52" s="146"/>
      <c r="N52" s="144">
        <f t="shared" ref="N52" si="43">SUMIF(P23:P51,"&lt;&gt;x",O23:O51)</f>
        <v>0</v>
      </c>
      <c r="O52" s="145"/>
      <c r="P52" s="145"/>
      <c r="Q52" s="145"/>
      <c r="R52" s="146"/>
      <c r="S52" s="144">
        <f t="shared" ref="S52" si="44">SUMIF(U23:U51,"&lt;&gt;x",T23:T51)</f>
        <v>0</v>
      </c>
      <c r="T52" s="145"/>
      <c r="U52" s="145"/>
      <c r="V52" s="145"/>
      <c r="W52" s="146"/>
      <c r="X52" s="144">
        <f t="shared" ref="X52" si="45">SUMIF(Z23:Z51,"&lt;&gt;x",Y23:Y51)</f>
        <v>0</v>
      </c>
      <c r="Y52" s="145"/>
      <c r="Z52" s="145"/>
      <c r="AA52" s="145"/>
      <c r="AB52" s="146"/>
      <c r="AC52" s="144">
        <f t="shared" ref="AC52" si="46">SUMIF(AE23:AE51,"&lt;&gt;x",AD23:AD51)</f>
        <v>0</v>
      </c>
      <c r="AD52" s="145"/>
      <c r="AE52" s="145"/>
      <c r="AF52" s="145"/>
      <c r="AG52" s="146"/>
      <c r="AH52" s="144">
        <f t="shared" ref="AH52" si="47">SUMIF(AJ23:AJ51,"&lt;&gt;x",AI23:AI51)</f>
        <v>0</v>
      </c>
      <c r="AI52" s="145"/>
      <c r="AJ52" s="145"/>
      <c r="AK52" s="145"/>
      <c r="AL52" s="146"/>
      <c r="AM52" s="144">
        <f t="shared" ref="AM52" si="48">SUMIF(AO23:AO51,"&lt;&gt;x",AN23:AN51)</f>
        <v>0</v>
      </c>
      <c r="AN52" s="145"/>
      <c r="AO52" s="145"/>
      <c r="AP52" s="145"/>
      <c r="AQ52" s="146"/>
      <c r="AR52" s="144">
        <f t="shared" ref="AR52" si="49">SUMIF(AT23:AT51,"&lt;&gt;x",AS23:AS51)</f>
        <v>0</v>
      </c>
      <c r="AS52" s="145"/>
      <c r="AT52" s="145"/>
      <c r="AU52" s="145"/>
      <c r="AV52" s="157"/>
      <c r="BB52" s="116">
        <f>SUM(BB23:BB51)</f>
        <v>0</v>
      </c>
      <c r="BC52" s="116">
        <f t="shared" ref="BC52:BI52" si="50">SUM(BC23:BC51)</f>
        <v>0</v>
      </c>
      <c r="BD52" s="116">
        <f t="shared" si="50"/>
        <v>0</v>
      </c>
      <c r="BE52" s="116">
        <f t="shared" si="50"/>
        <v>0</v>
      </c>
      <c r="BF52" s="116">
        <f t="shared" si="50"/>
        <v>0</v>
      </c>
      <c r="BG52" s="116">
        <f t="shared" si="50"/>
        <v>0</v>
      </c>
      <c r="BH52" s="116">
        <f t="shared" si="50"/>
        <v>0</v>
      </c>
      <c r="BI52" s="116">
        <f t="shared" si="50"/>
        <v>0</v>
      </c>
      <c r="BJ52" s="81" t="str">
        <f t="shared" si="6"/>
        <v/>
      </c>
      <c r="BK52" s="77" t="str">
        <f t="shared" ref="BK52" si="51">IF(BJ52=BB52,$BB$20,IF(BJ52=BC52,$BC$20,IF(BJ52=BD52,$BD$20,IF(BJ52=BE52,$BE$20,IF(BJ52=BF52,$BF$20,IF(BJ52=BG52,$BG$20,IF(BJ52=BH52,$BH$20,IF(BJ52=BI52,$BI$20,""))))))))</f>
        <v/>
      </c>
      <c r="BL52" s="75">
        <f t="shared" si="7"/>
        <v>0</v>
      </c>
      <c r="BM52" s="74" t="str">
        <f t="shared" si="35"/>
        <v/>
      </c>
      <c r="BN52" s="77">
        <f t="shared" ref="BN52" si="52">IFERROR(IF(BL52="","",IF(BL52=BB52,$BB$20,IF(BL52=BC52,$BC$20,IF(BL52=BD52,$BD$20,IF(BL52=BE52,$BE$20,IF(BL52=BF52,$BF$20,IF(BL52=BG52,$BG$20,IF(BL52=BH52,$BH$20,IF(BL52=BI52,$BI$20,""))))))))),"")</f>
        <v>0</v>
      </c>
      <c r="BO52" s="75">
        <f t="shared" si="8"/>
        <v>0</v>
      </c>
      <c r="BP52" s="74" t="str">
        <f t="shared" ref="BP52" si="53">IFERROR(IF((BO52-$BJ52)/$BJ52&lt;0%,"",(BO52-$BJ52)/$BJ52),"")</f>
        <v/>
      </c>
      <c r="BQ52" s="77">
        <f t="shared" ref="BQ52" si="54">IFERROR(IF(BO52="","",IF(BO52=BB52,$BB$20,IF(BO52=BC52,$BC$20,IF(BO52=BD52,$BD$20,IF(BO52=BE52,$BE$20,IF(BO52=BF52,$BF$20,IF(BO52=BG52,$BG$20,IF(BO52=BH52,$BH$20,IF(BO52=BI52,$BI$20,""))))))))),"")</f>
        <v>0</v>
      </c>
      <c r="BT52" s="107"/>
    </row>
    <row r="53" spans="2:72" s="47" customFormat="1" ht="35.1" customHeight="1" outlineLevel="1" x14ac:dyDescent="0.25">
      <c r="B53" s="216"/>
      <c r="C53" s="217"/>
      <c r="D53" s="217"/>
      <c r="E53" s="217"/>
      <c r="F53" s="217"/>
      <c r="G53" s="158" t="s">
        <v>37</v>
      </c>
      <c r="H53" s="159"/>
      <c r="I53" s="144">
        <f>I52+(I52*11%)</f>
        <v>0</v>
      </c>
      <c r="J53" s="145"/>
      <c r="K53" s="145"/>
      <c r="L53" s="145"/>
      <c r="M53" s="146"/>
      <c r="N53" s="144">
        <f>N52+(N52*11%)</f>
        <v>0</v>
      </c>
      <c r="O53" s="145"/>
      <c r="P53" s="145"/>
      <c r="Q53" s="145"/>
      <c r="R53" s="146"/>
      <c r="S53" s="144">
        <f>S52+(S52*11%)</f>
        <v>0</v>
      </c>
      <c r="T53" s="145"/>
      <c r="U53" s="145"/>
      <c r="V53" s="145"/>
      <c r="W53" s="146"/>
      <c r="X53" s="144">
        <f>X52+(X52*11%)</f>
        <v>0</v>
      </c>
      <c r="Y53" s="145"/>
      <c r="Z53" s="145"/>
      <c r="AA53" s="145"/>
      <c r="AB53" s="146"/>
      <c r="AC53" s="144">
        <f>AC52+(AC52*11%)</f>
        <v>0</v>
      </c>
      <c r="AD53" s="145"/>
      <c r="AE53" s="145"/>
      <c r="AF53" s="145"/>
      <c r="AG53" s="146"/>
      <c r="AH53" s="144">
        <f>AH52+(AH52*11%)</f>
        <v>0</v>
      </c>
      <c r="AI53" s="145"/>
      <c r="AJ53" s="145"/>
      <c r="AK53" s="145"/>
      <c r="AL53" s="146"/>
      <c r="AM53" s="144">
        <f>AM52+(AM52*11%)</f>
        <v>0</v>
      </c>
      <c r="AN53" s="145"/>
      <c r="AO53" s="145"/>
      <c r="AP53" s="145"/>
      <c r="AQ53" s="146"/>
      <c r="AR53" s="144">
        <f>AR52+(AR52*11%)</f>
        <v>0</v>
      </c>
      <c r="AS53" s="145"/>
      <c r="AT53" s="145"/>
      <c r="AU53" s="145"/>
      <c r="AV53" s="157"/>
      <c r="BB53" s="11" t="str">
        <f>IF(COUNTIF(BB23:BB51,"-")&gt;0,"No Full Item","Full Item")</f>
        <v>No Full Item</v>
      </c>
      <c r="BC53" s="11" t="str">
        <f t="shared" ref="BC53:BI53" si="55">IF(COUNTIF(BC23:BC51,"-")&gt;0,"No Full Item","Full Item")</f>
        <v>No Full Item</v>
      </c>
      <c r="BD53" s="11" t="str">
        <f t="shared" si="55"/>
        <v>No Full Item</v>
      </c>
      <c r="BE53" s="11" t="str">
        <f t="shared" si="55"/>
        <v>No Full Item</v>
      </c>
      <c r="BF53" s="11" t="str">
        <f t="shared" si="55"/>
        <v>No Full Item</v>
      </c>
      <c r="BG53" s="11" t="str">
        <f t="shared" si="55"/>
        <v>No Full Item</v>
      </c>
      <c r="BH53" s="11" t="str">
        <f t="shared" si="55"/>
        <v>No Full Item</v>
      </c>
      <c r="BI53" s="11" t="str">
        <f t="shared" si="55"/>
        <v>No Full Item</v>
      </c>
      <c r="BJ53" s="11"/>
      <c r="BK53" s="78"/>
      <c r="BM53" s="71"/>
      <c r="BN53" s="78"/>
      <c r="BQ53" s="78"/>
      <c r="BT53" s="107"/>
    </row>
    <row r="54" spans="2:72" s="47" customFormat="1" ht="35.1" customHeight="1" x14ac:dyDescent="0.25">
      <c r="B54" s="216"/>
      <c r="C54" s="217"/>
      <c r="D54" s="217"/>
      <c r="E54" s="217"/>
      <c r="F54" s="217"/>
      <c r="G54" s="158" t="s">
        <v>38</v>
      </c>
      <c r="H54" s="159"/>
      <c r="I54" s="144"/>
      <c r="J54" s="145"/>
      <c r="K54" s="145"/>
      <c r="L54" s="145"/>
      <c r="M54" s="146"/>
      <c r="N54" s="144"/>
      <c r="O54" s="145"/>
      <c r="P54" s="145"/>
      <c r="Q54" s="145"/>
      <c r="R54" s="146"/>
      <c r="S54" s="144"/>
      <c r="T54" s="145"/>
      <c r="U54" s="145"/>
      <c r="V54" s="145"/>
      <c r="W54" s="146"/>
      <c r="X54" s="144"/>
      <c r="Y54" s="145"/>
      <c r="Z54" s="145"/>
      <c r="AA54" s="145"/>
      <c r="AB54" s="146"/>
      <c r="AC54" s="144"/>
      <c r="AD54" s="145"/>
      <c r="AE54" s="145"/>
      <c r="AF54" s="145"/>
      <c r="AG54" s="146"/>
      <c r="AH54" s="144"/>
      <c r="AI54" s="145"/>
      <c r="AJ54" s="145"/>
      <c r="AK54" s="145"/>
      <c r="AL54" s="146"/>
      <c r="AM54" s="144"/>
      <c r="AN54" s="145"/>
      <c r="AO54" s="145"/>
      <c r="AP54" s="145"/>
      <c r="AQ54" s="146"/>
      <c r="AR54" s="144"/>
      <c r="AS54" s="145"/>
      <c r="AT54" s="145"/>
      <c r="AU54" s="145"/>
      <c r="AV54" s="157"/>
      <c r="BJ54" s="72"/>
      <c r="BK54" s="78"/>
      <c r="BM54" s="71"/>
      <c r="BN54" s="78"/>
      <c r="BQ54" s="78"/>
      <c r="BT54" s="107"/>
    </row>
    <row r="55" spans="2:72" s="1" customFormat="1" ht="80.25" customHeight="1" x14ac:dyDescent="0.25">
      <c r="B55" s="208" t="s">
        <v>39</v>
      </c>
      <c r="C55" s="209"/>
      <c r="D55" s="209"/>
      <c r="E55" s="209"/>
      <c r="F55" s="209"/>
      <c r="G55" s="209"/>
      <c r="H55" s="210"/>
      <c r="I55" s="211"/>
      <c r="J55" s="195"/>
      <c r="K55" s="195"/>
      <c r="L55" s="195"/>
      <c r="M55" s="196"/>
      <c r="N55" s="194"/>
      <c r="O55" s="195"/>
      <c r="P55" s="195"/>
      <c r="Q55" s="195"/>
      <c r="R55" s="196"/>
      <c r="S55" s="194"/>
      <c r="T55" s="195"/>
      <c r="U55" s="195"/>
      <c r="V55" s="195"/>
      <c r="W55" s="196"/>
      <c r="X55" s="312"/>
      <c r="Y55" s="313"/>
      <c r="Z55" s="313"/>
      <c r="AA55" s="313"/>
      <c r="AB55" s="314"/>
      <c r="AC55" s="194"/>
      <c r="AD55" s="195"/>
      <c r="AE55" s="195"/>
      <c r="AF55" s="195"/>
      <c r="AG55" s="196"/>
      <c r="AH55" s="194"/>
      <c r="AI55" s="195"/>
      <c r="AJ55" s="195"/>
      <c r="AK55" s="195"/>
      <c r="AL55" s="196"/>
      <c r="AM55" s="194"/>
      <c r="AN55" s="195"/>
      <c r="AO55" s="195"/>
      <c r="AP55" s="195"/>
      <c r="AQ55" s="196"/>
      <c r="AR55" s="194"/>
      <c r="AS55" s="195"/>
      <c r="AT55" s="195"/>
      <c r="AU55" s="195"/>
      <c r="AV55" s="197"/>
      <c r="BJ55" s="82"/>
      <c r="BK55" s="73"/>
      <c r="BM55" s="68"/>
      <c r="BN55" s="73"/>
      <c r="BQ55" s="73"/>
      <c r="BT55" s="3"/>
    </row>
    <row r="56" spans="2:72" s="1" customFormat="1" ht="109.5" customHeight="1" x14ac:dyDescent="0.25">
      <c r="B56" s="198"/>
      <c r="C56" s="199"/>
      <c r="D56" s="199"/>
      <c r="E56" s="199"/>
      <c r="F56" s="199"/>
      <c r="G56" s="199"/>
      <c r="H56" s="199"/>
      <c r="I56" s="200" t="s">
        <v>40</v>
      </c>
      <c r="J56" s="201"/>
      <c r="K56" s="201"/>
      <c r="L56" s="201"/>
      <c r="M56" s="202"/>
      <c r="N56" s="200" t="s">
        <v>40</v>
      </c>
      <c r="O56" s="201"/>
      <c r="P56" s="201"/>
      <c r="Q56" s="201"/>
      <c r="R56" s="202"/>
      <c r="S56" s="200" t="s">
        <v>40</v>
      </c>
      <c r="T56" s="201"/>
      <c r="U56" s="201"/>
      <c r="V56" s="201"/>
      <c r="W56" s="202"/>
      <c r="X56" s="316" t="s">
        <v>40</v>
      </c>
      <c r="Y56" s="317"/>
      <c r="Z56" s="317"/>
      <c r="AA56" s="317"/>
      <c r="AB56" s="318"/>
      <c r="AC56" s="200" t="s">
        <v>40</v>
      </c>
      <c r="AD56" s="201"/>
      <c r="AE56" s="201"/>
      <c r="AF56" s="201"/>
      <c r="AG56" s="202"/>
      <c r="AH56" s="200" t="s">
        <v>40</v>
      </c>
      <c r="AI56" s="201"/>
      <c r="AJ56" s="201"/>
      <c r="AK56" s="201"/>
      <c r="AL56" s="202"/>
      <c r="AM56" s="200" t="s">
        <v>40</v>
      </c>
      <c r="AN56" s="201"/>
      <c r="AO56" s="201"/>
      <c r="AP56" s="201"/>
      <c r="AQ56" s="202"/>
      <c r="AR56" s="176" t="s">
        <v>40</v>
      </c>
      <c r="AS56" s="177"/>
      <c r="AT56" s="177"/>
      <c r="AU56" s="177"/>
      <c r="AV56" s="178"/>
      <c r="BJ56" s="82"/>
      <c r="BK56" s="73"/>
      <c r="BM56" s="68"/>
      <c r="BN56" s="73"/>
      <c r="BQ56" s="73"/>
      <c r="BT56" s="3"/>
    </row>
    <row r="57" spans="2:72" s="50" customFormat="1" ht="15" customHeight="1" x14ac:dyDescent="0.25">
      <c r="B57" s="179" t="s">
        <v>41</v>
      </c>
      <c r="C57" s="180"/>
      <c r="D57" s="180"/>
      <c r="E57" s="180"/>
      <c r="F57" s="180"/>
      <c r="G57" s="180"/>
      <c r="H57" s="181"/>
      <c r="I57" s="162" t="s">
        <v>42</v>
      </c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295"/>
      <c r="AH57" s="162" t="s">
        <v>56</v>
      </c>
      <c r="AI57" s="163"/>
      <c r="AJ57" s="163"/>
      <c r="AK57" s="163"/>
      <c r="AL57" s="163"/>
      <c r="AM57" s="167" t="s">
        <v>43</v>
      </c>
      <c r="AN57" s="168"/>
      <c r="AO57" s="168"/>
      <c r="AP57" s="168"/>
      <c r="AQ57" s="168"/>
      <c r="AR57" s="168"/>
      <c r="AS57" s="168"/>
      <c r="AT57" s="168"/>
      <c r="AU57" s="168"/>
      <c r="AV57" s="193"/>
      <c r="BJ57" s="84"/>
      <c r="BK57" s="73"/>
      <c r="BL57" s="1"/>
      <c r="BM57" s="68"/>
      <c r="BN57" s="73"/>
      <c r="BQ57" s="73"/>
      <c r="BT57" s="108"/>
    </row>
    <row r="58" spans="2:72" s="1" customFormat="1" ht="90" customHeight="1" x14ac:dyDescent="0.25">
      <c r="B58" s="186"/>
      <c r="C58" s="187"/>
      <c r="D58" s="187"/>
      <c r="E58" s="187"/>
      <c r="F58" s="187"/>
      <c r="G58" s="187"/>
      <c r="H58" s="188"/>
      <c r="I58" s="16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296"/>
      <c r="AH58" s="164"/>
      <c r="AI58" s="165"/>
      <c r="AJ58" s="165"/>
      <c r="AK58" s="165"/>
      <c r="AL58" s="165"/>
      <c r="AM58" s="164"/>
      <c r="AN58" s="165"/>
      <c r="AO58" s="165"/>
      <c r="AP58" s="165"/>
      <c r="AQ58" s="165"/>
      <c r="AR58" s="165"/>
      <c r="AS58" s="165"/>
      <c r="AT58" s="165"/>
      <c r="AU58" s="165"/>
      <c r="AV58" s="175"/>
      <c r="BJ58" s="82"/>
      <c r="BK58" s="73"/>
      <c r="BM58" s="68"/>
      <c r="BN58" s="73"/>
      <c r="BQ58" s="73"/>
      <c r="BT58" s="3"/>
    </row>
    <row r="59" spans="2:72" s="1" customFormat="1" ht="13.5" x14ac:dyDescent="0.25">
      <c r="B59" s="203" t="s">
        <v>51</v>
      </c>
      <c r="C59" s="204"/>
      <c r="D59" s="204"/>
      <c r="E59" s="204"/>
      <c r="F59" s="204"/>
      <c r="G59" s="204"/>
      <c r="H59" s="205"/>
      <c r="I59" s="206" t="s">
        <v>44</v>
      </c>
      <c r="J59" s="166"/>
      <c r="K59" s="166"/>
      <c r="L59" s="166"/>
      <c r="M59" s="166"/>
      <c r="N59" s="166" t="s">
        <v>57</v>
      </c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 t="s">
        <v>46</v>
      </c>
      <c r="AD59" s="166"/>
      <c r="AE59" s="166"/>
      <c r="AF59" s="166"/>
      <c r="AG59" s="298"/>
      <c r="AH59" s="189" t="s">
        <v>53</v>
      </c>
      <c r="AI59" s="190"/>
      <c r="AJ59" s="190"/>
      <c r="AK59" s="190"/>
      <c r="AL59" s="190"/>
      <c r="AM59" s="206" t="str">
        <f>IF(OR($I$52&lt;200000000,$N$52&lt;200000000,$S$52&lt;200000000,$X$52&lt;200000000,$AC$52&lt;200000000,$AH$52&lt;200000000,$AM$52&lt;200000000,$AR$52&lt;200000000),"Mochammad Rusfandy","Mochammad Rusfandy")</f>
        <v>Mochammad Rusfandy</v>
      </c>
      <c r="AN59" s="166"/>
      <c r="AO59" s="166"/>
      <c r="AP59" s="166"/>
      <c r="AQ59" s="166"/>
      <c r="AR59" s="166" t="str">
        <f>IF(OR($I$52="",$N$52="",$S$52="",$X$52="",$AC$52="",$AH$52="",$AM$52="",$AR$52=""),"",IF(OR($I$52&gt;50000000,$N$52&gt;200000000,$S$52&gt;200000000,$X$52&gt;200000000,$AC$52&gt;200000000,$AH$52&gt;200000000,$AM$52&gt;200000000,$AR$52&gt;200000000),"Heri Gunawan",""))</f>
        <v/>
      </c>
      <c r="AS59" s="166"/>
      <c r="AT59" s="166"/>
      <c r="AU59" s="166"/>
      <c r="AV59" s="182"/>
      <c r="BJ59" s="82"/>
      <c r="BK59" s="73"/>
      <c r="BM59" s="68"/>
      <c r="BN59" s="73"/>
      <c r="BQ59" s="73"/>
      <c r="BT59" s="3"/>
    </row>
    <row r="60" spans="2:72" s="1" customFormat="1" ht="13.5" x14ac:dyDescent="0.25">
      <c r="B60" s="51" t="s">
        <v>47</v>
      </c>
      <c r="C60" s="52"/>
      <c r="D60" s="183">
        <f ca="1">AS8</f>
        <v>46231</v>
      </c>
      <c r="E60" s="183"/>
      <c r="F60" s="183"/>
      <c r="G60" s="183"/>
      <c r="H60" s="184"/>
      <c r="I60" s="170" t="str">
        <f>IF(I59="","","Date:")</f>
        <v>Date:</v>
      </c>
      <c r="J60" s="170"/>
      <c r="K60" s="170"/>
      <c r="L60" s="170"/>
      <c r="M60" s="170"/>
      <c r="N60" s="170" t="str">
        <f>IF(N59="","","Date:")</f>
        <v>Date:</v>
      </c>
      <c r="O60" s="170"/>
      <c r="P60" s="170"/>
      <c r="Q60" s="170"/>
      <c r="R60" s="170"/>
      <c r="S60" s="170"/>
      <c r="T60" s="170"/>
      <c r="U60" s="170"/>
      <c r="V60" s="170"/>
      <c r="W60" s="170"/>
      <c r="X60" s="67"/>
      <c r="Y60" s="67"/>
      <c r="Z60" s="67"/>
      <c r="AA60" s="67"/>
      <c r="AB60" s="67"/>
      <c r="AC60" s="170" t="str">
        <f>IF(AC59="","","Date:")</f>
        <v>Date:</v>
      </c>
      <c r="AD60" s="170"/>
      <c r="AE60" s="170"/>
      <c r="AF60" s="170"/>
      <c r="AG60" s="297"/>
      <c r="AH60" s="191" t="s">
        <v>54</v>
      </c>
      <c r="AI60" s="192"/>
      <c r="AJ60" s="192"/>
      <c r="AK60" s="192"/>
      <c r="AL60" s="315"/>
      <c r="AM60" s="173" t="str">
        <f>IF(AM59="","","Date:")</f>
        <v>Date:</v>
      </c>
      <c r="AN60" s="170"/>
      <c r="AO60" s="170"/>
      <c r="AP60" s="170"/>
      <c r="AQ60" s="170"/>
      <c r="AR60" s="170" t="str">
        <f>IF(AR59="","","Date:")</f>
        <v/>
      </c>
      <c r="AS60" s="170"/>
      <c r="AT60" s="170"/>
      <c r="AU60" s="170"/>
      <c r="AV60" s="174"/>
      <c r="BJ60" s="82"/>
      <c r="BK60" s="73"/>
      <c r="BM60" s="68"/>
      <c r="BN60" s="73"/>
      <c r="BQ60" s="73"/>
      <c r="BT60" s="3"/>
    </row>
    <row r="61" spans="2:72" s="1" customFormat="1" ht="14.25" thickBot="1" x14ac:dyDescent="0.3">
      <c r="B61" s="53"/>
      <c r="C61" s="54"/>
      <c r="D61" s="54"/>
      <c r="E61" s="54"/>
      <c r="F61" s="54"/>
      <c r="G61" s="54"/>
      <c r="H61" s="54"/>
      <c r="I61" s="54"/>
      <c r="J61" s="54"/>
      <c r="K61" s="54"/>
      <c r="L61" s="55"/>
      <c r="M61" s="55"/>
      <c r="N61" s="54"/>
      <c r="O61" s="54"/>
      <c r="P61" s="54"/>
      <c r="Q61" s="54"/>
      <c r="R61" s="54"/>
      <c r="S61" s="54"/>
      <c r="T61" s="54"/>
      <c r="U61" s="56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155"/>
      <c r="AI61" s="155"/>
      <c r="AJ61" s="155"/>
      <c r="AK61" s="155"/>
      <c r="AL61" s="155"/>
      <c r="AM61" s="54"/>
      <c r="AN61" s="54"/>
      <c r="AO61" s="54"/>
      <c r="AP61" s="54"/>
      <c r="AQ61" s="54"/>
      <c r="AR61" s="54"/>
      <c r="AS61" s="54"/>
      <c r="AT61" s="54"/>
      <c r="AU61" s="54"/>
      <c r="AV61" s="57"/>
      <c r="BJ61" s="82"/>
      <c r="BK61" s="73"/>
      <c r="BM61" s="68"/>
      <c r="BN61" s="73"/>
      <c r="BQ61" s="73"/>
      <c r="BT61" s="3"/>
    </row>
    <row r="62" spans="2:72" ht="17.25" hidden="1" thickTop="1" x14ac:dyDescent="0.25">
      <c r="L62" s="58"/>
      <c r="M62" s="58"/>
    </row>
    <row r="63" spans="2:72" ht="17.25" hidden="1" thickTop="1" x14ac:dyDescent="0.25">
      <c r="L63" s="58"/>
      <c r="M63" s="58"/>
    </row>
    <row r="64" spans="2:72" ht="17.25" hidden="1" thickTop="1" x14ac:dyDescent="0.25">
      <c r="J64" s="160"/>
      <c r="K64" s="161"/>
      <c r="L64" s="161"/>
      <c r="M64" s="161"/>
    </row>
    <row r="65" spans="4:16" ht="17.25" hidden="1" thickTop="1" x14ac:dyDescent="0.25">
      <c r="J65" s="160"/>
      <c r="K65" s="161"/>
      <c r="L65" s="161"/>
      <c r="M65" s="161"/>
    </row>
    <row r="66" spans="4:16" ht="17.25" hidden="1" thickTop="1" x14ac:dyDescent="0.25">
      <c r="J66" s="160"/>
      <c r="K66" s="161"/>
      <c r="L66" s="161"/>
      <c r="M66" s="161"/>
    </row>
    <row r="67" spans="4:16" ht="17.25" hidden="1" thickTop="1" x14ac:dyDescent="0.25">
      <c r="J67" s="160"/>
      <c r="K67" s="161"/>
      <c r="L67" s="161"/>
      <c r="M67" s="161"/>
      <c r="N67" s="160"/>
      <c r="O67" s="161"/>
      <c r="P67" s="161"/>
    </row>
    <row r="68" spans="4:16" ht="17.25" hidden="1" thickTop="1" x14ac:dyDescent="0.25">
      <c r="J68" s="160"/>
      <c r="K68" s="161"/>
      <c r="L68" s="161"/>
      <c r="M68" s="161"/>
    </row>
    <row r="69" spans="4:16" ht="17.25" hidden="1" thickTop="1" x14ac:dyDescent="0.25">
      <c r="J69" s="161"/>
      <c r="K69" s="161"/>
      <c r="L69" s="161"/>
      <c r="M69" s="161"/>
    </row>
    <row r="70" spans="4:16" ht="17.25" hidden="1" thickTop="1" x14ac:dyDescent="0.25">
      <c r="L70" s="58"/>
      <c r="M70" s="58"/>
    </row>
    <row r="71" spans="4:16" ht="17.25" hidden="1" thickTop="1" x14ac:dyDescent="0.25">
      <c r="L71" s="171"/>
      <c r="M71" s="171"/>
    </row>
    <row r="74" spans="4:16" ht="17.25" hidden="1" thickTop="1" x14ac:dyDescent="0.25">
      <c r="D74" s="59"/>
      <c r="E74" s="59"/>
      <c r="F74" s="59"/>
      <c r="G74" s="59"/>
      <c r="H74" s="59"/>
      <c r="I74" s="59"/>
    </row>
    <row r="75" spans="4:16" ht="17.25" hidden="1" thickTop="1" x14ac:dyDescent="0.25">
      <c r="D75" s="59"/>
      <c r="E75" s="59"/>
      <c r="F75" s="59"/>
      <c r="G75" s="59"/>
      <c r="H75" s="59"/>
      <c r="I75" s="59"/>
    </row>
    <row r="76" spans="4:16" ht="17.25" hidden="1" thickTop="1" x14ac:dyDescent="0.25">
      <c r="D76" s="59"/>
      <c r="E76" s="59"/>
      <c r="F76" s="59"/>
      <c r="G76" s="59"/>
      <c r="H76" s="59"/>
      <c r="I76" s="59"/>
    </row>
    <row r="77" spans="4:16" ht="17.25" hidden="1" thickTop="1" x14ac:dyDescent="0.25">
      <c r="D77" s="59"/>
      <c r="E77" s="59"/>
      <c r="F77" s="59"/>
      <c r="G77" s="59"/>
      <c r="H77" s="59"/>
      <c r="I77" s="59"/>
    </row>
    <row r="78" spans="4:16" ht="17.25" hidden="1" thickTop="1" x14ac:dyDescent="0.25">
      <c r="D78" s="59"/>
      <c r="E78" s="59"/>
      <c r="F78" s="60"/>
      <c r="G78" s="59"/>
      <c r="H78" s="59"/>
      <c r="I78" s="59"/>
    </row>
    <row r="79" spans="4:16" ht="15" hidden="1" customHeight="1" x14ac:dyDescent="0.25">
      <c r="D79" s="59"/>
      <c r="E79" s="59"/>
      <c r="F79" s="172"/>
      <c r="G79" s="172"/>
      <c r="H79" s="172"/>
      <c r="I79" s="59"/>
    </row>
    <row r="80" spans="4:16" ht="15" hidden="1" customHeight="1" x14ac:dyDescent="0.25">
      <c r="D80" s="59"/>
      <c r="E80" s="59"/>
      <c r="F80" s="172"/>
      <c r="G80" s="172"/>
      <c r="H80" s="172"/>
      <c r="I80" s="61"/>
      <c r="J80" s="62"/>
    </row>
    <row r="81" spans="4:9" ht="17.25" hidden="1" thickTop="1" x14ac:dyDescent="0.25">
      <c r="D81" s="59"/>
      <c r="E81" s="59"/>
      <c r="F81" s="59"/>
      <c r="G81" s="59"/>
      <c r="H81" s="59"/>
      <c r="I81" s="59"/>
    </row>
    <row r="82" spans="4:9" ht="17.25" hidden="1" thickTop="1" x14ac:dyDescent="0.25">
      <c r="D82" s="59"/>
      <c r="E82" s="59"/>
      <c r="F82" s="59"/>
      <c r="G82" s="59"/>
      <c r="H82" s="59"/>
      <c r="I82" s="59"/>
    </row>
    <row r="83" spans="4:9" ht="17.25" hidden="1" thickTop="1" x14ac:dyDescent="0.25">
      <c r="D83" s="59"/>
      <c r="E83" s="59"/>
      <c r="F83" s="59"/>
      <c r="G83" s="59"/>
      <c r="H83" s="59"/>
      <c r="I83" s="63"/>
    </row>
    <row r="84" spans="4:9" ht="17.25" hidden="1" thickTop="1" x14ac:dyDescent="0.25">
      <c r="D84" s="59"/>
      <c r="E84" s="59"/>
      <c r="F84" s="59"/>
      <c r="G84" s="59"/>
      <c r="H84" s="59"/>
      <c r="I84" s="59"/>
    </row>
  </sheetData>
  <mergeCells count="479">
    <mergeCell ref="F79:H80"/>
    <mergeCell ref="X19:AB19"/>
    <mergeCell ref="J64:M64"/>
    <mergeCell ref="J65:M65"/>
    <mergeCell ref="J66:M66"/>
    <mergeCell ref="J67:M67"/>
    <mergeCell ref="N67:P67"/>
    <mergeCell ref="J68:M68"/>
    <mergeCell ref="G19:H19"/>
    <mergeCell ref="I19:M19"/>
    <mergeCell ref="N19:R19"/>
    <mergeCell ref="S19:W19"/>
    <mergeCell ref="G20:H20"/>
    <mergeCell ref="I20:M20"/>
    <mergeCell ref="N20:R20"/>
    <mergeCell ref="S20:W20"/>
    <mergeCell ref="B57:H57"/>
    <mergeCell ref="B58:H58"/>
    <mergeCell ref="C51:F51"/>
    <mergeCell ref="X56:AB56"/>
    <mergeCell ref="L71:M71"/>
    <mergeCell ref="I59:M59"/>
    <mergeCell ref="N59:R59"/>
    <mergeCell ref="S59:W59"/>
    <mergeCell ref="AM58:AV58"/>
    <mergeCell ref="AM55:AQ55"/>
    <mergeCell ref="AR55:AV55"/>
    <mergeCell ref="B56:H56"/>
    <mergeCell ref="I56:M56"/>
    <mergeCell ref="N56:R56"/>
    <mergeCell ref="S56:W56"/>
    <mergeCell ref="J69:M69"/>
    <mergeCell ref="AH56:AL56"/>
    <mergeCell ref="AH57:AL57"/>
    <mergeCell ref="AH58:AL58"/>
    <mergeCell ref="AH59:AL59"/>
    <mergeCell ref="AC56:AG56"/>
    <mergeCell ref="AM59:AQ59"/>
    <mergeCell ref="AR59:AV59"/>
    <mergeCell ref="D60:H60"/>
    <mergeCell ref="I60:M60"/>
    <mergeCell ref="N60:R60"/>
    <mergeCell ref="S60:W60"/>
    <mergeCell ref="AC60:AG60"/>
    <mergeCell ref="AH60:AL60"/>
    <mergeCell ref="AM60:AQ60"/>
    <mergeCell ref="AR60:AV60"/>
    <mergeCell ref="B59:H59"/>
    <mergeCell ref="AC59:AG59"/>
    <mergeCell ref="AH61:AL61"/>
    <mergeCell ref="AR54:AV54"/>
    <mergeCell ref="B55:H55"/>
    <mergeCell ref="I55:M55"/>
    <mergeCell ref="N55:R55"/>
    <mergeCell ref="S55:W55"/>
    <mergeCell ref="X55:AB55"/>
    <mergeCell ref="AC55:AG55"/>
    <mergeCell ref="AH55:AL55"/>
    <mergeCell ref="AM56:AQ56"/>
    <mergeCell ref="AR56:AV56"/>
    <mergeCell ref="B52:F54"/>
    <mergeCell ref="G54:H54"/>
    <mergeCell ref="I54:M54"/>
    <mergeCell ref="N54:R54"/>
    <mergeCell ref="S54:W54"/>
    <mergeCell ref="X54:AB54"/>
    <mergeCell ref="AC54:AG54"/>
    <mergeCell ref="AH54:AL54"/>
    <mergeCell ref="AM54:AQ54"/>
    <mergeCell ref="AR52:AV52"/>
    <mergeCell ref="G53:H53"/>
    <mergeCell ref="I53:M53"/>
    <mergeCell ref="N53:R53"/>
    <mergeCell ref="S53:W53"/>
    <mergeCell ref="X53:AB53"/>
    <mergeCell ref="AC53:AG53"/>
    <mergeCell ref="AH53:AL53"/>
    <mergeCell ref="AM53:AQ53"/>
    <mergeCell ref="AR53:AV53"/>
    <mergeCell ref="G52:H52"/>
    <mergeCell ref="I52:M52"/>
    <mergeCell ref="N52:R52"/>
    <mergeCell ref="S52:W52"/>
    <mergeCell ref="X52:AB52"/>
    <mergeCell ref="AC52:AG52"/>
    <mergeCell ref="AH52:AL52"/>
    <mergeCell ref="AM52:AQ52"/>
    <mergeCell ref="Q51:R51"/>
    <mergeCell ref="V51:W51"/>
    <mergeCell ref="AA51:AB51"/>
    <mergeCell ref="AF51:AG51"/>
    <mergeCell ref="AK51:AL51"/>
    <mergeCell ref="AP51:AQ51"/>
    <mergeCell ref="AU51:AV51"/>
    <mergeCell ref="C50:F50"/>
    <mergeCell ref="L50:M50"/>
    <mergeCell ref="Q50:R50"/>
    <mergeCell ref="V50:W50"/>
    <mergeCell ref="AA50:AB50"/>
    <mergeCell ref="AF50:AG50"/>
    <mergeCell ref="AK50:AL50"/>
    <mergeCell ref="AP50:AQ50"/>
    <mergeCell ref="AU50:AV50"/>
    <mergeCell ref="L51:M51"/>
    <mergeCell ref="C49:F49"/>
    <mergeCell ref="L49:M49"/>
    <mergeCell ref="Q49:R49"/>
    <mergeCell ref="V49:W49"/>
    <mergeCell ref="AA49:AB49"/>
    <mergeCell ref="AF49:AG49"/>
    <mergeCell ref="AK49:AL49"/>
    <mergeCell ref="AP49:AQ49"/>
    <mergeCell ref="AU49:AV49"/>
    <mergeCell ref="C48:F48"/>
    <mergeCell ref="L48:M48"/>
    <mergeCell ref="Q48:R48"/>
    <mergeCell ref="V48:W48"/>
    <mergeCell ref="AA48:AB48"/>
    <mergeCell ref="AF48:AG48"/>
    <mergeCell ref="AK48:AL48"/>
    <mergeCell ref="AP48:AQ48"/>
    <mergeCell ref="AU48:AV48"/>
    <mergeCell ref="C47:F47"/>
    <mergeCell ref="L47:M47"/>
    <mergeCell ref="Q47:R47"/>
    <mergeCell ref="V47:W47"/>
    <mergeCell ref="AA47:AB47"/>
    <mergeCell ref="AF47:AG47"/>
    <mergeCell ref="AK47:AL47"/>
    <mergeCell ref="AP47:AQ47"/>
    <mergeCell ref="AU47:AV47"/>
    <mergeCell ref="C46:F46"/>
    <mergeCell ref="L46:M46"/>
    <mergeCell ref="Q46:R46"/>
    <mergeCell ref="V46:W46"/>
    <mergeCell ref="AA46:AB46"/>
    <mergeCell ref="AF46:AG46"/>
    <mergeCell ref="AK46:AL46"/>
    <mergeCell ref="AP46:AQ46"/>
    <mergeCell ref="AU46:AV46"/>
    <mergeCell ref="C45:F45"/>
    <mergeCell ref="L45:M45"/>
    <mergeCell ref="Q45:R45"/>
    <mergeCell ref="V45:W45"/>
    <mergeCell ref="AA45:AB45"/>
    <mergeCell ref="AF45:AG45"/>
    <mergeCell ref="AK45:AL45"/>
    <mergeCell ref="AP45:AQ45"/>
    <mergeCell ref="AU45:AV45"/>
    <mergeCell ref="C44:F44"/>
    <mergeCell ref="L44:M44"/>
    <mergeCell ref="Q44:R44"/>
    <mergeCell ref="V44:W44"/>
    <mergeCell ref="AA44:AB44"/>
    <mergeCell ref="AF44:AG44"/>
    <mergeCell ref="AK44:AL44"/>
    <mergeCell ref="AP44:AQ44"/>
    <mergeCell ref="AU44:AV44"/>
    <mergeCell ref="C43:F43"/>
    <mergeCell ref="L43:M43"/>
    <mergeCell ref="Q43:R43"/>
    <mergeCell ref="V43:W43"/>
    <mergeCell ref="AA43:AB43"/>
    <mergeCell ref="AF43:AG43"/>
    <mergeCell ref="AK43:AL43"/>
    <mergeCell ref="AP43:AQ43"/>
    <mergeCell ref="AU43:AV43"/>
    <mergeCell ref="C42:F42"/>
    <mergeCell ref="L42:M42"/>
    <mergeCell ref="Q42:R42"/>
    <mergeCell ref="V42:W42"/>
    <mergeCell ref="AA42:AB42"/>
    <mergeCell ref="AF42:AG42"/>
    <mergeCell ref="AK42:AL42"/>
    <mergeCell ref="AP42:AQ42"/>
    <mergeCell ref="AU42:AV42"/>
    <mergeCell ref="C41:F41"/>
    <mergeCell ref="L41:M41"/>
    <mergeCell ref="Q41:R41"/>
    <mergeCell ref="V41:W41"/>
    <mergeCell ref="AA41:AB41"/>
    <mergeCell ref="AF41:AG41"/>
    <mergeCell ref="AK41:AL41"/>
    <mergeCell ref="AP41:AQ41"/>
    <mergeCell ref="AU41:AV41"/>
    <mergeCell ref="C40:F40"/>
    <mergeCell ref="L40:M40"/>
    <mergeCell ref="Q40:R40"/>
    <mergeCell ref="V40:W40"/>
    <mergeCell ref="AA40:AB40"/>
    <mergeCell ref="AF40:AG40"/>
    <mergeCell ref="AK40:AL40"/>
    <mergeCell ref="AP40:AQ40"/>
    <mergeCell ref="AU40:AV40"/>
    <mergeCell ref="C39:F39"/>
    <mergeCell ref="L39:M39"/>
    <mergeCell ref="Q39:R39"/>
    <mergeCell ref="V39:W39"/>
    <mergeCell ref="AA39:AB39"/>
    <mergeCell ref="AF39:AG39"/>
    <mergeCell ref="AK39:AL39"/>
    <mergeCell ref="AP39:AQ39"/>
    <mergeCell ref="AU39:AV39"/>
    <mergeCell ref="C38:F38"/>
    <mergeCell ref="L38:M38"/>
    <mergeCell ref="Q38:R38"/>
    <mergeCell ref="V38:W38"/>
    <mergeCell ref="AA38:AB38"/>
    <mergeCell ref="AF38:AG38"/>
    <mergeCell ref="AK38:AL38"/>
    <mergeCell ref="AP38:AQ38"/>
    <mergeCell ref="AU38:AV38"/>
    <mergeCell ref="C37:F37"/>
    <mergeCell ref="L37:M37"/>
    <mergeCell ref="Q37:R37"/>
    <mergeCell ref="V37:W37"/>
    <mergeCell ref="AA37:AB37"/>
    <mergeCell ref="AF37:AG37"/>
    <mergeCell ref="AK37:AL37"/>
    <mergeCell ref="AP37:AQ37"/>
    <mergeCell ref="AU37:AV37"/>
    <mergeCell ref="C36:F36"/>
    <mergeCell ref="L36:M36"/>
    <mergeCell ref="Q36:R36"/>
    <mergeCell ref="V36:W36"/>
    <mergeCell ref="AA36:AB36"/>
    <mergeCell ref="AF36:AG36"/>
    <mergeCell ref="AK36:AL36"/>
    <mergeCell ref="AP36:AQ36"/>
    <mergeCell ref="AU36:AV36"/>
    <mergeCell ref="C35:F35"/>
    <mergeCell ref="L35:M35"/>
    <mergeCell ref="Q35:R35"/>
    <mergeCell ref="V35:W35"/>
    <mergeCell ref="AA35:AB35"/>
    <mergeCell ref="AF35:AG35"/>
    <mergeCell ref="AK35:AL35"/>
    <mergeCell ref="AP35:AQ35"/>
    <mergeCell ref="AU35:AV35"/>
    <mergeCell ref="C34:F34"/>
    <mergeCell ref="L34:M34"/>
    <mergeCell ref="Q34:R34"/>
    <mergeCell ref="V34:W34"/>
    <mergeCell ref="AA34:AB34"/>
    <mergeCell ref="AF34:AG34"/>
    <mergeCell ref="AK34:AL34"/>
    <mergeCell ref="AP34:AQ34"/>
    <mergeCell ref="AU34:AV34"/>
    <mergeCell ref="C33:F33"/>
    <mergeCell ref="L33:M33"/>
    <mergeCell ref="Q33:R33"/>
    <mergeCell ref="V33:W33"/>
    <mergeCell ref="AA33:AB33"/>
    <mergeCell ref="AF33:AG33"/>
    <mergeCell ref="AK33:AL33"/>
    <mergeCell ref="AP33:AQ33"/>
    <mergeCell ref="AU33:AV33"/>
    <mergeCell ref="C32:F32"/>
    <mergeCell ref="L32:M32"/>
    <mergeCell ref="Q32:R32"/>
    <mergeCell ref="V32:W32"/>
    <mergeCell ref="AA32:AB32"/>
    <mergeCell ref="AF32:AG32"/>
    <mergeCell ref="AK32:AL32"/>
    <mergeCell ref="AP32:AQ32"/>
    <mergeCell ref="AU32:AV32"/>
    <mergeCell ref="C31:F31"/>
    <mergeCell ref="L31:M31"/>
    <mergeCell ref="Q31:R31"/>
    <mergeCell ref="V31:W31"/>
    <mergeCell ref="AA31:AB31"/>
    <mergeCell ref="AF31:AG31"/>
    <mergeCell ref="AK31:AL31"/>
    <mergeCell ref="AP31:AQ31"/>
    <mergeCell ref="AU31:AV31"/>
    <mergeCell ref="C30:F30"/>
    <mergeCell ref="L30:M30"/>
    <mergeCell ref="Q30:R30"/>
    <mergeCell ref="V30:W30"/>
    <mergeCell ref="AA30:AB30"/>
    <mergeCell ref="AF30:AG30"/>
    <mergeCell ref="AK30:AL30"/>
    <mergeCell ref="AP30:AQ30"/>
    <mergeCell ref="AU30:AV30"/>
    <mergeCell ref="C29:F29"/>
    <mergeCell ref="L29:M29"/>
    <mergeCell ref="Q29:R29"/>
    <mergeCell ref="V29:W29"/>
    <mergeCell ref="AA29:AB29"/>
    <mergeCell ref="AF29:AG29"/>
    <mergeCell ref="AK29:AL29"/>
    <mergeCell ref="AP29:AQ29"/>
    <mergeCell ref="AU29:AV29"/>
    <mergeCell ref="C28:F28"/>
    <mergeCell ref="L28:M28"/>
    <mergeCell ref="Q28:R28"/>
    <mergeCell ref="V28:W28"/>
    <mergeCell ref="AA28:AB28"/>
    <mergeCell ref="AF28:AG28"/>
    <mergeCell ref="AK28:AL28"/>
    <mergeCell ref="AP28:AQ28"/>
    <mergeCell ref="AU28:AV28"/>
    <mergeCell ref="C27:F27"/>
    <mergeCell ref="L27:M27"/>
    <mergeCell ref="Q27:R27"/>
    <mergeCell ref="V27:W27"/>
    <mergeCell ref="AA27:AB27"/>
    <mergeCell ref="AF27:AG27"/>
    <mergeCell ref="AK27:AL27"/>
    <mergeCell ref="AP27:AQ27"/>
    <mergeCell ref="AU27:AV27"/>
    <mergeCell ref="C26:F26"/>
    <mergeCell ref="L26:M26"/>
    <mergeCell ref="Q26:R26"/>
    <mergeCell ref="V26:W26"/>
    <mergeCell ref="AA26:AB26"/>
    <mergeCell ref="AF26:AG26"/>
    <mergeCell ref="AK26:AL26"/>
    <mergeCell ref="AP26:AQ26"/>
    <mergeCell ref="AU26:AV26"/>
    <mergeCell ref="C25:F25"/>
    <mergeCell ref="L25:M25"/>
    <mergeCell ref="Q25:R25"/>
    <mergeCell ref="V25:W25"/>
    <mergeCell ref="AA25:AB25"/>
    <mergeCell ref="AF25:AG25"/>
    <mergeCell ref="AK25:AL25"/>
    <mergeCell ref="AP25:AQ25"/>
    <mergeCell ref="AU25:AV25"/>
    <mergeCell ref="AU23:AV23"/>
    <mergeCell ref="C24:F24"/>
    <mergeCell ref="L24:M24"/>
    <mergeCell ref="Q24:R24"/>
    <mergeCell ref="V24:W24"/>
    <mergeCell ref="AA24:AB24"/>
    <mergeCell ref="AF24:AG24"/>
    <mergeCell ref="AK24:AL24"/>
    <mergeCell ref="AP24:AQ24"/>
    <mergeCell ref="AU24:AV24"/>
    <mergeCell ref="BO22:BQ22"/>
    <mergeCell ref="C23:F23"/>
    <mergeCell ref="L23:M23"/>
    <mergeCell ref="Q23:R23"/>
    <mergeCell ref="V23:W23"/>
    <mergeCell ref="AA23:AB23"/>
    <mergeCell ref="AF23:AG23"/>
    <mergeCell ref="AK23:AL23"/>
    <mergeCell ref="AP23:AQ23"/>
    <mergeCell ref="AF22:AG22"/>
    <mergeCell ref="AK22:AL22"/>
    <mergeCell ref="AP22:AQ22"/>
    <mergeCell ref="AU22:AV22"/>
    <mergeCell ref="BL22:BN22"/>
    <mergeCell ref="BF20:BF22"/>
    <mergeCell ref="BG20:BG22"/>
    <mergeCell ref="BH20:BH22"/>
    <mergeCell ref="BI20:BI22"/>
    <mergeCell ref="X20:AB20"/>
    <mergeCell ref="AC20:AG20"/>
    <mergeCell ref="AH20:AL20"/>
    <mergeCell ref="AM20:AQ20"/>
    <mergeCell ref="AR20:AV20"/>
    <mergeCell ref="B19:F20"/>
    <mergeCell ref="C22:F22"/>
    <mergeCell ref="L22:M22"/>
    <mergeCell ref="Q22:R22"/>
    <mergeCell ref="V22:W22"/>
    <mergeCell ref="AA22:AB22"/>
    <mergeCell ref="G21:H21"/>
    <mergeCell ref="I21:M21"/>
    <mergeCell ref="N21:R21"/>
    <mergeCell ref="S21:W21"/>
    <mergeCell ref="X21:AB21"/>
    <mergeCell ref="BJ19:BJ22"/>
    <mergeCell ref="BB20:BB22"/>
    <mergeCell ref="BC20:BC22"/>
    <mergeCell ref="BD20:BD22"/>
    <mergeCell ref="BE20:BE22"/>
    <mergeCell ref="AC21:AG21"/>
    <mergeCell ref="AH21:AL21"/>
    <mergeCell ref="AM21:AQ21"/>
    <mergeCell ref="AR21:AV21"/>
    <mergeCell ref="AM18:AN18"/>
    <mergeCell ref="AO18:AQ18"/>
    <mergeCell ref="AR18:AS18"/>
    <mergeCell ref="AT18:AV18"/>
    <mergeCell ref="X18:Y18"/>
    <mergeCell ref="Z18:AB18"/>
    <mergeCell ref="AC18:AD18"/>
    <mergeCell ref="AE18:AG18"/>
    <mergeCell ref="AC19:AG19"/>
    <mergeCell ref="AH19:AL19"/>
    <mergeCell ref="AM19:AQ19"/>
    <mergeCell ref="AR19:AV19"/>
    <mergeCell ref="G18:H18"/>
    <mergeCell ref="I18:J18"/>
    <mergeCell ref="K18:M18"/>
    <mergeCell ref="N18:O18"/>
    <mergeCell ref="P18:R18"/>
    <mergeCell ref="S18:T18"/>
    <mergeCell ref="U18:W18"/>
    <mergeCell ref="AH18:AI18"/>
    <mergeCell ref="AJ18:AL18"/>
    <mergeCell ref="G17:H17"/>
    <mergeCell ref="I17:M17"/>
    <mergeCell ref="N17:R17"/>
    <mergeCell ref="S17:W17"/>
    <mergeCell ref="X17:AB17"/>
    <mergeCell ref="AC17:AG17"/>
    <mergeCell ref="AH17:AL17"/>
    <mergeCell ref="AM17:AQ17"/>
    <mergeCell ref="AR17:AV17"/>
    <mergeCell ref="G16:H16"/>
    <mergeCell ref="I16:M16"/>
    <mergeCell ref="N16:R16"/>
    <mergeCell ref="S16:W16"/>
    <mergeCell ref="X16:AB16"/>
    <mergeCell ref="AC16:AG16"/>
    <mergeCell ref="AH16:AL16"/>
    <mergeCell ref="AM16:AQ16"/>
    <mergeCell ref="G15:H15"/>
    <mergeCell ref="I15:M15"/>
    <mergeCell ref="N15:R15"/>
    <mergeCell ref="S15:W15"/>
    <mergeCell ref="X15:AB15"/>
    <mergeCell ref="AC15:AG15"/>
    <mergeCell ref="AH15:AL15"/>
    <mergeCell ref="AR13:AV14"/>
    <mergeCell ref="AR15:AV15"/>
    <mergeCell ref="AR16:AV16"/>
    <mergeCell ref="AM15:AQ15"/>
    <mergeCell ref="B9:D9"/>
    <mergeCell ref="B10:C10"/>
    <mergeCell ref="F10:H10"/>
    <mergeCell ref="B11:F11"/>
    <mergeCell ref="G11:H12"/>
    <mergeCell ref="I11:M11"/>
    <mergeCell ref="N11:R11"/>
    <mergeCell ref="B4:F6"/>
    <mergeCell ref="G4:AT6"/>
    <mergeCell ref="B7:D7"/>
    <mergeCell ref="AS7:AV7"/>
    <mergeCell ref="B8:D8"/>
    <mergeCell ref="AS8:AV8"/>
    <mergeCell ref="AR11:AV11"/>
    <mergeCell ref="B12:F12"/>
    <mergeCell ref="J12:M12"/>
    <mergeCell ref="O12:R12"/>
    <mergeCell ref="T12:W12"/>
    <mergeCell ref="Y12:AB12"/>
    <mergeCell ref="AD12:AG12"/>
    <mergeCell ref="AI12:AL12"/>
    <mergeCell ref="AN12:AQ12"/>
    <mergeCell ref="S11:W11"/>
    <mergeCell ref="X11:AB11"/>
    <mergeCell ref="B18:E18"/>
    <mergeCell ref="F7:Q7"/>
    <mergeCell ref="F8:Q8"/>
    <mergeCell ref="F9:Q9"/>
    <mergeCell ref="X59:AB59"/>
    <mergeCell ref="I58:AG58"/>
    <mergeCell ref="I57:AG57"/>
    <mergeCell ref="AM57:AV57"/>
    <mergeCell ref="BS21:BT21"/>
    <mergeCell ref="BS22:BT22"/>
    <mergeCell ref="AC11:AG11"/>
    <mergeCell ref="AH11:AL11"/>
    <mergeCell ref="AM11:AQ11"/>
    <mergeCell ref="AS12:AV12"/>
    <mergeCell ref="B13:F13"/>
    <mergeCell ref="G13:H14"/>
    <mergeCell ref="I13:M14"/>
    <mergeCell ref="N13:R14"/>
    <mergeCell ref="S13:W14"/>
    <mergeCell ref="X13:AB14"/>
    <mergeCell ref="AC13:AG14"/>
    <mergeCell ref="AH13:AL14"/>
    <mergeCell ref="AM13:AQ14"/>
    <mergeCell ref="B14:F16"/>
  </mergeCells>
  <conditionalFormatting sqref="I23:M51">
    <cfRule type="expression" dxfId="111" priority="1" stopIfTrue="1">
      <formula>$L23="No Quote"</formula>
    </cfRule>
  </conditionalFormatting>
  <conditionalFormatting sqref="K18">
    <cfRule type="expression" dxfId="110" priority="9" stopIfTrue="1">
      <formula>$I$18&gt;0</formula>
    </cfRule>
  </conditionalFormatting>
  <conditionalFormatting sqref="N23:R51">
    <cfRule type="expression" dxfId="109" priority="46" stopIfTrue="1">
      <formula>$Q23="No Quote"</formula>
    </cfRule>
  </conditionalFormatting>
  <conditionalFormatting sqref="P18">
    <cfRule type="expression" dxfId="108" priority="8" stopIfTrue="1">
      <formula>$N$18&gt;0</formula>
    </cfRule>
    <cfRule type="expression" dxfId="107" priority="20" stopIfTrue="1">
      <formula>$N$18</formula>
    </cfRule>
  </conditionalFormatting>
  <conditionalFormatting sqref="S23:W51">
    <cfRule type="expression" dxfId="106" priority="44" stopIfTrue="1">
      <formula>$V23="No Quote"</formula>
    </cfRule>
  </conditionalFormatting>
  <conditionalFormatting sqref="U18">
    <cfRule type="expression" dxfId="105" priority="19" stopIfTrue="1">
      <formula>$S$18&gt;0</formula>
    </cfRule>
  </conditionalFormatting>
  <conditionalFormatting sqref="X23:AB51">
    <cfRule type="expression" dxfId="104" priority="28" stopIfTrue="1">
      <formula>$AA23="No Quote"</formula>
    </cfRule>
  </conditionalFormatting>
  <conditionalFormatting sqref="Z18">
    <cfRule type="expression" dxfId="103" priority="18" stopIfTrue="1">
      <formula>$X$18&gt;0</formula>
    </cfRule>
  </conditionalFormatting>
  <conditionalFormatting sqref="AC23:AG51">
    <cfRule type="expression" dxfId="102" priority="45" stopIfTrue="1">
      <formula>$AF23="No Quote"</formula>
    </cfRule>
  </conditionalFormatting>
  <conditionalFormatting sqref="AE18">
    <cfRule type="expression" dxfId="101" priority="16" stopIfTrue="1">
      <formula>$AC$18&gt;0</formula>
    </cfRule>
  </conditionalFormatting>
  <conditionalFormatting sqref="AH23:AL51">
    <cfRule type="expression" dxfId="100" priority="43" stopIfTrue="1">
      <formula>$AK23="No Quote"</formula>
    </cfRule>
  </conditionalFormatting>
  <conditionalFormatting sqref="AJ18">
    <cfRule type="expression" dxfId="99" priority="15" stopIfTrue="1">
      <formula>$AH$18&gt;0</formula>
    </cfRule>
  </conditionalFormatting>
  <conditionalFormatting sqref="AM23:AQ51">
    <cfRule type="expression" dxfId="98" priority="42" stopIfTrue="1">
      <formula>$AP23="No Quote"</formula>
    </cfRule>
  </conditionalFormatting>
  <conditionalFormatting sqref="AO18">
    <cfRule type="expression" dxfId="97" priority="14" stopIfTrue="1">
      <formula>$AM$18&gt;0</formula>
    </cfRule>
  </conditionalFormatting>
  <conditionalFormatting sqref="AR23:AV51">
    <cfRule type="expression" dxfId="96" priority="41" stopIfTrue="1">
      <formula>$AU23="No Quote"</formula>
    </cfRule>
  </conditionalFormatting>
  <conditionalFormatting sqref="AT18">
    <cfRule type="expression" dxfId="95" priority="13" stopIfTrue="1">
      <formula>$AR$18&gt;0</formula>
    </cfRule>
  </conditionalFormatting>
  <conditionalFormatting sqref="AY23:AZ51">
    <cfRule type="expression" dxfId="94" priority="2" stopIfTrue="1">
      <formula>$AY23&gt;$BJ23</formula>
    </cfRule>
  </conditionalFormatting>
  <conditionalFormatting sqref="BB23:BB51">
    <cfRule type="expression" dxfId="93" priority="129" stopIfTrue="1">
      <formula>$BB23=$BJ23</formula>
    </cfRule>
  </conditionalFormatting>
  <conditionalFormatting sqref="BC23:BC51">
    <cfRule type="expression" dxfId="92" priority="125" stopIfTrue="1">
      <formula>$BC23=$BJ23</formula>
    </cfRule>
  </conditionalFormatting>
  <conditionalFormatting sqref="BD23:BD51">
    <cfRule type="expression" dxfId="91" priority="131" stopIfTrue="1">
      <formula>$BD23=$BJ23</formula>
    </cfRule>
  </conditionalFormatting>
  <conditionalFormatting sqref="BE23:BE51">
    <cfRule type="expression" dxfId="90" priority="132" stopIfTrue="1">
      <formula>$BE23=$BJ23</formula>
    </cfRule>
  </conditionalFormatting>
  <conditionalFormatting sqref="BF23:BF51">
    <cfRule type="expression" dxfId="89" priority="7" stopIfTrue="1">
      <formula>$BF23=$BJ23</formula>
    </cfRule>
  </conditionalFormatting>
  <conditionalFormatting sqref="BG23:BG51">
    <cfRule type="expression" dxfId="88" priority="5" stopIfTrue="1">
      <formula>$BG23=$BJ23</formula>
    </cfRule>
  </conditionalFormatting>
  <conditionalFormatting sqref="BH23:BH51">
    <cfRule type="expression" dxfId="87" priority="6" stopIfTrue="1">
      <formula>$BH23=$BJ23</formula>
    </cfRule>
  </conditionalFormatting>
  <conditionalFormatting sqref="BI23:BI51">
    <cfRule type="expression" dxfId="86" priority="4" stopIfTrue="1">
      <formula>$BI23=$BJ23</formula>
    </cfRule>
  </conditionalFormatting>
  <dataValidations count="3">
    <dataValidation type="list" allowBlank="1" sqref="N59:R59" xr:uid="{2466EEF8-0997-4D59-88A3-B992339F3628}">
      <formula1>"Zulkifli Bastiandi, Teuku Syamsul Rizal, Nurhidayad Dawoed"</formula1>
    </dataValidation>
    <dataValidation type="list" allowBlank="1" showInputMessage="1" sqref="I20:AV20" xr:uid="{074FD3F2-7FDE-40A7-8C43-F253C6BB2984}">
      <formula1>"Subject prior to sales"</formula1>
    </dataValidation>
    <dataValidation type="list" allowBlank="1" showInputMessage="1" sqref="I21:AV21" xr:uid="{B48872E7-430D-4239-880C-E0DD59B6A948}">
      <formula1>"MSW Tanjung, IBT Mekar Putih"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8904-6515-4B7B-BE3C-76C1710C5860}">
  <sheetPr codeName="Sheet10">
    <pageSetUpPr fitToPage="1"/>
  </sheetPr>
  <dimension ref="A1:BN84"/>
  <sheetViews>
    <sheetView showGridLines="0" view="pageBreakPreview" zoomScale="70" zoomScaleNormal="55" zoomScaleSheetLayoutView="70" workbookViewId="0">
      <selection activeCell="B58" sqref="B58:H58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55" width="15.7109375" style="4" customWidth="1"/>
    <col min="56" max="56" width="15.7109375" style="59" customWidth="1"/>
    <col min="57" max="57" width="22" style="58" bestFit="1" customWidth="1"/>
    <col min="58" max="58" width="12" style="4" customWidth="1" outlineLevel="1"/>
    <col min="59" max="59" width="4.7109375" style="69" customWidth="1" outlineLevel="1"/>
    <col min="60" max="60" width="22" style="58" customWidth="1" outlineLevel="1"/>
    <col min="61" max="61" width="9.7109375" style="4" customWidth="1" outlineLevel="1"/>
    <col min="62" max="62" width="4.7109375" style="4" customWidth="1" outlineLevel="1"/>
    <col min="63" max="63" width="22" style="58" customWidth="1" outlineLevel="1"/>
    <col min="64" max="64" width="9.28515625" customWidth="1"/>
    <col min="65" max="65" width="9.28515625" style="4" customWidth="1"/>
    <col min="66" max="66" width="20.7109375" style="5" customWidth="1"/>
    <col min="67" max="16384" width="9.28515625" style="4" hidden="1"/>
  </cols>
  <sheetData>
    <row r="1" spans="2:66" s="1" customFormat="1" ht="13.5" x14ac:dyDescent="0.25">
      <c r="D1" s="2"/>
      <c r="U1" s="3"/>
      <c r="BD1" s="82"/>
      <c r="BE1" s="73"/>
      <c r="BG1" s="68"/>
      <c r="BH1" s="73"/>
      <c r="BK1" s="73"/>
      <c r="BN1" s="3"/>
    </row>
    <row r="2" spans="2:66" s="1" customFormat="1" ht="13.5" x14ac:dyDescent="0.25">
      <c r="D2" s="2"/>
      <c r="U2" s="3"/>
      <c r="BD2" s="82"/>
      <c r="BE2" s="73"/>
      <c r="BG2" s="68"/>
      <c r="BH2" s="73"/>
      <c r="BK2" s="73"/>
      <c r="BN2" s="3"/>
    </row>
    <row r="3" spans="2:66" ht="17.25" thickBot="1" x14ac:dyDescent="0.3"/>
    <row r="4" spans="2:66" ht="20.100000000000001" customHeight="1" thickTop="1" x14ac:dyDescent="0.25">
      <c r="B4" s="272" t="s">
        <v>2</v>
      </c>
      <c r="C4" s="273"/>
      <c r="D4" s="273"/>
      <c r="E4" s="273"/>
      <c r="F4" s="273"/>
      <c r="G4" s="276" t="s">
        <v>3</v>
      </c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6"/>
      <c r="AQ4" s="7"/>
    </row>
    <row r="5" spans="2:66" ht="20.100000000000001" customHeight="1" x14ac:dyDescent="0.25">
      <c r="B5" s="274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8"/>
      <c r="AQ5" s="9"/>
    </row>
    <row r="6" spans="2:66" ht="20.100000000000001" customHeight="1" x14ac:dyDescent="0.25">
      <c r="B6" s="274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8"/>
      <c r="AQ6" s="9"/>
    </row>
    <row r="7" spans="2:66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U7" s="13"/>
      <c r="AK7" s="14"/>
      <c r="AL7" s="15"/>
      <c r="AN7" s="278" t="s">
        <v>6</v>
      </c>
      <c r="AO7" s="278"/>
      <c r="AP7" s="278"/>
      <c r="AQ7" s="279"/>
      <c r="BD7" s="83"/>
      <c r="BE7" s="76"/>
      <c r="BG7" s="70"/>
      <c r="BH7" s="76"/>
      <c r="BK7" s="76"/>
      <c r="BN7" s="13"/>
    </row>
    <row r="8" spans="2:66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U8" s="13"/>
      <c r="AK8" s="16"/>
      <c r="AL8" s="15"/>
      <c r="AN8" s="256">
        <f ca="1">TODAY()</f>
        <v>46231</v>
      </c>
      <c r="AO8" s="256"/>
      <c r="AP8" s="256"/>
      <c r="AQ8" s="257"/>
      <c r="BD8" s="83"/>
      <c r="BE8" s="76"/>
      <c r="BG8" s="70"/>
      <c r="BH8" s="76"/>
      <c r="BK8" s="76"/>
      <c r="BN8" s="13"/>
    </row>
    <row r="9" spans="2:66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U9" s="13"/>
      <c r="AM9" s="10"/>
      <c r="AN9" s="17"/>
      <c r="AO9" s="17"/>
      <c r="AP9" s="17"/>
      <c r="AQ9" s="18"/>
      <c r="BD9" s="83"/>
      <c r="BE9" s="76"/>
      <c r="BG9" s="70"/>
      <c r="BH9" s="76"/>
      <c r="BK9" s="76"/>
      <c r="BN9" s="13"/>
    </row>
    <row r="10" spans="2:66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AQ10" s="21"/>
    </row>
    <row r="11" spans="2:66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 t="shared" ref="S11" si="0">N11+1</f>
        <v>3</v>
      </c>
      <c r="T11" s="252"/>
      <c r="U11" s="252"/>
      <c r="V11" s="252"/>
      <c r="W11" s="253"/>
      <c r="X11" s="251">
        <f t="shared" ref="X11" si="1">S11+1</f>
        <v>4</v>
      </c>
      <c r="Y11" s="252"/>
      <c r="Z11" s="252"/>
      <c r="AA11" s="252"/>
      <c r="AB11" s="253"/>
      <c r="AC11" s="251">
        <f>X11+1</f>
        <v>5</v>
      </c>
      <c r="AD11" s="252"/>
      <c r="AE11" s="252"/>
      <c r="AF11" s="252"/>
      <c r="AG11" s="253"/>
      <c r="AH11" s="251">
        <f t="shared" ref="AH11" si="2">AC11+1</f>
        <v>6</v>
      </c>
      <c r="AI11" s="252"/>
      <c r="AJ11" s="252"/>
      <c r="AK11" s="252"/>
      <c r="AL11" s="253"/>
      <c r="AM11" s="251">
        <f t="shared" ref="AM11" si="3">AH11+1</f>
        <v>7</v>
      </c>
      <c r="AN11" s="252"/>
      <c r="AO11" s="252"/>
      <c r="AP11" s="252"/>
      <c r="AQ11" s="280"/>
      <c r="BD11" s="82"/>
      <c r="BE11" s="73"/>
      <c r="BG11" s="68"/>
      <c r="BH11" s="73"/>
      <c r="BK11" s="73"/>
      <c r="BN11" s="3"/>
    </row>
    <row r="12" spans="2:66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 t="s">
        <v>51</v>
      </c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7"/>
      <c r="X12" s="22"/>
      <c r="Y12" s="140"/>
      <c r="Z12" s="140"/>
      <c r="AA12" s="140"/>
      <c r="AB12" s="147"/>
      <c r="AC12" s="22"/>
      <c r="AD12" s="140"/>
      <c r="AE12" s="140"/>
      <c r="AF12" s="140"/>
      <c r="AG12" s="147"/>
      <c r="AH12" s="22"/>
      <c r="AI12" s="140"/>
      <c r="AJ12" s="140"/>
      <c r="AK12" s="140"/>
      <c r="AL12" s="147"/>
      <c r="AM12" s="22"/>
      <c r="AN12" s="140"/>
      <c r="AO12" s="140"/>
      <c r="AP12" s="140"/>
      <c r="AQ12" s="141"/>
      <c r="AW12" s="3"/>
      <c r="AX12" s="3"/>
      <c r="BD12" s="82"/>
      <c r="BE12" s="73"/>
      <c r="BG12" s="68"/>
      <c r="BH12" s="73"/>
      <c r="BK12" s="73"/>
      <c r="BN12" s="3"/>
    </row>
    <row r="13" spans="2:66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48"/>
      <c r="X13" s="128">
        <v>0</v>
      </c>
      <c r="Y13" s="129"/>
      <c r="Z13" s="129"/>
      <c r="AA13" s="129"/>
      <c r="AB13" s="148"/>
      <c r="AC13" s="128">
        <v>0</v>
      </c>
      <c r="AD13" s="129"/>
      <c r="AE13" s="129"/>
      <c r="AF13" s="129"/>
      <c r="AG13" s="148"/>
      <c r="AH13" s="128">
        <v>0</v>
      </c>
      <c r="AI13" s="129"/>
      <c r="AJ13" s="129"/>
      <c r="AK13" s="129"/>
      <c r="AL13" s="148"/>
      <c r="AM13" s="128">
        <v>0</v>
      </c>
      <c r="AN13" s="129"/>
      <c r="AO13" s="129"/>
      <c r="AP13" s="129"/>
      <c r="AQ13" s="130"/>
      <c r="BD13" s="82"/>
      <c r="BE13" s="73"/>
      <c r="BG13" s="68"/>
      <c r="BH13" s="73"/>
      <c r="BK13" s="73"/>
      <c r="BN13" s="3"/>
    </row>
    <row r="14" spans="2:66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49"/>
      <c r="X14" s="131"/>
      <c r="Y14" s="132"/>
      <c r="Z14" s="132"/>
      <c r="AA14" s="132"/>
      <c r="AB14" s="149"/>
      <c r="AC14" s="131"/>
      <c r="AD14" s="132"/>
      <c r="AE14" s="132"/>
      <c r="AF14" s="132"/>
      <c r="AG14" s="149"/>
      <c r="AH14" s="131"/>
      <c r="AI14" s="132"/>
      <c r="AJ14" s="132"/>
      <c r="AK14" s="132"/>
      <c r="AL14" s="149"/>
      <c r="AM14" s="131"/>
      <c r="AN14" s="132"/>
      <c r="AO14" s="132"/>
      <c r="AP14" s="132"/>
      <c r="AQ14" s="133"/>
      <c r="BD14" s="82"/>
      <c r="BE14" s="73"/>
      <c r="BG14" s="68"/>
      <c r="BH14" s="73"/>
      <c r="BK14" s="73"/>
      <c r="BN14" s="3"/>
    </row>
    <row r="15" spans="2:66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50"/>
      <c r="X15" s="134"/>
      <c r="Y15" s="135"/>
      <c r="Z15" s="135"/>
      <c r="AA15" s="135"/>
      <c r="AB15" s="150"/>
      <c r="AC15" s="134"/>
      <c r="AD15" s="135"/>
      <c r="AE15" s="135"/>
      <c r="AF15" s="135"/>
      <c r="AG15" s="150"/>
      <c r="AH15" s="134"/>
      <c r="AI15" s="135"/>
      <c r="AJ15" s="135"/>
      <c r="AK15" s="135"/>
      <c r="AL15" s="150"/>
      <c r="AM15" s="134"/>
      <c r="AN15" s="135"/>
      <c r="AO15" s="135"/>
      <c r="AP15" s="135"/>
      <c r="AQ15" s="136"/>
      <c r="BD15" s="82"/>
      <c r="BE15" s="73"/>
      <c r="BG15" s="68"/>
      <c r="BH15" s="73"/>
      <c r="BK15" s="73"/>
      <c r="BN15" s="3"/>
    </row>
    <row r="16" spans="2:66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51"/>
      <c r="X16" s="137" t="s">
        <v>51</v>
      </c>
      <c r="Y16" s="138"/>
      <c r="Z16" s="138"/>
      <c r="AA16" s="138"/>
      <c r="AB16" s="151"/>
      <c r="AC16" s="137" t="s">
        <v>51</v>
      </c>
      <c r="AD16" s="138"/>
      <c r="AE16" s="138"/>
      <c r="AF16" s="138"/>
      <c r="AG16" s="151"/>
      <c r="AH16" s="137" t="s">
        <v>51</v>
      </c>
      <c r="AI16" s="138"/>
      <c r="AJ16" s="138"/>
      <c r="AK16" s="138"/>
      <c r="AL16" s="151"/>
      <c r="AM16" s="137" t="s">
        <v>51</v>
      </c>
      <c r="AN16" s="138"/>
      <c r="AO16" s="138"/>
      <c r="AP16" s="138"/>
      <c r="AQ16" s="139"/>
      <c r="BD16" s="82"/>
      <c r="BE16" s="73"/>
      <c r="BG16" s="68"/>
      <c r="BH16" s="73"/>
      <c r="BK16" s="73"/>
      <c r="BN16" s="3"/>
    </row>
    <row r="17" spans="2:66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7"/>
      <c r="X17" s="302"/>
      <c r="Y17" s="303"/>
      <c r="Z17" s="303"/>
      <c r="AA17" s="303"/>
      <c r="AB17" s="304"/>
      <c r="AC17" s="239"/>
      <c r="AD17" s="240"/>
      <c r="AE17" s="240"/>
      <c r="AF17" s="240"/>
      <c r="AG17" s="247"/>
      <c r="AH17" s="239"/>
      <c r="AI17" s="240"/>
      <c r="AJ17" s="240"/>
      <c r="AK17" s="240"/>
      <c r="AL17" s="247"/>
      <c r="AM17" s="239"/>
      <c r="AN17" s="240"/>
      <c r="AO17" s="240"/>
      <c r="AP17" s="240"/>
      <c r="AQ17" s="241"/>
      <c r="BD17" s="82"/>
      <c r="BE17" s="73"/>
      <c r="BG17" s="68"/>
      <c r="BH17" s="73"/>
      <c r="BK17" s="73"/>
      <c r="BN17" s="3"/>
    </row>
    <row r="18" spans="2:66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5"/>
      <c r="X18" s="242" t="str">
        <f>IF(X12="","",IF(X12="NV","","30"))</f>
        <v/>
      </c>
      <c r="Y18" s="243"/>
      <c r="Z18" s="244" t="str">
        <f>IFERROR(IF(X17+X18="","",X17+X18),"")</f>
        <v/>
      </c>
      <c r="AA18" s="244"/>
      <c r="AB18" s="245"/>
      <c r="AC18" s="242" t="str">
        <f>IF(AC12="","",IF(AC12="NV","","30"))</f>
        <v/>
      </c>
      <c r="AD18" s="243"/>
      <c r="AE18" s="244" t="str">
        <f>IFERROR(IF(AC17+AC18="","",AC17+AC18),"")</f>
        <v/>
      </c>
      <c r="AF18" s="244"/>
      <c r="AG18" s="245"/>
      <c r="AH18" s="242" t="str">
        <f>IF(AH12="","",IF(AH12="NV","","30"))</f>
        <v/>
      </c>
      <c r="AI18" s="243"/>
      <c r="AJ18" s="244" t="str">
        <f>IFERROR(IF(AH17+AH18="","",AH17+AH18),"")</f>
        <v/>
      </c>
      <c r="AK18" s="244"/>
      <c r="AL18" s="245"/>
      <c r="AM18" s="242" t="str">
        <f>IF(AM12="","",IF(AM12="NV","","30"))</f>
        <v/>
      </c>
      <c r="AN18" s="243"/>
      <c r="AO18" s="244" t="str">
        <f>IFERROR(IF(AM17+AM18="","",AM17+AM18),"")</f>
        <v/>
      </c>
      <c r="AP18" s="244"/>
      <c r="AQ18" s="246"/>
      <c r="BD18" s="82"/>
      <c r="BE18" s="73"/>
      <c r="BG18" s="68"/>
      <c r="BH18" s="73"/>
      <c r="BK18" s="73"/>
      <c r="BN18" s="3"/>
    </row>
    <row r="19" spans="2:66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159"/>
      <c r="X19" s="227" t="str">
        <f>IF(X12="NV","",IF(X12="","-","45 days"))</f>
        <v>-</v>
      </c>
      <c r="Y19" s="124"/>
      <c r="Z19" s="124"/>
      <c r="AA19" s="124"/>
      <c r="AB19" s="159"/>
      <c r="AC19" s="227" t="str">
        <f>IF(AC12="NV","",IF(AC12="","-","45 days"))</f>
        <v>-</v>
      </c>
      <c r="AD19" s="124"/>
      <c r="AE19" s="124"/>
      <c r="AF19" s="124"/>
      <c r="AG19" s="159"/>
      <c r="AH19" s="227" t="str">
        <f>IF(AH12="NV","",IF(AH12="","-","45 days"))</f>
        <v>-</v>
      </c>
      <c r="AI19" s="124"/>
      <c r="AJ19" s="124"/>
      <c r="AK19" s="124"/>
      <c r="AL19" s="159"/>
      <c r="AM19" s="227" t="str">
        <f>IF(AM12="NV","",IF(AM12="","-","45 days"))</f>
        <v>-</v>
      </c>
      <c r="AN19" s="124"/>
      <c r="AO19" s="124"/>
      <c r="AP19" s="124"/>
      <c r="AQ19" s="228"/>
      <c r="AW19" s="25">
        <v>1</v>
      </c>
      <c r="AX19" s="25">
        <f>AW19+1</f>
        <v>2</v>
      </c>
      <c r="AY19" s="25">
        <f t="shared" ref="AY19:BC19" si="4">AX19+1</f>
        <v>3</v>
      </c>
      <c r="AZ19" s="25">
        <f t="shared" si="4"/>
        <v>4</v>
      </c>
      <c r="BA19" s="25">
        <f>AZ19+1</f>
        <v>5</v>
      </c>
      <c r="BB19" s="25">
        <f t="shared" si="4"/>
        <v>6</v>
      </c>
      <c r="BC19" s="25">
        <f t="shared" si="4"/>
        <v>7</v>
      </c>
      <c r="BD19" s="125" t="s">
        <v>18</v>
      </c>
      <c r="BE19" s="73"/>
      <c r="BG19" s="68"/>
      <c r="BH19" s="73"/>
      <c r="BK19" s="73"/>
      <c r="BN19" s="3"/>
    </row>
    <row r="20" spans="2:66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159"/>
      <c r="X20" s="227" t="s">
        <v>50</v>
      </c>
      <c r="Y20" s="124"/>
      <c r="Z20" s="124"/>
      <c r="AA20" s="124"/>
      <c r="AB20" s="159"/>
      <c r="AC20" s="227" t="s">
        <v>50</v>
      </c>
      <c r="AD20" s="124"/>
      <c r="AE20" s="124"/>
      <c r="AF20" s="124"/>
      <c r="AG20" s="159"/>
      <c r="AH20" s="227" t="s">
        <v>50</v>
      </c>
      <c r="AI20" s="124"/>
      <c r="AJ20" s="124"/>
      <c r="AK20" s="124"/>
      <c r="AL20" s="159"/>
      <c r="AM20" s="227" t="s">
        <v>50</v>
      </c>
      <c r="AN20" s="124"/>
      <c r="AO20" s="124"/>
      <c r="AP20" s="124"/>
      <c r="AQ20" s="228"/>
      <c r="AW20" s="223">
        <f>J12</f>
        <v>0</v>
      </c>
      <c r="AX20" s="223">
        <f>O12</f>
        <v>0</v>
      </c>
      <c r="AY20" s="223">
        <f>T12</f>
        <v>0</v>
      </c>
      <c r="AZ20" s="223">
        <f>Y12</f>
        <v>0</v>
      </c>
      <c r="BA20" s="223">
        <f>AD12</f>
        <v>0</v>
      </c>
      <c r="BB20" s="223">
        <f>AI12</f>
        <v>0</v>
      </c>
      <c r="BC20" s="223">
        <f>AN12</f>
        <v>0</v>
      </c>
      <c r="BD20" s="126"/>
      <c r="BN20" s="3"/>
    </row>
    <row r="21" spans="2:66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/>
      <c r="J21" s="155"/>
      <c r="K21" s="155"/>
      <c r="L21" s="155"/>
      <c r="M21" s="156"/>
      <c r="N21" s="154"/>
      <c r="O21" s="155"/>
      <c r="P21" s="155"/>
      <c r="Q21" s="155"/>
      <c r="R21" s="156"/>
      <c r="S21" s="154"/>
      <c r="T21" s="155"/>
      <c r="U21" s="155"/>
      <c r="V21" s="155"/>
      <c r="W21" s="156"/>
      <c r="X21" s="154"/>
      <c r="Y21" s="155"/>
      <c r="Z21" s="155"/>
      <c r="AA21" s="155"/>
      <c r="AB21" s="156"/>
      <c r="AC21" s="154"/>
      <c r="AD21" s="155"/>
      <c r="AE21" s="155"/>
      <c r="AF21" s="155"/>
      <c r="AG21" s="156"/>
      <c r="AH21" s="154"/>
      <c r="AI21" s="155"/>
      <c r="AJ21" s="155"/>
      <c r="AK21" s="155"/>
      <c r="AL21" s="156"/>
      <c r="AM21" s="154"/>
      <c r="AN21" s="155"/>
      <c r="AO21" s="155"/>
      <c r="AP21" s="155"/>
      <c r="AQ21" s="222"/>
      <c r="AR21" s="50"/>
      <c r="AS21" s="50"/>
      <c r="AW21" s="223"/>
      <c r="AX21" s="223"/>
      <c r="AY21" s="223"/>
      <c r="AZ21" s="223"/>
      <c r="BA21" s="223"/>
      <c r="BB21" s="223"/>
      <c r="BC21" s="223"/>
      <c r="BD21" s="126"/>
      <c r="BE21" s="73"/>
      <c r="BG21" s="68"/>
      <c r="BH21" s="73"/>
      <c r="BK21" s="73"/>
      <c r="BM21" s="123">
        <f>SUM(BM23:BM36)</f>
        <v>0</v>
      </c>
      <c r="BN21" s="124"/>
    </row>
    <row r="22" spans="2:66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2" t="s">
        <v>26</v>
      </c>
      <c r="O22" s="30" t="s">
        <v>18</v>
      </c>
      <c r="P22" s="33" t="s">
        <v>27</v>
      </c>
      <c r="Q22" s="220" t="s">
        <v>28</v>
      </c>
      <c r="R22" s="233"/>
      <c r="S22" s="34" t="s">
        <v>26</v>
      </c>
      <c r="T22" s="30" t="s">
        <v>18</v>
      </c>
      <c r="U22" s="35" t="s">
        <v>27</v>
      </c>
      <c r="V22" s="220" t="s">
        <v>28</v>
      </c>
      <c r="W22" s="221"/>
      <c r="X22" s="32" t="s">
        <v>26</v>
      </c>
      <c r="Y22" s="30" t="s">
        <v>18</v>
      </c>
      <c r="Z22" s="33" t="s">
        <v>27</v>
      </c>
      <c r="AA22" s="305" t="s">
        <v>28</v>
      </c>
      <c r="AB22" s="306"/>
      <c r="AC22" s="36" t="s">
        <v>26</v>
      </c>
      <c r="AD22" s="30" t="s">
        <v>18</v>
      </c>
      <c r="AE22" s="35" t="s">
        <v>27</v>
      </c>
      <c r="AF22" s="220" t="s">
        <v>28</v>
      </c>
      <c r="AG22" s="221"/>
      <c r="AH22" s="36" t="s">
        <v>26</v>
      </c>
      <c r="AI22" s="30" t="s">
        <v>18</v>
      </c>
      <c r="AJ22" s="35" t="s">
        <v>27</v>
      </c>
      <c r="AK22" s="220" t="s">
        <v>28</v>
      </c>
      <c r="AL22" s="221"/>
      <c r="AM22" s="37" t="s">
        <v>26</v>
      </c>
      <c r="AN22" s="38" t="s">
        <v>18</v>
      </c>
      <c r="AO22" s="39" t="s">
        <v>27</v>
      </c>
      <c r="AP22" s="229" t="s">
        <v>28</v>
      </c>
      <c r="AQ22" s="230"/>
      <c r="AR22" s="40" t="s">
        <v>29</v>
      </c>
      <c r="AS22" s="40" t="s">
        <v>0</v>
      </c>
      <c r="AT22" s="40" t="s">
        <v>30</v>
      </c>
      <c r="AU22" s="40" t="s">
        <v>31</v>
      </c>
      <c r="AV22" s="117" t="s">
        <v>1</v>
      </c>
      <c r="AW22" s="223"/>
      <c r="AX22" s="223"/>
      <c r="AY22" s="223"/>
      <c r="AZ22" s="223"/>
      <c r="BA22" s="223"/>
      <c r="BB22" s="223"/>
      <c r="BC22" s="223"/>
      <c r="BD22" s="127"/>
      <c r="BE22" s="79" t="s">
        <v>32</v>
      </c>
      <c r="BF22" s="219" t="s">
        <v>33</v>
      </c>
      <c r="BG22" s="219"/>
      <c r="BH22" s="219"/>
      <c r="BI22" s="219" t="s">
        <v>34</v>
      </c>
      <c r="BJ22" s="219"/>
      <c r="BK22" s="219"/>
      <c r="BM22" s="142" t="s">
        <v>35</v>
      </c>
      <c r="BN22" s="143"/>
    </row>
    <row r="23" spans="2:66" s="1" customFormat="1" ht="61.5" customHeight="1" x14ac:dyDescent="0.25">
      <c r="B23" s="41">
        <v>1</v>
      </c>
      <c r="C23" s="218"/>
      <c r="D23" s="218"/>
      <c r="E23" s="218"/>
      <c r="F23" s="218"/>
      <c r="G23" s="42"/>
      <c r="H23" s="43"/>
      <c r="I23" s="44"/>
      <c r="J23" s="45" t="str">
        <f>IF($G23="","",$G23*I23)</f>
        <v/>
      </c>
      <c r="K23" s="93"/>
      <c r="L23" s="152" t="str">
        <f>IF($I23="","No Quote",IF($K23="","","No Comply"))</f>
        <v>No Quote</v>
      </c>
      <c r="M23" s="153"/>
      <c r="N23" s="44"/>
      <c r="O23" s="45" t="str">
        <f>IF($G23="","",$G23*N23)</f>
        <v/>
      </c>
      <c r="P23" s="93"/>
      <c r="Q23" s="152" t="str">
        <f>IF($N23="","No Quote",IF($P23="","","No Comply"))</f>
        <v>No Quote</v>
      </c>
      <c r="R23" s="153"/>
      <c r="S23" s="44"/>
      <c r="T23" s="45" t="str">
        <f>IF($G23="","",$G23*S23)</f>
        <v/>
      </c>
      <c r="U23" s="92"/>
      <c r="V23" s="152" t="str">
        <f>IF($S23="","No Quote",IF($U23="","","No Comply"))</f>
        <v>No Quote</v>
      </c>
      <c r="W23" s="153"/>
      <c r="X23" s="44"/>
      <c r="Y23" s="45" t="str">
        <f>IF($G23="","",$G23*X23)</f>
        <v/>
      </c>
      <c r="Z23" s="93"/>
      <c r="AA23" s="307" t="str">
        <f>IF($X23="","No Quote",IF($Z23="","","No Comply"))</f>
        <v>No Quote</v>
      </c>
      <c r="AB23" s="308"/>
      <c r="AC23" s="44"/>
      <c r="AD23" s="45" t="str">
        <f>IF($G23="","",$G23*AC23)</f>
        <v/>
      </c>
      <c r="AE23" s="92"/>
      <c r="AF23" s="152" t="str">
        <f>IF($AC23="","No Quote",IF($AE23="","","No Comply"))</f>
        <v>No Quote</v>
      </c>
      <c r="AG23" s="153"/>
      <c r="AH23" s="44"/>
      <c r="AI23" s="45" t="str">
        <f>IF($G23="","",$G23*AH23)</f>
        <v/>
      </c>
      <c r="AJ23" s="92"/>
      <c r="AK23" s="152" t="str">
        <f>IF($AH23="","No Quote",IF($AJ23="","","No Comply"))</f>
        <v>No Quote</v>
      </c>
      <c r="AL23" s="153"/>
      <c r="AM23" s="44"/>
      <c r="AN23" s="45" t="str">
        <f>IF($G23="","",$G23*AM23)</f>
        <v/>
      </c>
      <c r="AO23" s="92"/>
      <c r="AP23" s="212" t="str">
        <f>IF($AM23="","No Quote",IF($AO23="","","No Comply"))</f>
        <v>No Quote</v>
      </c>
      <c r="AQ23" s="213"/>
      <c r="AR23" s="90"/>
      <c r="AS23" s="96"/>
      <c r="AT23" s="66" t="str">
        <f>IF(AR23="","",$AR23*$G23)</f>
        <v/>
      </c>
      <c r="AU23" s="95"/>
      <c r="AV23" s="95"/>
      <c r="AW23" s="80" t="str">
        <f>IF(OR(K23="X",J23=""),"-",J23)</f>
        <v>-</v>
      </c>
      <c r="AX23" s="80" t="str">
        <f>IF(OR(P23="X",O23=""),"-",O23)</f>
        <v>-</v>
      </c>
      <c r="AY23" s="80" t="str">
        <f>IF(OR(U23="X",T23=""),"-",T23)</f>
        <v>-</v>
      </c>
      <c r="AZ23" s="80" t="str">
        <f>IF(OR(Z23="X",Y23=""),"-",Y23)</f>
        <v>-</v>
      </c>
      <c r="BA23" s="80" t="str">
        <f>IF(OR(AE23="X",AD23=""),"-",AD23)</f>
        <v>-</v>
      </c>
      <c r="BB23" s="80" t="str">
        <f>IF(OR(AJ23="X",AI23=""),"-",AI23)</f>
        <v>-</v>
      </c>
      <c r="BC23" s="80" t="str">
        <f>IF(OR(AO23="X",AN23=""),"-",AN23)</f>
        <v>-</v>
      </c>
      <c r="BD23" s="81" t="str">
        <f t="shared" ref="BD23:BD52" si="5">IFERROR(SMALL($AW23:$BC23,COUNTIF($AW23:$BC23,0)+1),"")</f>
        <v/>
      </c>
      <c r="BE23" s="77" t="str">
        <f>IF(BD23=AW23,$AW$20,IF(BD23=AX23,$AX$20,IF(BD23=AY23,$AY$20,IF(BD23=AZ23,$AZ$20,IF(BD23=BA23,$BA$20,IF(BD23=BB23,$BB$20,IF(BD23=BC23,$BC$20,"")))))))</f>
        <v/>
      </c>
      <c r="BF23" s="75" t="str">
        <f t="shared" ref="BF23:BF52" si="6">IFERROR(SMALL($AW23:$BC23,2),"")</f>
        <v/>
      </c>
      <c r="BG23" s="74" t="str">
        <f>IFERROR(IF(($BF23-$BD23)/$BD23&lt;0%,"",($BF23-$BD23)/$BD23),"")</f>
        <v/>
      </c>
      <c r="BH23" s="77" t="str">
        <f>IFERROR(IF(BF23="","",IF(BF23=AW23,$AW$20,IF(BF23=AX23,$AX$20,IF(BF23=AY23,$AY$20,IF(BF23=AZ23,$AZ$20,IF(BF23=BA23,$BA$20,IF(BF23=BB23,$BB$20,IF(BF23=BC23,$BC$20,"")))))))),"")</f>
        <v/>
      </c>
      <c r="BI23" s="75" t="str">
        <f t="shared" ref="BI23:BI52" si="7">IFERROR(SMALL($AW23:$BC23,3),"")</f>
        <v/>
      </c>
      <c r="BJ23" s="74" t="str">
        <f>IFERROR(IF((BI23-$BD23)/$BD23&lt;0%,"",(BI23-$BD23)/$BD23),"")</f>
        <v/>
      </c>
      <c r="BK23" s="77" t="str">
        <f>IFERROR(IF(BI23="","",IF(BI23=AW23,$AW$20,IF(BI23=AX23,$AX$20,IF(BI23=AY23,$AY$20,IF(BI23=AZ23,$AZ$20,IF(BI23=BA23,$BA$20,IF(BI23=BB23,$BB$20,IF(BI23=BC23,$BC$20,"")))))))),"")</f>
        <v/>
      </c>
      <c r="BM23" s="104">
        <f>SUMIFS($BD$23:$BD$51,$BE$23:$BE$51,BN23)</f>
        <v>0</v>
      </c>
      <c r="BN23" s="105"/>
    </row>
    <row r="24" spans="2:66" s="1" customFormat="1" ht="61.5" customHeight="1" x14ac:dyDescent="0.25">
      <c r="B24" s="41">
        <f>B23+1</f>
        <v>2</v>
      </c>
      <c r="C24" s="218"/>
      <c r="D24" s="218"/>
      <c r="E24" s="218"/>
      <c r="F24" s="218"/>
      <c r="G24" s="42"/>
      <c r="H24" s="43"/>
      <c r="I24" s="44"/>
      <c r="J24" s="45" t="str">
        <f t="shared" ref="J24:J51" si="8">IF($G24="","",$G24*I24)</f>
        <v/>
      </c>
      <c r="K24" s="93"/>
      <c r="L24" s="152" t="str">
        <f t="shared" ref="L24:L51" si="9">IF($I24="","No Quote",IF($K24="","","No Comply"))</f>
        <v>No Quote</v>
      </c>
      <c r="M24" s="153"/>
      <c r="N24" s="44"/>
      <c r="O24" s="45" t="str">
        <f t="shared" ref="O24:O51" si="10">IF($G24="","",$G24*N24)</f>
        <v/>
      </c>
      <c r="P24" s="93"/>
      <c r="Q24" s="152" t="str">
        <f t="shared" ref="Q24:Q51" si="11">IF($N24="","No Quote",IF($P24="","","No Comply"))</f>
        <v>No Quote</v>
      </c>
      <c r="R24" s="153"/>
      <c r="S24" s="44"/>
      <c r="T24" s="45" t="str">
        <f t="shared" ref="T24:T51" si="12">IF($G24="","",$G24*S24)</f>
        <v/>
      </c>
      <c r="U24" s="92"/>
      <c r="V24" s="152" t="str">
        <f t="shared" ref="V24:V51" si="13">IF($S24="","No Quote",IF($U24="","","No Comply"))</f>
        <v>No Quote</v>
      </c>
      <c r="W24" s="153"/>
      <c r="X24" s="44"/>
      <c r="Y24" s="45" t="str">
        <f t="shared" ref="Y24:Y51" si="14">IF($G24="","",$G24*X24)</f>
        <v/>
      </c>
      <c r="Z24" s="93"/>
      <c r="AA24" s="212" t="str">
        <f t="shared" ref="AA24:AA51" si="15">IF($X24="","No Quote",IF($Z24="","","No Comply"))</f>
        <v>No Quote</v>
      </c>
      <c r="AB24" s="309"/>
      <c r="AC24" s="44"/>
      <c r="AD24" s="45" t="str">
        <f t="shared" ref="AD24:AD51" si="16">IF($G24="","",$G24*AC24)</f>
        <v/>
      </c>
      <c r="AE24" s="92"/>
      <c r="AF24" s="152" t="str">
        <f t="shared" ref="AF24:AF51" si="17">IF($AC24="","No Quote",IF($AE24="","","No Comply"))</f>
        <v>No Quote</v>
      </c>
      <c r="AG24" s="153"/>
      <c r="AH24" s="44"/>
      <c r="AI24" s="45" t="str">
        <f t="shared" ref="AI24:AI51" si="18">IF($G24="","",$G24*AH24)</f>
        <v/>
      </c>
      <c r="AJ24" s="92"/>
      <c r="AK24" s="152" t="str">
        <f t="shared" ref="AK24:AK51" si="19">IF($AH24="","No Quote",IF($AJ24="","","No Comply"))</f>
        <v>No Quote</v>
      </c>
      <c r="AL24" s="153"/>
      <c r="AM24" s="44"/>
      <c r="AN24" s="45" t="str">
        <f t="shared" ref="AN24:AN51" si="20">IF($G24="","",$G24*AM24)</f>
        <v/>
      </c>
      <c r="AO24" s="92"/>
      <c r="AP24" s="212" t="str">
        <f t="shared" ref="AP24:AP51" si="21">IF($AM24="","No Quote",IF($AO24="","","No Comply"))</f>
        <v>No Quote</v>
      </c>
      <c r="AQ24" s="213"/>
      <c r="AR24" s="90"/>
      <c r="AS24" s="96"/>
      <c r="AT24" s="66" t="str">
        <f t="shared" ref="AT24:AT51" si="22">IF(AR24="","",$AR24*$G24)</f>
        <v/>
      </c>
      <c r="AU24" s="95"/>
      <c r="AV24" s="95"/>
      <c r="AW24" s="80" t="str">
        <f t="shared" ref="AW24:AW51" si="23">IF(OR(K24="X",J24=""),"-",J24)</f>
        <v>-</v>
      </c>
      <c r="AX24" s="80" t="str">
        <f t="shared" ref="AX24:AX51" si="24">IF(OR(P24="X",O24=""),"-",O24)</f>
        <v>-</v>
      </c>
      <c r="AY24" s="80" t="str">
        <f t="shared" ref="AY24:AY51" si="25">IF(OR(U24="X",T24=""),"-",T24)</f>
        <v>-</v>
      </c>
      <c r="AZ24" s="80" t="str">
        <f t="shared" ref="AZ24:AZ51" si="26">IF(OR(Z24="X",Y24=""),"-",Y24)</f>
        <v>-</v>
      </c>
      <c r="BA24" s="80" t="str">
        <f t="shared" ref="BA24:BA51" si="27">IF(OR(AE24="X",AD24=""),"-",AD24)</f>
        <v>-</v>
      </c>
      <c r="BB24" s="80" t="str">
        <f t="shared" ref="BB24:BB51" si="28">IF(OR(AJ24="X",AI24=""),"-",AI24)</f>
        <v>-</v>
      </c>
      <c r="BC24" s="80" t="str">
        <f t="shared" ref="BC24:BC51" si="29">IF(OR(AO24="X",AN24=""),"-",AN24)</f>
        <v>-</v>
      </c>
      <c r="BD24" s="81" t="str">
        <f t="shared" si="5"/>
        <v/>
      </c>
      <c r="BE24" s="77" t="str">
        <f t="shared" ref="BE24:BE51" si="30">IF(BD24=AW24,$AW$20,IF(BD24=AX24,$AX$20,IF(BD24=AY24,$AY$20,IF(BD24=AZ24,$AZ$20,IF(BD24=BA24,$BA$20,IF(BD24=BB24,$BB$20,IF(BD24=BC24,$BC$20,"")))))))</f>
        <v/>
      </c>
      <c r="BF24" s="75" t="str">
        <f t="shared" si="6"/>
        <v/>
      </c>
      <c r="BG24" s="74" t="str">
        <f t="shared" ref="BG24:BG52" si="31">IFERROR(IF(($BF24-$BD24)/$BD24&lt;0%,"",($BF24-$BD24)/$BD24),"")</f>
        <v/>
      </c>
      <c r="BH24" s="77" t="str">
        <f t="shared" ref="BH24:BH51" si="32">IFERROR(IF(BF24="","",IF(BF24=AW24,$AW$20,IF(BF24=AX24,$AX$20,IF(BF24=AY24,$AY$20,IF(BF24=AZ24,$AZ$20,IF(BF24=BA24,$BA$20,IF(BF24=BB24,$BB$20,IF(BF24=BC24,$BC$20,"")))))))),"")</f>
        <v/>
      </c>
      <c r="BI24" s="75" t="str">
        <f t="shared" si="7"/>
        <v/>
      </c>
      <c r="BJ24" s="74" t="str">
        <f t="shared" ref="BJ24:BJ51" si="33">IFERROR(IF((BI24-$BD24)/$BD24&lt;0%,"",(BI24-$BD24)/$BD24),"")</f>
        <v/>
      </c>
      <c r="BK24" s="77" t="str">
        <f t="shared" ref="BK24:BK51" si="34">IFERROR(IF(BI24="","",IF(BI24=AW24,$AW$20,IF(BI24=AX24,$AX$20,IF(BI24=AY24,$AY$20,IF(BI24=AZ24,$AZ$20,IF(BI24=BA24,$BA$20,IF(BI24=BB24,$BB$20,IF(BI24=BC24,$BC$20,"")))))))),"")</f>
        <v/>
      </c>
      <c r="BM24" s="104">
        <f t="shared" ref="BM24:BM36" si="35">SUMIFS($BD$23:$BD$51,$BE$23:$BE$51,BN24)</f>
        <v>0</v>
      </c>
      <c r="BN24" s="106"/>
    </row>
    <row r="25" spans="2:66" s="1" customFormat="1" ht="61.5" customHeight="1" x14ac:dyDescent="0.25">
      <c r="B25" s="41">
        <f t="shared" ref="B25:B51" si="36">B24+1</f>
        <v>3</v>
      </c>
      <c r="C25" s="218"/>
      <c r="D25" s="218"/>
      <c r="E25" s="218"/>
      <c r="F25" s="218"/>
      <c r="G25" s="42"/>
      <c r="H25" s="43"/>
      <c r="I25" s="44"/>
      <c r="J25" s="45" t="str">
        <f t="shared" si="8"/>
        <v/>
      </c>
      <c r="K25" s="93"/>
      <c r="L25" s="152" t="str">
        <f t="shared" si="9"/>
        <v>No Quote</v>
      </c>
      <c r="M25" s="153"/>
      <c r="N25" s="44"/>
      <c r="O25" s="45" t="str">
        <f t="shared" si="10"/>
        <v/>
      </c>
      <c r="P25" s="93"/>
      <c r="Q25" s="152" t="str">
        <f t="shared" si="11"/>
        <v>No Quote</v>
      </c>
      <c r="R25" s="153"/>
      <c r="S25" s="44"/>
      <c r="T25" s="45" t="str">
        <f t="shared" si="12"/>
        <v/>
      </c>
      <c r="U25" s="92"/>
      <c r="V25" s="152" t="str">
        <f t="shared" si="13"/>
        <v>No Quote</v>
      </c>
      <c r="W25" s="153"/>
      <c r="X25" s="44"/>
      <c r="Y25" s="45" t="str">
        <f t="shared" si="14"/>
        <v/>
      </c>
      <c r="Z25" s="93"/>
      <c r="AA25" s="212" t="str">
        <f t="shared" si="15"/>
        <v>No Quote</v>
      </c>
      <c r="AB25" s="309"/>
      <c r="AC25" s="44"/>
      <c r="AD25" s="45" t="str">
        <f t="shared" si="16"/>
        <v/>
      </c>
      <c r="AE25" s="92"/>
      <c r="AF25" s="152" t="str">
        <f t="shared" si="17"/>
        <v>No Quote</v>
      </c>
      <c r="AG25" s="153"/>
      <c r="AH25" s="44"/>
      <c r="AI25" s="45" t="str">
        <f t="shared" si="18"/>
        <v/>
      </c>
      <c r="AJ25" s="92"/>
      <c r="AK25" s="152" t="str">
        <f t="shared" si="19"/>
        <v>No Quote</v>
      </c>
      <c r="AL25" s="153"/>
      <c r="AM25" s="44"/>
      <c r="AN25" s="45" t="str">
        <f t="shared" si="20"/>
        <v/>
      </c>
      <c r="AO25" s="92"/>
      <c r="AP25" s="212" t="str">
        <f t="shared" si="21"/>
        <v>No Quote</v>
      </c>
      <c r="AQ25" s="213"/>
      <c r="AR25" s="90"/>
      <c r="AS25" s="96"/>
      <c r="AT25" s="66" t="str">
        <f t="shared" si="22"/>
        <v/>
      </c>
      <c r="AU25" s="95"/>
      <c r="AV25" s="95"/>
      <c r="AW25" s="80" t="str">
        <f t="shared" si="23"/>
        <v>-</v>
      </c>
      <c r="AX25" s="80" t="str">
        <f t="shared" si="24"/>
        <v>-</v>
      </c>
      <c r="AY25" s="80" t="str">
        <f t="shared" si="25"/>
        <v>-</v>
      </c>
      <c r="AZ25" s="80" t="str">
        <f t="shared" si="26"/>
        <v>-</v>
      </c>
      <c r="BA25" s="80" t="str">
        <f t="shared" si="27"/>
        <v>-</v>
      </c>
      <c r="BB25" s="80" t="str">
        <f t="shared" si="28"/>
        <v>-</v>
      </c>
      <c r="BC25" s="80" t="str">
        <f t="shared" si="29"/>
        <v>-</v>
      </c>
      <c r="BD25" s="81" t="str">
        <f t="shared" si="5"/>
        <v/>
      </c>
      <c r="BE25" s="77" t="str">
        <f t="shared" si="30"/>
        <v/>
      </c>
      <c r="BF25" s="75" t="str">
        <f t="shared" si="6"/>
        <v/>
      </c>
      <c r="BG25" s="74" t="str">
        <f t="shared" si="31"/>
        <v/>
      </c>
      <c r="BH25" s="77" t="str">
        <f t="shared" si="32"/>
        <v/>
      </c>
      <c r="BI25" s="75" t="str">
        <f t="shared" si="7"/>
        <v/>
      </c>
      <c r="BJ25" s="74" t="str">
        <f t="shared" si="33"/>
        <v/>
      </c>
      <c r="BK25" s="77" t="str">
        <f t="shared" si="34"/>
        <v/>
      </c>
      <c r="BM25" s="104">
        <f t="shared" si="35"/>
        <v>0</v>
      </c>
      <c r="BN25" s="106"/>
    </row>
    <row r="26" spans="2:66" s="1" customFormat="1" ht="61.5" customHeight="1" x14ac:dyDescent="0.25">
      <c r="B26" s="41">
        <f t="shared" si="36"/>
        <v>4</v>
      </c>
      <c r="C26" s="218"/>
      <c r="D26" s="218"/>
      <c r="E26" s="218"/>
      <c r="F26" s="218"/>
      <c r="G26" s="42"/>
      <c r="H26" s="43"/>
      <c r="I26" s="44"/>
      <c r="J26" s="45" t="str">
        <f t="shared" si="8"/>
        <v/>
      </c>
      <c r="K26" s="93"/>
      <c r="L26" s="152" t="str">
        <f t="shared" si="9"/>
        <v>No Quote</v>
      </c>
      <c r="M26" s="153"/>
      <c r="N26" s="44"/>
      <c r="O26" s="45" t="str">
        <f t="shared" si="10"/>
        <v/>
      </c>
      <c r="P26" s="93"/>
      <c r="Q26" s="152" t="str">
        <f t="shared" si="11"/>
        <v>No Quote</v>
      </c>
      <c r="R26" s="153"/>
      <c r="S26" s="44"/>
      <c r="T26" s="45" t="str">
        <f t="shared" si="12"/>
        <v/>
      </c>
      <c r="U26" s="92"/>
      <c r="V26" s="152" t="str">
        <f t="shared" si="13"/>
        <v>No Quote</v>
      </c>
      <c r="W26" s="153"/>
      <c r="X26" s="44"/>
      <c r="Y26" s="45" t="str">
        <f t="shared" si="14"/>
        <v/>
      </c>
      <c r="Z26" s="93"/>
      <c r="AA26" s="212" t="str">
        <f t="shared" si="15"/>
        <v>No Quote</v>
      </c>
      <c r="AB26" s="309"/>
      <c r="AC26" s="44"/>
      <c r="AD26" s="45" t="str">
        <f t="shared" si="16"/>
        <v/>
      </c>
      <c r="AE26" s="92"/>
      <c r="AF26" s="152" t="str">
        <f t="shared" si="17"/>
        <v>No Quote</v>
      </c>
      <c r="AG26" s="153"/>
      <c r="AH26" s="44"/>
      <c r="AI26" s="45" t="str">
        <f t="shared" si="18"/>
        <v/>
      </c>
      <c r="AJ26" s="92"/>
      <c r="AK26" s="152" t="str">
        <f t="shared" si="19"/>
        <v>No Quote</v>
      </c>
      <c r="AL26" s="153"/>
      <c r="AM26" s="44"/>
      <c r="AN26" s="45" t="str">
        <f t="shared" si="20"/>
        <v/>
      </c>
      <c r="AO26" s="92"/>
      <c r="AP26" s="212" t="str">
        <f t="shared" si="21"/>
        <v>No Quote</v>
      </c>
      <c r="AQ26" s="213"/>
      <c r="AR26" s="90"/>
      <c r="AS26" s="96"/>
      <c r="AT26" s="66" t="str">
        <f t="shared" si="22"/>
        <v/>
      </c>
      <c r="AU26" s="95"/>
      <c r="AV26" s="95"/>
      <c r="AW26" s="80" t="str">
        <f t="shared" si="23"/>
        <v>-</v>
      </c>
      <c r="AX26" s="80" t="str">
        <f t="shared" si="24"/>
        <v>-</v>
      </c>
      <c r="AY26" s="80" t="str">
        <f t="shared" si="25"/>
        <v>-</v>
      </c>
      <c r="AZ26" s="80" t="str">
        <f t="shared" si="26"/>
        <v>-</v>
      </c>
      <c r="BA26" s="80" t="str">
        <f t="shared" si="27"/>
        <v>-</v>
      </c>
      <c r="BB26" s="80" t="str">
        <f t="shared" si="28"/>
        <v>-</v>
      </c>
      <c r="BC26" s="80" t="str">
        <f t="shared" si="29"/>
        <v>-</v>
      </c>
      <c r="BD26" s="81" t="str">
        <f t="shared" si="5"/>
        <v/>
      </c>
      <c r="BE26" s="77" t="str">
        <f t="shared" si="30"/>
        <v/>
      </c>
      <c r="BF26" s="75" t="str">
        <f t="shared" si="6"/>
        <v/>
      </c>
      <c r="BG26" s="74" t="str">
        <f t="shared" si="31"/>
        <v/>
      </c>
      <c r="BH26" s="77" t="str">
        <f t="shared" si="32"/>
        <v/>
      </c>
      <c r="BI26" s="75" t="str">
        <f t="shared" si="7"/>
        <v/>
      </c>
      <c r="BJ26" s="74" t="str">
        <f t="shared" si="33"/>
        <v/>
      </c>
      <c r="BK26" s="77" t="str">
        <f t="shared" si="34"/>
        <v/>
      </c>
      <c r="BM26" s="104">
        <f t="shared" si="35"/>
        <v>0</v>
      </c>
      <c r="BN26" s="106"/>
    </row>
    <row r="27" spans="2:66" s="1" customFormat="1" ht="61.5" customHeight="1" x14ac:dyDescent="0.25">
      <c r="B27" s="41">
        <f t="shared" si="36"/>
        <v>5</v>
      </c>
      <c r="C27" s="218"/>
      <c r="D27" s="218"/>
      <c r="E27" s="218"/>
      <c r="F27" s="218"/>
      <c r="G27" s="42"/>
      <c r="H27" s="43"/>
      <c r="I27" s="44"/>
      <c r="J27" s="45" t="str">
        <f t="shared" si="8"/>
        <v/>
      </c>
      <c r="K27" s="93"/>
      <c r="L27" s="152" t="str">
        <f t="shared" si="9"/>
        <v>No Quote</v>
      </c>
      <c r="M27" s="153"/>
      <c r="N27" s="44"/>
      <c r="O27" s="45" t="str">
        <f t="shared" si="10"/>
        <v/>
      </c>
      <c r="P27" s="93"/>
      <c r="Q27" s="152" t="str">
        <f t="shared" si="11"/>
        <v>No Quote</v>
      </c>
      <c r="R27" s="153"/>
      <c r="S27" s="44"/>
      <c r="T27" s="45" t="str">
        <f t="shared" si="12"/>
        <v/>
      </c>
      <c r="U27" s="92"/>
      <c r="V27" s="152" t="str">
        <f t="shared" si="13"/>
        <v>No Quote</v>
      </c>
      <c r="W27" s="153"/>
      <c r="X27" s="44"/>
      <c r="Y27" s="45" t="str">
        <f t="shared" si="14"/>
        <v/>
      </c>
      <c r="Z27" s="93"/>
      <c r="AA27" s="212" t="str">
        <f t="shared" si="15"/>
        <v>No Quote</v>
      </c>
      <c r="AB27" s="309"/>
      <c r="AC27" s="44"/>
      <c r="AD27" s="45" t="str">
        <f t="shared" si="16"/>
        <v/>
      </c>
      <c r="AE27" s="92"/>
      <c r="AF27" s="152" t="str">
        <f t="shared" si="17"/>
        <v>No Quote</v>
      </c>
      <c r="AG27" s="153"/>
      <c r="AH27" s="44"/>
      <c r="AI27" s="45" t="str">
        <f t="shared" si="18"/>
        <v/>
      </c>
      <c r="AJ27" s="92"/>
      <c r="AK27" s="152" t="str">
        <f t="shared" si="19"/>
        <v>No Quote</v>
      </c>
      <c r="AL27" s="153"/>
      <c r="AM27" s="44"/>
      <c r="AN27" s="45" t="str">
        <f t="shared" si="20"/>
        <v/>
      </c>
      <c r="AO27" s="92"/>
      <c r="AP27" s="212" t="str">
        <f t="shared" si="21"/>
        <v>No Quote</v>
      </c>
      <c r="AQ27" s="213"/>
      <c r="AR27" s="90"/>
      <c r="AS27" s="96"/>
      <c r="AT27" s="66" t="str">
        <f t="shared" si="22"/>
        <v/>
      </c>
      <c r="AU27" s="95"/>
      <c r="AV27" s="95"/>
      <c r="AW27" s="80" t="str">
        <f t="shared" si="23"/>
        <v>-</v>
      </c>
      <c r="AX27" s="80" t="str">
        <f t="shared" si="24"/>
        <v>-</v>
      </c>
      <c r="AY27" s="80" t="str">
        <f t="shared" si="25"/>
        <v>-</v>
      </c>
      <c r="AZ27" s="80" t="str">
        <f t="shared" si="26"/>
        <v>-</v>
      </c>
      <c r="BA27" s="80" t="str">
        <f t="shared" si="27"/>
        <v>-</v>
      </c>
      <c r="BB27" s="80" t="str">
        <f t="shared" si="28"/>
        <v>-</v>
      </c>
      <c r="BC27" s="80" t="str">
        <f t="shared" si="29"/>
        <v>-</v>
      </c>
      <c r="BD27" s="81" t="str">
        <f t="shared" si="5"/>
        <v/>
      </c>
      <c r="BE27" s="77" t="str">
        <f t="shared" si="30"/>
        <v/>
      </c>
      <c r="BF27" s="75" t="str">
        <f t="shared" si="6"/>
        <v/>
      </c>
      <c r="BG27" s="74" t="str">
        <f t="shared" si="31"/>
        <v/>
      </c>
      <c r="BH27" s="77" t="str">
        <f t="shared" si="32"/>
        <v/>
      </c>
      <c r="BI27" s="75" t="str">
        <f t="shared" si="7"/>
        <v/>
      </c>
      <c r="BJ27" s="74" t="str">
        <f t="shared" si="33"/>
        <v/>
      </c>
      <c r="BK27" s="77" t="str">
        <f t="shared" si="34"/>
        <v/>
      </c>
      <c r="BM27" s="104">
        <f t="shared" si="35"/>
        <v>0</v>
      </c>
      <c r="BN27" s="106"/>
    </row>
    <row r="28" spans="2:66" s="1" customFormat="1" ht="61.5" customHeight="1" outlineLevel="1" x14ac:dyDescent="0.25">
      <c r="B28" s="41">
        <f t="shared" si="36"/>
        <v>6</v>
      </c>
      <c r="C28" s="218"/>
      <c r="D28" s="218"/>
      <c r="E28" s="218"/>
      <c r="F28" s="218"/>
      <c r="G28" s="42"/>
      <c r="H28" s="43"/>
      <c r="I28" s="44"/>
      <c r="J28" s="45" t="str">
        <f t="shared" si="8"/>
        <v/>
      </c>
      <c r="K28" s="93"/>
      <c r="L28" s="152" t="str">
        <f t="shared" si="9"/>
        <v>No Quote</v>
      </c>
      <c r="M28" s="153"/>
      <c r="N28" s="44"/>
      <c r="O28" s="45" t="str">
        <f t="shared" si="10"/>
        <v/>
      </c>
      <c r="P28" s="93"/>
      <c r="Q28" s="152" t="str">
        <f t="shared" si="11"/>
        <v>No Quote</v>
      </c>
      <c r="R28" s="153"/>
      <c r="S28" s="44"/>
      <c r="T28" s="45" t="str">
        <f t="shared" si="12"/>
        <v/>
      </c>
      <c r="U28" s="92"/>
      <c r="V28" s="152" t="str">
        <f t="shared" si="13"/>
        <v>No Quote</v>
      </c>
      <c r="W28" s="153"/>
      <c r="X28" s="44"/>
      <c r="Y28" s="45" t="str">
        <f t="shared" si="14"/>
        <v/>
      </c>
      <c r="Z28" s="93"/>
      <c r="AA28" s="212" t="str">
        <f t="shared" si="15"/>
        <v>No Quote</v>
      </c>
      <c r="AB28" s="309"/>
      <c r="AC28" s="44"/>
      <c r="AD28" s="45" t="str">
        <f t="shared" si="16"/>
        <v/>
      </c>
      <c r="AE28" s="92"/>
      <c r="AF28" s="152" t="str">
        <f t="shared" si="17"/>
        <v>No Quote</v>
      </c>
      <c r="AG28" s="153"/>
      <c r="AH28" s="44"/>
      <c r="AI28" s="45" t="str">
        <f t="shared" si="18"/>
        <v/>
      </c>
      <c r="AJ28" s="92"/>
      <c r="AK28" s="152" t="str">
        <f t="shared" si="19"/>
        <v>No Quote</v>
      </c>
      <c r="AL28" s="153"/>
      <c r="AM28" s="44"/>
      <c r="AN28" s="45" t="str">
        <f t="shared" si="20"/>
        <v/>
      </c>
      <c r="AO28" s="92"/>
      <c r="AP28" s="212" t="str">
        <f t="shared" si="21"/>
        <v>No Quote</v>
      </c>
      <c r="AQ28" s="213"/>
      <c r="AR28" s="90"/>
      <c r="AS28" s="96"/>
      <c r="AT28" s="66" t="str">
        <f t="shared" si="22"/>
        <v/>
      </c>
      <c r="AU28" s="95"/>
      <c r="AV28" s="95"/>
      <c r="AW28" s="80" t="str">
        <f t="shared" si="23"/>
        <v>-</v>
      </c>
      <c r="AX28" s="80" t="str">
        <f t="shared" si="24"/>
        <v>-</v>
      </c>
      <c r="AY28" s="80" t="str">
        <f t="shared" si="25"/>
        <v>-</v>
      </c>
      <c r="AZ28" s="80" t="str">
        <f t="shared" si="26"/>
        <v>-</v>
      </c>
      <c r="BA28" s="80" t="str">
        <f t="shared" si="27"/>
        <v>-</v>
      </c>
      <c r="BB28" s="80" t="str">
        <f t="shared" si="28"/>
        <v>-</v>
      </c>
      <c r="BC28" s="80" t="str">
        <f t="shared" si="29"/>
        <v>-</v>
      </c>
      <c r="BD28" s="81" t="str">
        <f t="shared" si="5"/>
        <v/>
      </c>
      <c r="BE28" s="77" t="str">
        <f t="shared" si="30"/>
        <v/>
      </c>
      <c r="BF28" s="75" t="str">
        <f t="shared" si="6"/>
        <v/>
      </c>
      <c r="BG28" s="74" t="str">
        <f t="shared" si="31"/>
        <v/>
      </c>
      <c r="BH28" s="77" t="str">
        <f t="shared" si="32"/>
        <v/>
      </c>
      <c r="BI28" s="75" t="str">
        <f t="shared" si="7"/>
        <v/>
      </c>
      <c r="BJ28" s="74" t="str">
        <f t="shared" si="33"/>
        <v/>
      </c>
      <c r="BK28" s="77" t="str">
        <f t="shared" si="34"/>
        <v/>
      </c>
      <c r="BM28" s="104">
        <f t="shared" si="35"/>
        <v>0</v>
      </c>
      <c r="BN28" s="106"/>
    </row>
    <row r="29" spans="2:66" s="1" customFormat="1" ht="61.5" customHeight="1" outlineLevel="1" x14ac:dyDescent="0.25">
      <c r="B29" s="41">
        <f t="shared" si="36"/>
        <v>7</v>
      </c>
      <c r="C29" s="218"/>
      <c r="D29" s="218"/>
      <c r="E29" s="218"/>
      <c r="F29" s="218"/>
      <c r="G29" s="42"/>
      <c r="H29" s="43"/>
      <c r="I29" s="44"/>
      <c r="J29" s="45" t="str">
        <f t="shared" si="8"/>
        <v/>
      </c>
      <c r="K29" s="93"/>
      <c r="L29" s="152" t="str">
        <f t="shared" si="9"/>
        <v>No Quote</v>
      </c>
      <c r="M29" s="153"/>
      <c r="N29" s="44"/>
      <c r="O29" s="45" t="str">
        <f t="shared" si="10"/>
        <v/>
      </c>
      <c r="P29" s="93"/>
      <c r="Q29" s="152" t="str">
        <f t="shared" si="11"/>
        <v>No Quote</v>
      </c>
      <c r="R29" s="153"/>
      <c r="S29" s="44"/>
      <c r="T29" s="45" t="str">
        <f t="shared" si="12"/>
        <v/>
      </c>
      <c r="U29" s="92"/>
      <c r="V29" s="152" t="str">
        <f t="shared" si="13"/>
        <v>No Quote</v>
      </c>
      <c r="W29" s="153"/>
      <c r="X29" s="44"/>
      <c r="Y29" s="45" t="str">
        <f t="shared" si="14"/>
        <v/>
      </c>
      <c r="Z29" s="93"/>
      <c r="AA29" s="212" t="str">
        <f t="shared" si="15"/>
        <v>No Quote</v>
      </c>
      <c r="AB29" s="309"/>
      <c r="AC29" s="44"/>
      <c r="AD29" s="45" t="str">
        <f t="shared" si="16"/>
        <v/>
      </c>
      <c r="AE29" s="92"/>
      <c r="AF29" s="152" t="str">
        <f t="shared" si="17"/>
        <v>No Quote</v>
      </c>
      <c r="AG29" s="153"/>
      <c r="AH29" s="44"/>
      <c r="AI29" s="45" t="str">
        <f t="shared" si="18"/>
        <v/>
      </c>
      <c r="AJ29" s="92"/>
      <c r="AK29" s="152" t="str">
        <f t="shared" si="19"/>
        <v>No Quote</v>
      </c>
      <c r="AL29" s="153"/>
      <c r="AM29" s="44"/>
      <c r="AN29" s="45" t="str">
        <f t="shared" si="20"/>
        <v/>
      </c>
      <c r="AO29" s="92"/>
      <c r="AP29" s="212" t="str">
        <f t="shared" si="21"/>
        <v>No Quote</v>
      </c>
      <c r="AQ29" s="213"/>
      <c r="AR29" s="90"/>
      <c r="AS29" s="96"/>
      <c r="AT29" s="66" t="str">
        <f t="shared" si="22"/>
        <v/>
      </c>
      <c r="AU29" s="95"/>
      <c r="AV29" s="95"/>
      <c r="AW29" s="80" t="str">
        <f t="shared" si="23"/>
        <v>-</v>
      </c>
      <c r="AX29" s="80" t="str">
        <f t="shared" si="24"/>
        <v>-</v>
      </c>
      <c r="AY29" s="80" t="str">
        <f t="shared" si="25"/>
        <v>-</v>
      </c>
      <c r="AZ29" s="80" t="str">
        <f t="shared" si="26"/>
        <v>-</v>
      </c>
      <c r="BA29" s="80" t="str">
        <f t="shared" si="27"/>
        <v>-</v>
      </c>
      <c r="BB29" s="80" t="str">
        <f t="shared" si="28"/>
        <v>-</v>
      </c>
      <c r="BC29" s="80" t="str">
        <f t="shared" si="29"/>
        <v>-</v>
      </c>
      <c r="BD29" s="81" t="str">
        <f t="shared" si="5"/>
        <v/>
      </c>
      <c r="BE29" s="77" t="str">
        <f t="shared" si="30"/>
        <v/>
      </c>
      <c r="BF29" s="75" t="str">
        <f t="shared" si="6"/>
        <v/>
      </c>
      <c r="BG29" s="74" t="str">
        <f t="shared" si="31"/>
        <v/>
      </c>
      <c r="BH29" s="77" t="str">
        <f t="shared" si="32"/>
        <v/>
      </c>
      <c r="BI29" s="75" t="str">
        <f t="shared" si="7"/>
        <v/>
      </c>
      <c r="BJ29" s="74" t="str">
        <f t="shared" si="33"/>
        <v/>
      </c>
      <c r="BK29" s="77" t="str">
        <f t="shared" si="34"/>
        <v/>
      </c>
      <c r="BM29" s="104">
        <f t="shared" si="35"/>
        <v>0</v>
      </c>
      <c r="BN29" s="106"/>
    </row>
    <row r="30" spans="2:66" s="1" customFormat="1" ht="61.5" customHeight="1" outlineLevel="1" x14ac:dyDescent="0.25">
      <c r="B30" s="41">
        <f t="shared" si="36"/>
        <v>8</v>
      </c>
      <c r="C30" s="218"/>
      <c r="D30" s="218"/>
      <c r="E30" s="218"/>
      <c r="F30" s="218"/>
      <c r="G30" s="42"/>
      <c r="H30" s="43"/>
      <c r="I30" s="44"/>
      <c r="J30" s="45" t="str">
        <f t="shared" si="8"/>
        <v/>
      </c>
      <c r="K30" s="93"/>
      <c r="L30" s="152" t="str">
        <f t="shared" si="9"/>
        <v>No Quote</v>
      </c>
      <c r="M30" s="153"/>
      <c r="N30" s="44"/>
      <c r="O30" s="45" t="str">
        <f t="shared" si="10"/>
        <v/>
      </c>
      <c r="P30" s="93"/>
      <c r="Q30" s="152" t="str">
        <f t="shared" si="11"/>
        <v>No Quote</v>
      </c>
      <c r="R30" s="153"/>
      <c r="S30" s="44"/>
      <c r="T30" s="45" t="str">
        <f t="shared" si="12"/>
        <v/>
      </c>
      <c r="U30" s="92"/>
      <c r="V30" s="152" t="str">
        <f t="shared" si="13"/>
        <v>No Quote</v>
      </c>
      <c r="W30" s="153"/>
      <c r="X30" s="44"/>
      <c r="Y30" s="45" t="str">
        <f t="shared" si="14"/>
        <v/>
      </c>
      <c r="Z30" s="93"/>
      <c r="AA30" s="212" t="str">
        <f t="shared" si="15"/>
        <v>No Quote</v>
      </c>
      <c r="AB30" s="309"/>
      <c r="AC30" s="44"/>
      <c r="AD30" s="45" t="str">
        <f t="shared" si="16"/>
        <v/>
      </c>
      <c r="AE30" s="92"/>
      <c r="AF30" s="152" t="str">
        <f t="shared" si="17"/>
        <v>No Quote</v>
      </c>
      <c r="AG30" s="153"/>
      <c r="AH30" s="44"/>
      <c r="AI30" s="45" t="str">
        <f t="shared" si="18"/>
        <v/>
      </c>
      <c r="AJ30" s="92"/>
      <c r="AK30" s="152" t="str">
        <f t="shared" si="19"/>
        <v>No Quote</v>
      </c>
      <c r="AL30" s="153"/>
      <c r="AM30" s="44"/>
      <c r="AN30" s="45" t="str">
        <f t="shared" si="20"/>
        <v/>
      </c>
      <c r="AO30" s="92"/>
      <c r="AP30" s="212" t="str">
        <f t="shared" si="21"/>
        <v>No Quote</v>
      </c>
      <c r="AQ30" s="213"/>
      <c r="AR30" s="90"/>
      <c r="AS30" s="96"/>
      <c r="AT30" s="66" t="str">
        <f t="shared" si="22"/>
        <v/>
      </c>
      <c r="AU30" s="95"/>
      <c r="AV30" s="95"/>
      <c r="AW30" s="80" t="str">
        <f t="shared" si="23"/>
        <v>-</v>
      </c>
      <c r="AX30" s="80" t="str">
        <f t="shared" si="24"/>
        <v>-</v>
      </c>
      <c r="AY30" s="80" t="str">
        <f t="shared" si="25"/>
        <v>-</v>
      </c>
      <c r="AZ30" s="80" t="str">
        <f t="shared" si="26"/>
        <v>-</v>
      </c>
      <c r="BA30" s="80" t="str">
        <f t="shared" si="27"/>
        <v>-</v>
      </c>
      <c r="BB30" s="80" t="str">
        <f t="shared" si="28"/>
        <v>-</v>
      </c>
      <c r="BC30" s="80" t="str">
        <f t="shared" si="29"/>
        <v>-</v>
      </c>
      <c r="BD30" s="81" t="str">
        <f t="shared" si="5"/>
        <v/>
      </c>
      <c r="BE30" s="77" t="str">
        <f t="shared" si="30"/>
        <v/>
      </c>
      <c r="BF30" s="75" t="str">
        <f t="shared" si="6"/>
        <v/>
      </c>
      <c r="BG30" s="74" t="str">
        <f t="shared" si="31"/>
        <v/>
      </c>
      <c r="BH30" s="77" t="str">
        <f t="shared" si="32"/>
        <v/>
      </c>
      <c r="BI30" s="75" t="str">
        <f t="shared" si="7"/>
        <v/>
      </c>
      <c r="BJ30" s="74" t="str">
        <f t="shared" si="33"/>
        <v/>
      </c>
      <c r="BK30" s="77" t="str">
        <f t="shared" si="34"/>
        <v/>
      </c>
      <c r="BM30" s="104">
        <f t="shared" si="35"/>
        <v>0</v>
      </c>
      <c r="BN30" s="106"/>
    </row>
    <row r="31" spans="2:66" s="1" customFormat="1" ht="61.5" customHeight="1" outlineLevel="1" x14ac:dyDescent="0.25">
      <c r="B31" s="41">
        <f t="shared" si="36"/>
        <v>9</v>
      </c>
      <c r="C31" s="218"/>
      <c r="D31" s="218"/>
      <c r="E31" s="218"/>
      <c r="F31" s="218"/>
      <c r="G31" s="42"/>
      <c r="H31" s="43"/>
      <c r="I31" s="44"/>
      <c r="J31" s="45" t="str">
        <f t="shared" si="8"/>
        <v/>
      </c>
      <c r="K31" s="93"/>
      <c r="L31" s="152" t="str">
        <f t="shared" si="9"/>
        <v>No Quote</v>
      </c>
      <c r="M31" s="153"/>
      <c r="N31" s="44"/>
      <c r="O31" s="45" t="str">
        <f t="shared" si="10"/>
        <v/>
      </c>
      <c r="P31" s="93"/>
      <c r="Q31" s="152" t="str">
        <f t="shared" si="11"/>
        <v>No Quote</v>
      </c>
      <c r="R31" s="153"/>
      <c r="S31" s="44"/>
      <c r="T31" s="45" t="str">
        <f t="shared" si="12"/>
        <v/>
      </c>
      <c r="U31" s="92"/>
      <c r="V31" s="152" t="str">
        <f t="shared" si="13"/>
        <v>No Quote</v>
      </c>
      <c r="W31" s="153"/>
      <c r="X31" s="44"/>
      <c r="Y31" s="45" t="str">
        <f t="shared" si="14"/>
        <v/>
      </c>
      <c r="Z31" s="93"/>
      <c r="AA31" s="212" t="str">
        <f t="shared" si="15"/>
        <v>No Quote</v>
      </c>
      <c r="AB31" s="309"/>
      <c r="AC31" s="44"/>
      <c r="AD31" s="45" t="str">
        <f t="shared" si="16"/>
        <v/>
      </c>
      <c r="AE31" s="92"/>
      <c r="AF31" s="152" t="str">
        <f t="shared" si="17"/>
        <v>No Quote</v>
      </c>
      <c r="AG31" s="153"/>
      <c r="AH31" s="44"/>
      <c r="AI31" s="45" t="str">
        <f t="shared" si="18"/>
        <v/>
      </c>
      <c r="AJ31" s="92"/>
      <c r="AK31" s="152" t="str">
        <f t="shared" si="19"/>
        <v>No Quote</v>
      </c>
      <c r="AL31" s="153"/>
      <c r="AM31" s="44"/>
      <c r="AN31" s="45" t="str">
        <f t="shared" si="20"/>
        <v/>
      </c>
      <c r="AO31" s="92"/>
      <c r="AP31" s="212" t="str">
        <f t="shared" si="21"/>
        <v>No Quote</v>
      </c>
      <c r="AQ31" s="213"/>
      <c r="AR31" s="90"/>
      <c r="AS31" s="96"/>
      <c r="AT31" s="66" t="str">
        <f t="shared" si="22"/>
        <v/>
      </c>
      <c r="AU31" s="95"/>
      <c r="AV31" s="95"/>
      <c r="AW31" s="80" t="str">
        <f t="shared" si="23"/>
        <v>-</v>
      </c>
      <c r="AX31" s="80" t="str">
        <f t="shared" si="24"/>
        <v>-</v>
      </c>
      <c r="AY31" s="80" t="str">
        <f t="shared" si="25"/>
        <v>-</v>
      </c>
      <c r="AZ31" s="80" t="str">
        <f t="shared" si="26"/>
        <v>-</v>
      </c>
      <c r="BA31" s="80" t="str">
        <f t="shared" si="27"/>
        <v>-</v>
      </c>
      <c r="BB31" s="80" t="str">
        <f t="shared" si="28"/>
        <v>-</v>
      </c>
      <c r="BC31" s="80" t="str">
        <f t="shared" si="29"/>
        <v>-</v>
      </c>
      <c r="BD31" s="81" t="str">
        <f t="shared" si="5"/>
        <v/>
      </c>
      <c r="BE31" s="77" t="str">
        <f t="shared" si="30"/>
        <v/>
      </c>
      <c r="BF31" s="75" t="str">
        <f t="shared" si="6"/>
        <v/>
      </c>
      <c r="BG31" s="74" t="str">
        <f t="shared" si="31"/>
        <v/>
      </c>
      <c r="BH31" s="77" t="str">
        <f t="shared" si="32"/>
        <v/>
      </c>
      <c r="BI31" s="75" t="str">
        <f t="shared" si="7"/>
        <v/>
      </c>
      <c r="BJ31" s="74" t="str">
        <f t="shared" si="33"/>
        <v/>
      </c>
      <c r="BK31" s="77" t="str">
        <f t="shared" si="34"/>
        <v/>
      </c>
      <c r="BM31" s="104">
        <f t="shared" si="35"/>
        <v>0</v>
      </c>
      <c r="BN31" s="106"/>
    </row>
    <row r="32" spans="2:66" s="1" customFormat="1" ht="61.5" customHeight="1" outlineLevel="1" x14ac:dyDescent="0.25">
      <c r="B32" s="41">
        <f t="shared" si="36"/>
        <v>10</v>
      </c>
      <c r="C32" s="218"/>
      <c r="D32" s="218"/>
      <c r="E32" s="218"/>
      <c r="F32" s="218"/>
      <c r="G32" s="42"/>
      <c r="H32" s="43"/>
      <c r="I32" s="44"/>
      <c r="J32" s="45" t="str">
        <f t="shared" si="8"/>
        <v/>
      </c>
      <c r="K32" s="93"/>
      <c r="L32" s="152" t="str">
        <f t="shared" si="9"/>
        <v>No Quote</v>
      </c>
      <c r="M32" s="153"/>
      <c r="N32" s="44"/>
      <c r="O32" s="45" t="str">
        <f t="shared" si="10"/>
        <v/>
      </c>
      <c r="P32" s="93"/>
      <c r="Q32" s="152" t="str">
        <f t="shared" si="11"/>
        <v>No Quote</v>
      </c>
      <c r="R32" s="153"/>
      <c r="S32" s="44"/>
      <c r="T32" s="45" t="str">
        <f t="shared" si="12"/>
        <v/>
      </c>
      <c r="U32" s="92"/>
      <c r="V32" s="152" t="str">
        <f t="shared" si="13"/>
        <v>No Quote</v>
      </c>
      <c r="W32" s="153"/>
      <c r="X32" s="44"/>
      <c r="Y32" s="45" t="str">
        <f t="shared" si="14"/>
        <v/>
      </c>
      <c r="Z32" s="93"/>
      <c r="AA32" s="212" t="str">
        <f t="shared" si="15"/>
        <v>No Quote</v>
      </c>
      <c r="AB32" s="309"/>
      <c r="AC32" s="44"/>
      <c r="AD32" s="45" t="str">
        <f t="shared" si="16"/>
        <v/>
      </c>
      <c r="AE32" s="92"/>
      <c r="AF32" s="152" t="str">
        <f t="shared" si="17"/>
        <v>No Quote</v>
      </c>
      <c r="AG32" s="153"/>
      <c r="AH32" s="44"/>
      <c r="AI32" s="45" t="str">
        <f t="shared" si="18"/>
        <v/>
      </c>
      <c r="AJ32" s="92"/>
      <c r="AK32" s="152" t="str">
        <f t="shared" si="19"/>
        <v>No Quote</v>
      </c>
      <c r="AL32" s="153"/>
      <c r="AM32" s="44"/>
      <c r="AN32" s="45" t="str">
        <f t="shared" si="20"/>
        <v/>
      </c>
      <c r="AO32" s="92"/>
      <c r="AP32" s="212" t="str">
        <f t="shared" si="21"/>
        <v>No Quote</v>
      </c>
      <c r="AQ32" s="213"/>
      <c r="AR32" s="90"/>
      <c r="AS32" s="96"/>
      <c r="AT32" s="66" t="str">
        <f t="shared" si="22"/>
        <v/>
      </c>
      <c r="AU32" s="95"/>
      <c r="AV32" s="95"/>
      <c r="AW32" s="80" t="str">
        <f t="shared" si="23"/>
        <v>-</v>
      </c>
      <c r="AX32" s="80" t="str">
        <f t="shared" si="24"/>
        <v>-</v>
      </c>
      <c r="AY32" s="80" t="str">
        <f t="shared" si="25"/>
        <v>-</v>
      </c>
      <c r="AZ32" s="80" t="str">
        <f t="shared" si="26"/>
        <v>-</v>
      </c>
      <c r="BA32" s="80" t="str">
        <f t="shared" si="27"/>
        <v>-</v>
      </c>
      <c r="BB32" s="80" t="str">
        <f t="shared" si="28"/>
        <v>-</v>
      </c>
      <c r="BC32" s="80" t="str">
        <f t="shared" si="29"/>
        <v>-</v>
      </c>
      <c r="BD32" s="81" t="str">
        <f t="shared" si="5"/>
        <v/>
      </c>
      <c r="BE32" s="77" t="str">
        <f t="shared" si="30"/>
        <v/>
      </c>
      <c r="BF32" s="75" t="str">
        <f t="shared" si="6"/>
        <v/>
      </c>
      <c r="BG32" s="74" t="str">
        <f t="shared" si="31"/>
        <v/>
      </c>
      <c r="BH32" s="77" t="str">
        <f t="shared" si="32"/>
        <v/>
      </c>
      <c r="BI32" s="75" t="str">
        <f t="shared" si="7"/>
        <v/>
      </c>
      <c r="BJ32" s="74" t="str">
        <f t="shared" si="33"/>
        <v/>
      </c>
      <c r="BK32" s="77" t="str">
        <f t="shared" si="34"/>
        <v/>
      </c>
      <c r="BM32" s="104">
        <f t="shared" si="35"/>
        <v>0</v>
      </c>
      <c r="BN32" s="106"/>
    </row>
    <row r="33" spans="2:66" s="1" customFormat="1" ht="61.5" customHeight="1" outlineLevel="1" x14ac:dyDescent="0.25">
      <c r="B33" s="41">
        <f t="shared" si="36"/>
        <v>11</v>
      </c>
      <c r="C33" s="218"/>
      <c r="D33" s="218"/>
      <c r="E33" s="218"/>
      <c r="F33" s="218"/>
      <c r="G33" s="42"/>
      <c r="H33" s="43"/>
      <c r="I33" s="44"/>
      <c r="J33" s="45" t="str">
        <f t="shared" si="8"/>
        <v/>
      </c>
      <c r="K33" s="93"/>
      <c r="L33" s="152" t="str">
        <f t="shared" si="9"/>
        <v>No Quote</v>
      </c>
      <c r="M33" s="153"/>
      <c r="N33" s="44"/>
      <c r="O33" s="45" t="str">
        <f t="shared" si="10"/>
        <v/>
      </c>
      <c r="P33" s="93"/>
      <c r="Q33" s="152" t="str">
        <f t="shared" si="11"/>
        <v>No Quote</v>
      </c>
      <c r="R33" s="153"/>
      <c r="S33" s="44"/>
      <c r="T33" s="45" t="str">
        <f t="shared" si="12"/>
        <v/>
      </c>
      <c r="U33" s="92"/>
      <c r="V33" s="152" t="str">
        <f t="shared" si="13"/>
        <v>No Quote</v>
      </c>
      <c r="W33" s="153"/>
      <c r="X33" s="44"/>
      <c r="Y33" s="45" t="str">
        <f t="shared" si="14"/>
        <v/>
      </c>
      <c r="Z33" s="93"/>
      <c r="AA33" s="212" t="str">
        <f t="shared" si="15"/>
        <v>No Quote</v>
      </c>
      <c r="AB33" s="309"/>
      <c r="AC33" s="44"/>
      <c r="AD33" s="45" t="str">
        <f t="shared" si="16"/>
        <v/>
      </c>
      <c r="AE33" s="92"/>
      <c r="AF33" s="152" t="str">
        <f t="shared" si="17"/>
        <v>No Quote</v>
      </c>
      <c r="AG33" s="153"/>
      <c r="AH33" s="44"/>
      <c r="AI33" s="45" t="str">
        <f t="shared" si="18"/>
        <v/>
      </c>
      <c r="AJ33" s="92"/>
      <c r="AK33" s="152" t="str">
        <f t="shared" si="19"/>
        <v>No Quote</v>
      </c>
      <c r="AL33" s="153"/>
      <c r="AM33" s="44"/>
      <c r="AN33" s="45" t="str">
        <f t="shared" si="20"/>
        <v/>
      </c>
      <c r="AO33" s="92"/>
      <c r="AP33" s="212" t="str">
        <f t="shared" si="21"/>
        <v>No Quote</v>
      </c>
      <c r="AQ33" s="213"/>
      <c r="AR33" s="90"/>
      <c r="AS33" s="96"/>
      <c r="AT33" s="66" t="str">
        <f t="shared" si="22"/>
        <v/>
      </c>
      <c r="AU33" s="95"/>
      <c r="AV33" s="95"/>
      <c r="AW33" s="80" t="str">
        <f t="shared" si="23"/>
        <v>-</v>
      </c>
      <c r="AX33" s="80" t="str">
        <f t="shared" si="24"/>
        <v>-</v>
      </c>
      <c r="AY33" s="80" t="str">
        <f t="shared" si="25"/>
        <v>-</v>
      </c>
      <c r="AZ33" s="80" t="str">
        <f t="shared" si="26"/>
        <v>-</v>
      </c>
      <c r="BA33" s="80" t="str">
        <f t="shared" si="27"/>
        <v>-</v>
      </c>
      <c r="BB33" s="80" t="str">
        <f t="shared" si="28"/>
        <v>-</v>
      </c>
      <c r="BC33" s="80" t="str">
        <f t="shared" si="29"/>
        <v>-</v>
      </c>
      <c r="BD33" s="81" t="str">
        <f t="shared" si="5"/>
        <v/>
      </c>
      <c r="BE33" s="77" t="str">
        <f t="shared" si="30"/>
        <v/>
      </c>
      <c r="BF33" s="75" t="str">
        <f t="shared" si="6"/>
        <v/>
      </c>
      <c r="BG33" s="74" t="str">
        <f t="shared" si="31"/>
        <v/>
      </c>
      <c r="BH33" s="77" t="str">
        <f t="shared" si="32"/>
        <v/>
      </c>
      <c r="BI33" s="75" t="str">
        <f t="shared" si="7"/>
        <v/>
      </c>
      <c r="BJ33" s="74" t="str">
        <f t="shared" si="33"/>
        <v/>
      </c>
      <c r="BK33" s="77" t="str">
        <f t="shared" si="34"/>
        <v/>
      </c>
      <c r="BM33" s="104">
        <f t="shared" si="35"/>
        <v>0</v>
      </c>
      <c r="BN33" s="106"/>
    </row>
    <row r="34" spans="2:66" s="1" customFormat="1" ht="61.5" customHeight="1" outlineLevel="1" x14ac:dyDescent="0.25">
      <c r="B34" s="41">
        <f t="shared" si="36"/>
        <v>12</v>
      </c>
      <c r="C34" s="218"/>
      <c r="D34" s="218"/>
      <c r="E34" s="218"/>
      <c r="F34" s="218"/>
      <c r="G34" s="42"/>
      <c r="H34" s="43"/>
      <c r="I34" s="44"/>
      <c r="J34" s="45" t="str">
        <f t="shared" si="8"/>
        <v/>
      </c>
      <c r="K34" s="93"/>
      <c r="L34" s="152" t="str">
        <f t="shared" si="9"/>
        <v>No Quote</v>
      </c>
      <c r="M34" s="153"/>
      <c r="N34" s="44"/>
      <c r="O34" s="45" t="str">
        <f t="shared" si="10"/>
        <v/>
      </c>
      <c r="P34" s="93"/>
      <c r="Q34" s="152" t="str">
        <f t="shared" si="11"/>
        <v>No Quote</v>
      </c>
      <c r="R34" s="153"/>
      <c r="S34" s="44"/>
      <c r="T34" s="45" t="str">
        <f t="shared" si="12"/>
        <v/>
      </c>
      <c r="U34" s="92"/>
      <c r="V34" s="152" t="str">
        <f t="shared" si="13"/>
        <v>No Quote</v>
      </c>
      <c r="W34" s="153"/>
      <c r="X34" s="44"/>
      <c r="Y34" s="45" t="str">
        <f t="shared" si="14"/>
        <v/>
      </c>
      <c r="Z34" s="93"/>
      <c r="AA34" s="212" t="str">
        <f t="shared" si="15"/>
        <v>No Quote</v>
      </c>
      <c r="AB34" s="309"/>
      <c r="AC34" s="44"/>
      <c r="AD34" s="45" t="str">
        <f t="shared" si="16"/>
        <v/>
      </c>
      <c r="AE34" s="92"/>
      <c r="AF34" s="152" t="str">
        <f t="shared" si="17"/>
        <v>No Quote</v>
      </c>
      <c r="AG34" s="153"/>
      <c r="AH34" s="44"/>
      <c r="AI34" s="45" t="str">
        <f t="shared" si="18"/>
        <v/>
      </c>
      <c r="AJ34" s="92"/>
      <c r="AK34" s="152" t="str">
        <f t="shared" si="19"/>
        <v>No Quote</v>
      </c>
      <c r="AL34" s="153"/>
      <c r="AM34" s="44"/>
      <c r="AN34" s="45" t="str">
        <f t="shared" si="20"/>
        <v/>
      </c>
      <c r="AO34" s="92"/>
      <c r="AP34" s="212" t="str">
        <f t="shared" si="21"/>
        <v>No Quote</v>
      </c>
      <c r="AQ34" s="213"/>
      <c r="AR34" s="90"/>
      <c r="AS34" s="96"/>
      <c r="AT34" s="66" t="str">
        <f t="shared" si="22"/>
        <v/>
      </c>
      <c r="AU34" s="95"/>
      <c r="AV34" s="95"/>
      <c r="AW34" s="80" t="str">
        <f t="shared" si="23"/>
        <v>-</v>
      </c>
      <c r="AX34" s="80" t="str">
        <f t="shared" si="24"/>
        <v>-</v>
      </c>
      <c r="AY34" s="80" t="str">
        <f t="shared" si="25"/>
        <v>-</v>
      </c>
      <c r="AZ34" s="80" t="str">
        <f t="shared" si="26"/>
        <v>-</v>
      </c>
      <c r="BA34" s="80" t="str">
        <f t="shared" si="27"/>
        <v>-</v>
      </c>
      <c r="BB34" s="80" t="str">
        <f t="shared" si="28"/>
        <v>-</v>
      </c>
      <c r="BC34" s="80" t="str">
        <f t="shared" si="29"/>
        <v>-</v>
      </c>
      <c r="BD34" s="81" t="str">
        <f t="shared" si="5"/>
        <v/>
      </c>
      <c r="BE34" s="77" t="str">
        <f t="shared" si="30"/>
        <v/>
      </c>
      <c r="BF34" s="75" t="str">
        <f t="shared" si="6"/>
        <v/>
      </c>
      <c r="BG34" s="74" t="str">
        <f t="shared" si="31"/>
        <v/>
      </c>
      <c r="BH34" s="77" t="str">
        <f t="shared" si="32"/>
        <v/>
      </c>
      <c r="BI34" s="75" t="str">
        <f t="shared" si="7"/>
        <v/>
      </c>
      <c r="BJ34" s="74" t="str">
        <f t="shared" si="33"/>
        <v/>
      </c>
      <c r="BK34" s="77" t="str">
        <f t="shared" si="34"/>
        <v/>
      </c>
      <c r="BM34" s="104">
        <f t="shared" si="35"/>
        <v>0</v>
      </c>
      <c r="BN34" s="106"/>
    </row>
    <row r="35" spans="2:66" s="1" customFormat="1" ht="61.5" customHeight="1" outlineLevel="1" x14ac:dyDescent="0.25">
      <c r="B35" s="41">
        <f t="shared" si="36"/>
        <v>13</v>
      </c>
      <c r="C35" s="218"/>
      <c r="D35" s="218"/>
      <c r="E35" s="218"/>
      <c r="F35" s="218"/>
      <c r="G35" s="42"/>
      <c r="H35" s="43"/>
      <c r="I35" s="44"/>
      <c r="J35" s="45" t="str">
        <f t="shared" si="8"/>
        <v/>
      </c>
      <c r="K35" s="93"/>
      <c r="L35" s="152" t="str">
        <f t="shared" si="9"/>
        <v>No Quote</v>
      </c>
      <c r="M35" s="153"/>
      <c r="N35" s="44"/>
      <c r="O35" s="45" t="str">
        <f t="shared" si="10"/>
        <v/>
      </c>
      <c r="P35" s="93"/>
      <c r="Q35" s="152" t="str">
        <f t="shared" si="11"/>
        <v>No Quote</v>
      </c>
      <c r="R35" s="153"/>
      <c r="S35" s="44"/>
      <c r="T35" s="45" t="str">
        <f t="shared" si="12"/>
        <v/>
      </c>
      <c r="U35" s="92"/>
      <c r="V35" s="152" t="str">
        <f t="shared" si="13"/>
        <v>No Quote</v>
      </c>
      <c r="W35" s="153"/>
      <c r="X35" s="44"/>
      <c r="Y35" s="45" t="str">
        <f t="shared" si="14"/>
        <v/>
      </c>
      <c r="Z35" s="93"/>
      <c r="AA35" s="212" t="str">
        <f t="shared" si="15"/>
        <v>No Quote</v>
      </c>
      <c r="AB35" s="309"/>
      <c r="AC35" s="44"/>
      <c r="AD35" s="45" t="str">
        <f t="shared" si="16"/>
        <v/>
      </c>
      <c r="AE35" s="92"/>
      <c r="AF35" s="152" t="str">
        <f t="shared" si="17"/>
        <v>No Quote</v>
      </c>
      <c r="AG35" s="153"/>
      <c r="AH35" s="44"/>
      <c r="AI35" s="45" t="str">
        <f t="shared" si="18"/>
        <v/>
      </c>
      <c r="AJ35" s="92"/>
      <c r="AK35" s="152" t="str">
        <f t="shared" si="19"/>
        <v>No Quote</v>
      </c>
      <c r="AL35" s="153"/>
      <c r="AM35" s="44"/>
      <c r="AN35" s="45" t="str">
        <f t="shared" si="20"/>
        <v/>
      </c>
      <c r="AO35" s="92"/>
      <c r="AP35" s="212" t="str">
        <f t="shared" si="21"/>
        <v>No Quote</v>
      </c>
      <c r="AQ35" s="213"/>
      <c r="AR35" s="90"/>
      <c r="AS35" s="96"/>
      <c r="AT35" s="66" t="str">
        <f t="shared" si="22"/>
        <v/>
      </c>
      <c r="AU35" s="95"/>
      <c r="AV35" s="95"/>
      <c r="AW35" s="80" t="str">
        <f t="shared" si="23"/>
        <v>-</v>
      </c>
      <c r="AX35" s="80" t="str">
        <f t="shared" si="24"/>
        <v>-</v>
      </c>
      <c r="AY35" s="80" t="str">
        <f t="shared" si="25"/>
        <v>-</v>
      </c>
      <c r="AZ35" s="80" t="str">
        <f t="shared" si="26"/>
        <v>-</v>
      </c>
      <c r="BA35" s="80" t="str">
        <f t="shared" si="27"/>
        <v>-</v>
      </c>
      <c r="BB35" s="80" t="str">
        <f t="shared" si="28"/>
        <v>-</v>
      </c>
      <c r="BC35" s="80" t="str">
        <f t="shared" si="29"/>
        <v>-</v>
      </c>
      <c r="BD35" s="81" t="str">
        <f t="shared" si="5"/>
        <v/>
      </c>
      <c r="BE35" s="77" t="str">
        <f t="shared" si="30"/>
        <v/>
      </c>
      <c r="BF35" s="75" t="str">
        <f t="shared" si="6"/>
        <v/>
      </c>
      <c r="BG35" s="74" t="str">
        <f t="shared" si="31"/>
        <v/>
      </c>
      <c r="BH35" s="77" t="str">
        <f t="shared" si="32"/>
        <v/>
      </c>
      <c r="BI35" s="75" t="str">
        <f t="shared" si="7"/>
        <v/>
      </c>
      <c r="BJ35" s="74" t="str">
        <f t="shared" si="33"/>
        <v/>
      </c>
      <c r="BK35" s="77" t="str">
        <f t="shared" si="34"/>
        <v/>
      </c>
      <c r="BM35" s="104">
        <f t="shared" si="35"/>
        <v>0</v>
      </c>
      <c r="BN35" s="106"/>
    </row>
    <row r="36" spans="2:66" s="1" customFormat="1" ht="61.5" customHeight="1" outlineLevel="1" x14ac:dyDescent="0.25">
      <c r="B36" s="41">
        <f t="shared" si="36"/>
        <v>14</v>
      </c>
      <c r="C36" s="218"/>
      <c r="D36" s="218"/>
      <c r="E36" s="218"/>
      <c r="F36" s="218"/>
      <c r="G36" s="42"/>
      <c r="H36" s="43"/>
      <c r="I36" s="44"/>
      <c r="J36" s="45" t="str">
        <f t="shared" si="8"/>
        <v/>
      </c>
      <c r="K36" s="93"/>
      <c r="L36" s="152" t="str">
        <f t="shared" si="9"/>
        <v>No Quote</v>
      </c>
      <c r="M36" s="153"/>
      <c r="N36" s="44"/>
      <c r="O36" s="45" t="str">
        <f t="shared" si="10"/>
        <v/>
      </c>
      <c r="P36" s="93"/>
      <c r="Q36" s="152" t="str">
        <f t="shared" si="11"/>
        <v>No Quote</v>
      </c>
      <c r="R36" s="153"/>
      <c r="S36" s="44"/>
      <c r="T36" s="45" t="str">
        <f t="shared" si="12"/>
        <v/>
      </c>
      <c r="U36" s="92"/>
      <c r="V36" s="152" t="str">
        <f t="shared" si="13"/>
        <v>No Quote</v>
      </c>
      <c r="W36" s="153"/>
      <c r="X36" s="44"/>
      <c r="Y36" s="45" t="str">
        <f t="shared" si="14"/>
        <v/>
      </c>
      <c r="Z36" s="93"/>
      <c r="AA36" s="212" t="str">
        <f t="shared" si="15"/>
        <v>No Quote</v>
      </c>
      <c r="AB36" s="309"/>
      <c r="AC36" s="44"/>
      <c r="AD36" s="45" t="str">
        <f t="shared" si="16"/>
        <v/>
      </c>
      <c r="AE36" s="92"/>
      <c r="AF36" s="152" t="str">
        <f t="shared" si="17"/>
        <v>No Quote</v>
      </c>
      <c r="AG36" s="153"/>
      <c r="AH36" s="44"/>
      <c r="AI36" s="45" t="str">
        <f t="shared" si="18"/>
        <v/>
      </c>
      <c r="AJ36" s="92"/>
      <c r="AK36" s="152" t="str">
        <f t="shared" si="19"/>
        <v>No Quote</v>
      </c>
      <c r="AL36" s="153"/>
      <c r="AM36" s="44"/>
      <c r="AN36" s="45" t="str">
        <f t="shared" si="20"/>
        <v/>
      </c>
      <c r="AO36" s="92"/>
      <c r="AP36" s="212" t="str">
        <f t="shared" si="21"/>
        <v>No Quote</v>
      </c>
      <c r="AQ36" s="213"/>
      <c r="AR36" s="90"/>
      <c r="AS36" s="96"/>
      <c r="AT36" s="66" t="str">
        <f t="shared" si="22"/>
        <v/>
      </c>
      <c r="AU36" s="95"/>
      <c r="AV36" s="95"/>
      <c r="AW36" s="80" t="str">
        <f t="shared" si="23"/>
        <v>-</v>
      </c>
      <c r="AX36" s="80" t="str">
        <f t="shared" si="24"/>
        <v>-</v>
      </c>
      <c r="AY36" s="80" t="str">
        <f t="shared" si="25"/>
        <v>-</v>
      </c>
      <c r="AZ36" s="80" t="str">
        <f t="shared" si="26"/>
        <v>-</v>
      </c>
      <c r="BA36" s="80" t="str">
        <f t="shared" si="27"/>
        <v>-</v>
      </c>
      <c r="BB36" s="80" t="str">
        <f t="shared" si="28"/>
        <v>-</v>
      </c>
      <c r="BC36" s="80" t="str">
        <f t="shared" si="29"/>
        <v>-</v>
      </c>
      <c r="BD36" s="81" t="str">
        <f t="shared" si="5"/>
        <v/>
      </c>
      <c r="BE36" s="77" t="str">
        <f t="shared" si="30"/>
        <v/>
      </c>
      <c r="BF36" s="75" t="str">
        <f t="shared" si="6"/>
        <v/>
      </c>
      <c r="BG36" s="74" t="str">
        <f t="shared" si="31"/>
        <v/>
      </c>
      <c r="BH36" s="77" t="str">
        <f t="shared" si="32"/>
        <v/>
      </c>
      <c r="BI36" s="75" t="str">
        <f t="shared" si="7"/>
        <v/>
      </c>
      <c r="BJ36" s="74" t="str">
        <f t="shared" si="33"/>
        <v/>
      </c>
      <c r="BK36" s="77" t="str">
        <f t="shared" si="34"/>
        <v/>
      </c>
      <c r="BM36" s="104">
        <f t="shared" si="35"/>
        <v>0</v>
      </c>
      <c r="BN36" s="106"/>
    </row>
    <row r="37" spans="2:66" s="1" customFormat="1" ht="61.5" customHeight="1" outlineLevel="1" x14ac:dyDescent="0.25">
      <c r="B37" s="41">
        <f t="shared" si="36"/>
        <v>15</v>
      </c>
      <c r="C37" s="218"/>
      <c r="D37" s="218"/>
      <c r="E37" s="218"/>
      <c r="F37" s="218"/>
      <c r="G37" s="42"/>
      <c r="H37" s="43"/>
      <c r="I37" s="44"/>
      <c r="J37" s="45" t="str">
        <f t="shared" si="8"/>
        <v/>
      </c>
      <c r="K37" s="93"/>
      <c r="L37" s="152" t="str">
        <f t="shared" si="9"/>
        <v>No Quote</v>
      </c>
      <c r="M37" s="153"/>
      <c r="N37" s="44"/>
      <c r="O37" s="45" t="str">
        <f t="shared" si="10"/>
        <v/>
      </c>
      <c r="P37" s="93"/>
      <c r="Q37" s="152" t="str">
        <f t="shared" si="11"/>
        <v>No Quote</v>
      </c>
      <c r="R37" s="153"/>
      <c r="S37" s="44"/>
      <c r="T37" s="45" t="str">
        <f t="shared" si="12"/>
        <v/>
      </c>
      <c r="U37" s="92"/>
      <c r="V37" s="152" t="str">
        <f t="shared" si="13"/>
        <v>No Quote</v>
      </c>
      <c r="W37" s="153"/>
      <c r="X37" s="44"/>
      <c r="Y37" s="45" t="str">
        <f t="shared" si="14"/>
        <v/>
      </c>
      <c r="Z37" s="93"/>
      <c r="AA37" s="212" t="str">
        <f t="shared" si="15"/>
        <v>No Quote</v>
      </c>
      <c r="AB37" s="309"/>
      <c r="AC37" s="44"/>
      <c r="AD37" s="45" t="str">
        <f t="shared" si="16"/>
        <v/>
      </c>
      <c r="AE37" s="92"/>
      <c r="AF37" s="152" t="str">
        <f t="shared" si="17"/>
        <v>No Quote</v>
      </c>
      <c r="AG37" s="153"/>
      <c r="AH37" s="44"/>
      <c r="AI37" s="45" t="str">
        <f t="shared" si="18"/>
        <v/>
      </c>
      <c r="AJ37" s="92"/>
      <c r="AK37" s="152" t="str">
        <f t="shared" si="19"/>
        <v>No Quote</v>
      </c>
      <c r="AL37" s="153"/>
      <c r="AM37" s="44"/>
      <c r="AN37" s="45" t="str">
        <f t="shared" si="20"/>
        <v/>
      </c>
      <c r="AO37" s="92"/>
      <c r="AP37" s="212" t="str">
        <f t="shared" si="21"/>
        <v>No Quote</v>
      </c>
      <c r="AQ37" s="213"/>
      <c r="AR37" s="90"/>
      <c r="AS37" s="96"/>
      <c r="AT37" s="66" t="str">
        <f t="shared" si="22"/>
        <v/>
      </c>
      <c r="AU37" s="95"/>
      <c r="AV37" s="95"/>
      <c r="AW37" s="80" t="str">
        <f t="shared" si="23"/>
        <v>-</v>
      </c>
      <c r="AX37" s="80" t="str">
        <f t="shared" si="24"/>
        <v>-</v>
      </c>
      <c r="AY37" s="80" t="str">
        <f t="shared" si="25"/>
        <v>-</v>
      </c>
      <c r="AZ37" s="80" t="str">
        <f t="shared" si="26"/>
        <v>-</v>
      </c>
      <c r="BA37" s="80" t="str">
        <f t="shared" si="27"/>
        <v>-</v>
      </c>
      <c r="BB37" s="80" t="str">
        <f t="shared" si="28"/>
        <v>-</v>
      </c>
      <c r="BC37" s="80" t="str">
        <f t="shared" si="29"/>
        <v>-</v>
      </c>
      <c r="BD37" s="81" t="str">
        <f t="shared" si="5"/>
        <v/>
      </c>
      <c r="BE37" s="77" t="str">
        <f t="shared" si="30"/>
        <v/>
      </c>
      <c r="BF37" s="75" t="str">
        <f t="shared" si="6"/>
        <v/>
      </c>
      <c r="BG37" s="74" t="str">
        <f t="shared" si="31"/>
        <v/>
      </c>
      <c r="BH37" s="77" t="str">
        <f t="shared" si="32"/>
        <v/>
      </c>
      <c r="BI37" s="75" t="str">
        <f t="shared" si="7"/>
        <v/>
      </c>
      <c r="BJ37" s="74" t="str">
        <f t="shared" si="33"/>
        <v/>
      </c>
      <c r="BK37" s="77" t="str">
        <f t="shared" si="34"/>
        <v/>
      </c>
      <c r="BM37" s="104">
        <f t="shared" ref="BM37:BM51" si="37">SUMIFS($BD$23:$BD$51,$BE$23:$BE$51,BN37)</f>
        <v>0</v>
      </c>
      <c r="BN37" s="106"/>
    </row>
    <row r="38" spans="2:66" s="1" customFormat="1" ht="61.5" customHeight="1" outlineLevel="1" x14ac:dyDescent="0.25">
      <c r="B38" s="41">
        <f t="shared" si="36"/>
        <v>16</v>
      </c>
      <c r="C38" s="218"/>
      <c r="D38" s="218"/>
      <c r="E38" s="218"/>
      <c r="F38" s="218"/>
      <c r="G38" s="42"/>
      <c r="H38" s="43"/>
      <c r="I38" s="44"/>
      <c r="J38" s="45" t="str">
        <f t="shared" si="8"/>
        <v/>
      </c>
      <c r="K38" s="93"/>
      <c r="L38" s="152" t="str">
        <f t="shared" si="9"/>
        <v>No Quote</v>
      </c>
      <c r="M38" s="153"/>
      <c r="N38" s="44"/>
      <c r="O38" s="45" t="str">
        <f t="shared" si="10"/>
        <v/>
      </c>
      <c r="P38" s="93"/>
      <c r="Q38" s="152" t="str">
        <f t="shared" si="11"/>
        <v>No Quote</v>
      </c>
      <c r="R38" s="153"/>
      <c r="S38" s="44"/>
      <c r="T38" s="45" t="str">
        <f t="shared" si="12"/>
        <v/>
      </c>
      <c r="U38" s="92"/>
      <c r="V38" s="152" t="str">
        <f t="shared" si="13"/>
        <v>No Quote</v>
      </c>
      <c r="W38" s="153"/>
      <c r="X38" s="44"/>
      <c r="Y38" s="45" t="str">
        <f t="shared" si="14"/>
        <v/>
      </c>
      <c r="Z38" s="93"/>
      <c r="AA38" s="212" t="str">
        <f t="shared" si="15"/>
        <v>No Quote</v>
      </c>
      <c r="AB38" s="309"/>
      <c r="AC38" s="44"/>
      <c r="AD38" s="45" t="str">
        <f t="shared" si="16"/>
        <v/>
      </c>
      <c r="AE38" s="92"/>
      <c r="AF38" s="152" t="str">
        <f t="shared" si="17"/>
        <v>No Quote</v>
      </c>
      <c r="AG38" s="153"/>
      <c r="AH38" s="44"/>
      <c r="AI38" s="45" t="str">
        <f t="shared" si="18"/>
        <v/>
      </c>
      <c r="AJ38" s="92"/>
      <c r="AK38" s="152" t="str">
        <f t="shared" si="19"/>
        <v>No Quote</v>
      </c>
      <c r="AL38" s="153"/>
      <c r="AM38" s="44"/>
      <c r="AN38" s="45" t="str">
        <f t="shared" si="20"/>
        <v/>
      </c>
      <c r="AO38" s="92"/>
      <c r="AP38" s="212" t="str">
        <f t="shared" si="21"/>
        <v>No Quote</v>
      </c>
      <c r="AQ38" s="213"/>
      <c r="AR38" s="90"/>
      <c r="AS38" s="96"/>
      <c r="AT38" s="66" t="str">
        <f t="shared" si="22"/>
        <v/>
      </c>
      <c r="AU38" s="95"/>
      <c r="AV38" s="95"/>
      <c r="AW38" s="80" t="str">
        <f t="shared" si="23"/>
        <v>-</v>
      </c>
      <c r="AX38" s="80" t="str">
        <f t="shared" si="24"/>
        <v>-</v>
      </c>
      <c r="AY38" s="80" t="str">
        <f t="shared" si="25"/>
        <v>-</v>
      </c>
      <c r="AZ38" s="80" t="str">
        <f t="shared" si="26"/>
        <v>-</v>
      </c>
      <c r="BA38" s="80" t="str">
        <f t="shared" si="27"/>
        <v>-</v>
      </c>
      <c r="BB38" s="80" t="str">
        <f t="shared" si="28"/>
        <v>-</v>
      </c>
      <c r="BC38" s="80" t="str">
        <f t="shared" si="29"/>
        <v>-</v>
      </c>
      <c r="BD38" s="81" t="str">
        <f t="shared" si="5"/>
        <v/>
      </c>
      <c r="BE38" s="77" t="str">
        <f t="shared" si="30"/>
        <v/>
      </c>
      <c r="BF38" s="75" t="str">
        <f t="shared" si="6"/>
        <v/>
      </c>
      <c r="BG38" s="74" t="str">
        <f t="shared" si="31"/>
        <v/>
      </c>
      <c r="BH38" s="77" t="str">
        <f t="shared" si="32"/>
        <v/>
      </c>
      <c r="BI38" s="75" t="str">
        <f t="shared" si="7"/>
        <v/>
      </c>
      <c r="BJ38" s="74" t="str">
        <f t="shared" si="33"/>
        <v/>
      </c>
      <c r="BK38" s="77" t="str">
        <f t="shared" si="34"/>
        <v/>
      </c>
      <c r="BM38" s="104">
        <f t="shared" si="37"/>
        <v>0</v>
      </c>
      <c r="BN38" s="106"/>
    </row>
    <row r="39" spans="2:66" s="1" customFormat="1" ht="61.5" customHeight="1" outlineLevel="1" x14ac:dyDescent="0.25">
      <c r="B39" s="41">
        <f t="shared" si="36"/>
        <v>17</v>
      </c>
      <c r="C39" s="218"/>
      <c r="D39" s="218"/>
      <c r="E39" s="218"/>
      <c r="F39" s="218"/>
      <c r="G39" s="42"/>
      <c r="H39" s="43"/>
      <c r="I39" s="44"/>
      <c r="J39" s="45" t="str">
        <f t="shared" si="8"/>
        <v/>
      </c>
      <c r="K39" s="93"/>
      <c r="L39" s="152" t="str">
        <f t="shared" si="9"/>
        <v>No Quote</v>
      </c>
      <c r="M39" s="153"/>
      <c r="N39" s="44"/>
      <c r="O39" s="45" t="str">
        <f t="shared" si="10"/>
        <v/>
      </c>
      <c r="P39" s="93"/>
      <c r="Q39" s="152" t="str">
        <f t="shared" si="11"/>
        <v>No Quote</v>
      </c>
      <c r="R39" s="153"/>
      <c r="S39" s="44"/>
      <c r="T39" s="45" t="str">
        <f t="shared" si="12"/>
        <v/>
      </c>
      <c r="U39" s="92"/>
      <c r="V39" s="152" t="str">
        <f t="shared" si="13"/>
        <v>No Quote</v>
      </c>
      <c r="W39" s="153"/>
      <c r="X39" s="44"/>
      <c r="Y39" s="45" t="str">
        <f t="shared" si="14"/>
        <v/>
      </c>
      <c r="Z39" s="93"/>
      <c r="AA39" s="212" t="str">
        <f t="shared" si="15"/>
        <v>No Quote</v>
      </c>
      <c r="AB39" s="309"/>
      <c r="AC39" s="44"/>
      <c r="AD39" s="45" t="str">
        <f t="shared" si="16"/>
        <v/>
      </c>
      <c r="AE39" s="92"/>
      <c r="AF39" s="152" t="str">
        <f t="shared" si="17"/>
        <v>No Quote</v>
      </c>
      <c r="AG39" s="153"/>
      <c r="AH39" s="44"/>
      <c r="AI39" s="45" t="str">
        <f t="shared" si="18"/>
        <v/>
      </c>
      <c r="AJ39" s="92"/>
      <c r="AK39" s="152" t="str">
        <f t="shared" si="19"/>
        <v>No Quote</v>
      </c>
      <c r="AL39" s="153"/>
      <c r="AM39" s="44"/>
      <c r="AN39" s="45" t="str">
        <f t="shared" si="20"/>
        <v/>
      </c>
      <c r="AO39" s="92"/>
      <c r="AP39" s="212" t="str">
        <f t="shared" si="21"/>
        <v>No Quote</v>
      </c>
      <c r="AQ39" s="213"/>
      <c r="AR39" s="90"/>
      <c r="AS39" s="96"/>
      <c r="AT39" s="66" t="str">
        <f t="shared" si="22"/>
        <v/>
      </c>
      <c r="AU39" s="95"/>
      <c r="AV39" s="95"/>
      <c r="AW39" s="80" t="str">
        <f t="shared" si="23"/>
        <v>-</v>
      </c>
      <c r="AX39" s="80" t="str">
        <f t="shared" si="24"/>
        <v>-</v>
      </c>
      <c r="AY39" s="80" t="str">
        <f t="shared" si="25"/>
        <v>-</v>
      </c>
      <c r="AZ39" s="80" t="str">
        <f t="shared" si="26"/>
        <v>-</v>
      </c>
      <c r="BA39" s="80" t="str">
        <f t="shared" si="27"/>
        <v>-</v>
      </c>
      <c r="BB39" s="80" t="str">
        <f t="shared" si="28"/>
        <v>-</v>
      </c>
      <c r="BC39" s="80" t="str">
        <f t="shared" si="29"/>
        <v>-</v>
      </c>
      <c r="BD39" s="81" t="str">
        <f t="shared" si="5"/>
        <v/>
      </c>
      <c r="BE39" s="77" t="str">
        <f t="shared" si="30"/>
        <v/>
      </c>
      <c r="BF39" s="75" t="str">
        <f t="shared" si="6"/>
        <v/>
      </c>
      <c r="BG39" s="74" t="str">
        <f t="shared" si="31"/>
        <v/>
      </c>
      <c r="BH39" s="77" t="str">
        <f t="shared" si="32"/>
        <v/>
      </c>
      <c r="BI39" s="75" t="str">
        <f t="shared" si="7"/>
        <v/>
      </c>
      <c r="BJ39" s="74" t="str">
        <f t="shared" si="33"/>
        <v/>
      </c>
      <c r="BK39" s="77" t="str">
        <f t="shared" si="34"/>
        <v/>
      </c>
      <c r="BM39" s="104">
        <f t="shared" si="37"/>
        <v>0</v>
      </c>
      <c r="BN39" s="106"/>
    </row>
    <row r="40" spans="2:66" s="1" customFormat="1" ht="61.5" customHeight="1" outlineLevel="1" x14ac:dyDescent="0.25">
      <c r="B40" s="41">
        <f t="shared" si="36"/>
        <v>18</v>
      </c>
      <c r="C40" s="218"/>
      <c r="D40" s="218"/>
      <c r="E40" s="218"/>
      <c r="F40" s="218"/>
      <c r="G40" s="42"/>
      <c r="H40" s="43"/>
      <c r="I40" s="44"/>
      <c r="J40" s="45" t="str">
        <f t="shared" si="8"/>
        <v/>
      </c>
      <c r="K40" s="93"/>
      <c r="L40" s="152" t="str">
        <f t="shared" si="9"/>
        <v>No Quote</v>
      </c>
      <c r="M40" s="153"/>
      <c r="N40" s="44"/>
      <c r="O40" s="45" t="str">
        <f t="shared" si="10"/>
        <v/>
      </c>
      <c r="P40" s="93"/>
      <c r="Q40" s="152" t="str">
        <f t="shared" si="11"/>
        <v>No Quote</v>
      </c>
      <c r="R40" s="153"/>
      <c r="S40" s="44"/>
      <c r="T40" s="45" t="str">
        <f t="shared" si="12"/>
        <v/>
      </c>
      <c r="U40" s="92"/>
      <c r="V40" s="152" t="str">
        <f t="shared" si="13"/>
        <v>No Quote</v>
      </c>
      <c r="W40" s="153"/>
      <c r="X40" s="44"/>
      <c r="Y40" s="45" t="str">
        <f t="shared" si="14"/>
        <v/>
      </c>
      <c r="Z40" s="93"/>
      <c r="AA40" s="212" t="str">
        <f t="shared" si="15"/>
        <v>No Quote</v>
      </c>
      <c r="AB40" s="309"/>
      <c r="AC40" s="44"/>
      <c r="AD40" s="45" t="str">
        <f t="shared" si="16"/>
        <v/>
      </c>
      <c r="AE40" s="92"/>
      <c r="AF40" s="152" t="str">
        <f t="shared" si="17"/>
        <v>No Quote</v>
      </c>
      <c r="AG40" s="153"/>
      <c r="AH40" s="44"/>
      <c r="AI40" s="45" t="str">
        <f t="shared" si="18"/>
        <v/>
      </c>
      <c r="AJ40" s="92"/>
      <c r="AK40" s="152" t="str">
        <f t="shared" si="19"/>
        <v>No Quote</v>
      </c>
      <c r="AL40" s="153"/>
      <c r="AM40" s="44"/>
      <c r="AN40" s="45" t="str">
        <f t="shared" si="20"/>
        <v/>
      </c>
      <c r="AO40" s="92"/>
      <c r="AP40" s="212" t="str">
        <f t="shared" si="21"/>
        <v>No Quote</v>
      </c>
      <c r="AQ40" s="213"/>
      <c r="AR40" s="90"/>
      <c r="AS40" s="96"/>
      <c r="AT40" s="66" t="str">
        <f t="shared" si="22"/>
        <v/>
      </c>
      <c r="AU40" s="95"/>
      <c r="AV40" s="95"/>
      <c r="AW40" s="80" t="str">
        <f t="shared" si="23"/>
        <v>-</v>
      </c>
      <c r="AX40" s="80" t="str">
        <f t="shared" si="24"/>
        <v>-</v>
      </c>
      <c r="AY40" s="80" t="str">
        <f t="shared" si="25"/>
        <v>-</v>
      </c>
      <c r="AZ40" s="80" t="str">
        <f t="shared" si="26"/>
        <v>-</v>
      </c>
      <c r="BA40" s="80" t="str">
        <f t="shared" si="27"/>
        <v>-</v>
      </c>
      <c r="BB40" s="80" t="str">
        <f t="shared" si="28"/>
        <v>-</v>
      </c>
      <c r="BC40" s="80" t="str">
        <f t="shared" si="29"/>
        <v>-</v>
      </c>
      <c r="BD40" s="81" t="str">
        <f t="shared" si="5"/>
        <v/>
      </c>
      <c r="BE40" s="77" t="str">
        <f t="shared" si="30"/>
        <v/>
      </c>
      <c r="BF40" s="75" t="str">
        <f t="shared" si="6"/>
        <v/>
      </c>
      <c r="BG40" s="74" t="str">
        <f t="shared" si="31"/>
        <v/>
      </c>
      <c r="BH40" s="77" t="str">
        <f t="shared" si="32"/>
        <v/>
      </c>
      <c r="BI40" s="75" t="str">
        <f t="shared" si="7"/>
        <v/>
      </c>
      <c r="BJ40" s="74" t="str">
        <f t="shared" si="33"/>
        <v/>
      </c>
      <c r="BK40" s="77" t="str">
        <f t="shared" si="34"/>
        <v/>
      </c>
      <c r="BM40" s="104">
        <f t="shared" si="37"/>
        <v>0</v>
      </c>
      <c r="BN40" s="106"/>
    </row>
    <row r="41" spans="2:66" s="1" customFormat="1" ht="61.5" customHeight="1" outlineLevel="1" x14ac:dyDescent="0.25">
      <c r="B41" s="41">
        <f t="shared" si="36"/>
        <v>19</v>
      </c>
      <c r="C41" s="218"/>
      <c r="D41" s="218"/>
      <c r="E41" s="218"/>
      <c r="F41" s="218"/>
      <c r="G41" s="42"/>
      <c r="H41" s="43"/>
      <c r="I41" s="44"/>
      <c r="J41" s="45" t="str">
        <f t="shared" si="8"/>
        <v/>
      </c>
      <c r="K41" s="93"/>
      <c r="L41" s="152" t="str">
        <f t="shared" si="9"/>
        <v>No Quote</v>
      </c>
      <c r="M41" s="153"/>
      <c r="N41" s="44"/>
      <c r="O41" s="45" t="str">
        <f t="shared" si="10"/>
        <v/>
      </c>
      <c r="P41" s="93"/>
      <c r="Q41" s="152" t="str">
        <f t="shared" si="11"/>
        <v>No Quote</v>
      </c>
      <c r="R41" s="153"/>
      <c r="S41" s="44"/>
      <c r="T41" s="45" t="str">
        <f t="shared" si="12"/>
        <v/>
      </c>
      <c r="U41" s="92"/>
      <c r="V41" s="152" t="str">
        <f t="shared" si="13"/>
        <v>No Quote</v>
      </c>
      <c r="W41" s="153"/>
      <c r="X41" s="44"/>
      <c r="Y41" s="45" t="str">
        <f t="shared" si="14"/>
        <v/>
      </c>
      <c r="Z41" s="93"/>
      <c r="AA41" s="212" t="str">
        <f t="shared" si="15"/>
        <v>No Quote</v>
      </c>
      <c r="AB41" s="309"/>
      <c r="AC41" s="44"/>
      <c r="AD41" s="45" t="str">
        <f t="shared" si="16"/>
        <v/>
      </c>
      <c r="AE41" s="92"/>
      <c r="AF41" s="152" t="str">
        <f t="shared" si="17"/>
        <v>No Quote</v>
      </c>
      <c r="AG41" s="153"/>
      <c r="AH41" s="44"/>
      <c r="AI41" s="45" t="str">
        <f t="shared" si="18"/>
        <v/>
      </c>
      <c r="AJ41" s="92"/>
      <c r="AK41" s="152" t="str">
        <f t="shared" si="19"/>
        <v>No Quote</v>
      </c>
      <c r="AL41" s="153"/>
      <c r="AM41" s="44"/>
      <c r="AN41" s="45" t="str">
        <f t="shared" si="20"/>
        <v/>
      </c>
      <c r="AO41" s="92"/>
      <c r="AP41" s="212" t="str">
        <f t="shared" si="21"/>
        <v>No Quote</v>
      </c>
      <c r="AQ41" s="213"/>
      <c r="AR41" s="90"/>
      <c r="AS41" s="96"/>
      <c r="AT41" s="66" t="str">
        <f t="shared" si="22"/>
        <v/>
      </c>
      <c r="AU41" s="95"/>
      <c r="AV41" s="95"/>
      <c r="AW41" s="80" t="str">
        <f t="shared" si="23"/>
        <v>-</v>
      </c>
      <c r="AX41" s="80" t="str">
        <f t="shared" si="24"/>
        <v>-</v>
      </c>
      <c r="AY41" s="80" t="str">
        <f t="shared" si="25"/>
        <v>-</v>
      </c>
      <c r="AZ41" s="80" t="str">
        <f t="shared" si="26"/>
        <v>-</v>
      </c>
      <c r="BA41" s="80" t="str">
        <f t="shared" si="27"/>
        <v>-</v>
      </c>
      <c r="BB41" s="80" t="str">
        <f t="shared" si="28"/>
        <v>-</v>
      </c>
      <c r="BC41" s="80" t="str">
        <f t="shared" si="29"/>
        <v>-</v>
      </c>
      <c r="BD41" s="81" t="str">
        <f t="shared" si="5"/>
        <v/>
      </c>
      <c r="BE41" s="77" t="str">
        <f t="shared" si="30"/>
        <v/>
      </c>
      <c r="BF41" s="75" t="str">
        <f t="shared" si="6"/>
        <v/>
      </c>
      <c r="BG41" s="74" t="str">
        <f t="shared" si="31"/>
        <v/>
      </c>
      <c r="BH41" s="77" t="str">
        <f t="shared" si="32"/>
        <v/>
      </c>
      <c r="BI41" s="75" t="str">
        <f t="shared" si="7"/>
        <v/>
      </c>
      <c r="BJ41" s="74" t="str">
        <f t="shared" si="33"/>
        <v/>
      </c>
      <c r="BK41" s="77" t="str">
        <f t="shared" si="34"/>
        <v/>
      </c>
      <c r="BM41" s="104">
        <f t="shared" si="37"/>
        <v>0</v>
      </c>
      <c r="BN41" s="106"/>
    </row>
    <row r="42" spans="2:66" s="1" customFormat="1" ht="61.5" customHeight="1" outlineLevel="1" x14ac:dyDescent="0.25">
      <c r="B42" s="41">
        <f t="shared" si="36"/>
        <v>20</v>
      </c>
      <c r="C42" s="218"/>
      <c r="D42" s="218"/>
      <c r="E42" s="218"/>
      <c r="F42" s="218"/>
      <c r="G42" s="42"/>
      <c r="H42" s="43"/>
      <c r="I42" s="44"/>
      <c r="J42" s="45" t="str">
        <f t="shared" si="8"/>
        <v/>
      </c>
      <c r="K42" s="93"/>
      <c r="L42" s="152" t="str">
        <f t="shared" si="9"/>
        <v>No Quote</v>
      </c>
      <c r="M42" s="153"/>
      <c r="N42" s="44"/>
      <c r="O42" s="45" t="str">
        <f t="shared" si="10"/>
        <v/>
      </c>
      <c r="P42" s="93"/>
      <c r="Q42" s="152" t="str">
        <f t="shared" si="11"/>
        <v>No Quote</v>
      </c>
      <c r="R42" s="153"/>
      <c r="S42" s="44"/>
      <c r="T42" s="45" t="str">
        <f t="shared" si="12"/>
        <v/>
      </c>
      <c r="U42" s="92"/>
      <c r="V42" s="152" t="str">
        <f t="shared" si="13"/>
        <v>No Quote</v>
      </c>
      <c r="W42" s="153"/>
      <c r="X42" s="44"/>
      <c r="Y42" s="45" t="str">
        <f t="shared" si="14"/>
        <v/>
      </c>
      <c r="Z42" s="93"/>
      <c r="AA42" s="212" t="str">
        <f t="shared" si="15"/>
        <v>No Quote</v>
      </c>
      <c r="AB42" s="309"/>
      <c r="AC42" s="44"/>
      <c r="AD42" s="45" t="str">
        <f t="shared" si="16"/>
        <v/>
      </c>
      <c r="AE42" s="92"/>
      <c r="AF42" s="152" t="str">
        <f t="shared" si="17"/>
        <v>No Quote</v>
      </c>
      <c r="AG42" s="153"/>
      <c r="AH42" s="44"/>
      <c r="AI42" s="45" t="str">
        <f t="shared" si="18"/>
        <v/>
      </c>
      <c r="AJ42" s="92"/>
      <c r="AK42" s="152" t="str">
        <f t="shared" si="19"/>
        <v>No Quote</v>
      </c>
      <c r="AL42" s="153"/>
      <c r="AM42" s="44"/>
      <c r="AN42" s="45" t="str">
        <f t="shared" si="20"/>
        <v/>
      </c>
      <c r="AO42" s="92"/>
      <c r="AP42" s="212" t="str">
        <f t="shared" si="21"/>
        <v>No Quote</v>
      </c>
      <c r="AQ42" s="213"/>
      <c r="AR42" s="90"/>
      <c r="AS42" s="96"/>
      <c r="AT42" s="66" t="str">
        <f t="shared" si="22"/>
        <v/>
      </c>
      <c r="AU42" s="95"/>
      <c r="AV42" s="95"/>
      <c r="AW42" s="80" t="str">
        <f t="shared" si="23"/>
        <v>-</v>
      </c>
      <c r="AX42" s="80" t="str">
        <f t="shared" si="24"/>
        <v>-</v>
      </c>
      <c r="AY42" s="80" t="str">
        <f t="shared" si="25"/>
        <v>-</v>
      </c>
      <c r="AZ42" s="80" t="str">
        <f t="shared" si="26"/>
        <v>-</v>
      </c>
      <c r="BA42" s="80" t="str">
        <f t="shared" si="27"/>
        <v>-</v>
      </c>
      <c r="BB42" s="80" t="str">
        <f t="shared" si="28"/>
        <v>-</v>
      </c>
      <c r="BC42" s="80" t="str">
        <f t="shared" si="29"/>
        <v>-</v>
      </c>
      <c r="BD42" s="81" t="str">
        <f t="shared" si="5"/>
        <v/>
      </c>
      <c r="BE42" s="77" t="str">
        <f t="shared" si="30"/>
        <v/>
      </c>
      <c r="BF42" s="75" t="str">
        <f t="shared" si="6"/>
        <v/>
      </c>
      <c r="BG42" s="74" t="str">
        <f t="shared" si="31"/>
        <v/>
      </c>
      <c r="BH42" s="77" t="str">
        <f t="shared" si="32"/>
        <v/>
      </c>
      <c r="BI42" s="75" t="str">
        <f t="shared" si="7"/>
        <v/>
      </c>
      <c r="BJ42" s="74" t="str">
        <f t="shared" si="33"/>
        <v/>
      </c>
      <c r="BK42" s="77" t="str">
        <f t="shared" si="34"/>
        <v/>
      </c>
      <c r="BM42" s="104">
        <f t="shared" si="37"/>
        <v>0</v>
      </c>
      <c r="BN42" s="106"/>
    </row>
    <row r="43" spans="2:66" s="1" customFormat="1" ht="61.5" customHeight="1" outlineLevel="1" x14ac:dyDescent="0.25">
      <c r="B43" s="41">
        <f t="shared" si="36"/>
        <v>21</v>
      </c>
      <c r="C43" s="218"/>
      <c r="D43" s="218"/>
      <c r="E43" s="218"/>
      <c r="F43" s="218"/>
      <c r="G43" s="42"/>
      <c r="H43" s="43"/>
      <c r="I43" s="44"/>
      <c r="J43" s="45" t="str">
        <f t="shared" si="8"/>
        <v/>
      </c>
      <c r="K43" s="93"/>
      <c r="L43" s="152" t="str">
        <f t="shared" si="9"/>
        <v>No Quote</v>
      </c>
      <c r="M43" s="153"/>
      <c r="N43" s="44"/>
      <c r="O43" s="45" t="str">
        <f t="shared" si="10"/>
        <v/>
      </c>
      <c r="P43" s="93"/>
      <c r="Q43" s="152" t="str">
        <f t="shared" si="11"/>
        <v>No Quote</v>
      </c>
      <c r="R43" s="153"/>
      <c r="S43" s="44"/>
      <c r="T43" s="45" t="str">
        <f t="shared" si="12"/>
        <v/>
      </c>
      <c r="U43" s="92"/>
      <c r="V43" s="152" t="str">
        <f t="shared" si="13"/>
        <v>No Quote</v>
      </c>
      <c r="W43" s="153"/>
      <c r="X43" s="44"/>
      <c r="Y43" s="45" t="str">
        <f t="shared" si="14"/>
        <v/>
      </c>
      <c r="Z43" s="93"/>
      <c r="AA43" s="212" t="str">
        <f t="shared" si="15"/>
        <v>No Quote</v>
      </c>
      <c r="AB43" s="309"/>
      <c r="AC43" s="44"/>
      <c r="AD43" s="45" t="str">
        <f t="shared" si="16"/>
        <v/>
      </c>
      <c r="AE43" s="92"/>
      <c r="AF43" s="152" t="str">
        <f t="shared" si="17"/>
        <v>No Quote</v>
      </c>
      <c r="AG43" s="153"/>
      <c r="AH43" s="44"/>
      <c r="AI43" s="45" t="str">
        <f t="shared" si="18"/>
        <v/>
      </c>
      <c r="AJ43" s="92"/>
      <c r="AK43" s="152" t="str">
        <f t="shared" si="19"/>
        <v>No Quote</v>
      </c>
      <c r="AL43" s="153"/>
      <c r="AM43" s="44"/>
      <c r="AN43" s="45" t="str">
        <f t="shared" si="20"/>
        <v/>
      </c>
      <c r="AO43" s="92"/>
      <c r="AP43" s="212" t="str">
        <f t="shared" si="21"/>
        <v>No Quote</v>
      </c>
      <c r="AQ43" s="213"/>
      <c r="AR43" s="90"/>
      <c r="AS43" s="96"/>
      <c r="AT43" s="66" t="str">
        <f t="shared" si="22"/>
        <v/>
      </c>
      <c r="AU43" s="95"/>
      <c r="AV43" s="95"/>
      <c r="AW43" s="80" t="str">
        <f t="shared" si="23"/>
        <v>-</v>
      </c>
      <c r="AX43" s="80" t="str">
        <f t="shared" si="24"/>
        <v>-</v>
      </c>
      <c r="AY43" s="80" t="str">
        <f t="shared" si="25"/>
        <v>-</v>
      </c>
      <c r="AZ43" s="80" t="str">
        <f t="shared" si="26"/>
        <v>-</v>
      </c>
      <c r="BA43" s="80" t="str">
        <f t="shared" si="27"/>
        <v>-</v>
      </c>
      <c r="BB43" s="80" t="str">
        <f t="shared" si="28"/>
        <v>-</v>
      </c>
      <c r="BC43" s="80" t="str">
        <f t="shared" si="29"/>
        <v>-</v>
      </c>
      <c r="BD43" s="81" t="str">
        <f t="shared" si="5"/>
        <v/>
      </c>
      <c r="BE43" s="77" t="str">
        <f t="shared" si="30"/>
        <v/>
      </c>
      <c r="BF43" s="75" t="str">
        <f t="shared" si="6"/>
        <v/>
      </c>
      <c r="BG43" s="74" t="str">
        <f t="shared" si="31"/>
        <v/>
      </c>
      <c r="BH43" s="77" t="str">
        <f t="shared" si="32"/>
        <v/>
      </c>
      <c r="BI43" s="75" t="str">
        <f t="shared" si="7"/>
        <v/>
      </c>
      <c r="BJ43" s="74" t="str">
        <f t="shared" si="33"/>
        <v/>
      </c>
      <c r="BK43" s="77" t="str">
        <f t="shared" si="34"/>
        <v/>
      </c>
      <c r="BM43" s="104">
        <f t="shared" si="37"/>
        <v>0</v>
      </c>
      <c r="BN43" s="106"/>
    </row>
    <row r="44" spans="2:66" s="1" customFormat="1" ht="61.5" customHeight="1" outlineLevel="1" x14ac:dyDescent="0.25">
      <c r="B44" s="41">
        <f t="shared" si="36"/>
        <v>22</v>
      </c>
      <c r="C44" s="218"/>
      <c r="D44" s="218"/>
      <c r="E44" s="218"/>
      <c r="F44" s="218"/>
      <c r="G44" s="42"/>
      <c r="H44" s="43"/>
      <c r="I44" s="44"/>
      <c r="J44" s="45" t="str">
        <f t="shared" si="8"/>
        <v/>
      </c>
      <c r="K44" s="93"/>
      <c r="L44" s="152" t="str">
        <f t="shared" si="9"/>
        <v>No Quote</v>
      </c>
      <c r="M44" s="153"/>
      <c r="N44" s="44"/>
      <c r="O44" s="45" t="str">
        <f t="shared" si="10"/>
        <v/>
      </c>
      <c r="P44" s="93"/>
      <c r="Q44" s="152" t="str">
        <f t="shared" si="11"/>
        <v>No Quote</v>
      </c>
      <c r="R44" s="153"/>
      <c r="S44" s="44"/>
      <c r="T44" s="45" t="str">
        <f t="shared" si="12"/>
        <v/>
      </c>
      <c r="U44" s="92"/>
      <c r="V44" s="152" t="str">
        <f t="shared" si="13"/>
        <v>No Quote</v>
      </c>
      <c r="W44" s="153"/>
      <c r="X44" s="44"/>
      <c r="Y44" s="45" t="str">
        <f t="shared" si="14"/>
        <v/>
      </c>
      <c r="Z44" s="93"/>
      <c r="AA44" s="212" t="str">
        <f t="shared" si="15"/>
        <v>No Quote</v>
      </c>
      <c r="AB44" s="309"/>
      <c r="AC44" s="44"/>
      <c r="AD44" s="45" t="str">
        <f t="shared" si="16"/>
        <v/>
      </c>
      <c r="AE44" s="92"/>
      <c r="AF44" s="152" t="str">
        <f t="shared" si="17"/>
        <v>No Quote</v>
      </c>
      <c r="AG44" s="153"/>
      <c r="AH44" s="44"/>
      <c r="AI44" s="45" t="str">
        <f t="shared" si="18"/>
        <v/>
      </c>
      <c r="AJ44" s="92"/>
      <c r="AK44" s="152" t="str">
        <f t="shared" si="19"/>
        <v>No Quote</v>
      </c>
      <c r="AL44" s="153"/>
      <c r="AM44" s="44"/>
      <c r="AN44" s="45" t="str">
        <f t="shared" si="20"/>
        <v/>
      </c>
      <c r="AO44" s="92"/>
      <c r="AP44" s="212" t="str">
        <f t="shared" si="21"/>
        <v>No Quote</v>
      </c>
      <c r="AQ44" s="213"/>
      <c r="AR44" s="90"/>
      <c r="AS44" s="96"/>
      <c r="AT44" s="66" t="str">
        <f t="shared" si="22"/>
        <v/>
      </c>
      <c r="AU44" s="95"/>
      <c r="AV44" s="95"/>
      <c r="AW44" s="80" t="str">
        <f t="shared" si="23"/>
        <v>-</v>
      </c>
      <c r="AX44" s="80" t="str">
        <f t="shared" si="24"/>
        <v>-</v>
      </c>
      <c r="AY44" s="80" t="str">
        <f t="shared" si="25"/>
        <v>-</v>
      </c>
      <c r="AZ44" s="80" t="str">
        <f t="shared" si="26"/>
        <v>-</v>
      </c>
      <c r="BA44" s="80" t="str">
        <f t="shared" si="27"/>
        <v>-</v>
      </c>
      <c r="BB44" s="80" t="str">
        <f t="shared" si="28"/>
        <v>-</v>
      </c>
      <c r="BC44" s="80" t="str">
        <f t="shared" si="29"/>
        <v>-</v>
      </c>
      <c r="BD44" s="81" t="str">
        <f t="shared" si="5"/>
        <v/>
      </c>
      <c r="BE44" s="77" t="str">
        <f t="shared" si="30"/>
        <v/>
      </c>
      <c r="BF44" s="75" t="str">
        <f t="shared" si="6"/>
        <v/>
      </c>
      <c r="BG44" s="74" t="str">
        <f t="shared" si="31"/>
        <v/>
      </c>
      <c r="BH44" s="77" t="str">
        <f t="shared" si="32"/>
        <v/>
      </c>
      <c r="BI44" s="75" t="str">
        <f t="shared" si="7"/>
        <v/>
      </c>
      <c r="BJ44" s="74" t="str">
        <f t="shared" si="33"/>
        <v/>
      </c>
      <c r="BK44" s="77" t="str">
        <f t="shared" si="34"/>
        <v/>
      </c>
      <c r="BM44" s="104">
        <f t="shared" si="37"/>
        <v>0</v>
      </c>
      <c r="BN44" s="106"/>
    </row>
    <row r="45" spans="2:66" s="1" customFormat="1" ht="61.5" customHeight="1" outlineLevel="1" x14ac:dyDescent="0.25">
      <c r="B45" s="41">
        <f t="shared" si="36"/>
        <v>23</v>
      </c>
      <c r="C45" s="218"/>
      <c r="D45" s="218"/>
      <c r="E45" s="218"/>
      <c r="F45" s="218"/>
      <c r="G45" s="42"/>
      <c r="H45" s="43"/>
      <c r="I45" s="44"/>
      <c r="J45" s="45" t="str">
        <f t="shared" si="8"/>
        <v/>
      </c>
      <c r="K45" s="93"/>
      <c r="L45" s="152" t="str">
        <f t="shared" si="9"/>
        <v>No Quote</v>
      </c>
      <c r="M45" s="153"/>
      <c r="N45" s="44"/>
      <c r="O45" s="45" t="str">
        <f t="shared" si="10"/>
        <v/>
      </c>
      <c r="P45" s="93"/>
      <c r="Q45" s="152" t="str">
        <f t="shared" si="11"/>
        <v>No Quote</v>
      </c>
      <c r="R45" s="153"/>
      <c r="S45" s="44"/>
      <c r="T45" s="45" t="str">
        <f t="shared" si="12"/>
        <v/>
      </c>
      <c r="U45" s="92"/>
      <c r="V45" s="152" t="str">
        <f t="shared" si="13"/>
        <v>No Quote</v>
      </c>
      <c r="W45" s="153"/>
      <c r="X45" s="44"/>
      <c r="Y45" s="45" t="str">
        <f t="shared" si="14"/>
        <v/>
      </c>
      <c r="Z45" s="93"/>
      <c r="AA45" s="212" t="str">
        <f t="shared" si="15"/>
        <v>No Quote</v>
      </c>
      <c r="AB45" s="309"/>
      <c r="AC45" s="44"/>
      <c r="AD45" s="45" t="str">
        <f t="shared" si="16"/>
        <v/>
      </c>
      <c r="AE45" s="92"/>
      <c r="AF45" s="152" t="str">
        <f t="shared" si="17"/>
        <v>No Quote</v>
      </c>
      <c r="AG45" s="153"/>
      <c r="AH45" s="44"/>
      <c r="AI45" s="45" t="str">
        <f t="shared" si="18"/>
        <v/>
      </c>
      <c r="AJ45" s="92"/>
      <c r="AK45" s="152" t="str">
        <f t="shared" si="19"/>
        <v>No Quote</v>
      </c>
      <c r="AL45" s="153"/>
      <c r="AM45" s="44"/>
      <c r="AN45" s="45" t="str">
        <f t="shared" si="20"/>
        <v/>
      </c>
      <c r="AO45" s="92"/>
      <c r="AP45" s="212" t="str">
        <f t="shared" si="21"/>
        <v>No Quote</v>
      </c>
      <c r="AQ45" s="213"/>
      <c r="AR45" s="90"/>
      <c r="AS45" s="96"/>
      <c r="AT45" s="66" t="str">
        <f t="shared" si="22"/>
        <v/>
      </c>
      <c r="AU45" s="95"/>
      <c r="AV45" s="95"/>
      <c r="AW45" s="80" t="str">
        <f t="shared" si="23"/>
        <v>-</v>
      </c>
      <c r="AX45" s="80" t="str">
        <f t="shared" si="24"/>
        <v>-</v>
      </c>
      <c r="AY45" s="80" t="str">
        <f t="shared" si="25"/>
        <v>-</v>
      </c>
      <c r="AZ45" s="80" t="str">
        <f t="shared" si="26"/>
        <v>-</v>
      </c>
      <c r="BA45" s="80" t="str">
        <f t="shared" si="27"/>
        <v>-</v>
      </c>
      <c r="BB45" s="80" t="str">
        <f t="shared" si="28"/>
        <v>-</v>
      </c>
      <c r="BC45" s="80" t="str">
        <f t="shared" si="29"/>
        <v>-</v>
      </c>
      <c r="BD45" s="81" t="str">
        <f t="shared" si="5"/>
        <v/>
      </c>
      <c r="BE45" s="77" t="str">
        <f t="shared" si="30"/>
        <v/>
      </c>
      <c r="BF45" s="75" t="str">
        <f t="shared" si="6"/>
        <v/>
      </c>
      <c r="BG45" s="74" t="str">
        <f t="shared" si="31"/>
        <v/>
      </c>
      <c r="BH45" s="77" t="str">
        <f t="shared" si="32"/>
        <v/>
      </c>
      <c r="BI45" s="75" t="str">
        <f t="shared" si="7"/>
        <v/>
      </c>
      <c r="BJ45" s="74" t="str">
        <f t="shared" si="33"/>
        <v/>
      </c>
      <c r="BK45" s="77" t="str">
        <f t="shared" si="34"/>
        <v/>
      </c>
      <c r="BM45" s="104">
        <f t="shared" si="37"/>
        <v>0</v>
      </c>
      <c r="BN45" s="106"/>
    </row>
    <row r="46" spans="2:66" s="1" customFormat="1" ht="61.5" customHeight="1" outlineLevel="1" x14ac:dyDescent="0.25">
      <c r="B46" s="41">
        <f t="shared" si="36"/>
        <v>24</v>
      </c>
      <c r="C46" s="218"/>
      <c r="D46" s="218"/>
      <c r="E46" s="218"/>
      <c r="F46" s="218"/>
      <c r="G46" s="42"/>
      <c r="H46" s="43"/>
      <c r="I46" s="44"/>
      <c r="J46" s="45" t="str">
        <f t="shared" si="8"/>
        <v/>
      </c>
      <c r="K46" s="93"/>
      <c r="L46" s="152" t="str">
        <f t="shared" si="9"/>
        <v>No Quote</v>
      </c>
      <c r="M46" s="153"/>
      <c r="N46" s="44"/>
      <c r="O46" s="45" t="str">
        <f t="shared" si="10"/>
        <v/>
      </c>
      <c r="P46" s="93"/>
      <c r="Q46" s="152" t="str">
        <f t="shared" si="11"/>
        <v>No Quote</v>
      </c>
      <c r="R46" s="153"/>
      <c r="S46" s="44"/>
      <c r="T46" s="45" t="str">
        <f t="shared" si="12"/>
        <v/>
      </c>
      <c r="U46" s="92"/>
      <c r="V46" s="152" t="str">
        <f t="shared" si="13"/>
        <v>No Quote</v>
      </c>
      <c r="W46" s="153"/>
      <c r="X46" s="44"/>
      <c r="Y46" s="45" t="str">
        <f t="shared" si="14"/>
        <v/>
      </c>
      <c r="Z46" s="93"/>
      <c r="AA46" s="212" t="str">
        <f t="shared" si="15"/>
        <v>No Quote</v>
      </c>
      <c r="AB46" s="309"/>
      <c r="AC46" s="44"/>
      <c r="AD46" s="45" t="str">
        <f t="shared" si="16"/>
        <v/>
      </c>
      <c r="AE46" s="92"/>
      <c r="AF46" s="152" t="str">
        <f t="shared" si="17"/>
        <v>No Quote</v>
      </c>
      <c r="AG46" s="153"/>
      <c r="AH46" s="44"/>
      <c r="AI46" s="45" t="str">
        <f t="shared" si="18"/>
        <v/>
      </c>
      <c r="AJ46" s="92"/>
      <c r="AK46" s="152" t="str">
        <f t="shared" si="19"/>
        <v>No Quote</v>
      </c>
      <c r="AL46" s="153"/>
      <c r="AM46" s="44"/>
      <c r="AN46" s="45" t="str">
        <f t="shared" si="20"/>
        <v/>
      </c>
      <c r="AO46" s="92"/>
      <c r="AP46" s="212" t="str">
        <f t="shared" si="21"/>
        <v>No Quote</v>
      </c>
      <c r="AQ46" s="213"/>
      <c r="AR46" s="90"/>
      <c r="AS46" s="96"/>
      <c r="AT46" s="66" t="str">
        <f t="shared" si="22"/>
        <v/>
      </c>
      <c r="AU46" s="95"/>
      <c r="AV46" s="95"/>
      <c r="AW46" s="80" t="str">
        <f t="shared" si="23"/>
        <v>-</v>
      </c>
      <c r="AX46" s="80" t="str">
        <f t="shared" si="24"/>
        <v>-</v>
      </c>
      <c r="AY46" s="80" t="str">
        <f t="shared" si="25"/>
        <v>-</v>
      </c>
      <c r="AZ46" s="80" t="str">
        <f t="shared" si="26"/>
        <v>-</v>
      </c>
      <c r="BA46" s="80" t="str">
        <f t="shared" si="27"/>
        <v>-</v>
      </c>
      <c r="BB46" s="80" t="str">
        <f t="shared" si="28"/>
        <v>-</v>
      </c>
      <c r="BC46" s="80" t="str">
        <f t="shared" si="29"/>
        <v>-</v>
      </c>
      <c r="BD46" s="81" t="str">
        <f t="shared" si="5"/>
        <v/>
      </c>
      <c r="BE46" s="77" t="str">
        <f t="shared" si="30"/>
        <v/>
      </c>
      <c r="BF46" s="75" t="str">
        <f t="shared" si="6"/>
        <v/>
      </c>
      <c r="BG46" s="74" t="str">
        <f t="shared" si="31"/>
        <v/>
      </c>
      <c r="BH46" s="77" t="str">
        <f t="shared" si="32"/>
        <v/>
      </c>
      <c r="BI46" s="75" t="str">
        <f t="shared" si="7"/>
        <v/>
      </c>
      <c r="BJ46" s="74" t="str">
        <f t="shared" si="33"/>
        <v/>
      </c>
      <c r="BK46" s="77" t="str">
        <f t="shared" si="34"/>
        <v/>
      </c>
      <c r="BM46" s="104">
        <f t="shared" si="37"/>
        <v>0</v>
      </c>
      <c r="BN46" s="106"/>
    </row>
    <row r="47" spans="2:66" s="1" customFormat="1" ht="61.5" customHeight="1" outlineLevel="1" x14ac:dyDescent="0.25">
      <c r="B47" s="41">
        <f t="shared" si="36"/>
        <v>25</v>
      </c>
      <c r="C47" s="218"/>
      <c r="D47" s="218"/>
      <c r="E47" s="218"/>
      <c r="F47" s="218"/>
      <c r="G47" s="42"/>
      <c r="H47" s="43"/>
      <c r="I47" s="44"/>
      <c r="J47" s="45" t="str">
        <f t="shared" si="8"/>
        <v/>
      </c>
      <c r="K47" s="93"/>
      <c r="L47" s="152" t="str">
        <f t="shared" si="9"/>
        <v>No Quote</v>
      </c>
      <c r="M47" s="153"/>
      <c r="N47" s="44"/>
      <c r="O47" s="45" t="str">
        <f t="shared" si="10"/>
        <v/>
      </c>
      <c r="P47" s="93"/>
      <c r="Q47" s="152" t="str">
        <f t="shared" si="11"/>
        <v>No Quote</v>
      </c>
      <c r="R47" s="153"/>
      <c r="S47" s="44"/>
      <c r="T47" s="45" t="str">
        <f t="shared" si="12"/>
        <v/>
      </c>
      <c r="U47" s="92"/>
      <c r="V47" s="152" t="str">
        <f t="shared" si="13"/>
        <v>No Quote</v>
      </c>
      <c r="W47" s="153"/>
      <c r="X47" s="44"/>
      <c r="Y47" s="45" t="str">
        <f t="shared" si="14"/>
        <v/>
      </c>
      <c r="Z47" s="93"/>
      <c r="AA47" s="212" t="str">
        <f t="shared" si="15"/>
        <v>No Quote</v>
      </c>
      <c r="AB47" s="309"/>
      <c r="AC47" s="44"/>
      <c r="AD47" s="45" t="str">
        <f t="shared" si="16"/>
        <v/>
      </c>
      <c r="AE47" s="92"/>
      <c r="AF47" s="152" t="str">
        <f t="shared" si="17"/>
        <v>No Quote</v>
      </c>
      <c r="AG47" s="153"/>
      <c r="AH47" s="44"/>
      <c r="AI47" s="45" t="str">
        <f t="shared" si="18"/>
        <v/>
      </c>
      <c r="AJ47" s="92"/>
      <c r="AK47" s="152" t="str">
        <f t="shared" si="19"/>
        <v>No Quote</v>
      </c>
      <c r="AL47" s="153"/>
      <c r="AM47" s="44"/>
      <c r="AN47" s="45" t="str">
        <f t="shared" si="20"/>
        <v/>
      </c>
      <c r="AO47" s="92"/>
      <c r="AP47" s="212" t="str">
        <f t="shared" si="21"/>
        <v>No Quote</v>
      </c>
      <c r="AQ47" s="213"/>
      <c r="AR47" s="90"/>
      <c r="AS47" s="96"/>
      <c r="AT47" s="66" t="str">
        <f t="shared" si="22"/>
        <v/>
      </c>
      <c r="AU47" s="95"/>
      <c r="AV47" s="95"/>
      <c r="AW47" s="80" t="str">
        <f t="shared" si="23"/>
        <v>-</v>
      </c>
      <c r="AX47" s="80" t="str">
        <f t="shared" si="24"/>
        <v>-</v>
      </c>
      <c r="AY47" s="80" t="str">
        <f t="shared" si="25"/>
        <v>-</v>
      </c>
      <c r="AZ47" s="80" t="str">
        <f t="shared" si="26"/>
        <v>-</v>
      </c>
      <c r="BA47" s="80" t="str">
        <f t="shared" si="27"/>
        <v>-</v>
      </c>
      <c r="BB47" s="80" t="str">
        <f t="shared" si="28"/>
        <v>-</v>
      </c>
      <c r="BC47" s="80" t="str">
        <f t="shared" si="29"/>
        <v>-</v>
      </c>
      <c r="BD47" s="81" t="str">
        <f t="shared" si="5"/>
        <v/>
      </c>
      <c r="BE47" s="77" t="str">
        <f t="shared" si="30"/>
        <v/>
      </c>
      <c r="BF47" s="75" t="str">
        <f t="shared" si="6"/>
        <v/>
      </c>
      <c r="BG47" s="74" t="str">
        <f t="shared" si="31"/>
        <v/>
      </c>
      <c r="BH47" s="77" t="str">
        <f t="shared" si="32"/>
        <v/>
      </c>
      <c r="BI47" s="75" t="str">
        <f t="shared" si="7"/>
        <v/>
      </c>
      <c r="BJ47" s="74" t="str">
        <f t="shared" si="33"/>
        <v/>
      </c>
      <c r="BK47" s="77" t="str">
        <f t="shared" si="34"/>
        <v/>
      </c>
      <c r="BM47" s="104">
        <f t="shared" si="37"/>
        <v>0</v>
      </c>
      <c r="BN47" s="106"/>
    </row>
    <row r="48" spans="2:66" s="1" customFormat="1" ht="61.5" customHeight="1" outlineLevel="1" x14ac:dyDescent="0.25">
      <c r="B48" s="41">
        <f t="shared" si="36"/>
        <v>26</v>
      </c>
      <c r="C48" s="218"/>
      <c r="D48" s="218"/>
      <c r="E48" s="218"/>
      <c r="F48" s="218"/>
      <c r="G48" s="42"/>
      <c r="H48" s="43"/>
      <c r="I48" s="44"/>
      <c r="J48" s="45" t="str">
        <f t="shared" si="8"/>
        <v/>
      </c>
      <c r="K48" s="93"/>
      <c r="L48" s="152" t="str">
        <f t="shared" si="9"/>
        <v>No Quote</v>
      </c>
      <c r="M48" s="153"/>
      <c r="N48" s="44"/>
      <c r="O48" s="45" t="str">
        <f t="shared" si="10"/>
        <v/>
      </c>
      <c r="P48" s="93"/>
      <c r="Q48" s="152" t="str">
        <f t="shared" si="11"/>
        <v>No Quote</v>
      </c>
      <c r="R48" s="153"/>
      <c r="S48" s="44"/>
      <c r="T48" s="45" t="str">
        <f t="shared" si="12"/>
        <v/>
      </c>
      <c r="U48" s="92"/>
      <c r="V48" s="152" t="str">
        <f t="shared" si="13"/>
        <v>No Quote</v>
      </c>
      <c r="W48" s="153"/>
      <c r="X48" s="44"/>
      <c r="Y48" s="45" t="str">
        <f t="shared" si="14"/>
        <v/>
      </c>
      <c r="Z48" s="93"/>
      <c r="AA48" s="212" t="str">
        <f t="shared" si="15"/>
        <v>No Quote</v>
      </c>
      <c r="AB48" s="309"/>
      <c r="AC48" s="44"/>
      <c r="AD48" s="45" t="str">
        <f t="shared" si="16"/>
        <v/>
      </c>
      <c r="AE48" s="92"/>
      <c r="AF48" s="152" t="str">
        <f t="shared" si="17"/>
        <v>No Quote</v>
      </c>
      <c r="AG48" s="153"/>
      <c r="AH48" s="44"/>
      <c r="AI48" s="45" t="str">
        <f t="shared" si="18"/>
        <v/>
      </c>
      <c r="AJ48" s="92"/>
      <c r="AK48" s="152" t="str">
        <f t="shared" si="19"/>
        <v>No Quote</v>
      </c>
      <c r="AL48" s="153"/>
      <c r="AM48" s="44"/>
      <c r="AN48" s="45" t="str">
        <f t="shared" si="20"/>
        <v/>
      </c>
      <c r="AO48" s="92"/>
      <c r="AP48" s="212" t="str">
        <f t="shared" si="21"/>
        <v>No Quote</v>
      </c>
      <c r="AQ48" s="213"/>
      <c r="AR48" s="90"/>
      <c r="AS48" s="96"/>
      <c r="AT48" s="66" t="str">
        <f t="shared" si="22"/>
        <v/>
      </c>
      <c r="AU48" s="95"/>
      <c r="AV48" s="95"/>
      <c r="AW48" s="80" t="str">
        <f t="shared" si="23"/>
        <v>-</v>
      </c>
      <c r="AX48" s="80" t="str">
        <f t="shared" si="24"/>
        <v>-</v>
      </c>
      <c r="AY48" s="80" t="str">
        <f t="shared" si="25"/>
        <v>-</v>
      </c>
      <c r="AZ48" s="80" t="str">
        <f t="shared" si="26"/>
        <v>-</v>
      </c>
      <c r="BA48" s="80" t="str">
        <f t="shared" si="27"/>
        <v>-</v>
      </c>
      <c r="BB48" s="80" t="str">
        <f t="shared" si="28"/>
        <v>-</v>
      </c>
      <c r="BC48" s="80" t="str">
        <f t="shared" si="29"/>
        <v>-</v>
      </c>
      <c r="BD48" s="81" t="str">
        <f t="shared" si="5"/>
        <v/>
      </c>
      <c r="BE48" s="77" t="str">
        <f t="shared" si="30"/>
        <v/>
      </c>
      <c r="BF48" s="75" t="str">
        <f t="shared" si="6"/>
        <v/>
      </c>
      <c r="BG48" s="74" t="str">
        <f t="shared" si="31"/>
        <v/>
      </c>
      <c r="BH48" s="77" t="str">
        <f t="shared" si="32"/>
        <v/>
      </c>
      <c r="BI48" s="75" t="str">
        <f t="shared" si="7"/>
        <v/>
      </c>
      <c r="BJ48" s="74" t="str">
        <f t="shared" si="33"/>
        <v/>
      </c>
      <c r="BK48" s="77" t="str">
        <f t="shared" si="34"/>
        <v/>
      </c>
      <c r="BM48" s="104">
        <f t="shared" si="37"/>
        <v>0</v>
      </c>
      <c r="BN48" s="106"/>
    </row>
    <row r="49" spans="2:66" s="1" customFormat="1" ht="61.5" customHeight="1" outlineLevel="1" x14ac:dyDescent="0.25">
      <c r="B49" s="41">
        <f t="shared" si="36"/>
        <v>27</v>
      </c>
      <c r="C49" s="218"/>
      <c r="D49" s="218"/>
      <c r="E49" s="218"/>
      <c r="F49" s="218"/>
      <c r="G49" s="42"/>
      <c r="H49" s="43"/>
      <c r="I49" s="44"/>
      <c r="J49" s="45" t="str">
        <f t="shared" si="8"/>
        <v/>
      </c>
      <c r="K49" s="93"/>
      <c r="L49" s="152" t="str">
        <f t="shared" si="9"/>
        <v>No Quote</v>
      </c>
      <c r="M49" s="153"/>
      <c r="N49" s="44"/>
      <c r="O49" s="45" t="str">
        <f t="shared" si="10"/>
        <v/>
      </c>
      <c r="P49" s="93"/>
      <c r="Q49" s="152" t="str">
        <f t="shared" si="11"/>
        <v>No Quote</v>
      </c>
      <c r="R49" s="153"/>
      <c r="S49" s="44"/>
      <c r="T49" s="45" t="str">
        <f t="shared" si="12"/>
        <v/>
      </c>
      <c r="U49" s="92"/>
      <c r="V49" s="152" t="str">
        <f t="shared" si="13"/>
        <v>No Quote</v>
      </c>
      <c r="W49" s="153"/>
      <c r="X49" s="44"/>
      <c r="Y49" s="45" t="str">
        <f t="shared" si="14"/>
        <v/>
      </c>
      <c r="Z49" s="93"/>
      <c r="AA49" s="212" t="str">
        <f t="shared" si="15"/>
        <v>No Quote</v>
      </c>
      <c r="AB49" s="309"/>
      <c r="AC49" s="44"/>
      <c r="AD49" s="45" t="str">
        <f t="shared" si="16"/>
        <v/>
      </c>
      <c r="AE49" s="92"/>
      <c r="AF49" s="152" t="str">
        <f t="shared" si="17"/>
        <v>No Quote</v>
      </c>
      <c r="AG49" s="153"/>
      <c r="AH49" s="44"/>
      <c r="AI49" s="45" t="str">
        <f t="shared" si="18"/>
        <v/>
      </c>
      <c r="AJ49" s="92"/>
      <c r="AK49" s="152" t="str">
        <f t="shared" si="19"/>
        <v>No Quote</v>
      </c>
      <c r="AL49" s="153"/>
      <c r="AM49" s="44"/>
      <c r="AN49" s="45" t="str">
        <f t="shared" si="20"/>
        <v/>
      </c>
      <c r="AO49" s="92"/>
      <c r="AP49" s="212" t="str">
        <f t="shared" si="21"/>
        <v>No Quote</v>
      </c>
      <c r="AQ49" s="213"/>
      <c r="AR49" s="90"/>
      <c r="AS49" s="96"/>
      <c r="AT49" s="66" t="str">
        <f t="shared" si="22"/>
        <v/>
      </c>
      <c r="AU49" s="95"/>
      <c r="AV49" s="95"/>
      <c r="AW49" s="80" t="str">
        <f t="shared" si="23"/>
        <v>-</v>
      </c>
      <c r="AX49" s="80" t="str">
        <f t="shared" si="24"/>
        <v>-</v>
      </c>
      <c r="AY49" s="80" t="str">
        <f t="shared" si="25"/>
        <v>-</v>
      </c>
      <c r="AZ49" s="80" t="str">
        <f t="shared" si="26"/>
        <v>-</v>
      </c>
      <c r="BA49" s="80" t="str">
        <f t="shared" si="27"/>
        <v>-</v>
      </c>
      <c r="BB49" s="80" t="str">
        <f t="shared" si="28"/>
        <v>-</v>
      </c>
      <c r="BC49" s="80" t="str">
        <f t="shared" si="29"/>
        <v>-</v>
      </c>
      <c r="BD49" s="81" t="str">
        <f t="shared" si="5"/>
        <v/>
      </c>
      <c r="BE49" s="77" t="str">
        <f t="shared" si="30"/>
        <v/>
      </c>
      <c r="BF49" s="75" t="str">
        <f t="shared" si="6"/>
        <v/>
      </c>
      <c r="BG49" s="74" t="str">
        <f t="shared" si="31"/>
        <v/>
      </c>
      <c r="BH49" s="77" t="str">
        <f t="shared" si="32"/>
        <v/>
      </c>
      <c r="BI49" s="75" t="str">
        <f t="shared" si="7"/>
        <v/>
      </c>
      <c r="BJ49" s="74" t="str">
        <f t="shared" si="33"/>
        <v/>
      </c>
      <c r="BK49" s="77" t="str">
        <f t="shared" si="34"/>
        <v/>
      </c>
      <c r="BM49" s="104">
        <f t="shared" si="37"/>
        <v>0</v>
      </c>
      <c r="BN49" s="106"/>
    </row>
    <row r="50" spans="2:66" s="1" customFormat="1" ht="61.5" customHeight="1" outlineLevel="1" x14ac:dyDescent="0.25">
      <c r="B50" s="41">
        <f t="shared" si="36"/>
        <v>28</v>
      </c>
      <c r="C50" s="218"/>
      <c r="D50" s="218"/>
      <c r="E50" s="218"/>
      <c r="F50" s="218"/>
      <c r="G50" s="42"/>
      <c r="H50" s="43"/>
      <c r="I50" s="44"/>
      <c r="J50" s="45" t="str">
        <f t="shared" si="8"/>
        <v/>
      </c>
      <c r="K50" s="93"/>
      <c r="L50" s="152" t="str">
        <f t="shared" si="9"/>
        <v>No Quote</v>
      </c>
      <c r="M50" s="153"/>
      <c r="N50" s="44"/>
      <c r="O50" s="45" t="str">
        <f t="shared" si="10"/>
        <v/>
      </c>
      <c r="P50" s="93"/>
      <c r="Q50" s="152" t="str">
        <f t="shared" si="11"/>
        <v>No Quote</v>
      </c>
      <c r="R50" s="153"/>
      <c r="S50" s="44"/>
      <c r="T50" s="45" t="str">
        <f t="shared" si="12"/>
        <v/>
      </c>
      <c r="U50" s="92"/>
      <c r="V50" s="152" t="str">
        <f t="shared" si="13"/>
        <v>No Quote</v>
      </c>
      <c r="W50" s="153"/>
      <c r="X50" s="44"/>
      <c r="Y50" s="45" t="str">
        <f t="shared" si="14"/>
        <v/>
      </c>
      <c r="Z50" s="93"/>
      <c r="AA50" s="212" t="str">
        <f t="shared" si="15"/>
        <v>No Quote</v>
      </c>
      <c r="AB50" s="309"/>
      <c r="AC50" s="44"/>
      <c r="AD50" s="45" t="str">
        <f t="shared" si="16"/>
        <v/>
      </c>
      <c r="AE50" s="92"/>
      <c r="AF50" s="152" t="str">
        <f t="shared" si="17"/>
        <v>No Quote</v>
      </c>
      <c r="AG50" s="153"/>
      <c r="AH50" s="44"/>
      <c r="AI50" s="45" t="str">
        <f t="shared" si="18"/>
        <v/>
      </c>
      <c r="AJ50" s="92"/>
      <c r="AK50" s="152" t="str">
        <f t="shared" si="19"/>
        <v>No Quote</v>
      </c>
      <c r="AL50" s="153"/>
      <c r="AM50" s="44"/>
      <c r="AN50" s="45" t="str">
        <f t="shared" si="20"/>
        <v/>
      </c>
      <c r="AO50" s="92"/>
      <c r="AP50" s="212" t="str">
        <f t="shared" si="21"/>
        <v>No Quote</v>
      </c>
      <c r="AQ50" s="213"/>
      <c r="AR50" s="90"/>
      <c r="AS50" s="96"/>
      <c r="AT50" s="66" t="str">
        <f t="shared" si="22"/>
        <v/>
      </c>
      <c r="AU50" s="95"/>
      <c r="AV50" s="95"/>
      <c r="AW50" s="80" t="str">
        <f t="shared" si="23"/>
        <v>-</v>
      </c>
      <c r="AX50" s="80" t="str">
        <f t="shared" si="24"/>
        <v>-</v>
      </c>
      <c r="AY50" s="80" t="str">
        <f t="shared" si="25"/>
        <v>-</v>
      </c>
      <c r="AZ50" s="80" t="str">
        <f t="shared" si="26"/>
        <v>-</v>
      </c>
      <c r="BA50" s="80" t="str">
        <f t="shared" si="27"/>
        <v>-</v>
      </c>
      <c r="BB50" s="80" t="str">
        <f t="shared" si="28"/>
        <v>-</v>
      </c>
      <c r="BC50" s="80" t="str">
        <f t="shared" si="29"/>
        <v>-</v>
      </c>
      <c r="BD50" s="81" t="str">
        <f t="shared" si="5"/>
        <v/>
      </c>
      <c r="BE50" s="77" t="str">
        <f t="shared" si="30"/>
        <v/>
      </c>
      <c r="BF50" s="75" t="str">
        <f t="shared" si="6"/>
        <v/>
      </c>
      <c r="BG50" s="74" t="str">
        <f t="shared" si="31"/>
        <v/>
      </c>
      <c r="BH50" s="77" t="str">
        <f t="shared" si="32"/>
        <v/>
      </c>
      <c r="BI50" s="75" t="str">
        <f t="shared" si="7"/>
        <v/>
      </c>
      <c r="BJ50" s="74" t="str">
        <f t="shared" si="33"/>
        <v/>
      </c>
      <c r="BK50" s="77" t="str">
        <f t="shared" si="34"/>
        <v/>
      </c>
      <c r="BM50" s="104">
        <f t="shared" si="37"/>
        <v>0</v>
      </c>
      <c r="BN50" s="106"/>
    </row>
    <row r="51" spans="2:66" s="1" customFormat="1" ht="61.5" customHeight="1" outlineLevel="1" x14ac:dyDescent="0.25">
      <c r="B51" s="41">
        <f t="shared" si="36"/>
        <v>29</v>
      </c>
      <c r="C51" s="218"/>
      <c r="D51" s="218"/>
      <c r="E51" s="218"/>
      <c r="F51" s="218"/>
      <c r="G51" s="42"/>
      <c r="H51" s="43"/>
      <c r="I51" s="44"/>
      <c r="J51" s="45" t="str">
        <f t="shared" si="8"/>
        <v/>
      </c>
      <c r="K51" s="93"/>
      <c r="L51" s="152" t="str">
        <f t="shared" si="9"/>
        <v>No Quote</v>
      </c>
      <c r="M51" s="153"/>
      <c r="N51" s="44"/>
      <c r="O51" s="45" t="str">
        <f t="shared" si="10"/>
        <v/>
      </c>
      <c r="P51" s="93"/>
      <c r="Q51" s="152" t="str">
        <f t="shared" si="11"/>
        <v>No Quote</v>
      </c>
      <c r="R51" s="153"/>
      <c r="S51" s="44"/>
      <c r="T51" s="45" t="str">
        <f t="shared" si="12"/>
        <v/>
      </c>
      <c r="U51" s="92"/>
      <c r="V51" s="152" t="str">
        <f t="shared" si="13"/>
        <v>No Quote</v>
      </c>
      <c r="W51" s="153"/>
      <c r="X51" s="44"/>
      <c r="Y51" s="45" t="str">
        <f t="shared" si="14"/>
        <v/>
      </c>
      <c r="Z51" s="93"/>
      <c r="AA51" s="310" t="str">
        <f t="shared" si="15"/>
        <v>No Quote</v>
      </c>
      <c r="AB51" s="311"/>
      <c r="AC51" s="44"/>
      <c r="AD51" s="45" t="str">
        <f t="shared" si="16"/>
        <v/>
      </c>
      <c r="AE51" s="92"/>
      <c r="AF51" s="152" t="str">
        <f t="shared" si="17"/>
        <v>No Quote</v>
      </c>
      <c r="AG51" s="153"/>
      <c r="AH51" s="44"/>
      <c r="AI51" s="45" t="str">
        <f t="shared" si="18"/>
        <v/>
      </c>
      <c r="AJ51" s="92"/>
      <c r="AK51" s="152" t="str">
        <f t="shared" si="19"/>
        <v>No Quote</v>
      </c>
      <c r="AL51" s="153"/>
      <c r="AM51" s="44"/>
      <c r="AN51" s="45" t="str">
        <f t="shared" si="20"/>
        <v/>
      </c>
      <c r="AO51" s="92"/>
      <c r="AP51" s="212" t="str">
        <f t="shared" si="21"/>
        <v>No Quote</v>
      </c>
      <c r="AQ51" s="213"/>
      <c r="AR51" s="90"/>
      <c r="AS51" s="96"/>
      <c r="AT51" s="66" t="str">
        <f t="shared" si="22"/>
        <v/>
      </c>
      <c r="AU51" s="95"/>
      <c r="AV51" s="95"/>
      <c r="AW51" s="80" t="str">
        <f t="shared" si="23"/>
        <v>-</v>
      </c>
      <c r="AX51" s="80" t="str">
        <f t="shared" si="24"/>
        <v>-</v>
      </c>
      <c r="AY51" s="80" t="str">
        <f t="shared" si="25"/>
        <v>-</v>
      </c>
      <c r="AZ51" s="80" t="str">
        <f t="shared" si="26"/>
        <v>-</v>
      </c>
      <c r="BA51" s="80" t="str">
        <f t="shared" si="27"/>
        <v>-</v>
      </c>
      <c r="BB51" s="80" t="str">
        <f t="shared" si="28"/>
        <v>-</v>
      </c>
      <c r="BC51" s="80" t="str">
        <f t="shared" si="29"/>
        <v>-</v>
      </c>
      <c r="BD51" s="81" t="str">
        <f t="shared" si="5"/>
        <v/>
      </c>
      <c r="BE51" s="77" t="str">
        <f t="shared" si="30"/>
        <v/>
      </c>
      <c r="BF51" s="75" t="str">
        <f t="shared" si="6"/>
        <v/>
      </c>
      <c r="BG51" s="74" t="str">
        <f t="shared" si="31"/>
        <v/>
      </c>
      <c r="BH51" s="77" t="str">
        <f t="shared" si="32"/>
        <v/>
      </c>
      <c r="BI51" s="75" t="str">
        <f t="shared" si="7"/>
        <v/>
      </c>
      <c r="BJ51" s="74" t="str">
        <f t="shared" si="33"/>
        <v/>
      </c>
      <c r="BK51" s="77" t="str">
        <f t="shared" si="34"/>
        <v/>
      </c>
      <c r="BM51" s="104">
        <f t="shared" si="37"/>
        <v>0</v>
      </c>
      <c r="BN51" s="106"/>
    </row>
    <row r="52" spans="2:66" s="47" customFormat="1" ht="35.1" customHeight="1" x14ac:dyDescent="0.25">
      <c r="B52" s="214" t="s">
        <v>18</v>
      </c>
      <c r="C52" s="215"/>
      <c r="D52" s="215"/>
      <c r="E52" s="215"/>
      <c r="F52" s="215"/>
      <c r="G52" s="158" t="s">
        <v>36</v>
      </c>
      <c r="H52" s="159"/>
      <c r="I52" s="144">
        <f t="shared" ref="I52" si="38">SUMIF(K23:K51,"&lt;&gt;x",J23:J51)</f>
        <v>0</v>
      </c>
      <c r="J52" s="145"/>
      <c r="K52" s="145"/>
      <c r="L52" s="145"/>
      <c r="M52" s="146"/>
      <c r="N52" s="144">
        <f t="shared" ref="N52" si="39">SUMIF(P23:P51,"&lt;&gt;x",O23:O51)</f>
        <v>0</v>
      </c>
      <c r="O52" s="145"/>
      <c r="P52" s="145"/>
      <c r="Q52" s="145"/>
      <c r="R52" s="146"/>
      <c r="S52" s="144">
        <f t="shared" ref="S52" si="40">SUMIF(U23:U51,"&lt;&gt;x",T23:T51)</f>
        <v>0</v>
      </c>
      <c r="T52" s="145"/>
      <c r="U52" s="145"/>
      <c r="V52" s="145"/>
      <c r="W52" s="146"/>
      <c r="X52" s="144">
        <f t="shared" ref="X52" si="41">SUMIF(Z23:Z51,"&lt;&gt;x",Y23:Y51)</f>
        <v>0</v>
      </c>
      <c r="Y52" s="145"/>
      <c r="Z52" s="145"/>
      <c r="AA52" s="145"/>
      <c r="AB52" s="146"/>
      <c r="AC52" s="144">
        <f t="shared" ref="AC52" si="42">SUMIF(AE23:AE51,"&lt;&gt;x",AD23:AD51)</f>
        <v>0</v>
      </c>
      <c r="AD52" s="145"/>
      <c r="AE52" s="145"/>
      <c r="AF52" s="145"/>
      <c r="AG52" s="146"/>
      <c r="AH52" s="144">
        <f t="shared" ref="AH52" si="43">SUMIF(AJ23:AJ51,"&lt;&gt;x",AI23:AI51)</f>
        <v>0</v>
      </c>
      <c r="AI52" s="145"/>
      <c r="AJ52" s="145"/>
      <c r="AK52" s="145"/>
      <c r="AL52" s="146"/>
      <c r="AM52" s="144">
        <f t="shared" ref="AM52" si="44">SUMIF(AO23:AO51,"&lt;&gt;x",AN23:AN51)</f>
        <v>0</v>
      </c>
      <c r="AN52" s="145"/>
      <c r="AO52" s="145"/>
      <c r="AP52" s="145"/>
      <c r="AQ52" s="157"/>
      <c r="AW52" s="116">
        <f>SUM(AW23:AW51)</f>
        <v>0</v>
      </c>
      <c r="AX52" s="116">
        <f t="shared" ref="AX52:BC52" si="45">SUM(AX23:AX51)</f>
        <v>0</v>
      </c>
      <c r="AY52" s="116">
        <f t="shared" si="45"/>
        <v>0</v>
      </c>
      <c r="AZ52" s="116">
        <f t="shared" si="45"/>
        <v>0</v>
      </c>
      <c r="BA52" s="116">
        <f t="shared" si="45"/>
        <v>0</v>
      </c>
      <c r="BB52" s="116">
        <f t="shared" si="45"/>
        <v>0</v>
      </c>
      <c r="BC52" s="116">
        <f t="shared" si="45"/>
        <v>0</v>
      </c>
      <c r="BD52" s="81" t="str">
        <f t="shared" si="5"/>
        <v/>
      </c>
      <c r="BE52" s="77" t="str">
        <f t="shared" ref="BE52" si="46">IF(BD52=AW52,$AW$20,IF(BD52=AX52,$AX$20,IF(BD52=AY52,$AY$20,IF(BD52=AZ52,$AZ$20,IF(BD52=BA52,$BA$20,IF(BD52=BB52,$BB$20,IF(BD52=BC52,$BC$20,"")))))))</f>
        <v/>
      </c>
      <c r="BF52" s="75">
        <f t="shared" si="6"/>
        <v>0</v>
      </c>
      <c r="BG52" s="74" t="str">
        <f t="shared" si="31"/>
        <v/>
      </c>
      <c r="BH52" s="77">
        <f t="shared" ref="BH52" si="47">IFERROR(IF(BF52="","",IF(BF52=AW52,$AW$20,IF(BF52=AX52,$AX$20,IF(BF52=AY52,$AY$20,IF(BF52=AZ52,$AZ$20,IF(BF52=BA52,$BA$20,IF(BF52=BB52,$BB$20,IF(BF52=BC52,$BC$20,"")))))))),"")</f>
        <v>0</v>
      </c>
      <c r="BI52" s="75">
        <f t="shared" si="7"/>
        <v>0</v>
      </c>
      <c r="BJ52" s="74" t="str">
        <f t="shared" ref="BJ52" si="48">IFERROR(IF((BI52-$BD52)/$BD52&lt;0%,"",(BI52-$BD52)/$BD52),"")</f>
        <v/>
      </c>
      <c r="BK52" s="77">
        <f t="shared" ref="BK52" si="49">IFERROR(IF(BI52="","",IF(BI52=AW52,$AW$20,IF(BI52=AX52,$AX$20,IF(BI52=AY52,$AY$20,IF(BI52=AZ52,$AZ$20,IF(BI52=BA52,$BA$20,IF(BI52=BB52,$BB$20,IF(BI52=BC52,$BC$20,"")))))))),"")</f>
        <v>0</v>
      </c>
      <c r="BN52" s="107"/>
    </row>
    <row r="53" spans="2:66" s="47" customFormat="1" ht="35.1" customHeight="1" outlineLevel="1" x14ac:dyDescent="0.25">
      <c r="B53" s="216"/>
      <c r="C53" s="217"/>
      <c r="D53" s="217"/>
      <c r="E53" s="217"/>
      <c r="F53" s="217"/>
      <c r="G53" s="158" t="s">
        <v>37</v>
      </c>
      <c r="H53" s="159"/>
      <c r="I53" s="144">
        <f>I52+(I52*11%)</f>
        <v>0</v>
      </c>
      <c r="J53" s="145"/>
      <c r="K53" s="145"/>
      <c r="L53" s="145"/>
      <c r="M53" s="146"/>
      <c r="N53" s="144">
        <f>N52+(N52*11%)</f>
        <v>0</v>
      </c>
      <c r="O53" s="145"/>
      <c r="P53" s="145"/>
      <c r="Q53" s="145"/>
      <c r="R53" s="146"/>
      <c r="S53" s="144">
        <f>S52+(S52*11%)</f>
        <v>0</v>
      </c>
      <c r="T53" s="145"/>
      <c r="U53" s="145"/>
      <c r="V53" s="145"/>
      <c r="W53" s="146"/>
      <c r="X53" s="144">
        <f>X52+(X52*11%)</f>
        <v>0</v>
      </c>
      <c r="Y53" s="145"/>
      <c r="Z53" s="145"/>
      <c r="AA53" s="145"/>
      <c r="AB53" s="146"/>
      <c r="AC53" s="144">
        <f>AC52+(AC52*11%)</f>
        <v>0</v>
      </c>
      <c r="AD53" s="145"/>
      <c r="AE53" s="145"/>
      <c r="AF53" s="145"/>
      <c r="AG53" s="146"/>
      <c r="AH53" s="144">
        <f>AH52+(AH52*11%)</f>
        <v>0</v>
      </c>
      <c r="AI53" s="145"/>
      <c r="AJ53" s="145"/>
      <c r="AK53" s="145"/>
      <c r="AL53" s="146"/>
      <c r="AM53" s="144">
        <f>AM52+(AM52*11%)</f>
        <v>0</v>
      </c>
      <c r="AN53" s="145"/>
      <c r="AO53" s="145"/>
      <c r="AP53" s="145"/>
      <c r="AQ53" s="157"/>
      <c r="AW53" s="11" t="str">
        <f>IF(COUNTIF(AW23:AW51,"-")&gt;0,"No Full Item","Full Item")</f>
        <v>No Full Item</v>
      </c>
      <c r="AX53" s="11" t="str">
        <f t="shared" ref="AX53:BC53" si="50">IF(COUNTIF(AX23:AX51,"-")&gt;0,"No Full Item","Full Item")</f>
        <v>No Full Item</v>
      </c>
      <c r="AY53" s="11" t="str">
        <f t="shared" si="50"/>
        <v>No Full Item</v>
      </c>
      <c r="AZ53" s="11" t="str">
        <f t="shared" si="50"/>
        <v>No Full Item</v>
      </c>
      <c r="BA53" s="11" t="str">
        <f t="shared" si="50"/>
        <v>No Full Item</v>
      </c>
      <c r="BB53" s="11" t="str">
        <f t="shared" si="50"/>
        <v>No Full Item</v>
      </c>
      <c r="BC53" s="11" t="str">
        <f t="shared" si="50"/>
        <v>No Full Item</v>
      </c>
      <c r="BD53" s="72"/>
      <c r="BE53" s="78"/>
      <c r="BG53" s="71"/>
      <c r="BH53" s="78"/>
      <c r="BK53" s="78"/>
      <c r="BN53" s="107"/>
    </row>
    <row r="54" spans="2:66" s="47" customFormat="1" ht="35.1" customHeight="1" x14ac:dyDescent="0.25">
      <c r="B54" s="216"/>
      <c r="C54" s="217"/>
      <c r="D54" s="217"/>
      <c r="E54" s="217"/>
      <c r="F54" s="217"/>
      <c r="G54" s="158" t="s">
        <v>38</v>
      </c>
      <c r="H54" s="159"/>
      <c r="I54" s="144"/>
      <c r="J54" s="145"/>
      <c r="K54" s="145"/>
      <c r="L54" s="145"/>
      <c r="M54" s="146"/>
      <c r="N54" s="144"/>
      <c r="O54" s="145"/>
      <c r="P54" s="145"/>
      <c r="Q54" s="145"/>
      <c r="R54" s="146"/>
      <c r="S54" s="144"/>
      <c r="T54" s="145"/>
      <c r="U54" s="145"/>
      <c r="V54" s="145"/>
      <c r="W54" s="146"/>
      <c r="X54" s="144"/>
      <c r="Y54" s="145"/>
      <c r="Z54" s="145"/>
      <c r="AA54" s="145"/>
      <c r="AB54" s="146"/>
      <c r="AC54" s="144"/>
      <c r="AD54" s="145"/>
      <c r="AE54" s="145"/>
      <c r="AF54" s="145"/>
      <c r="AG54" s="146"/>
      <c r="AH54" s="144"/>
      <c r="AI54" s="145"/>
      <c r="AJ54" s="145"/>
      <c r="AK54" s="145"/>
      <c r="AL54" s="146"/>
      <c r="AM54" s="144"/>
      <c r="AN54" s="145"/>
      <c r="AO54" s="145"/>
      <c r="AP54" s="145"/>
      <c r="AQ54" s="157"/>
      <c r="BD54" s="72"/>
      <c r="BE54" s="78"/>
      <c r="BG54" s="71"/>
      <c r="BH54" s="78"/>
      <c r="BK54" s="78"/>
      <c r="BN54" s="107"/>
    </row>
    <row r="55" spans="2:66" s="1" customFormat="1" ht="80.25" customHeight="1" x14ac:dyDescent="0.25">
      <c r="B55" s="208" t="s">
        <v>39</v>
      </c>
      <c r="C55" s="209"/>
      <c r="D55" s="209"/>
      <c r="E55" s="209"/>
      <c r="F55" s="209"/>
      <c r="G55" s="209"/>
      <c r="H55" s="210"/>
      <c r="I55" s="211"/>
      <c r="J55" s="195"/>
      <c r="K55" s="195"/>
      <c r="L55" s="195"/>
      <c r="M55" s="196"/>
      <c r="N55" s="194"/>
      <c r="O55" s="195"/>
      <c r="P55" s="195"/>
      <c r="Q55" s="195"/>
      <c r="R55" s="196"/>
      <c r="S55" s="194"/>
      <c r="T55" s="195"/>
      <c r="U55" s="195"/>
      <c r="V55" s="195"/>
      <c r="W55" s="196"/>
      <c r="X55" s="312"/>
      <c r="Y55" s="313"/>
      <c r="Z55" s="313"/>
      <c r="AA55" s="313"/>
      <c r="AB55" s="314"/>
      <c r="AC55" s="194"/>
      <c r="AD55" s="195"/>
      <c r="AE55" s="195"/>
      <c r="AF55" s="195"/>
      <c r="AG55" s="196"/>
      <c r="AH55" s="194"/>
      <c r="AI55" s="195"/>
      <c r="AJ55" s="195"/>
      <c r="AK55" s="195"/>
      <c r="AL55" s="196"/>
      <c r="AM55" s="194"/>
      <c r="AN55" s="195"/>
      <c r="AO55" s="195"/>
      <c r="AP55" s="195"/>
      <c r="AQ55" s="197"/>
      <c r="BD55" s="82"/>
      <c r="BE55" s="73"/>
      <c r="BG55" s="68"/>
      <c r="BH55" s="73"/>
      <c r="BK55" s="73"/>
      <c r="BN55" s="3"/>
    </row>
    <row r="56" spans="2:66" s="1" customFormat="1" ht="120" customHeight="1" x14ac:dyDescent="0.25">
      <c r="B56" s="198"/>
      <c r="C56" s="199"/>
      <c r="D56" s="199"/>
      <c r="E56" s="199"/>
      <c r="F56" s="199"/>
      <c r="G56" s="199"/>
      <c r="H56" s="199"/>
      <c r="I56" s="200" t="s">
        <v>40</v>
      </c>
      <c r="J56" s="201"/>
      <c r="K56" s="201"/>
      <c r="L56" s="201"/>
      <c r="M56" s="202"/>
      <c r="N56" s="200" t="s">
        <v>40</v>
      </c>
      <c r="O56" s="201"/>
      <c r="P56" s="201"/>
      <c r="Q56" s="201"/>
      <c r="R56" s="202"/>
      <c r="S56" s="200" t="s">
        <v>40</v>
      </c>
      <c r="T56" s="201"/>
      <c r="U56" s="201"/>
      <c r="V56" s="201"/>
      <c r="W56" s="202"/>
      <c r="X56" s="316" t="s">
        <v>40</v>
      </c>
      <c r="Y56" s="317"/>
      <c r="Z56" s="317"/>
      <c r="AA56" s="317"/>
      <c r="AB56" s="318"/>
      <c r="AC56" s="200" t="s">
        <v>40</v>
      </c>
      <c r="AD56" s="201"/>
      <c r="AE56" s="201"/>
      <c r="AF56" s="201"/>
      <c r="AG56" s="202"/>
      <c r="AH56" s="200" t="s">
        <v>40</v>
      </c>
      <c r="AI56" s="201"/>
      <c r="AJ56" s="201"/>
      <c r="AK56" s="201"/>
      <c r="AL56" s="202"/>
      <c r="AM56" s="176" t="s">
        <v>40</v>
      </c>
      <c r="AN56" s="177"/>
      <c r="AO56" s="177"/>
      <c r="AP56" s="177"/>
      <c r="AQ56" s="178"/>
      <c r="BD56" s="82"/>
      <c r="BE56" s="73"/>
      <c r="BG56" s="68"/>
      <c r="BH56" s="73"/>
      <c r="BK56" s="73"/>
      <c r="BN56" s="3"/>
    </row>
    <row r="57" spans="2:66" s="50" customFormat="1" ht="15" customHeight="1" x14ac:dyDescent="0.25">
      <c r="B57" s="179" t="s">
        <v>41</v>
      </c>
      <c r="C57" s="180"/>
      <c r="D57" s="180"/>
      <c r="E57" s="180"/>
      <c r="F57" s="180"/>
      <c r="G57" s="180"/>
      <c r="H57" s="181"/>
      <c r="I57" s="162" t="s">
        <v>42</v>
      </c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295"/>
      <c r="AC57" s="162" t="s">
        <v>56</v>
      </c>
      <c r="AD57" s="163"/>
      <c r="AE57" s="163"/>
      <c r="AF57" s="163"/>
      <c r="AG57" s="163"/>
      <c r="AH57" s="167" t="s">
        <v>43</v>
      </c>
      <c r="AI57" s="168"/>
      <c r="AJ57" s="168"/>
      <c r="AK57" s="168"/>
      <c r="AL57" s="168"/>
      <c r="AM57" s="168"/>
      <c r="AN57" s="168"/>
      <c r="AO57" s="168"/>
      <c r="AP57" s="168"/>
      <c r="AQ57" s="193"/>
      <c r="BD57" s="84"/>
      <c r="BE57" s="73"/>
      <c r="BF57" s="1"/>
      <c r="BG57" s="68"/>
      <c r="BH57" s="73"/>
      <c r="BK57" s="73"/>
      <c r="BN57" s="108"/>
    </row>
    <row r="58" spans="2:66" s="1" customFormat="1" ht="90" customHeight="1" x14ac:dyDescent="0.25">
      <c r="B58" s="186"/>
      <c r="C58" s="187"/>
      <c r="D58" s="187"/>
      <c r="E58" s="187"/>
      <c r="F58" s="187"/>
      <c r="G58" s="187"/>
      <c r="H58" s="188"/>
      <c r="I58" s="16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296"/>
      <c r="AC58" s="164"/>
      <c r="AD58" s="165"/>
      <c r="AE58" s="165"/>
      <c r="AF58" s="165"/>
      <c r="AG58" s="165"/>
      <c r="AH58" s="164"/>
      <c r="AI58" s="165"/>
      <c r="AJ58" s="165"/>
      <c r="AK58" s="165"/>
      <c r="AL58" s="165"/>
      <c r="AM58" s="165"/>
      <c r="AN58" s="165"/>
      <c r="AO58" s="165"/>
      <c r="AP58" s="165"/>
      <c r="AQ58" s="175"/>
      <c r="BD58" s="82"/>
      <c r="BE58" s="73"/>
      <c r="BG58" s="68"/>
      <c r="BH58" s="73"/>
      <c r="BK58" s="73"/>
      <c r="BN58" s="3"/>
    </row>
    <row r="59" spans="2:66" s="1" customFormat="1" ht="13.5" x14ac:dyDescent="0.25">
      <c r="B59" s="203" t="s">
        <v>51</v>
      </c>
      <c r="C59" s="204"/>
      <c r="D59" s="204"/>
      <c r="E59" s="204"/>
      <c r="F59" s="204"/>
      <c r="G59" s="204"/>
      <c r="H59" s="205"/>
      <c r="I59" s="206" t="s">
        <v>44</v>
      </c>
      <c r="J59" s="166"/>
      <c r="K59" s="166"/>
      <c r="L59" s="166"/>
      <c r="M59" s="166"/>
      <c r="N59" s="166" t="s">
        <v>57</v>
      </c>
      <c r="O59" s="166"/>
      <c r="P59" s="166"/>
      <c r="Q59" s="166"/>
      <c r="R59" s="166"/>
      <c r="S59" s="166"/>
      <c r="T59" s="166"/>
      <c r="U59" s="166"/>
      <c r="V59" s="166"/>
      <c r="W59" s="166"/>
      <c r="X59" s="166" t="s">
        <v>46</v>
      </c>
      <c r="Y59" s="166"/>
      <c r="Z59" s="166"/>
      <c r="AA59" s="166"/>
      <c r="AB59" s="298"/>
      <c r="AC59" s="189" t="s">
        <v>53</v>
      </c>
      <c r="AD59" s="190"/>
      <c r="AE59" s="190"/>
      <c r="AF59" s="190"/>
      <c r="AG59" s="190"/>
      <c r="AH59" s="206" t="str">
        <f>IF(OR($I$52&lt;200000000,$N$52&lt;200000000,$S$52&lt;200000000,$X$52&lt;200000000,$AC$52&lt;200000000,$AH$52&lt;200000000,$AM$52&lt;200000000),"Mochammad Rusfandy","Mochammad Rusfandy")</f>
        <v>Mochammad Rusfandy</v>
      </c>
      <c r="AI59" s="166"/>
      <c r="AJ59" s="166"/>
      <c r="AK59" s="166"/>
      <c r="AL59" s="166"/>
      <c r="AM59" s="166" t="str">
        <f>IF(OR($I$52="",$N$52="",$S$52="",$X$52="",$AC$52="",$AH$52="",$AM$52=""),"",IF(OR($I$52&gt;50000000,$N$52&gt;200000000,$S$52&gt;200000000,$X$52&gt;200000000,$AC$52&gt;200000000,$AH$52&gt;200000000,$AM$52&gt;200000000),"Heri Gunawan",""))</f>
        <v/>
      </c>
      <c r="AN59" s="166"/>
      <c r="AO59" s="166"/>
      <c r="AP59" s="166"/>
      <c r="AQ59" s="182"/>
      <c r="BD59" s="82"/>
      <c r="BE59" s="73"/>
      <c r="BG59" s="68"/>
      <c r="BH59" s="73"/>
      <c r="BK59" s="73"/>
      <c r="BN59" s="3"/>
    </row>
    <row r="60" spans="2:66" s="1" customFormat="1" ht="13.5" x14ac:dyDescent="0.25">
      <c r="B60" s="51" t="s">
        <v>47</v>
      </c>
      <c r="C60" s="52"/>
      <c r="D60" s="183">
        <f ca="1">AN8</f>
        <v>46231</v>
      </c>
      <c r="E60" s="183"/>
      <c r="F60" s="183"/>
      <c r="G60" s="183"/>
      <c r="H60" s="184"/>
      <c r="I60" s="170" t="str">
        <f>IF(I59="","","Date:")</f>
        <v>Date:</v>
      </c>
      <c r="J60" s="170"/>
      <c r="K60" s="170"/>
      <c r="L60" s="170"/>
      <c r="M60" s="170"/>
      <c r="N60" s="170" t="str">
        <f>IF(N59="","","Date:")</f>
        <v>Date:</v>
      </c>
      <c r="O60" s="170"/>
      <c r="P60" s="170"/>
      <c r="Q60" s="170"/>
      <c r="R60" s="170"/>
      <c r="S60" s="170"/>
      <c r="T60" s="170"/>
      <c r="U60" s="170"/>
      <c r="V60" s="170"/>
      <c r="W60" s="170"/>
      <c r="X60" s="170" t="str">
        <f>IF(X59="","","Date:")</f>
        <v>Date:</v>
      </c>
      <c r="Y60" s="170"/>
      <c r="Z60" s="170"/>
      <c r="AA60" s="170"/>
      <c r="AB60" s="297"/>
      <c r="AC60" s="191" t="s">
        <v>54</v>
      </c>
      <c r="AD60" s="192"/>
      <c r="AE60" s="192"/>
      <c r="AF60" s="192"/>
      <c r="AG60" s="192"/>
      <c r="AH60" s="173" t="str">
        <f>IF(AH59="","","Date:")</f>
        <v>Date:</v>
      </c>
      <c r="AI60" s="170"/>
      <c r="AJ60" s="170"/>
      <c r="AK60" s="170"/>
      <c r="AL60" s="170"/>
      <c r="AM60" s="170" t="str">
        <f>IF(AM59="","","Date:")</f>
        <v/>
      </c>
      <c r="AN60" s="170"/>
      <c r="AO60" s="170"/>
      <c r="AP60" s="170"/>
      <c r="AQ60" s="174"/>
      <c r="BD60" s="82"/>
      <c r="BE60" s="73"/>
      <c r="BG60" s="68"/>
      <c r="BH60" s="73"/>
      <c r="BK60" s="73"/>
      <c r="BN60" s="3"/>
    </row>
    <row r="61" spans="2:66" s="1" customFormat="1" ht="15.75" customHeight="1" thickBot="1" x14ac:dyDescent="0.3">
      <c r="B61" s="299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0"/>
      <c r="AL61" s="300"/>
      <c r="AM61" s="300"/>
      <c r="AN61" s="300"/>
      <c r="AO61" s="300"/>
      <c r="AP61" s="300"/>
      <c r="AQ61" s="301"/>
      <c r="BD61" s="82"/>
      <c r="BE61" s="73"/>
      <c r="BG61" s="68"/>
      <c r="BH61" s="73"/>
      <c r="BK61" s="73"/>
      <c r="BN61" s="3"/>
    </row>
    <row r="62" spans="2:66" ht="17.25" hidden="1" thickTop="1" x14ac:dyDescent="0.25">
      <c r="L62" s="58"/>
      <c r="M62" s="58"/>
    </row>
    <row r="63" spans="2:66" ht="17.25" hidden="1" thickTop="1" x14ac:dyDescent="0.25">
      <c r="L63" s="58"/>
      <c r="M63" s="58"/>
    </row>
    <row r="64" spans="2:66" ht="17.25" hidden="1" thickTop="1" x14ac:dyDescent="0.25">
      <c r="J64" s="160"/>
      <c r="K64" s="161"/>
      <c r="L64" s="161"/>
      <c r="M64" s="161"/>
    </row>
    <row r="65" spans="4:16" ht="17.25" hidden="1" thickTop="1" x14ac:dyDescent="0.25">
      <c r="J65" s="160"/>
      <c r="K65" s="161"/>
      <c r="L65" s="161"/>
      <c r="M65" s="161"/>
    </row>
    <row r="66" spans="4:16" ht="17.25" hidden="1" thickTop="1" x14ac:dyDescent="0.25">
      <c r="J66" s="160"/>
      <c r="K66" s="161"/>
      <c r="L66" s="161"/>
      <c r="M66" s="161"/>
    </row>
    <row r="67" spans="4:16" ht="17.25" hidden="1" thickTop="1" x14ac:dyDescent="0.25">
      <c r="J67" s="160"/>
      <c r="K67" s="161"/>
      <c r="L67" s="161"/>
      <c r="M67" s="161"/>
      <c r="N67" s="160"/>
      <c r="O67" s="161"/>
      <c r="P67" s="161"/>
    </row>
    <row r="68" spans="4:16" ht="17.25" hidden="1" thickTop="1" x14ac:dyDescent="0.25">
      <c r="J68" s="160"/>
      <c r="K68" s="161"/>
      <c r="L68" s="161"/>
      <c r="M68" s="161"/>
    </row>
    <row r="69" spans="4:16" ht="17.25" hidden="1" thickTop="1" x14ac:dyDescent="0.25">
      <c r="J69" s="161"/>
      <c r="K69" s="161"/>
      <c r="L69" s="161"/>
      <c r="M69" s="161"/>
    </row>
    <row r="70" spans="4:16" ht="17.25" hidden="1" thickTop="1" x14ac:dyDescent="0.25">
      <c r="L70" s="58"/>
      <c r="M70" s="58"/>
    </row>
    <row r="71" spans="4:16" ht="17.25" hidden="1" thickTop="1" x14ac:dyDescent="0.25">
      <c r="L71" s="171"/>
      <c r="M71" s="171"/>
    </row>
    <row r="74" spans="4:16" ht="17.25" hidden="1" thickTop="1" x14ac:dyDescent="0.25">
      <c r="D74" s="59"/>
      <c r="E74" s="59"/>
      <c r="F74" s="59"/>
      <c r="G74" s="59"/>
      <c r="H74" s="59"/>
      <c r="I74" s="59"/>
    </row>
    <row r="75" spans="4:16" ht="17.25" hidden="1" thickTop="1" x14ac:dyDescent="0.25">
      <c r="D75" s="59"/>
      <c r="E75" s="59"/>
      <c r="F75" s="59"/>
      <c r="G75" s="59"/>
      <c r="H75" s="59"/>
      <c r="I75" s="59"/>
    </row>
    <row r="76" spans="4:16" ht="17.25" hidden="1" thickTop="1" x14ac:dyDescent="0.25">
      <c r="D76" s="59"/>
      <c r="E76" s="59"/>
      <c r="F76" s="59"/>
      <c r="G76" s="59"/>
      <c r="H76" s="59"/>
      <c r="I76" s="59"/>
    </row>
    <row r="77" spans="4:16" ht="17.25" hidden="1" thickTop="1" x14ac:dyDescent="0.25">
      <c r="D77" s="59"/>
      <c r="E77" s="59"/>
      <c r="F77" s="59"/>
      <c r="G77" s="59"/>
      <c r="H77" s="59"/>
      <c r="I77" s="59"/>
    </row>
    <row r="78" spans="4:16" ht="17.25" hidden="1" thickTop="1" x14ac:dyDescent="0.25">
      <c r="D78" s="59"/>
      <c r="E78" s="59"/>
      <c r="F78" s="60"/>
      <c r="G78" s="59"/>
      <c r="H78" s="59"/>
      <c r="I78" s="59"/>
    </row>
    <row r="79" spans="4:16" ht="15" hidden="1" customHeight="1" x14ac:dyDescent="0.25">
      <c r="D79" s="59"/>
      <c r="E79" s="59"/>
      <c r="F79" s="172"/>
      <c r="G79" s="172"/>
      <c r="H79" s="172"/>
      <c r="I79" s="59"/>
    </row>
    <row r="80" spans="4:16" ht="15" hidden="1" customHeight="1" x14ac:dyDescent="0.25">
      <c r="D80" s="59"/>
      <c r="E80" s="59"/>
      <c r="F80" s="172"/>
      <c r="G80" s="172"/>
      <c r="H80" s="172"/>
      <c r="I80" s="61"/>
      <c r="J80" s="62"/>
    </row>
    <row r="81" spans="4:9" ht="17.25" hidden="1" thickTop="1" x14ac:dyDescent="0.25">
      <c r="D81" s="59"/>
      <c r="E81" s="59"/>
      <c r="F81" s="59"/>
      <c r="G81" s="59"/>
      <c r="H81" s="59"/>
      <c r="I81" s="59"/>
    </row>
    <row r="82" spans="4:9" ht="17.25" hidden="1" thickTop="1" x14ac:dyDescent="0.25">
      <c r="D82" s="59"/>
      <c r="E82" s="59"/>
      <c r="F82" s="59"/>
      <c r="G82" s="59"/>
      <c r="H82" s="59"/>
      <c r="I82" s="59"/>
    </row>
    <row r="83" spans="4:9" ht="17.25" hidden="1" thickTop="1" x14ac:dyDescent="0.25">
      <c r="D83" s="59"/>
      <c r="E83" s="59"/>
      <c r="F83" s="59"/>
      <c r="G83" s="59"/>
      <c r="H83" s="59"/>
      <c r="I83" s="63"/>
    </row>
    <row r="84" spans="4:9" ht="17.25" hidden="1" thickTop="1" x14ac:dyDescent="0.25">
      <c r="D84" s="59"/>
      <c r="E84" s="59"/>
      <c r="F84" s="59"/>
      <c r="G84" s="59"/>
      <c r="H84" s="59"/>
      <c r="I84" s="59"/>
    </row>
  </sheetData>
  <mergeCells count="431">
    <mergeCell ref="AM13:AQ14"/>
    <mergeCell ref="AM15:AQ15"/>
    <mergeCell ref="AM16:AQ16"/>
    <mergeCell ref="AH59:AL59"/>
    <mergeCell ref="AM59:AQ59"/>
    <mergeCell ref="D60:H60"/>
    <mergeCell ref="I60:M60"/>
    <mergeCell ref="N60:R60"/>
    <mergeCell ref="S60:W60"/>
    <mergeCell ref="AC60:AG60"/>
    <mergeCell ref="AH60:AL60"/>
    <mergeCell ref="AM60:AQ60"/>
    <mergeCell ref="B59:H59"/>
    <mergeCell ref="I59:M59"/>
    <mergeCell ref="N59:R59"/>
    <mergeCell ref="S59:W59"/>
    <mergeCell ref="AC59:AG59"/>
    <mergeCell ref="AC56:AG56"/>
    <mergeCell ref="AH56:AL56"/>
    <mergeCell ref="AM56:AQ56"/>
    <mergeCell ref="B57:H57"/>
    <mergeCell ref="B58:H58"/>
    <mergeCell ref="AC54:AG54"/>
    <mergeCell ref="AH54:AL54"/>
    <mergeCell ref="J69:M69"/>
    <mergeCell ref="L71:M71"/>
    <mergeCell ref="F79:H80"/>
    <mergeCell ref="J64:M64"/>
    <mergeCell ref="J65:M65"/>
    <mergeCell ref="J66:M66"/>
    <mergeCell ref="J67:M67"/>
    <mergeCell ref="N67:P67"/>
    <mergeCell ref="J68:M68"/>
    <mergeCell ref="AH58:AQ58"/>
    <mergeCell ref="B56:H56"/>
    <mergeCell ref="I56:M56"/>
    <mergeCell ref="N56:R56"/>
    <mergeCell ref="S56:W56"/>
    <mergeCell ref="X56:AB56"/>
    <mergeCell ref="B55:H55"/>
    <mergeCell ref="I55:M55"/>
    <mergeCell ref="N55:R55"/>
    <mergeCell ref="S55:W55"/>
    <mergeCell ref="X55:AB55"/>
    <mergeCell ref="AC55:AG55"/>
    <mergeCell ref="AH55:AL55"/>
    <mergeCell ref="AM55:AQ55"/>
    <mergeCell ref="AH57:AQ57"/>
    <mergeCell ref="I57:AB57"/>
    <mergeCell ref="I58:AB58"/>
    <mergeCell ref="AM54:AQ54"/>
    <mergeCell ref="B52:F54"/>
    <mergeCell ref="G54:H54"/>
    <mergeCell ref="I54:M54"/>
    <mergeCell ref="N54:R54"/>
    <mergeCell ref="S54:W54"/>
    <mergeCell ref="X54:AB54"/>
    <mergeCell ref="AH52:AL52"/>
    <mergeCell ref="AM52:AQ52"/>
    <mergeCell ref="G53:H53"/>
    <mergeCell ref="I53:M53"/>
    <mergeCell ref="N53:R53"/>
    <mergeCell ref="S53:W53"/>
    <mergeCell ref="X53:AB53"/>
    <mergeCell ref="AC53:AG53"/>
    <mergeCell ref="AH53:AL53"/>
    <mergeCell ref="AM53:AQ53"/>
    <mergeCell ref="G52:H52"/>
    <mergeCell ref="I52:M52"/>
    <mergeCell ref="N52:R52"/>
    <mergeCell ref="S52:W52"/>
    <mergeCell ref="X52:AB52"/>
    <mergeCell ref="AC52:AG52"/>
    <mergeCell ref="C50:F50"/>
    <mergeCell ref="L50:M50"/>
    <mergeCell ref="Q50:R50"/>
    <mergeCell ref="V50:W50"/>
    <mergeCell ref="AA50:AB50"/>
    <mergeCell ref="AF50:AG50"/>
    <mergeCell ref="AK50:AL50"/>
    <mergeCell ref="AP50:AQ50"/>
    <mergeCell ref="AF51:AG51"/>
    <mergeCell ref="AK51:AL51"/>
    <mergeCell ref="AP51:AQ51"/>
    <mergeCell ref="C51:F51"/>
    <mergeCell ref="L51:M51"/>
    <mergeCell ref="Q51:R51"/>
    <mergeCell ref="V51:W51"/>
    <mergeCell ref="AA51:AB51"/>
    <mergeCell ref="C49:F49"/>
    <mergeCell ref="L49:M49"/>
    <mergeCell ref="Q49:R49"/>
    <mergeCell ref="V49:W49"/>
    <mergeCell ref="AA49:AB49"/>
    <mergeCell ref="AF49:AG49"/>
    <mergeCell ref="AK49:AL49"/>
    <mergeCell ref="AP49:AQ49"/>
    <mergeCell ref="C48:F48"/>
    <mergeCell ref="L48:M48"/>
    <mergeCell ref="Q48:R48"/>
    <mergeCell ref="V48:W48"/>
    <mergeCell ref="AA48:AB48"/>
    <mergeCell ref="AF48:AG48"/>
    <mergeCell ref="V47:W47"/>
    <mergeCell ref="AA47:AB47"/>
    <mergeCell ref="C46:F46"/>
    <mergeCell ref="L46:M46"/>
    <mergeCell ref="Q46:R46"/>
    <mergeCell ref="V46:W46"/>
    <mergeCell ref="AA46:AB46"/>
    <mergeCell ref="AK48:AL48"/>
    <mergeCell ref="AP48:AQ48"/>
    <mergeCell ref="AK46:AL46"/>
    <mergeCell ref="AP46:AQ46"/>
    <mergeCell ref="AF47:AG47"/>
    <mergeCell ref="AK47:AL47"/>
    <mergeCell ref="AP47:AQ47"/>
    <mergeCell ref="C47:F47"/>
    <mergeCell ref="L47:M47"/>
    <mergeCell ref="Q47:R47"/>
    <mergeCell ref="AK44:AL44"/>
    <mergeCell ref="AP44:AQ44"/>
    <mergeCell ref="C45:F45"/>
    <mergeCell ref="L45:M45"/>
    <mergeCell ref="Q45:R45"/>
    <mergeCell ref="V45:W45"/>
    <mergeCell ref="AA45:AB45"/>
    <mergeCell ref="AF45:AG45"/>
    <mergeCell ref="AK45:AL45"/>
    <mergeCell ref="AP45:AQ45"/>
    <mergeCell ref="C44:F44"/>
    <mergeCell ref="L44:M44"/>
    <mergeCell ref="Q44:R44"/>
    <mergeCell ref="V44:W44"/>
    <mergeCell ref="AA44:AB44"/>
    <mergeCell ref="AF44:AG44"/>
    <mergeCell ref="V43:W43"/>
    <mergeCell ref="AA43:AB43"/>
    <mergeCell ref="C42:F42"/>
    <mergeCell ref="L42:M42"/>
    <mergeCell ref="Q42:R42"/>
    <mergeCell ref="V42:W42"/>
    <mergeCell ref="AA42:AB42"/>
    <mergeCell ref="AF46:AG46"/>
    <mergeCell ref="AF42:AG42"/>
    <mergeCell ref="AK42:AL42"/>
    <mergeCell ref="AP42:AQ42"/>
    <mergeCell ref="AF43:AG43"/>
    <mergeCell ref="AK43:AL43"/>
    <mergeCell ref="AP43:AQ43"/>
    <mergeCell ref="AK40:AL40"/>
    <mergeCell ref="AP40:AQ40"/>
    <mergeCell ref="C41:F41"/>
    <mergeCell ref="L41:M41"/>
    <mergeCell ref="Q41:R41"/>
    <mergeCell ref="V41:W41"/>
    <mergeCell ref="AA41:AB41"/>
    <mergeCell ref="AF41:AG41"/>
    <mergeCell ref="AK41:AL41"/>
    <mergeCell ref="AP41:AQ41"/>
    <mergeCell ref="C40:F40"/>
    <mergeCell ref="L40:M40"/>
    <mergeCell ref="Q40:R40"/>
    <mergeCell ref="V40:W40"/>
    <mergeCell ref="AA40:AB40"/>
    <mergeCell ref="AF40:AG40"/>
    <mergeCell ref="C43:F43"/>
    <mergeCell ref="L43:M43"/>
    <mergeCell ref="Q43:R43"/>
    <mergeCell ref="AF39:AG39"/>
    <mergeCell ref="AK39:AL39"/>
    <mergeCell ref="AP39:AQ39"/>
    <mergeCell ref="AK36:AL36"/>
    <mergeCell ref="AP36:AQ36"/>
    <mergeCell ref="C37:F37"/>
    <mergeCell ref="L37:M37"/>
    <mergeCell ref="Q37:R37"/>
    <mergeCell ref="V37:W37"/>
    <mergeCell ref="AA37:AB37"/>
    <mergeCell ref="AF37:AG37"/>
    <mergeCell ref="AK37:AL37"/>
    <mergeCell ref="AP37:AQ37"/>
    <mergeCell ref="C36:F36"/>
    <mergeCell ref="L36:M36"/>
    <mergeCell ref="Q36:R36"/>
    <mergeCell ref="V36:W36"/>
    <mergeCell ref="AA36:AB36"/>
    <mergeCell ref="AF36:AG36"/>
    <mergeCell ref="C39:F39"/>
    <mergeCell ref="L39:M39"/>
    <mergeCell ref="Q39:R39"/>
    <mergeCell ref="V39:W39"/>
    <mergeCell ref="AA39:AB39"/>
    <mergeCell ref="AA35:AB35"/>
    <mergeCell ref="C34:F34"/>
    <mergeCell ref="L34:M34"/>
    <mergeCell ref="Q34:R34"/>
    <mergeCell ref="V34:W34"/>
    <mergeCell ref="AA34:AB34"/>
    <mergeCell ref="AF38:AG38"/>
    <mergeCell ref="AK38:AL38"/>
    <mergeCell ref="AP38:AQ38"/>
    <mergeCell ref="C38:F38"/>
    <mergeCell ref="L38:M38"/>
    <mergeCell ref="Q38:R38"/>
    <mergeCell ref="V38:W38"/>
    <mergeCell ref="AA38:AB38"/>
    <mergeCell ref="AP34:AQ34"/>
    <mergeCell ref="AF35:AG35"/>
    <mergeCell ref="AK35:AL35"/>
    <mergeCell ref="AP35:AQ35"/>
    <mergeCell ref="C35:F35"/>
    <mergeCell ref="L35:M35"/>
    <mergeCell ref="Q35:R35"/>
    <mergeCell ref="V35:W35"/>
    <mergeCell ref="AP32:AQ32"/>
    <mergeCell ref="C33:F33"/>
    <mergeCell ref="L33:M33"/>
    <mergeCell ref="Q33:R33"/>
    <mergeCell ref="V33:W33"/>
    <mergeCell ref="AA33:AB33"/>
    <mergeCell ref="AF33:AG33"/>
    <mergeCell ref="AK33:AL33"/>
    <mergeCell ref="AP33:AQ33"/>
    <mergeCell ref="C32:F32"/>
    <mergeCell ref="L32:M32"/>
    <mergeCell ref="Q32:R32"/>
    <mergeCell ref="V32:W32"/>
    <mergeCell ref="AA32:AB32"/>
    <mergeCell ref="AF32:AG32"/>
    <mergeCell ref="AA31:AB31"/>
    <mergeCell ref="C30:F30"/>
    <mergeCell ref="L30:M30"/>
    <mergeCell ref="Q30:R30"/>
    <mergeCell ref="V30:W30"/>
    <mergeCell ref="AA30:AB30"/>
    <mergeCell ref="AF34:AG34"/>
    <mergeCell ref="AK34:AL34"/>
    <mergeCell ref="AK30:AL30"/>
    <mergeCell ref="AK32:AL32"/>
    <mergeCell ref="AP30:AQ30"/>
    <mergeCell ref="AF31:AG31"/>
    <mergeCell ref="AK31:AL31"/>
    <mergeCell ref="AP31:AQ31"/>
    <mergeCell ref="AK28:AL28"/>
    <mergeCell ref="AP28:AQ28"/>
    <mergeCell ref="C29:F29"/>
    <mergeCell ref="L29:M29"/>
    <mergeCell ref="Q29:R29"/>
    <mergeCell ref="V29:W29"/>
    <mergeCell ref="AA29:AB29"/>
    <mergeCell ref="AF29:AG29"/>
    <mergeCell ref="AK29:AL29"/>
    <mergeCell ref="AP29:AQ29"/>
    <mergeCell ref="C28:F28"/>
    <mergeCell ref="L28:M28"/>
    <mergeCell ref="Q28:R28"/>
    <mergeCell ref="V28:W28"/>
    <mergeCell ref="AA28:AB28"/>
    <mergeCell ref="AF28:AG28"/>
    <mergeCell ref="C31:F31"/>
    <mergeCell ref="L31:M31"/>
    <mergeCell ref="Q31:R31"/>
    <mergeCell ref="V31:W31"/>
    <mergeCell ref="V27:W27"/>
    <mergeCell ref="AA27:AB27"/>
    <mergeCell ref="C26:F26"/>
    <mergeCell ref="L26:M26"/>
    <mergeCell ref="Q26:R26"/>
    <mergeCell ref="V26:W26"/>
    <mergeCell ref="AA26:AB26"/>
    <mergeCell ref="AF30:AG30"/>
    <mergeCell ref="AF26:AG26"/>
    <mergeCell ref="AK26:AL26"/>
    <mergeCell ref="AP26:AQ26"/>
    <mergeCell ref="AF27:AG27"/>
    <mergeCell ref="AK27:AL27"/>
    <mergeCell ref="AP27:AQ27"/>
    <mergeCell ref="C24:F24"/>
    <mergeCell ref="L24:M24"/>
    <mergeCell ref="Q24:R24"/>
    <mergeCell ref="V24:W24"/>
    <mergeCell ref="AA24:AB24"/>
    <mergeCell ref="AF24:AG24"/>
    <mergeCell ref="AK24:AL24"/>
    <mergeCell ref="AP24:AQ24"/>
    <mergeCell ref="C25:F25"/>
    <mergeCell ref="L25:M25"/>
    <mergeCell ref="Q25:R25"/>
    <mergeCell ref="V25:W25"/>
    <mergeCell ref="AA25:AB25"/>
    <mergeCell ref="AF25:AG25"/>
    <mergeCell ref="AK25:AL25"/>
    <mergeCell ref="AP25:AQ25"/>
    <mergeCell ref="C27:F27"/>
    <mergeCell ref="L27:M27"/>
    <mergeCell ref="Q27:R27"/>
    <mergeCell ref="BF22:BH22"/>
    <mergeCell ref="BI22:BK22"/>
    <mergeCell ref="C23:F23"/>
    <mergeCell ref="L23:M23"/>
    <mergeCell ref="Q23:R23"/>
    <mergeCell ref="V23:W23"/>
    <mergeCell ref="AA23:AB23"/>
    <mergeCell ref="C22:F22"/>
    <mergeCell ref="L22:M22"/>
    <mergeCell ref="Q22:R22"/>
    <mergeCell ref="V22:W22"/>
    <mergeCell ref="AA22:AB22"/>
    <mergeCell ref="BC20:BC22"/>
    <mergeCell ref="AF23:AG23"/>
    <mergeCell ref="AK23:AL23"/>
    <mergeCell ref="AP23:AQ23"/>
    <mergeCell ref="B19:F20"/>
    <mergeCell ref="G19:H19"/>
    <mergeCell ref="I19:M19"/>
    <mergeCell ref="N19:R19"/>
    <mergeCell ref="BD19:BD22"/>
    <mergeCell ref="G20:H20"/>
    <mergeCell ref="I20:M20"/>
    <mergeCell ref="N20:R20"/>
    <mergeCell ref="S20:W20"/>
    <mergeCell ref="X20:AB20"/>
    <mergeCell ref="G21:H21"/>
    <mergeCell ref="I21:M21"/>
    <mergeCell ref="N21:R21"/>
    <mergeCell ref="S21:W21"/>
    <mergeCell ref="X21:AB21"/>
    <mergeCell ref="AY20:AY22"/>
    <mergeCell ref="AZ20:AZ22"/>
    <mergeCell ref="BA20:BA22"/>
    <mergeCell ref="BB20:BB22"/>
    <mergeCell ref="AC20:AG20"/>
    <mergeCell ref="AH20:AL20"/>
    <mergeCell ref="AM20:AQ20"/>
    <mergeCell ref="AW20:AW22"/>
    <mergeCell ref="AX20:AX22"/>
    <mergeCell ref="AC21:AG21"/>
    <mergeCell ref="AH21:AL21"/>
    <mergeCell ref="AM21:AQ21"/>
    <mergeCell ref="AF22:AG22"/>
    <mergeCell ref="AK22:AL22"/>
    <mergeCell ref="AP22:AQ22"/>
    <mergeCell ref="AM17:AQ17"/>
    <mergeCell ref="X17:AB17"/>
    <mergeCell ref="AH18:AI18"/>
    <mergeCell ref="AJ18:AL18"/>
    <mergeCell ref="AM18:AN18"/>
    <mergeCell ref="AO18:AQ18"/>
    <mergeCell ref="AE18:AG18"/>
    <mergeCell ref="AH19:AL19"/>
    <mergeCell ref="AM19:AQ19"/>
    <mergeCell ref="S19:W19"/>
    <mergeCell ref="X19:AB19"/>
    <mergeCell ref="X18:Y18"/>
    <mergeCell ref="Z18:AB18"/>
    <mergeCell ref="AC18:AD18"/>
    <mergeCell ref="AC19:AG19"/>
    <mergeCell ref="AC17:AG17"/>
    <mergeCell ref="AH17:AL17"/>
    <mergeCell ref="N17:R17"/>
    <mergeCell ref="S17:W17"/>
    <mergeCell ref="B4:F6"/>
    <mergeCell ref="G4:AO6"/>
    <mergeCell ref="B7:D7"/>
    <mergeCell ref="AN7:AQ7"/>
    <mergeCell ref="B8:D8"/>
    <mergeCell ref="AN8:AQ8"/>
    <mergeCell ref="S11:W11"/>
    <mergeCell ref="X11:AB11"/>
    <mergeCell ref="AC11:AG11"/>
    <mergeCell ref="AH11:AL11"/>
    <mergeCell ref="AM11:AQ11"/>
    <mergeCell ref="B9:D9"/>
    <mergeCell ref="B10:C10"/>
    <mergeCell ref="F10:H10"/>
    <mergeCell ref="B11:F11"/>
    <mergeCell ref="G11:H12"/>
    <mergeCell ref="I11:M11"/>
    <mergeCell ref="N11:R11"/>
    <mergeCell ref="B12:F12"/>
    <mergeCell ref="J12:M12"/>
    <mergeCell ref="AN12:AQ12"/>
    <mergeCell ref="BM21:BN21"/>
    <mergeCell ref="BM22:BN22"/>
    <mergeCell ref="T12:W12"/>
    <mergeCell ref="Y12:AB12"/>
    <mergeCell ref="AD12:AG12"/>
    <mergeCell ref="AI12:AL12"/>
    <mergeCell ref="O12:R12"/>
    <mergeCell ref="G18:H18"/>
    <mergeCell ref="I18:J18"/>
    <mergeCell ref="K18:M18"/>
    <mergeCell ref="N18:O18"/>
    <mergeCell ref="P18:R18"/>
    <mergeCell ref="S18:T18"/>
    <mergeCell ref="U18:W18"/>
    <mergeCell ref="G17:H17"/>
    <mergeCell ref="I17:M17"/>
    <mergeCell ref="G15:H15"/>
    <mergeCell ref="I15:M15"/>
    <mergeCell ref="N15:R15"/>
    <mergeCell ref="S15:W15"/>
    <mergeCell ref="X15:AB15"/>
    <mergeCell ref="AC15:AG15"/>
    <mergeCell ref="AH15:AL15"/>
    <mergeCell ref="G16:H16"/>
    <mergeCell ref="B18:E18"/>
    <mergeCell ref="B61:AQ61"/>
    <mergeCell ref="F7:Q7"/>
    <mergeCell ref="F8:Q8"/>
    <mergeCell ref="F9:Q9"/>
    <mergeCell ref="X59:AB59"/>
    <mergeCell ref="X60:AB60"/>
    <mergeCell ref="AC57:AG57"/>
    <mergeCell ref="AC58:AG58"/>
    <mergeCell ref="B14:F16"/>
    <mergeCell ref="I16:M16"/>
    <mergeCell ref="N16:R16"/>
    <mergeCell ref="S16:W16"/>
    <mergeCell ref="X16:AB16"/>
    <mergeCell ref="AC16:AG16"/>
    <mergeCell ref="AH16:AL16"/>
    <mergeCell ref="I13:M14"/>
    <mergeCell ref="N13:R14"/>
    <mergeCell ref="S13:W14"/>
    <mergeCell ref="X13:AB14"/>
    <mergeCell ref="AC13:AG14"/>
    <mergeCell ref="AH13:AL14"/>
    <mergeCell ref="B13:F13"/>
    <mergeCell ref="G13:H14"/>
  </mergeCells>
  <conditionalFormatting sqref="I23:M51">
    <cfRule type="expression" dxfId="85" priority="1" stopIfTrue="1">
      <formula>$L23="No Quote"</formula>
    </cfRule>
  </conditionalFormatting>
  <conditionalFormatting sqref="K18">
    <cfRule type="expression" dxfId="84" priority="10" stopIfTrue="1">
      <formula>$I$18&gt;0</formula>
    </cfRule>
  </conditionalFormatting>
  <conditionalFormatting sqref="N23:R51">
    <cfRule type="expression" dxfId="83" priority="34" stopIfTrue="1">
      <formula>$Q23="No Quote"</formula>
    </cfRule>
  </conditionalFormatting>
  <conditionalFormatting sqref="P18">
    <cfRule type="expression" dxfId="82" priority="9" stopIfTrue="1">
      <formula>$N$18&gt;0</formula>
    </cfRule>
    <cfRule type="expression" dxfId="81" priority="17" stopIfTrue="1">
      <formula>$N$18</formula>
    </cfRule>
  </conditionalFormatting>
  <conditionalFormatting sqref="S23:W51">
    <cfRule type="expression" dxfId="80" priority="32" stopIfTrue="1">
      <formula>$V23="No Quote"</formula>
    </cfRule>
  </conditionalFormatting>
  <conditionalFormatting sqref="U18">
    <cfRule type="expression" dxfId="79" priority="16" stopIfTrue="1">
      <formula>$S$18&gt;0</formula>
    </cfRule>
  </conditionalFormatting>
  <conditionalFormatting sqref="X23:AB51">
    <cfRule type="expression" dxfId="78" priority="18" stopIfTrue="1">
      <formula>$AA23="No Quote"</formula>
    </cfRule>
  </conditionalFormatting>
  <conditionalFormatting sqref="Z18">
    <cfRule type="expression" dxfId="77" priority="15" stopIfTrue="1">
      <formula>$X$18&gt;0</formula>
    </cfRule>
  </conditionalFormatting>
  <conditionalFormatting sqref="AC23:AG51">
    <cfRule type="expression" dxfId="76" priority="31" stopIfTrue="1">
      <formula>$AF23="No Quote"</formula>
    </cfRule>
  </conditionalFormatting>
  <conditionalFormatting sqref="AE18">
    <cfRule type="expression" dxfId="75" priority="13" stopIfTrue="1">
      <formula>$AC$18&gt;0</formula>
    </cfRule>
  </conditionalFormatting>
  <conditionalFormatting sqref="AH23:AL51">
    <cfRule type="expression" dxfId="74" priority="30" stopIfTrue="1">
      <formula>$AK23="No Quote"</formula>
    </cfRule>
  </conditionalFormatting>
  <conditionalFormatting sqref="AJ18">
    <cfRule type="expression" dxfId="73" priority="12" stopIfTrue="1">
      <formula>$AH$18&gt;0</formula>
    </cfRule>
  </conditionalFormatting>
  <conditionalFormatting sqref="AM23:AQ51">
    <cfRule type="expression" dxfId="72" priority="29" stopIfTrue="1">
      <formula>$AP23="No Quote"</formula>
    </cfRule>
  </conditionalFormatting>
  <conditionalFormatting sqref="AO18">
    <cfRule type="expression" dxfId="71" priority="11" stopIfTrue="1">
      <formula>$AM$18&gt;0</formula>
    </cfRule>
  </conditionalFormatting>
  <conditionalFormatting sqref="AT23:AU51">
    <cfRule type="expression" dxfId="70" priority="3" stopIfTrue="1">
      <formula>$AT23&gt;$BD23</formula>
    </cfRule>
  </conditionalFormatting>
  <conditionalFormatting sqref="AW23:AW51">
    <cfRule type="expression" dxfId="69" priority="145" stopIfTrue="1">
      <formula>$AW23=$BD23</formula>
    </cfRule>
  </conditionalFormatting>
  <conditionalFormatting sqref="AX23:AX51">
    <cfRule type="expression" dxfId="68" priority="143" stopIfTrue="1">
      <formula>$AX23=$BD23</formula>
    </cfRule>
  </conditionalFormatting>
  <conditionalFormatting sqref="AY23:AY51">
    <cfRule type="expression" dxfId="67" priority="2" stopIfTrue="1">
      <formula>$AY23=$BD23</formula>
    </cfRule>
  </conditionalFormatting>
  <conditionalFormatting sqref="AZ23:AZ51">
    <cfRule type="expression" dxfId="66" priority="147" stopIfTrue="1">
      <formula>$AZ23=$BD23</formula>
    </cfRule>
  </conditionalFormatting>
  <conditionalFormatting sqref="BA23:BA51">
    <cfRule type="expression" dxfId="65" priority="6" stopIfTrue="1">
      <formula>$BA23=$BD23</formula>
    </cfRule>
  </conditionalFormatting>
  <conditionalFormatting sqref="BB23:BB51">
    <cfRule type="expression" dxfId="64" priority="5" stopIfTrue="1">
      <formula>$BB23=$BD23</formula>
    </cfRule>
  </conditionalFormatting>
  <conditionalFormatting sqref="BC23:BC51">
    <cfRule type="expression" dxfId="63" priority="4" stopIfTrue="1">
      <formula>$BC23=$BD23</formula>
    </cfRule>
  </conditionalFormatting>
  <dataValidations disablePrompts="1" count="3">
    <dataValidation type="list" allowBlank="1" showInputMessage="1" showErrorMessage="1" sqref="N59:R59" xr:uid="{50AE4648-F148-4D18-814C-7BE619FC9BA2}">
      <formula1>"Zulkifli Bastiandi, Teuku Syamsul Rizal, Nurhidayad Dawoed"</formula1>
    </dataValidation>
    <dataValidation type="list" allowBlank="1" showInputMessage="1" sqref="I21:AQ21" xr:uid="{C12FB1DC-4A30-43CB-B515-90AFF0456DB1}">
      <formula1>"MSW Tanjung, IBT Mekar Putih"</formula1>
    </dataValidation>
    <dataValidation type="list" allowBlank="1" showInputMessage="1" sqref="I20:AQ20" xr:uid="{FE90D6CB-1C89-4281-BF60-42011DDF9FBE}">
      <formula1>"Subject prior to sales"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9" scale="2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8DA6-694A-4F96-8FD4-FCE07F81B382}">
  <sheetPr codeName="Sheet11">
    <pageSetUpPr fitToPage="1"/>
  </sheetPr>
  <dimension ref="A1:BH84"/>
  <sheetViews>
    <sheetView showGridLines="0" view="pageBreakPreview" zoomScale="70" zoomScaleNormal="55" zoomScaleSheetLayoutView="70" workbookViewId="0">
      <selection activeCell="O48" sqref="O48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49" width="15.7109375" style="4" customWidth="1"/>
    <col min="50" max="50" width="15.7109375" style="59" customWidth="1"/>
    <col min="51" max="51" width="22" style="58" bestFit="1" customWidth="1"/>
    <col min="52" max="52" width="12" style="4" customWidth="1" outlineLevel="1"/>
    <col min="53" max="53" width="4.7109375" style="69" customWidth="1" outlineLevel="1"/>
    <col min="54" max="54" width="22" style="58" customWidth="1" outlineLevel="1"/>
    <col min="55" max="55" width="9.7109375" style="4" customWidth="1" outlineLevel="1"/>
    <col min="56" max="56" width="4.7109375" style="4" customWidth="1" outlineLevel="1"/>
    <col min="57" max="57" width="22" style="58" bestFit="1" customWidth="1" outlineLevel="1"/>
    <col min="58" max="58" width="9.28515625" customWidth="1"/>
    <col min="59" max="59" width="9.28515625" style="4" customWidth="1"/>
    <col min="60" max="60" width="20.7109375" style="5" customWidth="1"/>
    <col min="61" max="16384" width="9.28515625" style="4" hidden="1"/>
  </cols>
  <sheetData>
    <row r="1" spans="2:60" s="1" customFormat="1" ht="13.5" x14ac:dyDescent="0.25">
      <c r="D1" s="2"/>
      <c r="U1" s="3"/>
      <c r="AX1" s="82"/>
      <c r="AY1" s="73"/>
      <c r="BA1" s="68"/>
      <c r="BB1" s="73"/>
      <c r="BE1" s="73"/>
      <c r="BH1" s="3"/>
    </row>
    <row r="2" spans="2:60" s="1" customFormat="1" ht="13.5" x14ac:dyDescent="0.25">
      <c r="D2" s="2"/>
      <c r="U2" s="3"/>
      <c r="AX2" s="82"/>
      <c r="AY2" s="73"/>
      <c r="BA2" s="68"/>
      <c r="BB2" s="73"/>
      <c r="BE2" s="73"/>
      <c r="BH2" s="3"/>
    </row>
    <row r="3" spans="2:60" ht="17.25" thickBot="1" x14ac:dyDescent="0.3"/>
    <row r="4" spans="2:60" ht="20.100000000000001" customHeight="1" thickTop="1" x14ac:dyDescent="0.25">
      <c r="B4" s="272" t="s">
        <v>2</v>
      </c>
      <c r="C4" s="273"/>
      <c r="D4" s="273"/>
      <c r="E4" s="273"/>
      <c r="F4" s="273"/>
      <c r="G4" s="276" t="s">
        <v>3</v>
      </c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6"/>
      <c r="AL4" s="7"/>
    </row>
    <row r="5" spans="2:60" ht="20.100000000000001" customHeight="1" x14ac:dyDescent="0.25">
      <c r="B5" s="274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8"/>
      <c r="AL5" s="9"/>
    </row>
    <row r="6" spans="2:60" ht="20.100000000000001" customHeight="1" x14ac:dyDescent="0.25">
      <c r="B6" s="274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8"/>
      <c r="AL6" s="9"/>
    </row>
    <row r="7" spans="2:60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U7" s="13"/>
      <c r="AF7" s="14"/>
      <c r="AG7" s="15"/>
      <c r="AI7" s="278" t="s">
        <v>6</v>
      </c>
      <c r="AJ7" s="278"/>
      <c r="AK7" s="278"/>
      <c r="AL7" s="279"/>
      <c r="AX7" s="83"/>
      <c r="AY7" s="76"/>
      <c r="BA7" s="70"/>
      <c r="BB7" s="76"/>
      <c r="BE7" s="76"/>
      <c r="BH7" s="13"/>
    </row>
    <row r="8" spans="2:60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U8" s="13"/>
      <c r="AF8" s="16"/>
      <c r="AG8" s="15"/>
      <c r="AI8" s="256">
        <f ca="1">TODAY()</f>
        <v>46231</v>
      </c>
      <c r="AJ8" s="256"/>
      <c r="AK8" s="256"/>
      <c r="AL8" s="257"/>
      <c r="AX8" s="83"/>
      <c r="AY8" s="76"/>
      <c r="BA8" s="70"/>
      <c r="BB8" s="76"/>
      <c r="BE8" s="76"/>
      <c r="BH8" s="13"/>
    </row>
    <row r="9" spans="2:60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U9" s="13"/>
      <c r="AH9" s="10"/>
      <c r="AI9" s="17"/>
      <c r="AJ9" s="17"/>
      <c r="AK9" s="17"/>
      <c r="AL9" s="18"/>
      <c r="AX9" s="83"/>
      <c r="AY9" s="76"/>
      <c r="BA9" s="70"/>
      <c r="BB9" s="76"/>
      <c r="BE9" s="76"/>
      <c r="BH9" s="13"/>
    </row>
    <row r="10" spans="2:60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AL10" s="21"/>
    </row>
    <row r="11" spans="2:60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 t="shared" ref="S11" si="0">N11+1</f>
        <v>3</v>
      </c>
      <c r="T11" s="252"/>
      <c r="U11" s="252"/>
      <c r="V11" s="252"/>
      <c r="W11" s="253"/>
      <c r="X11" s="251">
        <f>S11+1</f>
        <v>4</v>
      </c>
      <c r="Y11" s="252"/>
      <c r="Z11" s="252"/>
      <c r="AA11" s="252"/>
      <c r="AB11" s="253"/>
      <c r="AC11" s="251">
        <f t="shared" ref="AC11" si="1">X11+1</f>
        <v>5</v>
      </c>
      <c r="AD11" s="252"/>
      <c r="AE11" s="252"/>
      <c r="AF11" s="252"/>
      <c r="AG11" s="253"/>
      <c r="AH11" s="251">
        <f t="shared" ref="AH11" si="2">AC11+1</f>
        <v>6</v>
      </c>
      <c r="AI11" s="252"/>
      <c r="AJ11" s="252"/>
      <c r="AK11" s="252"/>
      <c r="AL11" s="280"/>
      <c r="AX11" s="82"/>
      <c r="AY11" s="73"/>
      <c r="BA11" s="68"/>
      <c r="BB11" s="73"/>
      <c r="BE11" s="73"/>
      <c r="BH11" s="3"/>
    </row>
    <row r="12" spans="2:60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 t="s">
        <v>51</v>
      </c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7"/>
      <c r="X12" s="22"/>
      <c r="Y12" s="140"/>
      <c r="Z12" s="140"/>
      <c r="AA12" s="140"/>
      <c r="AB12" s="147"/>
      <c r="AC12" s="22"/>
      <c r="AD12" s="140"/>
      <c r="AE12" s="140"/>
      <c r="AF12" s="140"/>
      <c r="AG12" s="147"/>
      <c r="AH12" s="22"/>
      <c r="AI12" s="140"/>
      <c r="AJ12" s="140"/>
      <c r="AK12" s="140"/>
      <c r="AL12" s="141"/>
      <c r="AR12" s="3"/>
      <c r="AS12" s="3"/>
      <c r="AX12" s="82"/>
      <c r="AY12" s="73"/>
      <c r="BA12" s="68"/>
      <c r="BB12" s="73"/>
      <c r="BE12" s="73"/>
      <c r="BH12" s="3"/>
    </row>
    <row r="13" spans="2:60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48"/>
      <c r="X13" s="128">
        <v>0</v>
      </c>
      <c r="Y13" s="129"/>
      <c r="Z13" s="129"/>
      <c r="AA13" s="129"/>
      <c r="AB13" s="148"/>
      <c r="AC13" s="128">
        <v>0</v>
      </c>
      <c r="AD13" s="129"/>
      <c r="AE13" s="129"/>
      <c r="AF13" s="129"/>
      <c r="AG13" s="148"/>
      <c r="AH13" s="128">
        <v>0</v>
      </c>
      <c r="AI13" s="129"/>
      <c r="AJ13" s="129"/>
      <c r="AK13" s="129"/>
      <c r="AL13" s="130"/>
      <c r="AR13" s="3"/>
      <c r="AS13" s="3"/>
      <c r="AT13" s="3"/>
      <c r="AX13" s="82"/>
      <c r="AY13" s="73"/>
      <c r="BA13" s="68"/>
      <c r="BB13" s="73"/>
      <c r="BE13" s="73"/>
      <c r="BH13" s="3"/>
    </row>
    <row r="14" spans="2:60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49"/>
      <c r="X14" s="131"/>
      <c r="Y14" s="132"/>
      <c r="Z14" s="132"/>
      <c r="AA14" s="132"/>
      <c r="AB14" s="149"/>
      <c r="AC14" s="131"/>
      <c r="AD14" s="132"/>
      <c r="AE14" s="132"/>
      <c r="AF14" s="132"/>
      <c r="AG14" s="149"/>
      <c r="AH14" s="131"/>
      <c r="AI14" s="132"/>
      <c r="AJ14" s="132"/>
      <c r="AK14" s="132"/>
      <c r="AL14" s="133"/>
      <c r="AR14" s="3"/>
      <c r="AS14" s="3"/>
      <c r="AT14" s="3"/>
      <c r="AX14" s="82"/>
      <c r="AY14" s="73"/>
      <c r="BA14" s="68"/>
      <c r="BB14" s="73"/>
      <c r="BE14" s="73"/>
      <c r="BH14" s="3"/>
    </row>
    <row r="15" spans="2:60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50"/>
      <c r="X15" s="134"/>
      <c r="Y15" s="135"/>
      <c r="Z15" s="135"/>
      <c r="AA15" s="135"/>
      <c r="AB15" s="150"/>
      <c r="AC15" s="134"/>
      <c r="AD15" s="135"/>
      <c r="AE15" s="135"/>
      <c r="AF15" s="135"/>
      <c r="AG15" s="150"/>
      <c r="AH15" s="134"/>
      <c r="AI15" s="135"/>
      <c r="AJ15" s="135"/>
      <c r="AK15" s="135"/>
      <c r="AL15" s="136"/>
      <c r="AR15" s="3"/>
      <c r="AS15" s="3"/>
      <c r="AT15" s="3"/>
      <c r="AX15" s="82"/>
      <c r="AY15" s="73"/>
      <c r="BA15" s="68"/>
      <c r="BB15" s="73"/>
      <c r="BE15" s="73"/>
      <c r="BH15" s="3"/>
    </row>
    <row r="16" spans="2:60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51"/>
      <c r="X16" s="137" t="s">
        <v>51</v>
      </c>
      <c r="Y16" s="138"/>
      <c r="Z16" s="138"/>
      <c r="AA16" s="138"/>
      <c r="AB16" s="151"/>
      <c r="AC16" s="137" t="s">
        <v>51</v>
      </c>
      <c r="AD16" s="138"/>
      <c r="AE16" s="138"/>
      <c r="AF16" s="138"/>
      <c r="AG16" s="151"/>
      <c r="AH16" s="137" t="s">
        <v>51</v>
      </c>
      <c r="AI16" s="138"/>
      <c r="AJ16" s="138"/>
      <c r="AK16" s="138"/>
      <c r="AL16" s="139"/>
      <c r="AX16" s="82"/>
      <c r="AY16" s="73"/>
      <c r="BA16" s="68"/>
      <c r="BB16" s="73"/>
      <c r="BE16" s="73"/>
      <c r="BH16" s="3"/>
    </row>
    <row r="17" spans="2:60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7"/>
      <c r="X17" s="239"/>
      <c r="Y17" s="240"/>
      <c r="Z17" s="240"/>
      <c r="AA17" s="240"/>
      <c r="AB17" s="247"/>
      <c r="AC17" s="239"/>
      <c r="AD17" s="240"/>
      <c r="AE17" s="240"/>
      <c r="AF17" s="240"/>
      <c r="AG17" s="247"/>
      <c r="AH17" s="239"/>
      <c r="AI17" s="240"/>
      <c r="AJ17" s="240"/>
      <c r="AK17" s="240"/>
      <c r="AL17" s="241"/>
      <c r="AX17" s="82"/>
      <c r="AY17" s="73"/>
      <c r="BA17" s="68"/>
      <c r="BB17" s="73"/>
      <c r="BE17" s="73"/>
      <c r="BH17" s="3"/>
    </row>
    <row r="18" spans="2:60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5"/>
      <c r="X18" s="242" t="str">
        <f>IF(X12="","",IF(X12="NV","","30"))</f>
        <v/>
      </c>
      <c r="Y18" s="243"/>
      <c r="Z18" s="244" t="str">
        <f>IFERROR(IF(X17+X18="","",X17+X18),"")</f>
        <v/>
      </c>
      <c r="AA18" s="244"/>
      <c r="AB18" s="245"/>
      <c r="AC18" s="242" t="str">
        <f>IF(AC12="","",IF(AC12="NV","","30"))</f>
        <v/>
      </c>
      <c r="AD18" s="243"/>
      <c r="AE18" s="244" t="str">
        <f>IFERROR(IF(AC17+AC18="","",AC17+AC18),"")</f>
        <v/>
      </c>
      <c r="AF18" s="244"/>
      <c r="AG18" s="245"/>
      <c r="AH18" s="242" t="str">
        <f>IF(AH12="","",IF(AH12="NV","","30"))</f>
        <v/>
      </c>
      <c r="AI18" s="243"/>
      <c r="AJ18" s="244" t="str">
        <f>IFERROR(IF(AH17+AH18="","",AH17+AH18),"")</f>
        <v/>
      </c>
      <c r="AK18" s="244"/>
      <c r="AL18" s="246"/>
      <c r="AX18" s="82"/>
      <c r="AY18" s="73"/>
      <c r="BA18" s="68"/>
      <c r="BB18" s="73"/>
      <c r="BE18" s="73"/>
      <c r="BH18" s="3"/>
    </row>
    <row r="19" spans="2:60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159"/>
      <c r="X19" s="227" t="str">
        <f>IF(X12="NV","",IF(X12="","-","45 days"))</f>
        <v>-</v>
      </c>
      <c r="Y19" s="124"/>
      <c r="Z19" s="124"/>
      <c r="AA19" s="124"/>
      <c r="AB19" s="159"/>
      <c r="AC19" s="227" t="str">
        <f>IF(AC12="NV","",IF(AC12="","-","45 days"))</f>
        <v>-</v>
      </c>
      <c r="AD19" s="124"/>
      <c r="AE19" s="124"/>
      <c r="AF19" s="124"/>
      <c r="AG19" s="159"/>
      <c r="AH19" s="227" t="str">
        <f>IF(AH12="NV","",IF(AH12="","-","45 days"))</f>
        <v>-</v>
      </c>
      <c r="AI19" s="124"/>
      <c r="AJ19" s="124"/>
      <c r="AK19" s="124"/>
      <c r="AL19" s="228"/>
      <c r="AR19" s="25">
        <v>1</v>
      </c>
      <c r="AS19" s="25">
        <f>AR19+1</f>
        <v>2</v>
      </c>
      <c r="AT19" s="25">
        <f t="shared" ref="AT19:AW19" si="3">AS19+1</f>
        <v>3</v>
      </c>
      <c r="AU19" s="25">
        <f>AT19+1</f>
        <v>4</v>
      </c>
      <c r="AV19" s="25">
        <f t="shared" si="3"/>
        <v>5</v>
      </c>
      <c r="AW19" s="25">
        <f t="shared" si="3"/>
        <v>6</v>
      </c>
      <c r="AX19" s="125" t="s">
        <v>18</v>
      </c>
      <c r="AY19" s="73"/>
      <c r="BA19" s="68"/>
      <c r="BB19" s="73"/>
      <c r="BE19" s="73"/>
      <c r="BH19" s="3"/>
    </row>
    <row r="20" spans="2:60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159"/>
      <c r="X20" s="227" t="s">
        <v>50</v>
      </c>
      <c r="Y20" s="124"/>
      <c r="Z20" s="124"/>
      <c r="AA20" s="124"/>
      <c r="AB20" s="159"/>
      <c r="AC20" s="227" t="s">
        <v>50</v>
      </c>
      <c r="AD20" s="124"/>
      <c r="AE20" s="124"/>
      <c r="AF20" s="124"/>
      <c r="AG20" s="159"/>
      <c r="AH20" s="227" t="s">
        <v>50</v>
      </c>
      <c r="AI20" s="124"/>
      <c r="AJ20" s="124"/>
      <c r="AK20" s="124"/>
      <c r="AL20" s="228"/>
      <c r="AR20" s="223">
        <f>J12</f>
        <v>0</v>
      </c>
      <c r="AS20" s="223">
        <f>O12</f>
        <v>0</v>
      </c>
      <c r="AT20" s="223">
        <f>T12</f>
        <v>0</v>
      </c>
      <c r="AU20" s="223">
        <f>Y12</f>
        <v>0</v>
      </c>
      <c r="AV20" s="223">
        <f>AD12</f>
        <v>0</v>
      </c>
      <c r="AW20" s="223">
        <f>AI12</f>
        <v>0</v>
      </c>
      <c r="AX20" s="126"/>
      <c r="BH20" s="3"/>
    </row>
    <row r="21" spans="2:60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 t="str">
        <f>IF(J12="","","MSW Tanjung")</f>
        <v/>
      </c>
      <c r="J21" s="155"/>
      <c r="K21" s="155"/>
      <c r="L21" s="155"/>
      <c r="M21" s="156"/>
      <c r="N21" s="154" t="str">
        <f>IF(O12="","","MSW Tanjung")</f>
        <v/>
      </c>
      <c r="O21" s="155"/>
      <c r="P21" s="155"/>
      <c r="Q21" s="155"/>
      <c r="R21" s="156"/>
      <c r="S21" s="154" t="str">
        <f>IF(T12="","","MSW Tanjung")</f>
        <v/>
      </c>
      <c r="T21" s="155"/>
      <c r="U21" s="155"/>
      <c r="V21" s="155"/>
      <c r="W21" s="156"/>
      <c r="X21" s="154" t="str">
        <f>IF(Y12="","","MSW Tanjung")</f>
        <v/>
      </c>
      <c r="Y21" s="155"/>
      <c r="Z21" s="155"/>
      <c r="AA21" s="155"/>
      <c r="AB21" s="156"/>
      <c r="AC21" s="154" t="str">
        <f>IF(AD12="","","MSW Tanjung")</f>
        <v/>
      </c>
      <c r="AD21" s="155"/>
      <c r="AE21" s="155"/>
      <c r="AF21" s="155"/>
      <c r="AG21" s="156"/>
      <c r="AH21" s="154" t="str">
        <f>IF(AI12="","","MSW Tanjung")</f>
        <v/>
      </c>
      <c r="AI21" s="155"/>
      <c r="AJ21" s="155"/>
      <c r="AK21" s="155"/>
      <c r="AL21" s="222"/>
      <c r="AM21" s="50"/>
      <c r="AN21" s="50"/>
      <c r="AR21" s="223"/>
      <c r="AS21" s="223"/>
      <c r="AT21" s="223"/>
      <c r="AU21" s="223"/>
      <c r="AV21" s="223"/>
      <c r="AW21" s="223"/>
      <c r="AX21" s="126"/>
      <c r="AY21" s="73"/>
      <c r="BA21" s="68"/>
      <c r="BB21" s="73"/>
      <c r="BE21" s="73"/>
      <c r="BG21" s="123">
        <f>SUM(BG23:BG34)</f>
        <v>0</v>
      </c>
      <c r="BH21" s="124"/>
    </row>
    <row r="22" spans="2:60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2" t="s">
        <v>26</v>
      </c>
      <c r="O22" s="30" t="s">
        <v>18</v>
      </c>
      <c r="P22" s="33" t="s">
        <v>27</v>
      </c>
      <c r="Q22" s="220" t="s">
        <v>28</v>
      </c>
      <c r="R22" s="233"/>
      <c r="S22" s="34" t="s">
        <v>26</v>
      </c>
      <c r="T22" s="30" t="s">
        <v>18</v>
      </c>
      <c r="U22" s="35" t="s">
        <v>27</v>
      </c>
      <c r="V22" s="220" t="s">
        <v>28</v>
      </c>
      <c r="W22" s="221"/>
      <c r="X22" s="36" t="s">
        <v>26</v>
      </c>
      <c r="Y22" s="30" t="s">
        <v>18</v>
      </c>
      <c r="Z22" s="35" t="s">
        <v>27</v>
      </c>
      <c r="AA22" s="220" t="s">
        <v>28</v>
      </c>
      <c r="AB22" s="221"/>
      <c r="AC22" s="36" t="s">
        <v>26</v>
      </c>
      <c r="AD22" s="30" t="s">
        <v>18</v>
      </c>
      <c r="AE22" s="35" t="s">
        <v>27</v>
      </c>
      <c r="AF22" s="220" t="s">
        <v>28</v>
      </c>
      <c r="AG22" s="221"/>
      <c r="AH22" s="37" t="s">
        <v>26</v>
      </c>
      <c r="AI22" s="38" t="s">
        <v>18</v>
      </c>
      <c r="AJ22" s="39" t="s">
        <v>27</v>
      </c>
      <c r="AK22" s="229" t="s">
        <v>28</v>
      </c>
      <c r="AL22" s="230"/>
      <c r="AM22" s="40" t="s">
        <v>29</v>
      </c>
      <c r="AN22" s="40" t="s">
        <v>0</v>
      </c>
      <c r="AO22" s="40" t="s">
        <v>30</v>
      </c>
      <c r="AP22" s="40" t="s">
        <v>31</v>
      </c>
      <c r="AQ22" s="117" t="s">
        <v>1</v>
      </c>
      <c r="AR22" s="223"/>
      <c r="AS22" s="223"/>
      <c r="AT22" s="223"/>
      <c r="AU22" s="223"/>
      <c r="AV22" s="223"/>
      <c r="AW22" s="223"/>
      <c r="AX22" s="127"/>
      <c r="AY22" s="79" t="s">
        <v>32</v>
      </c>
      <c r="AZ22" s="219" t="s">
        <v>33</v>
      </c>
      <c r="BA22" s="219"/>
      <c r="BB22" s="219"/>
      <c r="BC22" s="219" t="s">
        <v>34</v>
      </c>
      <c r="BD22" s="219"/>
      <c r="BE22" s="219"/>
      <c r="BG22" s="142" t="s">
        <v>35</v>
      </c>
      <c r="BH22" s="143"/>
    </row>
    <row r="23" spans="2:60" s="1" customFormat="1" ht="61.5" customHeight="1" x14ac:dyDescent="0.25">
      <c r="B23" s="41">
        <v>1</v>
      </c>
      <c r="C23" s="218"/>
      <c r="D23" s="218"/>
      <c r="E23" s="218"/>
      <c r="F23" s="218"/>
      <c r="G23" s="42"/>
      <c r="H23" s="43"/>
      <c r="I23" s="44"/>
      <c r="J23" s="45" t="str">
        <f>IF($G23="","",$G23*I23)</f>
        <v/>
      </c>
      <c r="K23" s="93"/>
      <c r="L23" s="152" t="str">
        <f>IF($I23="","No Quote",IF($K23="","","No Comply"))</f>
        <v>No Quote</v>
      </c>
      <c r="M23" s="153"/>
      <c r="N23" s="44"/>
      <c r="O23" s="45" t="str">
        <f>IF($G23="","",$G23*N23)</f>
        <v/>
      </c>
      <c r="P23" s="93"/>
      <c r="Q23" s="152" t="str">
        <f>IF($N23="","No Quote",IF($P23="","","No Comply"))</f>
        <v>No Quote</v>
      </c>
      <c r="R23" s="153"/>
      <c r="S23" s="44"/>
      <c r="T23" s="45" t="str">
        <f>IF($G23="","",$G23*S23)</f>
        <v/>
      </c>
      <c r="U23" s="92"/>
      <c r="V23" s="152" t="str">
        <f>IF($S23="","No Quote",IF($U23="","","No Comply"))</f>
        <v>No Quote</v>
      </c>
      <c r="W23" s="153"/>
      <c r="X23" s="44"/>
      <c r="Y23" s="45" t="str">
        <f>IF($G23="","",$G23*X23)</f>
        <v/>
      </c>
      <c r="Z23" s="92"/>
      <c r="AA23" s="152" t="str">
        <f>IF($X23="","No Quote",IF($Z23="","","No Comply"))</f>
        <v>No Quote</v>
      </c>
      <c r="AB23" s="153"/>
      <c r="AC23" s="44"/>
      <c r="AD23" s="45" t="str">
        <f>IF($G23="","",$G23*AC23)</f>
        <v/>
      </c>
      <c r="AE23" s="92"/>
      <c r="AF23" s="152" t="str">
        <f>IF($AC23="","No Quote",IF($AE23="","","No Comply"))</f>
        <v>No Quote</v>
      </c>
      <c r="AG23" s="153"/>
      <c r="AH23" s="44"/>
      <c r="AI23" s="45" t="str">
        <f>IF($G23="","",$G23*AH23)</f>
        <v/>
      </c>
      <c r="AJ23" s="92"/>
      <c r="AK23" s="212" t="str">
        <f>IF($AH23="","No Quote",IF($AJ23="","","No Comply"))</f>
        <v>No Quote</v>
      </c>
      <c r="AL23" s="213"/>
      <c r="AM23" s="90"/>
      <c r="AN23" s="96"/>
      <c r="AO23" s="66" t="str">
        <f>IF(AM23="","",$AM23*$G23)</f>
        <v/>
      </c>
      <c r="AP23" s="95"/>
      <c r="AQ23" s="95"/>
      <c r="AR23" s="80" t="str">
        <f>IF(OR(K23="X",J23=""),"-",J23)</f>
        <v>-</v>
      </c>
      <c r="AS23" s="80" t="str">
        <f>IF(OR(P23="X",O23=""),"-",O23)</f>
        <v>-</v>
      </c>
      <c r="AT23" s="80" t="str">
        <f>IF(OR(U23="X",T23=""),"-",T23)</f>
        <v>-</v>
      </c>
      <c r="AU23" s="80" t="str">
        <f>IF(OR(Z23="X",Y23=""),"-",Y23)</f>
        <v>-</v>
      </c>
      <c r="AV23" s="80" t="str">
        <f>IF(OR(AE23="X",AD23=""),"-",AD23)</f>
        <v>-</v>
      </c>
      <c r="AW23" s="80" t="str">
        <f>IF(OR(AJ23="X",AI23=""),"-",AI23)</f>
        <v>-</v>
      </c>
      <c r="AX23" s="81" t="str">
        <f t="shared" ref="AX23:AX52" si="4">IFERROR(SMALL($AR23:$AW23,COUNTIF($AR23:$AW23,0)+1),"")</f>
        <v/>
      </c>
      <c r="AY23" s="77" t="str">
        <f>IF(AX23=AR23,$AR$20,IF(AX23=AS23,$AS$20,IF(AX23=AT23,$AT$20,IF(AX23=AU23,$AU$20,IF(AX23=AV23,$AV$20,IF(AX23=AW23,$AW$20,""))))))</f>
        <v/>
      </c>
      <c r="AZ23" s="75" t="str">
        <f t="shared" ref="AZ23:AZ52" si="5">IFERROR(SMALL($AR23:$AW23,2),"")</f>
        <v/>
      </c>
      <c r="BA23" s="74" t="str">
        <f>IFERROR(IF(($AZ23-$AX23)/$AX23&lt;0%,"",($AZ23-$AX23)/$AX23),"")</f>
        <v/>
      </c>
      <c r="BB23" s="77" t="str">
        <f>IFERROR(IF(AZ23="","",IF(AZ23=AR23,$AR$20,IF(AZ23=AS23,$AS$20,IF(AZ23=AT23,$AT$20,IF(AZ23=AU23,$AU$20,IF(AZ23=AV23,$AV$20,IF(AZ23=AW23,$AW$20,""))))))),"")</f>
        <v/>
      </c>
      <c r="BC23" s="75" t="str">
        <f t="shared" ref="BC23:BC52" si="6">IFERROR(SMALL($AR23:$AW23,3),"")</f>
        <v/>
      </c>
      <c r="BD23" s="74" t="str">
        <f>IFERROR(IF((BC23-$AX23)/$AX23&lt;0%,"",(BC23-$AX23)/$AX23),"")</f>
        <v/>
      </c>
      <c r="BE23" s="77" t="str">
        <f>IFERROR(IF(BC23="","",IF(BC23=AR23,$AR$20,IF(BC23=AS23,$AS$20,IF(BC23=AT23,$AT$20,IF(BC23=AU23,$AU$20,IF(BC23=AV23,$AV$20,IF(BC23=AW23,$AW$20,""))))))),"")</f>
        <v/>
      </c>
      <c r="BG23" s="104">
        <f>SUMIFS($AX$23:$AX$51,$AY$23:$AY$51,BH23)</f>
        <v>0</v>
      </c>
      <c r="BH23" s="105"/>
    </row>
    <row r="24" spans="2:60" s="1" customFormat="1" ht="61.5" customHeight="1" x14ac:dyDescent="0.25">
      <c r="B24" s="41">
        <f>B23+1</f>
        <v>2</v>
      </c>
      <c r="C24" s="218"/>
      <c r="D24" s="218"/>
      <c r="E24" s="218"/>
      <c r="F24" s="218"/>
      <c r="G24" s="42"/>
      <c r="H24" s="43"/>
      <c r="I24" s="44"/>
      <c r="J24" s="45" t="str">
        <f t="shared" ref="J24:J51" si="7">IF($G24="","",$G24*I24)</f>
        <v/>
      </c>
      <c r="K24" s="93"/>
      <c r="L24" s="152" t="str">
        <f t="shared" ref="L24:L51" si="8">IF($I24="","No Quote",IF($K24="","","No Comply"))</f>
        <v>No Quote</v>
      </c>
      <c r="M24" s="153"/>
      <c r="N24" s="44"/>
      <c r="O24" s="45" t="str">
        <f t="shared" ref="O24:O51" si="9">IF($G24="","",$G24*N24)</f>
        <v/>
      </c>
      <c r="P24" s="93"/>
      <c r="Q24" s="152" t="str">
        <f t="shared" ref="Q24:Q51" si="10">IF($N24="","No Quote",IF($P24="","","No Comply"))</f>
        <v>No Quote</v>
      </c>
      <c r="R24" s="153"/>
      <c r="S24" s="44"/>
      <c r="T24" s="45" t="str">
        <f t="shared" ref="T24:T51" si="11">IF($G24="","",$G24*S24)</f>
        <v/>
      </c>
      <c r="U24" s="92"/>
      <c r="V24" s="152" t="str">
        <f t="shared" ref="V24:V51" si="12">IF($S24="","No Quote",IF($U24="","","No Comply"))</f>
        <v>No Quote</v>
      </c>
      <c r="W24" s="153"/>
      <c r="X24" s="44"/>
      <c r="Y24" s="45" t="str">
        <f t="shared" ref="Y24:Y51" si="13">IF($G24="","",$G24*X24)</f>
        <v/>
      </c>
      <c r="Z24" s="92"/>
      <c r="AA24" s="152" t="str">
        <f t="shared" ref="AA24:AA51" si="14">IF($X24="","No Quote",IF($Z24="","","No Comply"))</f>
        <v>No Quote</v>
      </c>
      <c r="AB24" s="153"/>
      <c r="AC24" s="44"/>
      <c r="AD24" s="45" t="str">
        <f t="shared" ref="AD24:AD51" si="15">IF($G24="","",$G24*AC24)</f>
        <v/>
      </c>
      <c r="AE24" s="92"/>
      <c r="AF24" s="152" t="str">
        <f t="shared" ref="AF24:AF51" si="16">IF($AC24="","No Quote",IF($AE24="","","No Comply"))</f>
        <v>No Quote</v>
      </c>
      <c r="AG24" s="153"/>
      <c r="AH24" s="44"/>
      <c r="AI24" s="45" t="str">
        <f t="shared" ref="AI24:AI51" si="17">IF($G24="","",$G24*AH24)</f>
        <v/>
      </c>
      <c r="AJ24" s="92"/>
      <c r="AK24" s="212" t="str">
        <f t="shared" ref="AK24:AK51" si="18">IF($AH24="","No Quote",IF($AJ24="","","No Comply"))</f>
        <v>No Quote</v>
      </c>
      <c r="AL24" s="213"/>
      <c r="AM24" s="90"/>
      <c r="AN24" s="96"/>
      <c r="AO24" s="66" t="str">
        <f t="shared" ref="AO24:AO51" si="19">IF(AM24="","",$AM24*$G24)</f>
        <v/>
      </c>
      <c r="AP24" s="95"/>
      <c r="AQ24" s="95"/>
      <c r="AR24" s="80" t="str">
        <f t="shared" ref="AR24:AR51" si="20">IF(OR(K24="X",J24=""),"-",J24)</f>
        <v>-</v>
      </c>
      <c r="AS24" s="80" t="str">
        <f t="shared" ref="AS24:AS51" si="21">IF(OR(P24="X",O24=""),"-",O24)</f>
        <v>-</v>
      </c>
      <c r="AT24" s="80" t="str">
        <f t="shared" ref="AT24:AT51" si="22">IF(OR(U24="X",T24=""),"-",T24)</f>
        <v>-</v>
      </c>
      <c r="AU24" s="80" t="str">
        <f t="shared" ref="AU24:AU51" si="23">IF(OR(Z24="X",Y24=""),"-",Y24)</f>
        <v>-</v>
      </c>
      <c r="AV24" s="80" t="str">
        <f t="shared" ref="AV24:AV51" si="24">IF(OR(AE24="X",AD24=""),"-",AD24)</f>
        <v>-</v>
      </c>
      <c r="AW24" s="80" t="str">
        <f t="shared" ref="AW24:AW51" si="25">IF(OR(AJ24="X",AI24=""),"-",AI24)</f>
        <v>-</v>
      </c>
      <c r="AX24" s="81" t="str">
        <f t="shared" si="4"/>
        <v/>
      </c>
      <c r="AY24" s="77" t="str">
        <f t="shared" ref="AY24:AY51" si="26">IF(AX24=AR24,$AR$20,IF(AX24=AS24,$AS$20,IF(AX24=AT24,$AT$20,IF(AX24=AU24,$AU$20,IF(AX24=AV24,$AV$20,IF(AX24=AW24,$AW$20,""))))))</f>
        <v/>
      </c>
      <c r="AZ24" s="75" t="str">
        <f t="shared" si="5"/>
        <v/>
      </c>
      <c r="BA24" s="74" t="str">
        <f t="shared" ref="BA24:BA52" si="27">IFERROR(IF(($AZ24-$AX24)/$AX24&lt;0%,"",($AZ24-$AX24)/$AX24),"")</f>
        <v/>
      </c>
      <c r="BB24" s="77" t="str">
        <f t="shared" ref="BB24:BB51" si="28">IFERROR(IF(AZ24="","",IF(AZ24=AR24,$AR$20,IF(AZ24=AS24,$AS$20,IF(AZ24=AT24,$AT$20,IF(AZ24=AU24,$AU$20,IF(AZ24=AV24,$AV$20,IF(AZ24=AW24,$AW$20,""))))))),"")</f>
        <v/>
      </c>
      <c r="BC24" s="75" t="str">
        <f t="shared" si="6"/>
        <v/>
      </c>
      <c r="BD24" s="74" t="str">
        <f t="shared" ref="BD24:BD51" si="29">IFERROR(IF((BC24-$AX24)/$AX24&lt;0%,"",(BC24-$AX24)/$AX24),"")</f>
        <v/>
      </c>
      <c r="BE24" s="77" t="str">
        <f t="shared" ref="BE24:BE51" si="30">IFERROR(IF(BC24="","",IF(BC24=AR24,$AR$20,IF(BC24=AS24,$AS$20,IF(BC24=AT24,$AT$20,IF(BC24=AU24,$AU$20,IF(BC24=AV24,$AV$20,IF(BC24=AW24,$AW$20,""))))))),"")</f>
        <v/>
      </c>
      <c r="BG24" s="104">
        <f t="shared" ref="BG24:BG34" si="31">SUMIFS($AX$23:$AX$51,$AY$23:$AY$51,BH24)</f>
        <v>0</v>
      </c>
      <c r="BH24" s="106"/>
    </row>
    <row r="25" spans="2:60" s="1" customFormat="1" ht="61.5" customHeight="1" x14ac:dyDescent="0.25">
      <c r="B25" s="41">
        <f t="shared" ref="B25:B51" si="32">B24+1</f>
        <v>3</v>
      </c>
      <c r="C25" s="218"/>
      <c r="D25" s="218"/>
      <c r="E25" s="218"/>
      <c r="F25" s="218"/>
      <c r="G25" s="42"/>
      <c r="H25" s="43"/>
      <c r="I25" s="44"/>
      <c r="J25" s="45" t="str">
        <f t="shared" si="7"/>
        <v/>
      </c>
      <c r="K25" s="93"/>
      <c r="L25" s="152" t="str">
        <f t="shared" si="8"/>
        <v>No Quote</v>
      </c>
      <c r="M25" s="153"/>
      <c r="N25" s="44"/>
      <c r="O25" s="45" t="str">
        <f t="shared" si="9"/>
        <v/>
      </c>
      <c r="P25" s="93"/>
      <c r="Q25" s="152" t="str">
        <f t="shared" si="10"/>
        <v>No Quote</v>
      </c>
      <c r="R25" s="153"/>
      <c r="S25" s="44"/>
      <c r="T25" s="45" t="str">
        <f t="shared" si="11"/>
        <v/>
      </c>
      <c r="U25" s="92"/>
      <c r="V25" s="152" t="str">
        <f t="shared" si="12"/>
        <v>No Quote</v>
      </c>
      <c r="W25" s="153"/>
      <c r="X25" s="44"/>
      <c r="Y25" s="45" t="str">
        <f t="shared" si="13"/>
        <v/>
      </c>
      <c r="Z25" s="92"/>
      <c r="AA25" s="152" t="str">
        <f t="shared" si="14"/>
        <v>No Quote</v>
      </c>
      <c r="AB25" s="153"/>
      <c r="AC25" s="44"/>
      <c r="AD25" s="45" t="str">
        <f t="shared" si="15"/>
        <v/>
      </c>
      <c r="AE25" s="92"/>
      <c r="AF25" s="152" t="str">
        <f t="shared" si="16"/>
        <v>No Quote</v>
      </c>
      <c r="AG25" s="153"/>
      <c r="AH25" s="44"/>
      <c r="AI25" s="45" t="str">
        <f t="shared" si="17"/>
        <v/>
      </c>
      <c r="AJ25" s="92"/>
      <c r="AK25" s="212" t="str">
        <f t="shared" si="18"/>
        <v>No Quote</v>
      </c>
      <c r="AL25" s="213"/>
      <c r="AM25" s="90"/>
      <c r="AN25" s="96"/>
      <c r="AO25" s="66" t="str">
        <f t="shared" si="19"/>
        <v/>
      </c>
      <c r="AP25" s="95"/>
      <c r="AQ25" s="95"/>
      <c r="AR25" s="80" t="str">
        <f t="shared" si="20"/>
        <v>-</v>
      </c>
      <c r="AS25" s="80" t="str">
        <f t="shared" si="21"/>
        <v>-</v>
      </c>
      <c r="AT25" s="80" t="str">
        <f t="shared" si="22"/>
        <v>-</v>
      </c>
      <c r="AU25" s="80" t="str">
        <f t="shared" si="23"/>
        <v>-</v>
      </c>
      <c r="AV25" s="80" t="str">
        <f t="shared" si="24"/>
        <v>-</v>
      </c>
      <c r="AW25" s="80" t="str">
        <f t="shared" si="25"/>
        <v>-</v>
      </c>
      <c r="AX25" s="81" t="str">
        <f t="shared" si="4"/>
        <v/>
      </c>
      <c r="AY25" s="77" t="str">
        <f t="shared" si="26"/>
        <v/>
      </c>
      <c r="AZ25" s="75" t="str">
        <f t="shared" si="5"/>
        <v/>
      </c>
      <c r="BA25" s="74" t="str">
        <f t="shared" si="27"/>
        <v/>
      </c>
      <c r="BB25" s="77" t="str">
        <f t="shared" si="28"/>
        <v/>
      </c>
      <c r="BC25" s="75" t="str">
        <f t="shared" si="6"/>
        <v/>
      </c>
      <c r="BD25" s="74" t="str">
        <f t="shared" si="29"/>
        <v/>
      </c>
      <c r="BE25" s="77" t="str">
        <f t="shared" si="30"/>
        <v/>
      </c>
      <c r="BG25" s="104">
        <f t="shared" si="31"/>
        <v>0</v>
      </c>
      <c r="BH25" s="106"/>
    </row>
    <row r="26" spans="2:60" s="1" customFormat="1" ht="61.5" customHeight="1" x14ac:dyDescent="0.25">
      <c r="B26" s="41">
        <f t="shared" si="32"/>
        <v>4</v>
      </c>
      <c r="C26" s="218"/>
      <c r="D26" s="218"/>
      <c r="E26" s="218"/>
      <c r="F26" s="218"/>
      <c r="G26" s="42"/>
      <c r="H26" s="43"/>
      <c r="I26" s="44"/>
      <c r="J26" s="45" t="str">
        <f t="shared" si="7"/>
        <v/>
      </c>
      <c r="K26" s="93"/>
      <c r="L26" s="152" t="str">
        <f t="shared" si="8"/>
        <v>No Quote</v>
      </c>
      <c r="M26" s="153"/>
      <c r="N26" s="44"/>
      <c r="O26" s="45" t="str">
        <f t="shared" si="9"/>
        <v/>
      </c>
      <c r="P26" s="93"/>
      <c r="Q26" s="152" t="str">
        <f t="shared" si="10"/>
        <v>No Quote</v>
      </c>
      <c r="R26" s="153"/>
      <c r="S26" s="44"/>
      <c r="T26" s="45" t="str">
        <f t="shared" si="11"/>
        <v/>
      </c>
      <c r="U26" s="92"/>
      <c r="V26" s="152" t="str">
        <f t="shared" si="12"/>
        <v>No Quote</v>
      </c>
      <c r="W26" s="153"/>
      <c r="X26" s="44"/>
      <c r="Y26" s="45" t="str">
        <f t="shared" si="13"/>
        <v/>
      </c>
      <c r="Z26" s="92"/>
      <c r="AA26" s="152" t="str">
        <f t="shared" si="14"/>
        <v>No Quote</v>
      </c>
      <c r="AB26" s="153"/>
      <c r="AC26" s="44"/>
      <c r="AD26" s="45" t="str">
        <f t="shared" si="15"/>
        <v/>
      </c>
      <c r="AE26" s="92"/>
      <c r="AF26" s="152" t="str">
        <f t="shared" si="16"/>
        <v>No Quote</v>
      </c>
      <c r="AG26" s="153"/>
      <c r="AH26" s="44"/>
      <c r="AI26" s="45" t="str">
        <f t="shared" si="17"/>
        <v/>
      </c>
      <c r="AJ26" s="92"/>
      <c r="AK26" s="212" t="str">
        <f t="shared" si="18"/>
        <v>No Quote</v>
      </c>
      <c r="AL26" s="213"/>
      <c r="AM26" s="90"/>
      <c r="AN26" s="96"/>
      <c r="AO26" s="66" t="str">
        <f t="shared" si="19"/>
        <v/>
      </c>
      <c r="AP26" s="95"/>
      <c r="AQ26" s="95"/>
      <c r="AR26" s="80" t="str">
        <f t="shared" si="20"/>
        <v>-</v>
      </c>
      <c r="AS26" s="80" t="str">
        <f t="shared" si="21"/>
        <v>-</v>
      </c>
      <c r="AT26" s="80" t="str">
        <f t="shared" si="22"/>
        <v>-</v>
      </c>
      <c r="AU26" s="80" t="str">
        <f t="shared" si="23"/>
        <v>-</v>
      </c>
      <c r="AV26" s="80" t="str">
        <f t="shared" si="24"/>
        <v>-</v>
      </c>
      <c r="AW26" s="80" t="str">
        <f t="shared" si="25"/>
        <v>-</v>
      </c>
      <c r="AX26" s="81" t="str">
        <f t="shared" si="4"/>
        <v/>
      </c>
      <c r="AY26" s="77" t="str">
        <f t="shared" si="26"/>
        <v/>
      </c>
      <c r="AZ26" s="75" t="str">
        <f t="shared" si="5"/>
        <v/>
      </c>
      <c r="BA26" s="74" t="str">
        <f t="shared" si="27"/>
        <v/>
      </c>
      <c r="BB26" s="77" t="str">
        <f t="shared" si="28"/>
        <v/>
      </c>
      <c r="BC26" s="75" t="str">
        <f t="shared" si="6"/>
        <v/>
      </c>
      <c r="BD26" s="74" t="str">
        <f t="shared" si="29"/>
        <v/>
      </c>
      <c r="BE26" s="77" t="str">
        <f t="shared" si="30"/>
        <v/>
      </c>
      <c r="BG26" s="104">
        <f t="shared" si="31"/>
        <v>0</v>
      </c>
      <c r="BH26" s="106"/>
    </row>
    <row r="27" spans="2:60" s="1" customFormat="1" ht="61.5" customHeight="1" x14ac:dyDescent="0.25">
      <c r="B27" s="41">
        <f t="shared" si="32"/>
        <v>5</v>
      </c>
      <c r="C27" s="218"/>
      <c r="D27" s="218"/>
      <c r="E27" s="218"/>
      <c r="F27" s="218"/>
      <c r="G27" s="42"/>
      <c r="H27" s="43"/>
      <c r="I27" s="44"/>
      <c r="J27" s="45" t="str">
        <f t="shared" si="7"/>
        <v/>
      </c>
      <c r="K27" s="93"/>
      <c r="L27" s="152" t="str">
        <f t="shared" si="8"/>
        <v>No Quote</v>
      </c>
      <c r="M27" s="153"/>
      <c r="N27" s="44"/>
      <c r="O27" s="45" t="str">
        <f t="shared" si="9"/>
        <v/>
      </c>
      <c r="P27" s="93"/>
      <c r="Q27" s="152" t="str">
        <f t="shared" si="10"/>
        <v>No Quote</v>
      </c>
      <c r="R27" s="153"/>
      <c r="S27" s="44"/>
      <c r="T27" s="45" t="str">
        <f t="shared" si="11"/>
        <v/>
      </c>
      <c r="U27" s="92"/>
      <c r="V27" s="152" t="str">
        <f t="shared" si="12"/>
        <v>No Quote</v>
      </c>
      <c r="W27" s="153"/>
      <c r="X27" s="44"/>
      <c r="Y27" s="45" t="str">
        <f t="shared" si="13"/>
        <v/>
      </c>
      <c r="Z27" s="92"/>
      <c r="AA27" s="152" t="str">
        <f t="shared" si="14"/>
        <v>No Quote</v>
      </c>
      <c r="AB27" s="153"/>
      <c r="AC27" s="44"/>
      <c r="AD27" s="45" t="str">
        <f t="shared" si="15"/>
        <v/>
      </c>
      <c r="AE27" s="92"/>
      <c r="AF27" s="152" t="str">
        <f t="shared" si="16"/>
        <v>No Quote</v>
      </c>
      <c r="AG27" s="153"/>
      <c r="AH27" s="44"/>
      <c r="AI27" s="45" t="str">
        <f t="shared" si="17"/>
        <v/>
      </c>
      <c r="AJ27" s="92"/>
      <c r="AK27" s="212" t="str">
        <f t="shared" si="18"/>
        <v>No Quote</v>
      </c>
      <c r="AL27" s="213"/>
      <c r="AM27" s="90"/>
      <c r="AN27" s="96"/>
      <c r="AO27" s="66" t="str">
        <f t="shared" si="19"/>
        <v/>
      </c>
      <c r="AP27" s="95"/>
      <c r="AQ27" s="95"/>
      <c r="AR27" s="80" t="str">
        <f t="shared" si="20"/>
        <v>-</v>
      </c>
      <c r="AS27" s="80" t="str">
        <f t="shared" si="21"/>
        <v>-</v>
      </c>
      <c r="AT27" s="80" t="str">
        <f t="shared" si="22"/>
        <v>-</v>
      </c>
      <c r="AU27" s="80" t="str">
        <f t="shared" si="23"/>
        <v>-</v>
      </c>
      <c r="AV27" s="80" t="str">
        <f t="shared" si="24"/>
        <v>-</v>
      </c>
      <c r="AW27" s="80" t="str">
        <f t="shared" si="25"/>
        <v>-</v>
      </c>
      <c r="AX27" s="81" t="str">
        <f t="shared" si="4"/>
        <v/>
      </c>
      <c r="AY27" s="77" t="str">
        <f t="shared" si="26"/>
        <v/>
      </c>
      <c r="AZ27" s="75" t="str">
        <f t="shared" si="5"/>
        <v/>
      </c>
      <c r="BA27" s="74" t="str">
        <f t="shared" si="27"/>
        <v/>
      </c>
      <c r="BB27" s="77" t="str">
        <f t="shared" si="28"/>
        <v/>
      </c>
      <c r="BC27" s="75" t="str">
        <f t="shared" si="6"/>
        <v/>
      </c>
      <c r="BD27" s="74" t="str">
        <f t="shared" si="29"/>
        <v/>
      </c>
      <c r="BE27" s="77" t="str">
        <f t="shared" si="30"/>
        <v/>
      </c>
      <c r="BG27" s="104">
        <f t="shared" si="31"/>
        <v>0</v>
      </c>
      <c r="BH27" s="106"/>
    </row>
    <row r="28" spans="2:60" s="1" customFormat="1" ht="61.5" customHeight="1" outlineLevel="1" x14ac:dyDescent="0.25">
      <c r="B28" s="41">
        <f t="shared" si="32"/>
        <v>6</v>
      </c>
      <c r="C28" s="218"/>
      <c r="D28" s="218"/>
      <c r="E28" s="218"/>
      <c r="F28" s="218"/>
      <c r="G28" s="42"/>
      <c r="H28" s="43"/>
      <c r="I28" s="44"/>
      <c r="J28" s="45" t="str">
        <f t="shared" si="7"/>
        <v/>
      </c>
      <c r="K28" s="93"/>
      <c r="L28" s="152" t="str">
        <f t="shared" si="8"/>
        <v>No Quote</v>
      </c>
      <c r="M28" s="153"/>
      <c r="N28" s="44"/>
      <c r="O28" s="45" t="str">
        <f t="shared" si="9"/>
        <v/>
      </c>
      <c r="P28" s="93"/>
      <c r="Q28" s="152" t="str">
        <f t="shared" si="10"/>
        <v>No Quote</v>
      </c>
      <c r="R28" s="153"/>
      <c r="S28" s="44"/>
      <c r="T28" s="45" t="str">
        <f t="shared" si="11"/>
        <v/>
      </c>
      <c r="U28" s="92"/>
      <c r="V28" s="152" t="str">
        <f t="shared" si="12"/>
        <v>No Quote</v>
      </c>
      <c r="W28" s="153"/>
      <c r="X28" s="44"/>
      <c r="Y28" s="45" t="str">
        <f t="shared" si="13"/>
        <v/>
      </c>
      <c r="Z28" s="92"/>
      <c r="AA28" s="152" t="str">
        <f t="shared" si="14"/>
        <v>No Quote</v>
      </c>
      <c r="AB28" s="153"/>
      <c r="AC28" s="44"/>
      <c r="AD28" s="45" t="str">
        <f t="shared" si="15"/>
        <v/>
      </c>
      <c r="AE28" s="92"/>
      <c r="AF28" s="152" t="str">
        <f t="shared" si="16"/>
        <v>No Quote</v>
      </c>
      <c r="AG28" s="153"/>
      <c r="AH28" s="44"/>
      <c r="AI28" s="45" t="str">
        <f t="shared" si="17"/>
        <v/>
      </c>
      <c r="AJ28" s="92"/>
      <c r="AK28" s="212" t="str">
        <f t="shared" si="18"/>
        <v>No Quote</v>
      </c>
      <c r="AL28" s="213"/>
      <c r="AM28" s="90"/>
      <c r="AN28" s="96"/>
      <c r="AO28" s="66" t="str">
        <f t="shared" si="19"/>
        <v/>
      </c>
      <c r="AP28" s="95"/>
      <c r="AQ28" s="95"/>
      <c r="AR28" s="80" t="str">
        <f t="shared" si="20"/>
        <v>-</v>
      </c>
      <c r="AS28" s="80" t="str">
        <f t="shared" si="21"/>
        <v>-</v>
      </c>
      <c r="AT28" s="80" t="str">
        <f t="shared" si="22"/>
        <v>-</v>
      </c>
      <c r="AU28" s="80" t="str">
        <f t="shared" si="23"/>
        <v>-</v>
      </c>
      <c r="AV28" s="80" t="str">
        <f t="shared" si="24"/>
        <v>-</v>
      </c>
      <c r="AW28" s="80" t="str">
        <f t="shared" si="25"/>
        <v>-</v>
      </c>
      <c r="AX28" s="81" t="str">
        <f t="shared" si="4"/>
        <v/>
      </c>
      <c r="AY28" s="77" t="str">
        <f t="shared" si="26"/>
        <v/>
      </c>
      <c r="AZ28" s="75" t="str">
        <f t="shared" si="5"/>
        <v/>
      </c>
      <c r="BA28" s="74" t="str">
        <f t="shared" si="27"/>
        <v/>
      </c>
      <c r="BB28" s="77" t="str">
        <f t="shared" si="28"/>
        <v/>
      </c>
      <c r="BC28" s="75" t="str">
        <f t="shared" si="6"/>
        <v/>
      </c>
      <c r="BD28" s="74" t="str">
        <f t="shared" si="29"/>
        <v/>
      </c>
      <c r="BE28" s="77" t="str">
        <f t="shared" si="30"/>
        <v/>
      </c>
      <c r="BG28" s="104">
        <f t="shared" si="31"/>
        <v>0</v>
      </c>
      <c r="BH28" s="106"/>
    </row>
    <row r="29" spans="2:60" s="1" customFormat="1" ht="61.5" customHeight="1" outlineLevel="1" x14ac:dyDescent="0.25">
      <c r="B29" s="41">
        <f t="shared" si="32"/>
        <v>7</v>
      </c>
      <c r="C29" s="218"/>
      <c r="D29" s="218"/>
      <c r="E29" s="218"/>
      <c r="F29" s="218"/>
      <c r="G29" s="42"/>
      <c r="H29" s="43"/>
      <c r="I29" s="44"/>
      <c r="J29" s="45" t="str">
        <f t="shared" si="7"/>
        <v/>
      </c>
      <c r="K29" s="93"/>
      <c r="L29" s="152" t="str">
        <f t="shared" si="8"/>
        <v>No Quote</v>
      </c>
      <c r="M29" s="153"/>
      <c r="N29" s="44"/>
      <c r="O29" s="45" t="str">
        <f t="shared" si="9"/>
        <v/>
      </c>
      <c r="P29" s="93"/>
      <c r="Q29" s="152" t="str">
        <f t="shared" si="10"/>
        <v>No Quote</v>
      </c>
      <c r="R29" s="153"/>
      <c r="S29" s="44"/>
      <c r="T29" s="45" t="str">
        <f t="shared" si="11"/>
        <v/>
      </c>
      <c r="U29" s="92"/>
      <c r="V29" s="152" t="str">
        <f t="shared" si="12"/>
        <v>No Quote</v>
      </c>
      <c r="W29" s="153"/>
      <c r="X29" s="44"/>
      <c r="Y29" s="45" t="str">
        <f t="shared" si="13"/>
        <v/>
      </c>
      <c r="Z29" s="92"/>
      <c r="AA29" s="152" t="str">
        <f t="shared" si="14"/>
        <v>No Quote</v>
      </c>
      <c r="AB29" s="153"/>
      <c r="AC29" s="44"/>
      <c r="AD29" s="45" t="str">
        <f t="shared" si="15"/>
        <v/>
      </c>
      <c r="AE29" s="92"/>
      <c r="AF29" s="152" t="str">
        <f t="shared" si="16"/>
        <v>No Quote</v>
      </c>
      <c r="AG29" s="153"/>
      <c r="AH29" s="44"/>
      <c r="AI29" s="45" t="str">
        <f t="shared" si="17"/>
        <v/>
      </c>
      <c r="AJ29" s="92"/>
      <c r="AK29" s="212" t="str">
        <f t="shared" si="18"/>
        <v>No Quote</v>
      </c>
      <c r="AL29" s="213"/>
      <c r="AM29" s="90"/>
      <c r="AN29" s="96"/>
      <c r="AO29" s="66" t="str">
        <f t="shared" si="19"/>
        <v/>
      </c>
      <c r="AP29" s="95"/>
      <c r="AQ29" s="95"/>
      <c r="AR29" s="80" t="str">
        <f t="shared" si="20"/>
        <v>-</v>
      </c>
      <c r="AS29" s="80" t="str">
        <f t="shared" si="21"/>
        <v>-</v>
      </c>
      <c r="AT29" s="80" t="str">
        <f t="shared" si="22"/>
        <v>-</v>
      </c>
      <c r="AU29" s="80" t="str">
        <f t="shared" si="23"/>
        <v>-</v>
      </c>
      <c r="AV29" s="80" t="str">
        <f t="shared" si="24"/>
        <v>-</v>
      </c>
      <c r="AW29" s="80" t="str">
        <f t="shared" si="25"/>
        <v>-</v>
      </c>
      <c r="AX29" s="81" t="str">
        <f t="shared" si="4"/>
        <v/>
      </c>
      <c r="AY29" s="77" t="str">
        <f t="shared" si="26"/>
        <v/>
      </c>
      <c r="AZ29" s="75" t="str">
        <f t="shared" si="5"/>
        <v/>
      </c>
      <c r="BA29" s="74" t="str">
        <f t="shared" si="27"/>
        <v/>
      </c>
      <c r="BB29" s="77" t="str">
        <f t="shared" si="28"/>
        <v/>
      </c>
      <c r="BC29" s="75" t="str">
        <f t="shared" si="6"/>
        <v/>
      </c>
      <c r="BD29" s="74" t="str">
        <f t="shared" si="29"/>
        <v/>
      </c>
      <c r="BE29" s="77" t="str">
        <f t="shared" si="30"/>
        <v/>
      </c>
      <c r="BG29" s="104">
        <f t="shared" si="31"/>
        <v>0</v>
      </c>
      <c r="BH29" s="106"/>
    </row>
    <row r="30" spans="2:60" s="1" customFormat="1" ht="61.5" customHeight="1" outlineLevel="1" x14ac:dyDescent="0.25">
      <c r="B30" s="41">
        <f t="shared" si="32"/>
        <v>8</v>
      </c>
      <c r="C30" s="218"/>
      <c r="D30" s="218"/>
      <c r="E30" s="218"/>
      <c r="F30" s="218"/>
      <c r="G30" s="42"/>
      <c r="H30" s="43"/>
      <c r="I30" s="44"/>
      <c r="J30" s="45" t="str">
        <f t="shared" si="7"/>
        <v/>
      </c>
      <c r="K30" s="93"/>
      <c r="L30" s="152" t="str">
        <f t="shared" si="8"/>
        <v>No Quote</v>
      </c>
      <c r="M30" s="153"/>
      <c r="N30" s="44"/>
      <c r="O30" s="45" t="str">
        <f t="shared" si="9"/>
        <v/>
      </c>
      <c r="P30" s="93"/>
      <c r="Q30" s="152" t="str">
        <f t="shared" si="10"/>
        <v>No Quote</v>
      </c>
      <c r="R30" s="153"/>
      <c r="S30" s="44"/>
      <c r="T30" s="45" t="str">
        <f t="shared" si="11"/>
        <v/>
      </c>
      <c r="U30" s="92"/>
      <c r="V30" s="152" t="str">
        <f t="shared" si="12"/>
        <v>No Quote</v>
      </c>
      <c r="W30" s="153"/>
      <c r="X30" s="44"/>
      <c r="Y30" s="45" t="str">
        <f t="shared" si="13"/>
        <v/>
      </c>
      <c r="Z30" s="92"/>
      <c r="AA30" s="152" t="str">
        <f t="shared" si="14"/>
        <v>No Quote</v>
      </c>
      <c r="AB30" s="153"/>
      <c r="AC30" s="44"/>
      <c r="AD30" s="45" t="str">
        <f t="shared" si="15"/>
        <v/>
      </c>
      <c r="AE30" s="92"/>
      <c r="AF30" s="152" t="str">
        <f t="shared" si="16"/>
        <v>No Quote</v>
      </c>
      <c r="AG30" s="153"/>
      <c r="AH30" s="44"/>
      <c r="AI30" s="45" t="str">
        <f t="shared" si="17"/>
        <v/>
      </c>
      <c r="AJ30" s="92"/>
      <c r="AK30" s="212" t="str">
        <f t="shared" si="18"/>
        <v>No Quote</v>
      </c>
      <c r="AL30" s="213"/>
      <c r="AM30" s="90"/>
      <c r="AN30" s="96"/>
      <c r="AO30" s="66" t="str">
        <f t="shared" si="19"/>
        <v/>
      </c>
      <c r="AP30" s="95"/>
      <c r="AQ30" s="95"/>
      <c r="AR30" s="80" t="str">
        <f t="shared" si="20"/>
        <v>-</v>
      </c>
      <c r="AS30" s="80" t="str">
        <f t="shared" si="21"/>
        <v>-</v>
      </c>
      <c r="AT30" s="80" t="str">
        <f t="shared" si="22"/>
        <v>-</v>
      </c>
      <c r="AU30" s="80" t="str">
        <f t="shared" si="23"/>
        <v>-</v>
      </c>
      <c r="AV30" s="80" t="str">
        <f t="shared" si="24"/>
        <v>-</v>
      </c>
      <c r="AW30" s="80" t="str">
        <f t="shared" si="25"/>
        <v>-</v>
      </c>
      <c r="AX30" s="81" t="str">
        <f t="shared" si="4"/>
        <v/>
      </c>
      <c r="AY30" s="77" t="str">
        <f t="shared" si="26"/>
        <v/>
      </c>
      <c r="AZ30" s="75" t="str">
        <f t="shared" si="5"/>
        <v/>
      </c>
      <c r="BA30" s="74" t="str">
        <f t="shared" si="27"/>
        <v/>
      </c>
      <c r="BB30" s="77" t="str">
        <f t="shared" si="28"/>
        <v/>
      </c>
      <c r="BC30" s="75" t="str">
        <f t="shared" si="6"/>
        <v/>
      </c>
      <c r="BD30" s="74" t="str">
        <f t="shared" si="29"/>
        <v/>
      </c>
      <c r="BE30" s="77" t="str">
        <f t="shared" si="30"/>
        <v/>
      </c>
      <c r="BG30" s="104">
        <f t="shared" si="31"/>
        <v>0</v>
      </c>
      <c r="BH30" s="106"/>
    </row>
    <row r="31" spans="2:60" s="1" customFormat="1" ht="61.5" customHeight="1" outlineLevel="1" x14ac:dyDescent="0.25">
      <c r="B31" s="41">
        <f t="shared" si="32"/>
        <v>9</v>
      </c>
      <c r="C31" s="218"/>
      <c r="D31" s="218"/>
      <c r="E31" s="218"/>
      <c r="F31" s="218"/>
      <c r="G31" s="42"/>
      <c r="H31" s="43"/>
      <c r="I31" s="44"/>
      <c r="J31" s="45" t="str">
        <f t="shared" si="7"/>
        <v/>
      </c>
      <c r="K31" s="93"/>
      <c r="L31" s="152" t="str">
        <f t="shared" si="8"/>
        <v>No Quote</v>
      </c>
      <c r="M31" s="153"/>
      <c r="N31" s="44"/>
      <c r="O31" s="45" t="str">
        <f t="shared" si="9"/>
        <v/>
      </c>
      <c r="P31" s="93"/>
      <c r="Q31" s="152" t="str">
        <f t="shared" si="10"/>
        <v>No Quote</v>
      </c>
      <c r="R31" s="153"/>
      <c r="S31" s="44"/>
      <c r="T31" s="45" t="str">
        <f t="shared" si="11"/>
        <v/>
      </c>
      <c r="U31" s="92"/>
      <c r="V31" s="152" t="str">
        <f t="shared" si="12"/>
        <v>No Quote</v>
      </c>
      <c r="W31" s="153"/>
      <c r="X31" s="44"/>
      <c r="Y31" s="45" t="str">
        <f t="shared" si="13"/>
        <v/>
      </c>
      <c r="Z31" s="92"/>
      <c r="AA31" s="152" t="str">
        <f t="shared" si="14"/>
        <v>No Quote</v>
      </c>
      <c r="AB31" s="153"/>
      <c r="AC31" s="44"/>
      <c r="AD31" s="45" t="str">
        <f t="shared" si="15"/>
        <v/>
      </c>
      <c r="AE31" s="92"/>
      <c r="AF31" s="152" t="str">
        <f t="shared" si="16"/>
        <v>No Quote</v>
      </c>
      <c r="AG31" s="153"/>
      <c r="AH31" s="44"/>
      <c r="AI31" s="45" t="str">
        <f t="shared" si="17"/>
        <v/>
      </c>
      <c r="AJ31" s="92"/>
      <c r="AK31" s="212" t="str">
        <f t="shared" si="18"/>
        <v>No Quote</v>
      </c>
      <c r="AL31" s="213"/>
      <c r="AM31" s="90"/>
      <c r="AN31" s="96"/>
      <c r="AO31" s="66" t="str">
        <f t="shared" si="19"/>
        <v/>
      </c>
      <c r="AP31" s="95"/>
      <c r="AQ31" s="95"/>
      <c r="AR31" s="80" t="str">
        <f t="shared" si="20"/>
        <v>-</v>
      </c>
      <c r="AS31" s="80" t="str">
        <f t="shared" si="21"/>
        <v>-</v>
      </c>
      <c r="AT31" s="80" t="str">
        <f t="shared" si="22"/>
        <v>-</v>
      </c>
      <c r="AU31" s="80" t="str">
        <f t="shared" si="23"/>
        <v>-</v>
      </c>
      <c r="AV31" s="80" t="str">
        <f t="shared" si="24"/>
        <v>-</v>
      </c>
      <c r="AW31" s="80" t="str">
        <f t="shared" si="25"/>
        <v>-</v>
      </c>
      <c r="AX31" s="81" t="str">
        <f t="shared" si="4"/>
        <v/>
      </c>
      <c r="AY31" s="77" t="str">
        <f t="shared" si="26"/>
        <v/>
      </c>
      <c r="AZ31" s="75" t="str">
        <f t="shared" si="5"/>
        <v/>
      </c>
      <c r="BA31" s="74" t="str">
        <f t="shared" si="27"/>
        <v/>
      </c>
      <c r="BB31" s="77" t="str">
        <f t="shared" si="28"/>
        <v/>
      </c>
      <c r="BC31" s="75" t="str">
        <f t="shared" si="6"/>
        <v/>
      </c>
      <c r="BD31" s="74" t="str">
        <f t="shared" si="29"/>
        <v/>
      </c>
      <c r="BE31" s="77" t="str">
        <f t="shared" si="30"/>
        <v/>
      </c>
      <c r="BG31" s="104">
        <f t="shared" si="31"/>
        <v>0</v>
      </c>
      <c r="BH31" s="106"/>
    </row>
    <row r="32" spans="2:60" s="1" customFormat="1" ht="61.5" customHeight="1" outlineLevel="1" x14ac:dyDescent="0.25">
      <c r="B32" s="41">
        <f t="shared" si="32"/>
        <v>10</v>
      </c>
      <c r="C32" s="218"/>
      <c r="D32" s="218"/>
      <c r="E32" s="218"/>
      <c r="F32" s="218"/>
      <c r="G32" s="42"/>
      <c r="H32" s="43"/>
      <c r="I32" s="44"/>
      <c r="J32" s="45" t="str">
        <f t="shared" si="7"/>
        <v/>
      </c>
      <c r="K32" s="93"/>
      <c r="L32" s="152" t="str">
        <f t="shared" si="8"/>
        <v>No Quote</v>
      </c>
      <c r="M32" s="153"/>
      <c r="N32" s="44"/>
      <c r="O32" s="45" t="str">
        <f t="shared" si="9"/>
        <v/>
      </c>
      <c r="P32" s="93"/>
      <c r="Q32" s="152" t="str">
        <f t="shared" si="10"/>
        <v>No Quote</v>
      </c>
      <c r="R32" s="153"/>
      <c r="S32" s="44"/>
      <c r="T32" s="45" t="str">
        <f t="shared" si="11"/>
        <v/>
      </c>
      <c r="U32" s="92"/>
      <c r="V32" s="152" t="str">
        <f t="shared" si="12"/>
        <v>No Quote</v>
      </c>
      <c r="W32" s="153"/>
      <c r="X32" s="44"/>
      <c r="Y32" s="45" t="str">
        <f t="shared" si="13"/>
        <v/>
      </c>
      <c r="Z32" s="92"/>
      <c r="AA32" s="152" t="str">
        <f t="shared" si="14"/>
        <v>No Quote</v>
      </c>
      <c r="AB32" s="153"/>
      <c r="AC32" s="44"/>
      <c r="AD32" s="45" t="str">
        <f t="shared" si="15"/>
        <v/>
      </c>
      <c r="AE32" s="92"/>
      <c r="AF32" s="152" t="str">
        <f t="shared" si="16"/>
        <v>No Quote</v>
      </c>
      <c r="AG32" s="153"/>
      <c r="AH32" s="44"/>
      <c r="AI32" s="45" t="str">
        <f t="shared" si="17"/>
        <v/>
      </c>
      <c r="AJ32" s="92"/>
      <c r="AK32" s="212" t="str">
        <f t="shared" si="18"/>
        <v>No Quote</v>
      </c>
      <c r="AL32" s="213"/>
      <c r="AM32" s="90"/>
      <c r="AN32" s="96"/>
      <c r="AO32" s="66" t="str">
        <f t="shared" si="19"/>
        <v/>
      </c>
      <c r="AP32" s="95"/>
      <c r="AQ32" s="95"/>
      <c r="AR32" s="80" t="str">
        <f t="shared" si="20"/>
        <v>-</v>
      </c>
      <c r="AS32" s="80" t="str">
        <f t="shared" si="21"/>
        <v>-</v>
      </c>
      <c r="AT32" s="80" t="str">
        <f t="shared" si="22"/>
        <v>-</v>
      </c>
      <c r="AU32" s="80" t="str">
        <f t="shared" si="23"/>
        <v>-</v>
      </c>
      <c r="AV32" s="80" t="str">
        <f t="shared" si="24"/>
        <v>-</v>
      </c>
      <c r="AW32" s="80" t="str">
        <f t="shared" si="25"/>
        <v>-</v>
      </c>
      <c r="AX32" s="81" t="str">
        <f t="shared" si="4"/>
        <v/>
      </c>
      <c r="AY32" s="77" t="str">
        <f t="shared" si="26"/>
        <v/>
      </c>
      <c r="AZ32" s="75" t="str">
        <f t="shared" si="5"/>
        <v/>
      </c>
      <c r="BA32" s="74" t="str">
        <f t="shared" si="27"/>
        <v/>
      </c>
      <c r="BB32" s="77" t="str">
        <f t="shared" si="28"/>
        <v/>
      </c>
      <c r="BC32" s="75" t="str">
        <f t="shared" si="6"/>
        <v/>
      </c>
      <c r="BD32" s="74" t="str">
        <f t="shared" si="29"/>
        <v/>
      </c>
      <c r="BE32" s="77" t="str">
        <f t="shared" si="30"/>
        <v/>
      </c>
      <c r="BG32" s="104">
        <f t="shared" si="31"/>
        <v>0</v>
      </c>
      <c r="BH32" s="106"/>
    </row>
    <row r="33" spans="2:60" s="1" customFormat="1" ht="61.5" customHeight="1" outlineLevel="1" x14ac:dyDescent="0.25">
      <c r="B33" s="41">
        <f t="shared" si="32"/>
        <v>11</v>
      </c>
      <c r="C33" s="218"/>
      <c r="D33" s="218"/>
      <c r="E33" s="218"/>
      <c r="F33" s="218"/>
      <c r="G33" s="42"/>
      <c r="H33" s="43"/>
      <c r="I33" s="44"/>
      <c r="J33" s="45" t="str">
        <f t="shared" si="7"/>
        <v/>
      </c>
      <c r="K33" s="93"/>
      <c r="L33" s="152" t="str">
        <f t="shared" si="8"/>
        <v>No Quote</v>
      </c>
      <c r="M33" s="153"/>
      <c r="N33" s="44"/>
      <c r="O33" s="45" t="str">
        <f t="shared" si="9"/>
        <v/>
      </c>
      <c r="P33" s="93"/>
      <c r="Q33" s="152" t="str">
        <f t="shared" si="10"/>
        <v>No Quote</v>
      </c>
      <c r="R33" s="153"/>
      <c r="S33" s="44"/>
      <c r="T33" s="45" t="str">
        <f t="shared" si="11"/>
        <v/>
      </c>
      <c r="U33" s="92"/>
      <c r="V33" s="152" t="str">
        <f t="shared" si="12"/>
        <v>No Quote</v>
      </c>
      <c r="W33" s="153"/>
      <c r="X33" s="44"/>
      <c r="Y33" s="45" t="str">
        <f t="shared" si="13"/>
        <v/>
      </c>
      <c r="Z33" s="92"/>
      <c r="AA33" s="152" t="str">
        <f t="shared" si="14"/>
        <v>No Quote</v>
      </c>
      <c r="AB33" s="153"/>
      <c r="AC33" s="44"/>
      <c r="AD33" s="45" t="str">
        <f t="shared" si="15"/>
        <v/>
      </c>
      <c r="AE33" s="92"/>
      <c r="AF33" s="152" t="str">
        <f t="shared" si="16"/>
        <v>No Quote</v>
      </c>
      <c r="AG33" s="153"/>
      <c r="AH33" s="44"/>
      <c r="AI33" s="45" t="str">
        <f t="shared" si="17"/>
        <v/>
      </c>
      <c r="AJ33" s="92"/>
      <c r="AK33" s="212" t="str">
        <f t="shared" si="18"/>
        <v>No Quote</v>
      </c>
      <c r="AL33" s="213"/>
      <c r="AM33" s="90"/>
      <c r="AN33" s="96"/>
      <c r="AO33" s="66" t="str">
        <f t="shared" si="19"/>
        <v/>
      </c>
      <c r="AP33" s="95"/>
      <c r="AQ33" s="95"/>
      <c r="AR33" s="80" t="str">
        <f t="shared" si="20"/>
        <v>-</v>
      </c>
      <c r="AS33" s="80" t="str">
        <f t="shared" si="21"/>
        <v>-</v>
      </c>
      <c r="AT33" s="80" t="str">
        <f t="shared" si="22"/>
        <v>-</v>
      </c>
      <c r="AU33" s="80" t="str">
        <f t="shared" si="23"/>
        <v>-</v>
      </c>
      <c r="AV33" s="80" t="str">
        <f t="shared" si="24"/>
        <v>-</v>
      </c>
      <c r="AW33" s="80" t="str">
        <f t="shared" si="25"/>
        <v>-</v>
      </c>
      <c r="AX33" s="81" t="str">
        <f t="shared" si="4"/>
        <v/>
      </c>
      <c r="AY33" s="77" t="str">
        <f t="shared" si="26"/>
        <v/>
      </c>
      <c r="AZ33" s="75" t="str">
        <f t="shared" si="5"/>
        <v/>
      </c>
      <c r="BA33" s="74" t="str">
        <f t="shared" si="27"/>
        <v/>
      </c>
      <c r="BB33" s="77" t="str">
        <f t="shared" si="28"/>
        <v/>
      </c>
      <c r="BC33" s="75" t="str">
        <f t="shared" si="6"/>
        <v/>
      </c>
      <c r="BD33" s="74" t="str">
        <f t="shared" si="29"/>
        <v/>
      </c>
      <c r="BE33" s="77" t="str">
        <f t="shared" si="30"/>
        <v/>
      </c>
      <c r="BG33" s="104">
        <f t="shared" si="31"/>
        <v>0</v>
      </c>
      <c r="BH33" s="106"/>
    </row>
    <row r="34" spans="2:60" s="1" customFormat="1" ht="61.5" customHeight="1" outlineLevel="1" x14ac:dyDescent="0.25">
      <c r="B34" s="41">
        <f t="shared" si="32"/>
        <v>12</v>
      </c>
      <c r="C34" s="218"/>
      <c r="D34" s="218"/>
      <c r="E34" s="218"/>
      <c r="F34" s="218"/>
      <c r="G34" s="42"/>
      <c r="H34" s="43"/>
      <c r="I34" s="44"/>
      <c r="J34" s="45" t="str">
        <f t="shared" si="7"/>
        <v/>
      </c>
      <c r="K34" s="93"/>
      <c r="L34" s="152" t="str">
        <f t="shared" si="8"/>
        <v>No Quote</v>
      </c>
      <c r="M34" s="153"/>
      <c r="N34" s="44"/>
      <c r="O34" s="45" t="str">
        <f t="shared" si="9"/>
        <v/>
      </c>
      <c r="P34" s="93"/>
      <c r="Q34" s="152" t="str">
        <f t="shared" si="10"/>
        <v>No Quote</v>
      </c>
      <c r="R34" s="153"/>
      <c r="S34" s="44"/>
      <c r="T34" s="45" t="str">
        <f t="shared" si="11"/>
        <v/>
      </c>
      <c r="U34" s="92"/>
      <c r="V34" s="152" t="str">
        <f t="shared" si="12"/>
        <v>No Quote</v>
      </c>
      <c r="W34" s="153"/>
      <c r="X34" s="44"/>
      <c r="Y34" s="45" t="str">
        <f t="shared" si="13"/>
        <v/>
      </c>
      <c r="Z34" s="92"/>
      <c r="AA34" s="152" t="str">
        <f t="shared" si="14"/>
        <v>No Quote</v>
      </c>
      <c r="AB34" s="153"/>
      <c r="AC34" s="44"/>
      <c r="AD34" s="45" t="str">
        <f t="shared" si="15"/>
        <v/>
      </c>
      <c r="AE34" s="92"/>
      <c r="AF34" s="152" t="str">
        <f t="shared" si="16"/>
        <v>No Quote</v>
      </c>
      <c r="AG34" s="153"/>
      <c r="AH34" s="44"/>
      <c r="AI34" s="45" t="str">
        <f t="shared" si="17"/>
        <v/>
      </c>
      <c r="AJ34" s="92"/>
      <c r="AK34" s="212" t="str">
        <f t="shared" si="18"/>
        <v>No Quote</v>
      </c>
      <c r="AL34" s="213"/>
      <c r="AM34" s="90"/>
      <c r="AN34" s="96"/>
      <c r="AO34" s="66" t="str">
        <f t="shared" si="19"/>
        <v/>
      </c>
      <c r="AP34" s="95"/>
      <c r="AQ34" s="95"/>
      <c r="AR34" s="80" t="str">
        <f t="shared" si="20"/>
        <v>-</v>
      </c>
      <c r="AS34" s="80" t="str">
        <f t="shared" si="21"/>
        <v>-</v>
      </c>
      <c r="AT34" s="80" t="str">
        <f t="shared" si="22"/>
        <v>-</v>
      </c>
      <c r="AU34" s="80" t="str">
        <f t="shared" si="23"/>
        <v>-</v>
      </c>
      <c r="AV34" s="80" t="str">
        <f t="shared" si="24"/>
        <v>-</v>
      </c>
      <c r="AW34" s="80" t="str">
        <f t="shared" si="25"/>
        <v>-</v>
      </c>
      <c r="AX34" s="81" t="str">
        <f t="shared" si="4"/>
        <v/>
      </c>
      <c r="AY34" s="77" t="str">
        <f t="shared" si="26"/>
        <v/>
      </c>
      <c r="AZ34" s="75" t="str">
        <f t="shared" si="5"/>
        <v/>
      </c>
      <c r="BA34" s="74" t="str">
        <f t="shared" si="27"/>
        <v/>
      </c>
      <c r="BB34" s="77" t="str">
        <f t="shared" si="28"/>
        <v/>
      </c>
      <c r="BC34" s="75" t="str">
        <f t="shared" si="6"/>
        <v/>
      </c>
      <c r="BD34" s="74" t="str">
        <f t="shared" si="29"/>
        <v/>
      </c>
      <c r="BE34" s="77" t="str">
        <f t="shared" si="30"/>
        <v/>
      </c>
      <c r="BG34" s="104">
        <f t="shared" si="31"/>
        <v>0</v>
      </c>
      <c r="BH34" s="106"/>
    </row>
    <row r="35" spans="2:60" s="1" customFormat="1" ht="61.5" customHeight="1" outlineLevel="1" x14ac:dyDescent="0.25">
      <c r="B35" s="41">
        <f t="shared" si="32"/>
        <v>13</v>
      </c>
      <c r="C35" s="218"/>
      <c r="D35" s="218"/>
      <c r="E35" s="218"/>
      <c r="F35" s="218"/>
      <c r="G35" s="42"/>
      <c r="H35" s="43"/>
      <c r="I35" s="44"/>
      <c r="J35" s="45" t="str">
        <f t="shared" si="7"/>
        <v/>
      </c>
      <c r="K35" s="93"/>
      <c r="L35" s="152" t="str">
        <f t="shared" si="8"/>
        <v>No Quote</v>
      </c>
      <c r="M35" s="153"/>
      <c r="N35" s="44"/>
      <c r="O35" s="45" t="str">
        <f t="shared" si="9"/>
        <v/>
      </c>
      <c r="P35" s="93"/>
      <c r="Q35" s="152" t="str">
        <f t="shared" si="10"/>
        <v>No Quote</v>
      </c>
      <c r="R35" s="153"/>
      <c r="S35" s="44"/>
      <c r="T35" s="45" t="str">
        <f t="shared" si="11"/>
        <v/>
      </c>
      <c r="U35" s="92"/>
      <c r="V35" s="152" t="str">
        <f t="shared" si="12"/>
        <v>No Quote</v>
      </c>
      <c r="W35" s="153"/>
      <c r="X35" s="44"/>
      <c r="Y35" s="45" t="str">
        <f t="shared" si="13"/>
        <v/>
      </c>
      <c r="Z35" s="92"/>
      <c r="AA35" s="152" t="str">
        <f t="shared" si="14"/>
        <v>No Quote</v>
      </c>
      <c r="AB35" s="153"/>
      <c r="AC35" s="44"/>
      <c r="AD35" s="45" t="str">
        <f t="shared" si="15"/>
        <v/>
      </c>
      <c r="AE35" s="92"/>
      <c r="AF35" s="152" t="str">
        <f t="shared" si="16"/>
        <v>No Quote</v>
      </c>
      <c r="AG35" s="153"/>
      <c r="AH35" s="44"/>
      <c r="AI35" s="45" t="str">
        <f t="shared" si="17"/>
        <v/>
      </c>
      <c r="AJ35" s="92"/>
      <c r="AK35" s="212" t="str">
        <f t="shared" si="18"/>
        <v>No Quote</v>
      </c>
      <c r="AL35" s="213"/>
      <c r="AM35" s="90"/>
      <c r="AN35" s="96"/>
      <c r="AO35" s="66" t="str">
        <f t="shared" si="19"/>
        <v/>
      </c>
      <c r="AP35" s="95"/>
      <c r="AQ35" s="95"/>
      <c r="AR35" s="80" t="str">
        <f t="shared" si="20"/>
        <v>-</v>
      </c>
      <c r="AS35" s="80" t="str">
        <f t="shared" si="21"/>
        <v>-</v>
      </c>
      <c r="AT35" s="80" t="str">
        <f t="shared" si="22"/>
        <v>-</v>
      </c>
      <c r="AU35" s="80" t="str">
        <f t="shared" si="23"/>
        <v>-</v>
      </c>
      <c r="AV35" s="80" t="str">
        <f t="shared" si="24"/>
        <v>-</v>
      </c>
      <c r="AW35" s="80" t="str">
        <f t="shared" si="25"/>
        <v>-</v>
      </c>
      <c r="AX35" s="81" t="str">
        <f t="shared" si="4"/>
        <v/>
      </c>
      <c r="AY35" s="77" t="str">
        <f t="shared" si="26"/>
        <v/>
      </c>
      <c r="AZ35" s="75" t="str">
        <f t="shared" si="5"/>
        <v/>
      </c>
      <c r="BA35" s="74" t="str">
        <f t="shared" si="27"/>
        <v/>
      </c>
      <c r="BB35" s="77" t="str">
        <f t="shared" si="28"/>
        <v/>
      </c>
      <c r="BC35" s="75" t="str">
        <f t="shared" si="6"/>
        <v/>
      </c>
      <c r="BD35" s="74" t="str">
        <f t="shared" si="29"/>
        <v/>
      </c>
      <c r="BE35" s="77" t="str">
        <f t="shared" si="30"/>
        <v/>
      </c>
      <c r="BG35" s="104">
        <f t="shared" ref="BG35:BG52" si="33">SUMIFS($AX$23:$AX$51,$AY$23:$AY$51,BH35)</f>
        <v>0</v>
      </c>
      <c r="BH35" s="106"/>
    </row>
    <row r="36" spans="2:60" s="1" customFormat="1" ht="61.5" customHeight="1" outlineLevel="1" x14ac:dyDescent="0.25">
      <c r="B36" s="41">
        <f t="shared" si="32"/>
        <v>14</v>
      </c>
      <c r="C36" s="218"/>
      <c r="D36" s="218"/>
      <c r="E36" s="218"/>
      <c r="F36" s="218"/>
      <c r="G36" s="42"/>
      <c r="H36" s="43"/>
      <c r="I36" s="44"/>
      <c r="J36" s="45" t="str">
        <f t="shared" si="7"/>
        <v/>
      </c>
      <c r="K36" s="93"/>
      <c r="L36" s="152" t="str">
        <f t="shared" si="8"/>
        <v>No Quote</v>
      </c>
      <c r="M36" s="153"/>
      <c r="N36" s="44"/>
      <c r="O36" s="45" t="str">
        <f t="shared" si="9"/>
        <v/>
      </c>
      <c r="P36" s="93"/>
      <c r="Q36" s="152" t="str">
        <f t="shared" si="10"/>
        <v>No Quote</v>
      </c>
      <c r="R36" s="153"/>
      <c r="S36" s="44"/>
      <c r="T36" s="45" t="str">
        <f t="shared" si="11"/>
        <v/>
      </c>
      <c r="U36" s="92"/>
      <c r="V36" s="152" t="str">
        <f t="shared" si="12"/>
        <v>No Quote</v>
      </c>
      <c r="W36" s="153"/>
      <c r="X36" s="44"/>
      <c r="Y36" s="45" t="str">
        <f t="shared" si="13"/>
        <v/>
      </c>
      <c r="Z36" s="92"/>
      <c r="AA36" s="152" t="str">
        <f t="shared" si="14"/>
        <v>No Quote</v>
      </c>
      <c r="AB36" s="153"/>
      <c r="AC36" s="44"/>
      <c r="AD36" s="45" t="str">
        <f t="shared" si="15"/>
        <v/>
      </c>
      <c r="AE36" s="92"/>
      <c r="AF36" s="152" t="str">
        <f t="shared" si="16"/>
        <v>No Quote</v>
      </c>
      <c r="AG36" s="153"/>
      <c r="AH36" s="44"/>
      <c r="AI36" s="45" t="str">
        <f t="shared" si="17"/>
        <v/>
      </c>
      <c r="AJ36" s="92"/>
      <c r="AK36" s="212" t="str">
        <f t="shared" si="18"/>
        <v>No Quote</v>
      </c>
      <c r="AL36" s="213"/>
      <c r="AM36" s="90"/>
      <c r="AN36" s="96"/>
      <c r="AO36" s="66" t="str">
        <f t="shared" si="19"/>
        <v/>
      </c>
      <c r="AP36" s="95"/>
      <c r="AQ36" s="95"/>
      <c r="AR36" s="80" t="str">
        <f t="shared" si="20"/>
        <v>-</v>
      </c>
      <c r="AS36" s="80" t="str">
        <f t="shared" si="21"/>
        <v>-</v>
      </c>
      <c r="AT36" s="80" t="str">
        <f t="shared" si="22"/>
        <v>-</v>
      </c>
      <c r="AU36" s="80" t="str">
        <f t="shared" si="23"/>
        <v>-</v>
      </c>
      <c r="AV36" s="80" t="str">
        <f t="shared" si="24"/>
        <v>-</v>
      </c>
      <c r="AW36" s="80" t="str">
        <f t="shared" si="25"/>
        <v>-</v>
      </c>
      <c r="AX36" s="81" t="str">
        <f t="shared" si="4"/>
        <v/>
      </c>
      <c r="AY36" s="77" t="str">
        <f t="shared" si="26"/>
        <v/>
      </c>
      <c r="AZ36" s="75" t="str">
        <f t="shared" si="5"/>
        <v/>
      </c>
      <c r="BA36" s="74" t="str">
        <f t="shared" si="27"/>
        <v/>
      </c>
      <c r="BB36" s="77" t="str">
        <f t="shared" si="28"/>
        <v/>
      </c>
      <c r="BC36" s="75" t="str">
        <f t="shared" si="6"/>
        <v/>
      </c>
      <c r="BD36" s="74" t="str">
        <f t="shared" si="29"/>
        <v/>
      </c>
      <c r="BE36" s="77" t="str">
        <f t="shared" si="30"/>
        <v/>
      </c>
      <c r="BG36" s="104">
        <f t="shared" si="33"/>
        <v>0</v>
      </c>
      <c r="BH36" s="106"/>
    </row>
    <row r="37" spans="2:60" s="1" customFormat="1" ht="61.5" customHeight="1" outlineLevel="1" x14ac:dyDescent="0.25">
      <c r="B37" s="41">
        <f t="shared" si="32"/>
        <v>15</v>
      </c>
      <c r="C37" s="218"/>
      <c r="D37" s="218"/>
      <c r="E37" s="218"/>
      <c r="F37" s="218"/>
      <c r="G37" s="42"/>
      <c r="H37" s="43"/>
      <c r="I37" s="44"/>
      <c r="J37" s="45" t="str">
        <f t="shared" si="7"/>
        <v/>
      </c>
      <c r="K37" s="93"/>
      <c r="L37" s="152" t="str">
        <f t="shared" si="8"/>
        <v>No Quote</v>
      </c>
      <c r="M37" s="153"/>
      <c r="N37" s="44"/>
      <c r="O37" s="45" t="str">
        <f t="shared" si="9"/>
        <v/>
      </c>
      <c r="P37" s="93"/>
      <c r="Q37" s="152" t="str">
        <f t="shared" si="10"/>
        <v>No Quote</v>
      </c>
      <c r="R37" s="153"/>
      <c r="S37" s="44"/>
      <c r="T37" s="45" t="str">
        <f t="shared" si="11"/>
        <v/>
      </c>
      <c r="U37" s="92"/>
      <c r="V37" s="152" t="str">
        <f t="shared" si="12"/>
        <v>No Quote</v>
      </c>
      <c r="W37" s="153"/>
      <c r="X37" s="44"/>
      <c r="Y37" s="45" t="str">
        <f t="shared" si="13"/>
        <v/>
      </c>
      <c r="Z37" s="92"/>
      <c r="AA37" s="152" t="str">
        <f t="shared" si="14"/>
        <v>No Quote</v>
      </c>
      <c r="AB37" s="153"/>
      <c r="AC37" s="44"/>
      <c r="AD37" s="45" t="str">
        <f t="shared" si="15"/>
        <v/>
      </c>
      <c r="AE37" s="92"/>
      <c r="AF37" s="152" t="str">
        <f t="shared" si="16"/>
        <v>No Quote</v>
      </c>
      <c r="AG37" s="153"/>
      <c r="AH37" s="44"/>
      <c r="AI37" s="45" t="str">
        <f t="shared" si="17"/>
        <v/>
      </c>
      <c r="AJ37" s="92"/>
      <c r="AK37" s="212" t="str">
        <f t="shared" si="18"/>
        <v>No Quote</v>
      </c>
      <c r="AL37" s="213"/>
      <c r="AM37" s="90"/>
      <c r="AN37" s="96"/>
      <c r="AO37" s="66" t="str">
        <f t="shared" si="19"/>
        <v/>
      </c>
      <c r="AP37" s="95"/>
      <c r="AQ37" s="95"/>
      <c r="AR37" s="80" t="str">
        <f t="shared" si="20"/>
        <v>-</v>
      </c>
      <c r="AS37" s="80" t="str">
        <f t="shared" si="21"/>
        <v>-</v>
      </c>
      <c r="AT37" s="80" t="str">
        <f t="shared" si="22"/>
        <v>-</v>
      </c>
      <c r="AU37" s="80" t="str">
        <f t="shared" si="23"/>
        <v>-</v>
      </c>
      <c r="AV37" s="80" t="str">
        <f t="shared" si="24"/>
        <v>-</v>
      </c>
      <c r="AW37" s="80" t="str">
        <f t="shared" si="25"/>
        <v>-</v>
      </c>
      <c r="AX37" s="81" t="str">
        <f t="shared" si="4"/>
        <v/>
      </c>
      <c r="AY37" s="77" t="str">
        <f t="shared" si="26"/>
        <v/>
      </c>
      <c r="AZ37" s="75" t="str">
        <f t="shared" si="5"/>
        <v/>
      </c>
      <c r="BA37" s="74" t="str">
        <f t="shared" si="27"/>
        <v/>
      </c>
      <c r="BB37" s="77" t="str">
        <f t="shared" si="28"/>
        <v/>
      </c>
      <c r="BC37" s="75" t="str">
        <f t="shared" si="6"/>
        <v/>
      </c>
      <c r="BD37" s="74" t="str">
        <f t="shared" si="29"/>
        <v/>
      </c>
      <c r="BE37" s="77" t="str">
        <f t="shared" si="30"/>
        <v/>
      </c>
      <c r="BG37" s="104">
        <f t="shared" si="33"/>
        <v>0</v>
      </c>
      <c r="BH37" s="106"/>
    </row>
    <row r="38" spans="2:60" s="1" customFormat="1" ht="61.5" customHeight="1" outlineLevel="1" x14ac:dyDescent="0.25">
      <c r="B38" s="41">
        <f t="shared" si="32"/>
        <v>16</v>
      </c>
      <c r="C38" s="218"/>
      <c r="D38" s="218"/>
      <c r="E38" s="218"/>
      <c r="F38" s="218"/>
      <c r="G38" s="42"/>
      <c r="H38" s="43"/>
      <c r="I38" s="44"/>
      <c r="J38" s="45" t="str">
        <f t="shared" si="7"/>
        <v/>
      </c>
      <c r="K38" s="93"/>
      <c r="L38" s="152" t="str">
        <f t="shared" si="8"/>
        <v>No Quote</v>
      </c>
      <c r="M38" s="153"/>
      <c r="N38" s="44"/>
      <c r="O38" s="45" t="str">
        <f t="shared" si="9"/>
        <v/>
      </c>
      <c r="P38" s="93"/>
      <c r="Q38" s="152" t="str">
        <f t="shared" si="10"/>
        <v>No Quote</v>
      </c>
      <c r="R38" s="153"/>
      <c r="S38" s="44"/>
      <c r="T38" s="45" t="str">
        <f t="shared" si="11"/>
        <v/>
      </c>
      <c r="U38" s="92"/>
      <c r="V38" s="152" t="str">
        <f t="shared" si="12"/>
        <v>No Quote</v>
      </c>
      <c r="W38" s="153"/>
      <c r="X38" s="44"/>
      <c r="Y38" s="45" t="str">
        <f t="shared" si="13"/>
        <v/>
      </c>
      <c r="Z38" s="92"/>
      <c r="AA38" s="152" t="str">
        <f t="shared" si="14"/>
        <v>No Quote</v>
      </c>
      <c r="AB38" s="153"/>
      <c r="AC38" s="44"/>
      <c r="AD38" s="45" t="str">
        <f t="shared" si="15"/>
        <v/>
      </c>
      <c r="AE38" s="92"/>
      <c r="AF38" s="152" t="str">
        <f t="shared" si="16"/>
        <v>No Quote</v>
      </c>
      <c r="AG38" s="153"/>
      <c r="AH38" s="44"/>
      <c r="AI38" s="45" t="str">
        <f t="shared" si="17"/>
        <v/>
      </c>
      <c r="AJ38" s="92"/>
      <c r="AK38" s="212" t="str">
        <f t="shared" si="18"/>
        <v>No Quote</v>
      </c>
      <c r="AL38" s="213"/>
      <c r="AM38" s="90"/>
      <c r="AN38" s="96"/>
      <c r="AO38" s="66" t="str">
        <f t="shared" si="19"/>
        <v/>
      </c>
      <c r="AP38" s="95"/>
      <c r="AQ38" s="95"/>
      <c r="AR38" s="80" t="str">
        <f t="shared" si="20"/>
        <v>-</v>
      </c>
      <c r="AS38" s="80" t="str">
        <f t="shared" si="21"/>
        <v>-</v>
      </c>
      <c r="AT38" s="80" t="str">
        <f t="shared" si="22"/>
        <v>-</v>
      </c>
      <c r="AU38" s="80" t="str">
        <f t="shared" si="23"/>
        <v>-</v>
      </c>
      <c r="AV38" s="80" t="str">
        <f t="shared" si="24"/>
        <v>-</v>
      </c>
      <c r="AW38" s="80" t="str">
        <f t="shared" si="25"/>
        <v>-</v>
      </c>
      <c r="AX38" s="81" t="str">
        <f t="shared" si="4"/>
        <v/>
      </c>
      <c r="AY38" s="77" t="str">
        <f t="shared" si="26"/>
        <v/>
      </c>
      <c r="AZ38" s="75" t="str">
        <f t="shared" si="5"/>
        <v/>
      </c>
      <c r="BA38" s="74" t="str">
        <f t="shared" si="27"/>
        <v/>
      </c>
      <c r="BB38" s="77" t="str">
        <f t="shared" si="28"/>
        <v/>
      </c>
      <c r="BC38" s="75" t="str">
        <f t="shared" si="6"/>
        <v/>
      </c>
      <c r="BD38" s="74" t="str">
        <f t="shared" si="29"/>
        <v/>
      </c>
      <c r="BE38" s="77" t="str">
        <f t="shared" si="30"/>
        <v/>
      </c>
      <c r="BG38" s="104">
        <f t="shared" si="33"/>
        <v>0</v>
      </c>
      <c r="BH38" s="106"/>
    </row>
    <row r="39" spans="2:60" s="1" customFormat="1" ht="61.5" customHeight="1" outlineLevel="1" x14ac:dyDescent="0.25">
      <c r="B39" s="41">
        <f t="shared" si="32"/>
        <v>17</v>
      </c>
      <c r="C39" s="218"/>
      <c r="D39" s="218"/>
      <c r="E39" s="218"/>
      <c r="F39" s="218"/>
      <c r="G39" s="42"/>
      <c r="H39" s="43"/>
      <c r="I39" s="44"/>
      <c r="J39" s="45" t="str">
        <f t="shared" si="7"/>
        <v/>
      </c>
      <c r="K39" s="93"/>
      <c r="L39" s="152" t="str">
        <f t="shared" si="8"/>
        <v>No Quote</v>
      </c>
      <c r="M39" s="153"/>
      <c r="N39" s="44"/>
      <c r="O39" s="45" t="str">
        <f t="shared" si="9"/>
        <v/>
      </c>
      <c r="P39" s="93"/>
      <c r="Q39" s="152" t="str">
        <f t="shared" si="10"/>
        <v>No Quote</v>
      </c>
      <c r="R39" s="153"/>
      <c r="S39" s="44"/>
      <c r="T39" s="45" t="str">
        <f t="shared" si="11"/>
        <v/>
      </c>
      <c r="U39" s="92"/>
      <c r="V39" s="152" t="str">
        <f t="shared" si="12"/>
        <v>No Quote</v>
      </c>
      <c r="W39" s="153"/>
      <c r="X39" s="44"/>
      <c r="Y39" s="45" t="str">
        <f t="shared" si="13"/>
        <v/>
      </c>
      <c r="Z39" s="92"/>
      <c r="AA39" s="152" t="str">
        <f t="shared" si="14"/>
        <v>No Quote</v>
      </c>
      <c r="AB39" s="153"/>
      <c r="AC39" s="44"/>
      <c r="AD39" s="45" t="str">
        <f t="shared" si="15"/>
        <v/>
      </c>
      <c r="AE39" s="92"/>
      <c r="AF39" s="152" t="str">
        <f t="shared" si="16"/>
        <v>No Quote</v>
      </c>
      <c r="AG39" s="153"/>
      <c r="AH39" s="44"/>
      <c r="AI39" s="45" t="str">
        <f t="shared" si="17"/>
        <v/>
      </c>
      <c r="AJ39" s="92"/>
      <c r="AK39" s="212" t="str">
        <f t="shared" si="18"/>
        <v>No Quote</v>
      </c>
      <c r="AL39" s="213"/>
      <c r="AM39" s="90"/>
      <c r="AN39" s="96"/>
      <c r="AO39" s="66" t="str">
        <f t="shared" si="19"/>
        <v/>
      </c>
      <c r="AP39" s="95"/>
      <c r="AQ39" s="95"/>
      <c r="AR39" s="80" t="str">
        <f t="shared" si="20"/>
        <v>-</v>
      </c>
      <c r="AS39" s="80" t="str">
        <f t="shared" si="21"/>
        <v>-</v>
      </c>
      <c r="AT39" s="80" t="str">
        <f t="shared" si="22"/>
        <v>-</v>
      </c>
      <c r="AU39" s="80" t="str">
        <f t="shared" si="23"/>
        <v>-</v>
      </c>
      <c r="AV39" s="80" t="str">
        <f t="shared" si="24"/>
        <v>-</v>
      </c>
      <c r="AW39" s="80" t="str">
        <f t="shared" si="25"/>
        <v>-</v>
      </c>
      <c r="AX39" s="81" t="str">
        <f t="shared" si="4"/>
        <v/>
      </c>
      <c r="AY39" s="77" t="str">
        <f t="shared" si="26"/>
        <v/>
      </c>
      <c r="AZ39" s="75" t="str">
        <f t="shared" si="5"/>
        <v/>
      </c>
      <c r="BA39" s="74" t="str">
        <f t="shared" si="27"/>
        <v/>
      </c>
      <c r="BB39" s="77" t="str">
        <f t="shared" si="28"/>
        <v/>
      </c>
      <c r="BC39" s="75" t="str">
        <f t="shared" si="6"/>
        <v/>
      </c>
      <c r="BD39" s="74" t="str">
        <f t="shared" si="29"/>
        <v/>
      </c>
      <c r="BE39" s="77" t="str">
        <f t="shared" si="30"/>
        <v/>
      </c>
      <c r="BG39" s="104">
        <f t="shared" si="33"/>
        <v>0</v>
      </c>
      <c r="BH39" s="106"/>
    </row>
    <row r="40" spans="2:60" s="1" customFormat="1" ht="61.5" customHeight="1" outlineLevel="1" x14ac:dyDescent="0.25">
      <c r="B40" s="41">
        <f t="shared" si="32"/>
        <v>18</v>
      </c>
      <c r="C40" s="218"/>
      <c r="D40" s="218"/>
      <c r="E40" s="218"/>
      <c r="F40" s="218"/>
      <c r="G40" s="42"/>
      <c r="H40" s="43"/>
      <c r="I40" s="44"/>
      <c r="J40" s="45" t="str">
        <f t="shared" si="7"/>
        <v/>
      </c>
      <c r="K40" s="93"/>
      <c r="L40" s="152" t="str">
        <f t="shared" si="8"/>
        <v>No Quote</v>
      </c>
      <c r="M40" s="153"/>
      <c r="N40" s="44"/>
      <c r="O40" s="45" t="str">
        <f t="shared" si="9"/>
        <v/>
      </c>
      <c r="P40" s="93"/>
      <c r="Q40" s="152" t="str">
        <f t="shared" si="10"/>
        <v>No Quote</v>
      </c>
      <c r="R40" s="153"/>
      <c r="S40" s="44"/>
      <c r="T40" s="45" t="str">
        <f t="shared" si="11"/>
        <v/>
      </c>
      <c r="U40" s="92"/>
      <c r="V40" s="152" t="str">
        <f t="shared" si="12"/>
        <v>No Quote</v>
      </c>
      <c r="W40" s="153"/>
      <c r="X40" s="44"/>
      <c r="Y40" s="45" t="str">
        <f t="shared" si="13"/>
        <v/>
      </c>
      <c r="Z40" s="92"/>
      <c r="AA40" s="152" t="str">
        <f t="shared" si="14"/>
        <v>No Quote</v>
      </c>
      <c r="AB40" s="153"/>
      <c r="AC40" s="44"/>
      <c r="AD40" s="45" t="str">
        <f t="shared" si="15"/>
        <v/>
      </c>
      <c r="AE40" s="92"/>
      <c r="AF40" s="152" t="str">
        <f t="shared" si="16"/>
        <v>No Quote</v>
      </c>
      <c r="AG40" s="153"/>
      <c r="AH40" s="44"/>
      <c r="AI40" s="45" t="str">
        <f t="shared" si="17"/>
        <v/>
      </c>
      <c r="AJ40" s="92"/>
      <c r="AK40" s="212" t="str">
        <f t="shared" si="18"/>
        <v>No Quote</v>
      </c>
      <c r="AL40" s="213"/>
      <c r="AM40" s="90"/>
      <c r="AN40" s="96"/>
      <c r="AO40" s="66" t="str">
        <f t="shared" si="19"/>
        <v/>
      </c>
      <c r="AP40" s="95"/>
      <c r="AQ40" s="95"/>
      <c r="AR40" s="80" t="str">
        <f t="shared" si="20"/>
        <v>-</v>
      </c>
      <c r="AS40" s="80" t="str">
        <f t="shared" si="21"/>
        <v>-</v>
      </c>
      <c r="AT40" s="80" t="str">
        <f t="shared" si="22"/>
        <v>-</v>
      </c>
      <c r="AU40" s="80" t="str">
        <f t="shared" si="23"/>
        <v>-</v>
      </c>
      <c r="AV40" s="80" t="str">
        <f t="shared" si="24"/>
        <v>-</v>
      </c>
      <c r="AW40" s="80" t="str">
        <f t="shared" si="25"/>
        <v>-</v>
      </c>
      <c r="AX40" s="81" t="str">
        <f t="shared" si="4"/>
        <v/>
      </c>
      <c r="AY40" s="77" t="str">
        <f t="shared" si="26"/>
        <v/>
      </c>
      <c r="AZ40" s="75" t="str">
        <f t="shared" si="5"/>
        <v/>
      </c>
      <c r="BA40" s="74" t="str">
        <f t="shared" si="27"/>
        <v/>
      </c>
      <c r="BB40" s="77" t="str">
        <f t="shared" si="28"/>
        <v/>
      </c>
      <c r="BC40" s="75" t="str">
        <f t="shared" si="6"/>
        <v/>
      </c>
      <c r="BD40" s="74" t="str">
        <f t="shared" si="29"/>
        <v/>
      </c>
      <c r="BE40" s="77" t="str">
        <f t="shared" si="30"/>
        <v/>
      </c>
      <c r="BG40" s="104">
        <f t="shared" si="33"/>
        <v>0</v>
      </c>
      <c r="BH40" s="106"/>
    </row>
    <row r="41" spans="2:60" s="1" customFormat="1" ht="61.5" customHeight="1" outlineLevel="1" x14ac:dyDescent="0.25">
      <c r="B41" s="41">
        <f t="shared" si="32"/>
        <v>19</v>
      </c>
      <c r="C41" s="218"/>
      <c r="D41" s="218"/>
      <c r="E41" s="218"/>
      <c r="F41" s="218"/>
      <c r="G41" s="42"/>
      <c r="H41" s="43"/>
      <c r="I41" s="44"/>
      <c r="J41" s="45" t="str">
        <f t="shared" si="7"/>
        <v/>
      </c>
      <c r="K41" s="93"/>
      <c r="L41" s="152" t="str">
        <f t="shared" si="8"/>
        <v>No Quote</v>
      </c>
      <c r="M41" s="153"/>
      <c r="N41" s="44"/>
      <c r="O41" s="45" t="str">
        <f t="shared" si="9"/>
        <v/>
      </c>
      <c r="P41" s="93"/>
      <c r="Q41" s="152" t="str">
        <f t="shared" si="10"/>
        <v>No Quote</v>
      </c>
      <c r="R41" s="153"/>
      <c r="S41" s="44"/>
      <c r="T41" s="45" t="str">
        <f t="shared" si="11"/>
        <v/>
      </c>
      <c r="U41" s="92"/>
      <c r="V41" s="152" t="str">
        <f t="shared" si="12"/>
        <v>No Quote</v>
      </c>
      <c r="W41" s="153"/>
      <c r="X41" s="44"/>
      <c r="Y41" s="45" t="str">
        <f t="shared" si="13"/>
        <v/>
      </c>
      <c r="Z41" s="92"/>
      <c r="AA41" s="152" t="str">
        <f t="shared" si="14"/>
        <v>No Quote</v>
      </c>
      <c r="AB41" s="153"/>
      <c r="AC41" s="44"/>
      <c r="AD41" s="45" t="str">
        <f t="shared" si="15"/>
        <v/>
      </c>
      <c r="AE41" s="92"/>
      <c r="AF41" s="152" t="str">
        <f t="shared" si="16"/>
        <v>No Quote</v>
      </c>
      <c r="AG41" s="153"/>
      <c r="AH41" s="44"/>
      <c r="AI41" s="45" t="str">
        <f t="shared" si="17"/>
        <v/>
      </c>
      <c r="AJ41" s="92"/>
      <c r="AK41" s="212" t="str">
        <f t="shared" si="18"/>
        <v>No Quote</v>
      </c>
      <c r="AL41" s="213"/>
      <c r="AM41" s="90"/>
      <c r="AN41" s="96"/>
      <c r="AO41" s="66" t="str">
        <f t="shared" si="19"/>
        <v/>
      </c>
      <c r="AP41" s="95"/>
      <c r="AQ41" s="95"/>
      <c r="AR41" s="80" t="str">
        <f t="shared" si="20"/>
        <v>-</v>
      </c>
      <c r="AS41" s="80" t="str">
        <f t="shared" si="21"/>
        <v>-</v>
      </c>
      <c r="AT41" s="80" t="str">
        <f t="shared" si="22"/>
        <v>-</v>
      </c>
      <c r="AU41" s="80" t="str">
        <f t="shared" si="23"/>
        <v>-</v>
      </c>
      <c r="AV41" s="80" t="str">
        <f t="shared" si="24"/>
        <v>-</v>
      </c>
      <c r="AW41" s="80" t="str">
        <f t="shared" si="25"/>
        <v>-</v>
      </c>
      <c r="AX41" s="81" t="str">
        <f t="shared" si="4"/>
        <v/>
      </c>
      <c r="AY41" s="77" t="str">
        <f t="shared" si="26"/>
        <v/>
      </c>
      <c r="AZ41" s="75" t="str">
        <f t="shared" si="5"/>
        <v/>
      </c>
      <c r="BA41" s="74" t="str">
        <f t="shared" si="27"/>
        <v/>
      </c>
      <c r="BB41" s="77" t="str">
        <f t="shared" si="28"/>
        <v/>
      </c>
      <c r="BC41" s="75" t="str">
        <f t="shared" si="6"/>
        <v/>
      </c>
      <c r="BD41" s="74" t="str">
        <f t="shared" si="29"/>
        <v/>
      </c>
      <c r="BE41" s="77" t="str">
        <f t="shared" si="30"/>
        <v/>
      </c>
      <c r="BG41" s="104">
        <f t="shared" si="33"/>
        <v>0</v>
      </c>
      <c r="BH41" s="106"/>
    </row>
    <row r="42" spans="2:60" s="1" customFormat="1" ht="61.5" customHeight="1" outlineLevel="1" x14ac:dyDescent="0.25">
      <c r="B42" s="41">
        <f t="shared" si="32"/>
        <v>20</v>
      </c>
      <c r="C42" s="218"/>
      <c r="D42" s="218"/>
      <c r="E42" s="218"/>
      <c r="F42" s="218"/>
      <c r="G42" s="42"/>
      <c r="H42" s="43"/>
      <c r="I42" s="44"/>
      <c r="J42" s="45" t="str">
        <f t="shared" si="7"/>
        <v/>
      </c>
      <c r="K42" s="93"/>
      <c r="L42" s="152" t="str">
        <f t="shared" si="8"/>
        <v>No Quote</v>
      </c>
      <c r="M42" s="153"/>
      <c r="N42" s="44"/>
      <c r="O42" s="45" t="str">
        <f t="shared" si="9"/>
        <v/>
      </c>
      <c r="P42" s="93"/>
      <c r="Q42" s="152" t="str">
        <f t="shared" si="10"/>
        <v>No Quote</v>
      </c>
      <c r="R42" s="153"/>
      <c r="S42" s="44"/>
      <c r="T42" s="45" t="str">
        <f t="shared" si="11"/>
        <v/>
      </c>
      <c r="U42" s="92"/>
      <c r="V42" s="152" t="str">
        <f t="shared" si="12"/>
        <v>No Quote</v>
      </c>
      <c r="W42" s="153"/>
      <c r="X42" s="44"/>
      <c r="Y42" s="45" t="str">
        <f t="shared" si="13"/>
        <v/>
      </c>
      <c r="Z42" s="92"/>
      <c r="AA42" s="152" t="str">
        <f t="shared" si="14"/>
        <v>No Quote</v>
      </c>
      <c r="AB42" s="153"/>
      <c r="AC42" s="44"/>
      <c r="AD42" s="45" t="str">
        <f t="shared" si="15"/>
        <v/>
      </c>
      <c r="AE42" s="92"/>
      <c r="AF42" s="152" t="str">
        <f t="shared" si="16"/>
        <v>No Quote</v>
      </c>
      <c r="AG42" s="153"/>
      <c r="AH42" s="44"/>
      <c r="AI42" s="45" t="str">
        <f t="shared" si="17"/>
        <v/>
      </c>
      <c r="AJ42" s="92"/>
      <c r="AK42" s="212" t="str">
        <f t="shared" si="18"/>
        <v>No Quote</v>
      </c>
      <c r="AL42" s="213"/>
      <c r="AM42" s="90"/>
      <c r="AN42" s="96"/>
      <c r="AO42" s="66" t="str">
        <f t="shared" si="19"/>
        <v/>
      </c>
      <c r="AP42" s="95"/>
      <c r="AQ42" s="95"/>
      <c r="AR42" s="80" t="str">
        <f t="shared" si="20"/>
        <v>-</v>
      </c>
      <c r="AS42" s="80" t="str">
        <f t="shared" si="21"/>
        <v>-</v>
      </c>
      <c r="AT42" s="80" t="str">
        <f t="shared" si="22"/>
        <v>-</v>
      </c>
      <c r="AU42" s="80" t="str">
        <f t="shared" si="23"/>
        <v>-</v>
      </c>
      <c r="AV42" s="80" t="str">
        <f t="shared" si="24"/>
        <v>-</v>
      </c>
      <c r="AW42" s="80" t="str">
        <f t="shared" si="25"/>
        <v>-</v>
      </c>
      <c r="AX42" s="81" t="str">
        <f t="shared" si="4"/>
        <v/>
      </c>
      <c r="AY42" s="77" t="str">
        <f t="shared" si="26"/>
        <v/>
      </c>
      <c r="AZ42" s="75" t="str">
        <f t="shared" si="5"/>
        <v/>
      </c>
      <c r="BA42" s="74" t="str">
        <f t="shared" si="27"/>
        <v/>
      </c>
      <c r="BB42" s="77" t="str">
        <f t="shared" si="28"/>
        <v/>
      </c>
      <c r="BC42" s="75" t="str">
        <f t="shared" si="6"/>
        <v/>
      </c>
      <c r="BD42" s="74" t="str">
        <f t="shared" si="29"/>
        <v/>
      </c>
      <c r="BE42" s="77" t="str">
        <f t="shared" si="30"/>
        <v/>
      </c>
      <c r="BG42" s="104">
        <f t="shared" si="33"/>
        <v>0</v>
      </c>
      <c r="BH42" s="106"/>
    </row>
    <row r="43" spans="2:60" s="1" customFormat="1" ht="61.5" customHeight="1" outlineLevel="1" x14ac:dyDescent="0.25">
      <c r="B43" s="41">
        <f t="shared" si="32"/>
        <v>21</v>
      </c>
      <c r="C43" s="218"/>
      <c r="D43" s="218"/>
      <c r="E43" s="218"/>
      <c r="F43" s="218"/>
      <c r="G43" s="42"/>
      <c r="H43" s="43"/>
      <c r="I43" s="44"/>
      <c r="J43" s="45" t="str">
        <f t="shared" si="7"/>
        <v/>
      </c>
      <c r="K43" s="93"/>
      <c r="L43" s="152" t="str">
        <f t="shared" si="8"/>
        <v>No Quote</v>
      </c>
      <c r="M43" s="153"/>
      <c r="N43" s="44"/>
      <c r="O43" s="45" t="str">
        <f t="shared" si="9"/>
        <v/>
      </c>
      <c r="P43" s="93"/>
      <c r="Q43" s="152" t="str">
        <f t="shared" si="10"/>
        <v>No Quote</v>
      </c>
      <c r="R43" s="153"/>
      <c r="S43" s="44"/>
      <c r="T43" s="45" t="str">
        <f t="shared" si="11"/>
        <v/>
      </c>
      <c r="U43" s="92"/>
      <c r="V43" s="152" t="str">
        <f t="shared" si="12"/>
        <v>No Quote</v>
      </c>
      <c r="W43" s="153"/>
      <c r="X43" s="44"/>
      <c r="Y43" s="45" t="str">
        <f t="shared" si="13"/>
        <v/>
      </c>
      <c r="Z43" s="92"/>
      <c r="AA43" s="152" t="str">
        <f t="shared" si="14"/>
        <v>No Quote</v>
      </c>
      <c r="AB43" s="153"/>
      <c r="AC43" s="44"/>
      <c r="AD43" s="45" t="str">
        <f t="shared" si="15"/>
        <v/>
      </c>
      <c r="AE43" s="92"/>
      <c r="AF43" s="152" t="str">
        <f t="shared" si="16"/>
        <v>No Quote</v>
      </c>
      <c r="AG43" s="153"/>
      <c r="AH43" s="44"/>
      <c r="AI43" s="45" t="str">
        <f t="shared" si="17"/>
        <v/>
      </c>
      <c r="AJ43" s="92"/>
      <c r="AK43" s="212" t="str">
        <f t="shared" si="18"/>
        <v>No Quote</v>
      </c>
      <c r="AL43" s="213"/>
      <c r="AM43" s="90"/>
      <c r="AN43" s="96"/>
      <c r="AO43" s="66" t="str">
        <f t="shared" si="19"/>
        <v/>
      </c>
      <c r="AP43" s="95"/>
      <c r="AQ43" s="95"/>
      <c r="AR43" s="80" t="str">
        <f t="shared" si="20"/>
        <v>-</v>
      </c>
      <c r="AS43" s="80" t="str">
        <f t="shared" si="21"/>
        <v>-</v>
      </c>
      <c r="AT43" s="80" t="str">
        <f t="shared" si="22"/>
        <v>-</v>
      </c>
      <c r="AU43" s="80" t="str">
        <f t="shared" si="23"/>
        <v>-</v>
      </c>
      <c r="AV43" s="80" t="str">
        <f t="shared" si="24"/>
        <v>-</v>
      </c>
      <c r="AW43" s="80" t="str">
        <f t="shared" si="25"/>
        <v>-</v>
      </c>
      <c r="AX43" s="81" t="str">
        <f t="shared" si="4"/>
        <v/>
      </c>
      <c r="AY43" s="77" t="str">
        <f t="shared" si="26"/>
        <v/>
      </c>
      <c r="AZ43" s="75" t="str">
        <f t="shared" si="5"/>
        <v/>
      </c>
      <c r="BA43" s="74" t="str">
        <f t="shared" si="27"/>
        <v/>
      </c>
      <c r="BB43" s="77" t="str">
        <f t="shared" si="28"/>
        <v/>
      </c>
      <c r="BC43" s="75" t="str">
        <f t="shared" si="6"/>
        <v/>
      </c>
      <c r="BD43" s="74" t="str">
        <f t="shared" si="29"/>
        <v/>
      </c>
      <c r="BE43" s="77" t="str">
        <f t="shared" si="30"/>
        <v/>
      </c>
      <c r="BG43" s="104">
        <f t="shared" si="33"/>
        <v>0</v>
      </c>
      <c r="BH43" s="106"/>
    </row>
    <row r="44" spans="2:60" s="1" customFormat="1" ht="61.5" customHeight="1" outlineLevel="1" x14ac:dyDescent="0.25">
      <c r="B44" s="41">
        <f t="shared" si="32"/>
        <v>22</v>
      </c>
      <c r="C44" s="218"/>
      <c r="D44" s="218"/>
      <c r="E44" s="218"/>
      <c r="F44" s="218"/>
      <c r="G44" s="42"/>
      <c r="H44" s="43"/>
      <c r="I44" s="44"/>
      <c r="J44" s="45" t="str">
        <f t="shared" si="7"/>
        <v/>
      </c>
      <c r="K44" s="93"/>
      <c r="L44" s="152" t="str">
        <f t="shared" si="8"/>
        <v>No Quote</v>
      </c>
      <c r="M44" s="153"/>
      <c r="N44" s="44"/>
      <c r="O44" s="45" t="str">
        <f t="shared" si="9"/>
        <v/>
      </c>
      <c r="P44" s="93"/>
      <c r="Q44" s="152" t="str">
        <f t="shared" si="10"/>
        <v>No Quote</v>
      </c>
      <c r="R44" s="153"/>
      <c r="S44" s="44"/>
      <c r="T44" s="45" t="str">
        <f t="shared" si="11"/>
        <v/>
      </c>
      <c r="U44" s="92"/>
      <c r="V44" s="152" t="str">
        <f t="shared" si="12"/>
        <v>No Quote</v>
      </c>
      <c r="W44" s="153"/>
      <c r="X44" s="44"/>
      <c r="Y44" s="45" t="str">
        <f t="shared" si="13"/>
        <v/>
      </c>
      <c r="Z44" s="92"/>
      <c r="AA44" s="152" t="str">
        <f t="shared" si="14"/>
        <v>No Quote</v>
      </c>
      <c r="AB44" s="153"/>
      <c r="AC44" s="44"/>
      <c r="AD44" s="45" t="str">
        <f t="shared" si="15"/>
        <v/>
      </c>
      <c r="AE44" s="92"/>
      <c r="AF44" s="152" t="str">
        <f t="shared" si="16"/>
        <v>No Quote</v>
      </c>
      <c r="AG44" s="153"/>
      <c r="AH44" s="44"/>
      <c r="AI44" s="45" t="str">
        <f t="shared" si="17"/>
        <v/>
      </c>
      <c r="AJ44" s="92"/>
      <c r="AK44" s="212" t="str">
        <f t="shared" si="18"/>
        <v>No Quote</v>
      </c>
      <c r="AL44" s="213"/>
      <c r="AM44" s="90"/>
      <c r="AN44" s="96"/>
      <c r="AO44" s="66" t="str">
        <f t="shared" si="19"/>
        <v/>
      </c>
      <c r="AP44" s="95"/>
      <c r="AQ44" s="95"/>
      <c r="AR44" s="80" t="str">
        <f t="shared" si="20"/>
        <v>-</v>
      </c>
      <c r="AS44" s="80" t="str">
        <f t="shared" si="21"/>
        <v>-</v>
      </c>
      <c r="AT44" s="80" t="str">
        <f t="shared" si="22"/>
        <v>-</v>
      </c>
      <c r="AU44" s="80" t="str">
        <f t="shared" si="23"/>
        <v>-</v>
      </c>
      <c r="AV44" s="80" t="str">
        <f t="shared" si="24"/>
        <v>-</v>
      </c>
      <c r="AW44" s="80" t="str">
        <f t="shared" si="25"/>
        <v>-</v>
      </c>
      <c r="AX44" s="81" t="str">
        <f t="shared" si="4"/>
        <v/>
      </c>
      <c r="AY44" s="77" t="str">
        <f t="shared" si="26"/>
        <v/>
      </c>
      <c r="AZ44" s="75" t="str">
        <f t="shared" si="5"/>
        <v/>
      </c>
      <c r="BA44" s="74" t="str">
        <f t="shared" si="27"/>
        <v/>
      </c>
      <c r="BB44" s="77" t="str">
        <f t="shared" si="28"/>
        <v/>
      </c>
      <c r="BC44" s="75" t="str">
        <f t="shared" si="6"/>
        <v/>
      </c>
      <c r="BD44" s="74" t="str">
        <f t="shared" si="29"/>
        <v/>
      </c>
      <c r="BE44" s="77" t="str">
        <f t="shared" si="30"/>
        <v/>
      </c>
      <c r="BG44" s="104">
        <f t="shared" si="33"/>
        <v>0</v>
      </c>
      <c r="BH44" s="106"/>
    </row>
    <row r="45" spans="2:60" s="1" customFormat="1" ht="61.5" customHeight="1" outlineLevel="1" x14ac:dyDescent="0.25">
      <c r="B45" s="41">
        <f t="shared" si="32"/>
        <v>23</v>
      </c>
      <c r="C45" s="218"/>
      <c r="D45" s="218"/>
      <c r="E45" s="218"/>
      <c r="F45" s="218"/>
      <c r="G45" s="42"/>
      <c r="H45" s="43"/>
      <c r="I45" s="44"/>
      <c r="J45" s="45" t="str">
        <f t="shared" si="7"/>
        <v/>
      </c>
      <c r="K45" s="93"/>
      <c r="L45" s="152" t="str">
        <f t="shared" si="8"/>
        <v>No Quote</v>
      </c>
      <c r="M45" s="153"/>
      <c r="N45" s="44"/>
      <c r="O45" s="45" t="str">
        <f t="shared" si="9"/>
        <v/>
      </c>
      <c r="P45" s="93"/>
      <c r="Q45" s="152" t="str">
        <f t="shared" si="10"/>
        <v>No Quote</v>
      </c>
      <c r="R45" s="153"/>
      <c r="S45" s="44"/>
      <c r="T45" s="45" t="str">
        <f t="shared" si="11"/>
        <v/>
      </c>
      <c r="U45" s="92"/>
      <c r="V45" s="152" t="str">
        <f t="shared" si="12"/>
        <v>No Quote</v>
      </c>
      <c r="W45" s="153"/>
      <c r="X45" s="44"/>
      <c r="Y45" s="45" t="str">
        <f t="shared" si="13"/>
        <v/>
      </c>
      <c r="Z45" s="92"/>
      <c r="AA45" s="152" t="str">
        <f t="shared" si="14"/>
        <v>No Quote</v>
      </c>
      <c r="AB45" s="153"/>
      <c r="AC45" s="44"/>
      <c r="AD45" s="45" t="str">
        <f t="shared" si="15"/>
        <v/>
      </c>
      <c r="AE45" s="92"/>
      <c r="AF45" s="152" t="str">
        <f t="shared" si="16"/>
        <v>No Quote</v>
      </c>
      <c r="AG45" s="153"/>
      <c r="AH45" s="44"/>
      <c r="AI45" s="45" t="str">
        <f t="shared" si="17"/>
        <v/>
      </c>
      <c r="AJ45" s="92"/>
      <c r="AK45" s="212" t="str">
        <f t="shared" si="18"/>
        <v>No Quote</v>
      </c>
      <c r="AL45" s="213"/>
      <c r="AM45" s="90"/>
      <c r="AN45" s="96"/>
      <c r="AO45" s="66" t="str">
        <f t="shared" si="19"/>
        <v/>
      </c>
      <c r="AP45" s="95"/>
      <c r="AQ45" s="95"/>
      <c r="AR45" s="80" t="str">
        <f t="shared" si="20"/>
        <v>-</v>
      </c>
      <c r="AS45" s="80" t="str">
        <f t="shared" si="21"/>
        <v>-</v>
      </c>
      <c r="AT45" s="80" t="str">
        <f t="shared" si="22"/>
        <v>-</v>
      </c>
      <c r="AU45" s="80" t="str">
        <f t="shared" si="23"/>
        <v>-</v>
      </c>
      <c r="AV45" s="80" t="str">
        <f t="shared" si="24"/>
        <v>-</v>
      </c>
      <c r="AW45" s="80" t="str">
        <f t="shared" si="25"/>
        <v>-</v>
      </c>
      <c r="AX45" s="81" t="str">
        <f t="shared" si="4"/>
        <v/>
      </c>
      <c r="AY45" s="77" t="str">
        <f t="shared" si="26"/>
        <v/>
      </c>
      <c r="AZ45" s="75" t="str">
        <f t="shared" si="5"/>
        <v/>
      </c>
      <c r="BA45" s="74" t="str">
        <f t="shared" si="27"/>
        <v/>
      </c>
      <c r="BB45" s="77" t="str">
        <f t="shared" si="28"/>
        <v/>
      </c>
      <c r="BC45" s="75" t="str">
        <f t="shared" si="6"/>
        <v/>
      </c>
      <c r="BD45" s="74" t="str">
        <f t="shared" si="29"/>
        <v/>
      </c>
      <c r="BE45" s="77" t="str">
        <f t="shared" si="30"/>
        <v/>
      </c>
      <c r="BG45" s="104">
        <f t="shared" si="33"/>
        <v>0</v>
      </c>
      <c r="BH45" s="106"/>
    </row>
    <row r="46" spans="2:60" s="1" customFormat="1" ht="61.5" customHeight="1" outlineLevel="1" x14ac:dyDescent="0.25">
      <c r="B46" s="41">
        <f t="shared" si="32"/>
        <v>24</v>
      </c>
      <c r="C46" s="218"/>
      <c r="D46" s="218"/>
      <c r="E46" s="218"/>
      <c r="F46" s="218"/>
      <c r="G46" s="42"/>
      <c r="H46" s="43"/>
      <c r="I46" s="44"/>
      <c r="J46" s="45" t="str">
        <f t="shared" si="7"/>
        <v/>
      </c>
      <c r="K46" s="93"/>
      <c r="L46" s="152" t="str">
        <f t="shared" si="8"/>
        <v>No Quote</v>
      </c>
      <c r="M46" s="153"/>
      <c r="N46" s="44"/>
      <c r="O46" s="45" t="str">
        <f t="shared" si="9"/>
        <v/>
      </c>
      <c r="P46" s="93"/>
      <c r="Q46" s="152" t="str">
        <f t="shared" si="10"/>
        <v>No Quote</v>
      </c>
      <c r="R46" s="153"/>
      <c r="S46" s="44"/>
      <c r="T46" s="45" t="str">
        <f t="shared" si="11"/>
        <v/>
      </c>
      <c r="U46" s="92"/>
      <c r="V46" s="152" t="str">
        <f t="shared" si="12"/>
        <v>No Quote</v>
      </c>
      <c r="W46" s="153"/>
      <c r="X46" s="44"/>
      <c r="Y46" s="45" t="str">
        <f t="shared" si="13"/>
        <v/>
      </c>
      <c r="Z46" s="92"/>
      <c r="AA46" s="152" t="str">
        <f t="shared" si="14"/>
        <v>No Quote</v>
      </c>
      <c r="AB46" s="153"/>
      <c r="AC46" s="44"/>
      <c r="AD46" s="45" t="str">
        <f t="shared" si="15"/>
        <v/>
      </c>
      <c r="AE46" s="92"/>
      <c r="AF46" s="152" t="str">
        <f t="shared" si="16"/>
        <v>No Quote</v>
      </c>
      <c r="AG46" s="153"/>
      <c r="AH46" s="44"/>
      <c r="AI46" s="45" t="str">
        <f t="shared" si="17"/>
        <v/>
      </c>
      <c r="AJ46" s="92"/>
      <c r="AK46" s="212" t="str">
        <f t="shared" si="18"/>
        <v>No Quote</v>
      </c>
      <c r="AL46" s="213"/>
      <c r="AM46" s="90"/>
      <c r="AN46" s="96"/>
      <c r="AO46" s="66" t="str">
        <f t="shared" si="19"/>
        <v/>
      </c>
      <c r="AP46" s="95"/>
      <c r="AQ46" s="95"/>
      <c r="AR46" s="80" t="str">
        <f t="shared" si="20"/>
        <v>-</v>
      </c>
      <c r="AS46" s="80" t="str">
        <f t="shared" si="21"/>
        <v>-</v>
      </c>
      <c r="AT46" s="80" t="str">
        <f t="shared" si="22"/>
        <v>-</v>
      </c>
      <c r="AU46" s="80" t="str">
        <f t="shared" si="23"/>
        <v>-</v>
      </c>
      <c r="AV46" s="80" t="str">
        <f t="shared" si="24"/>
        <v>-</v>
      </c>
      <c r="AW46" s="80" t="str">
        <f t="shared" si="25"/>
        <v>-</v>
      </c>
      <c r="AX46" s="81" t="str">
        <f t="shared" si="4"/>
        <v/>
      </c>
      <c r="AY46" s="77" t="str">
        <f t="shared" si="26"/>
        <v/>
      </c>
      <c r="AZ46" s="75" t="str">
        <f t="shared" si="5"/>
        <v/>
      </c>
      <c r="BA46" s="74" t="str">
        <f t="shared" si="27"/>
        <v/>
      </c>
      <c r="BB46" s="77" t="str">
        <f t="shared" si="28"/>
        <v/>
      </c>
      <c r="BC46" s="75" t="str">
        <f t="shared" si="6"/>
        <v/>
      </c>
      <c r="BD46" s="74" t="str">
        <f t="shared" si="29"/>
        <v/>
      </c>
      <c r="BE46" s="77" t="str">
        <f t="shared" si="30"/>
        <v/>
      </c>
      <c r="BG46" s="104">
        <f t="shared" si="33"/>
        <v>0</v>
      </c>
      <c r="BH46" s="106"/>
    </row>
    <row r="47" spans="2:60" s="1" customFormat="1" ht="61.5" customHeight="1" outlineLevel="1" x14ac:dyDescent="0.25">
      <c r="B47" s="41">
        <f t="shared" si="32"/>
        <v>25</v>
      </c>
      <c r="C47" s="218"/>
      <c r="D47" s="218"/>
      <c r="E47" s="218"/>
      <c r="F47" s="218"/>
      <c r="G47" s="42"/>
      <c r="H47" s="43"/>
      <c r="I47" s="44"/>
      <c r="J47" s="45" t="str">
        <f t="shared" si="7"/>
        <v/>
      </c>
      <c r="K47" s="93"/>
      <c r="L47" s="152" t="str">
        <f t="shared" si="8"/>
        <v>No Quote</v>
      </c>
      <c r="M47" s="153"/>
      <c r="N47" s="44"/>
      <c r="O47" s="45" t="str">
        <f t="shared" si="9"/>
        <v/>
      </c>
      <c r="P47" s="93"/>
      <c r="Q47" s="152" t="str">
        <f t="shared" si="10"/>
        <v>No Quote</v>
      </c>
      <c r="R47" s="153"/>
      <c r="S47" s="44"/>
      <c r="T47" s="45" t="str">
        <f t="shared" si="11"/>
        <v/>
      </c>
      <c r="U47" s="92"/>
      <c r="V47" s="152" t="str">
        <f t="shared" si="12"/>
        <v>No Quote</v>
      </c>
      <c r="W47" s="153"/>
      <c r="X47" s="44"/>
      <c r="Y47" s="45" t="str">
        <f t="shared" si="13"/>
        <v/>
      </c>
      <c r="Z47" s="92"/>
      <c r="AA47" s="152" t="str">
        <f t="shared" si="14"/>
        <v>No Quote</v>
      </c>
      <c r="AB47" s="153"/>
      <c r="AC47" s="44"/>
      <c r="AD47" s="45" t="str">
        <f t="shared" si="15"/>
        <v/>
      </c>
      <c r="AE47" s="92"/>
      <c r="AF47" s="152" t="str">
        <f t="shared" si="16"/>
        <v>No Quote</v>
      </c>
      <c r="AG47" s="153"/>
      <c r="AH47" s="44"/>
      <c r="AI47" s="45" t="str">
        <f t="shared" si="17"/>
        <v/>
      </c>
      <c r="AJ47" s="92"/>
      <c r="AK47" s="212" t="str">
        <f t="shared" si="18"/>
        <v>No Quote</v>
      </c>
      <c r="AL47" s="213"/>
      <c r="AM47" s="90"/>
      <c r="AN47" s="96"/>
      <c r="AO47" s="66" t="str">
        <f t="shared" si="19"/>
        <v/>
      </c>
      <c r="AP47" s="95"/>
      <c r="AQ47" s="95"/>
      <c r="AR47" s="80" t="str">
        <f t="shared" si="20"/>
        <v>-</v>
      </c>
      <c r="AS47" s="80" t="str">
        <f t="shared" si="21"/>
        <v>-</v>
      </c>
      <c r="AT47" s="80" t="str">
        <f t="shared" si="22"/>
        <v>-</v>
      </c>
      <c r="AU47" s="80" t="str">
        <f t="shared" si="23"/>
        <v>-</v>
      </c>
      <c r="AV47" s="80" t="str">
        <f t="shared" si="24"/>
        <v>-</v>
      </c>
      <c r="AW47" s="80" t="str">
        <f t="shared" si="25"/>
        <v>-</v>
      </c>
      <c r="AX47" s="81" t="str">
        <f t="shared" si="4"/>
        <v/>
      </c>
      <c r="AY47" s="77" t="str">
        <f t="shared" si="26"/>
        <v/>
      </c>
      <c r="AZ47" s="75" t="str">
        <f t="shared" si="5"/>
        <v/>
      </c>
      <c r="BA47" s="74" t="str">
        <f t="shared" si="27"/>
        <v/>
      </c>
      <c r="BB47" s="77" t="str">
        <f t="shared" si="28"/>
        <v/>
      </c>
      <c r="BC47" s="75" t="str">
        <f t="shared" si="6"/>
        <v/>
      </c>
      <c r="BD47" s="74" t="str">
        <f t="shared" si="29"/>
        <v/>
      </c>
      <c r="BE47" s="77" t="str">
        <f t="shared" si="30"/>
        <v/>
      </c>
      <c r="BG47" s="104">
        <f t="shared" si="33"/>
        <v>0</v>
      </c>
      <c r="BH47" s="106"/>
    </row>
    <row r="48" spans="2:60" s="1" customFormat="1" ht="61.5" customHeight="1" outlineLevel="1" x14ac:dyDescent="0.25">
      <c r="B48" s="41">
        <f t="shared" si="32"/>
        <v>26</v>
      </c>
      <c r="C48" s="218"/>
      <c r="D48" s="218"/>
      <c r="E48" s="218"/>
      <c r="F48" s="218"/>
      <c r="G48" s="42"/>
      <c r="H48" s="43"/>
      <c r="I48" s="44"/>
      <c r="J48" s="45" t="str">
        <f t="shared" si="7"/>
        <v/>
      </c>
      <c r="K48" s="93"/>
      <c r="L48" s="152" t="str">
        <f t="shared" si="8"/>
        <v>No Quote</v>
      </c>
      <c r="M48" s="153"/>
      <c r="N48" s="44"/>
      <c r="O48" s="45" t="str">
        <f t="shared" si="9"/>
        <v/>
      </c>
      <c r="P48" s="93"/>
      <c r="Q48" s="152" t="str">
        <f t="shared" si="10"/>
        <v>No Quote</v>
      </c>
      <c r="R48" s="153"/>
      <c r="S48" s="44"/>
      <c r="T48" s="45" t="str">
        <f t="shared" si="11"/>
        <v/>
      </c>
      <c r="U48" s="92"/>
      <c r="V48" s="152" t="str">
        <f t="shared" si="12"/>
        <v>No Quote</v>
      </c>
      <c r="W48" s="153"/>
      <c r="X48" s="44"/>
      <c r="Y48" s="45" t="str">
        <f t="shared" si="13"/>
        <v/>
      </c>
      <c r="Z48" s="92"/>
      <c r="AA48" s="152" t="str">
        <f t="shared" si="14"/>
        <v>No Quote</v>
      </c>
      <c r="AB48" s="153"/>
      <c r="AC48" s="44"/>
      <c r="AD48" s="45" t="str">
        <f t="shared" si="15"/>
        <v/>
      </c>
      <c r="AE48" s="92"/>
      <c r="AF48" s="152" t="str">
        <f t="shared" si="16"/>
        <v>No Quote</v>
      </c>
      <c r="AG48" s="153"/>
      <c r="AH48" s="44"/>
      <c r="AI48" s="45" t="str">
        <f t="shared" si="17"/>
        <v/>
      </c>
      <c r="AJ48" s="92"/>
      <c r="AK48" s="212" t="str">
        <f t="shared" si="18"/>
        <v>No Quote</v>
      </c>
      <c r="AL48" s="213"/>
      <c r="AM48" s="90"/>
      <c r="AN48" s="96"/>
      <c r="AO48" s="66" t="str">
        <f t="shared" si="19"/>
        <v/>
      </c>
      <c r="AP48" s="95"/>
      <c r="AQ48" s="95"/>
      <c r="AR48" s="80" t="str">
        <f t="shared" si="20"/>
        <v>-</v>
      </c>
      <c r="AS48" s="80" t="str">
        <f t="shared" si="21"/>
        <v>-</v>
      </c>
      <c r="AT48" s="80" t="str">
        <f t="shared" si="22"/>
        <v>-</v>
      </c>
      <c r="AU48" s="80" t="str">
        <f t="shared" si="23"/>
        <v>-</v>
      </c>
      <c r="AV48" s="80" t="str">
        <f t="shared" si="24"/>
        <v>-</v>
      </c>
      <c r="AW48" s="80" t="str">
        <f t="shared" si="25"/>
        <v>-</v>
      </c>
      <c r="AX48" s="81" t="str">
        <f t="shared" si="4"/>
        <v/>
      </c>
      <c r="AY48" s="77" t="str">
        <f t="shared" si="26"/>
        <v/>
      </c>
      <c r="AZ48" s="75" t="str">
        <f t="shared" si="5"/>
        <v/>
      </c>
      <c r="BA48" s="74" t="str">
        <f t="shared" si="27"/>
        <v/>
      </c>
      <c r="BB48" s="77" t="str">
        <f t="shared" si="28"/>
        <v/>
      </c>
      <c r="BC48" s="75" t="str">
        <f t="shared" si="6"/>
        <v/>
      </c>
      <c r="BD48" s="74" t="str">
        <f t="shared" si="29"/>
        <v/>
      </c>
      <c r="BE48" s="77" t="str">
        <f t="shared" si="30"/>
        <v/>
      </c>
      <c r="BG48" s="104">
        <f t="shared" si="33"/>
        <v>0</v>
      </c>
      <c r="BH48" s="106"/>
    </row>
    <row r="49" spans="2:60" s="1" customFormat="1" ht="61.5" customHeight="1" outlineLevel="1" x14ac:dyDescent="0.25">
      <c r="B49" s="41">
        <f t="shared" si="32"/>
        <v>27</v>
      </c>
      <c r="C49" s="218"/>
      <c r="D49" s="218"/>
      <c r="E49" s="218"/>
      <c r="F49" s="218"/>
      <c r="G49" s="42"/>
      <c r="H49" s="43"/>
      <c r="I49" s="44"/>
      <c r="J49" s="45" t="str">
        <f t="shared" si="7"/>
        <v/>
      </c>
      <c r="K49" s="93"/>
      <c r="L49" s="152" t="str">
        <f t="shared" si="8"/>
        <v>No Quote</v>
      </c>
      <c r="M49" s="153"/>
      <c r="N49" s="44"/>
      <c r="O49" s="45" t="str">
        <f t="shared" si="9"/>
        <v/>
      </c>
      <c r="P49" s="93"/>
      <c r="Q49" s="152" t="str">
        <f t="shared" si="10"/>
        <v>No Quote</v>
      </c>
      <c r="R49" s="153"/>
      <c r="S49" s="44"/>
      <c r="T49" s="45" t="str">
        <f t="shared" si="11"/>
        <v/>
      </c>
      <c r="U49" s="92"/>
      <c r="V49" s="152" t="str">
        <f t="shared" si="12"/>
        <v>No Quote</v>
      </c>
      <c r="W49" s="153"/>
      <c r="X49" s="44"/>
      <c r="Y49" s="45" t="str">
        <f t="shared" si="13"/>
        <v/>
      </c>
      <c r="Z49" s="92"/>
      <c r="AA49" s="152" t="str">
        <f t="shared" si="14"/>
        <v>No Quote</v>
      </c>
      <c r="AB49" s="153"/>
      <c r="AC49" s="44"/>
      <c r="AD49" s="45" t="str">
        <f t="shared" si="15"/>
        <v/>
      </c>
      <c r="AE49" s="92"/>
      <c r="AF49" s="152" t="str">
        <f t="shared" si="16"/>
        <v>No Quote</v>
      </c>
      <c r="AG49" s="153"/>
      <c r="AH49" s="44"/>
      <c r="AI49" s="45" t="str">
        <f t="shared" si="17"/>
        <v/>
      </c>
      <c r="AJ49" s="92"/>
      <c r="AK49" s="212" t="str">
        <f t="shared" si="18"/>
        <v>No Quote</v>
      </c>
      <c r="AL49" s="213"/>
      <c r="AM49" s="90"/>
      <c r="AN49" s="96"/>
      <c r="AO49" s="66" t="str">
        <f t="shared" si="19"/>
        <v/>
      </c>
      <c r="AP49" s="95"/>
      <c r="AQ49" s="95"/>
      <c r="AR49" s="80" t="str">
        <f t="shared" si="20"/>
        <v>-</v>
      </c>
      <c r="AS49" s="80" t="str">
        <f t="shared" si="21"/>
        <v>-</v>
      </c>
      <c r="AT49" s="80" t="str">
        <f t="shared" si="22"/>
        <v>-</v>
      </c>
      <c r="AU49" s="80" t="str">
        <f t="shared" si="23"/>
        <v>-</v>
      </c>
      <c r="AV49" s="80" t="str">
        <f t="shared" si="24"/>
        <v>-</v>
      </c>
      <c r="AW49" s="80" t="str">
        <f t="shared" si="25"/>
        <v>-</v>
      </c>
      <c r="AX49" s="81" t="str">
        <f t="shared" si="4"/>
        <v/>
      </c>
      <c r="AY49" s="77" t="str">
        <f t="shared" si="26"/>
        <v/>
      </c>
      <c r="AZ49" s="75" t="str">
        <f t="shared" si="5"/>
        <v/>
      </c>
      <c r="BA49" s="74" t="str">
        <f t="shared" si="27"/>
        <v/>
      </c>
      <c r="BB49" s="77" t="str">
        <f t="shared" si="28"/>
        <v/>
      </c>
      <c r="BC49" s="75" t="str">
        <f t="shared" si="6"/>
        <v/>
      </c>
      <c r="BD49" s="74" t="str">
        <f t="shared" si="29"/>
        <v/>
      </c>
      <c r="BE49" s="77" t="str">
        <f t="shared" si="30"/>
        <v/>
      </c>
      <c r="BG49" s="104">
        <f t="shared" si="33"/>
        <v>0</v>
      </c>
      <c r="BH49" s="106"/>
    </row>
    <row r="50" spans="2:60" s="1" customFormat="1" ht="61.5" customHeight="1" outlineLevel="1" x14ac:dyDescent="0.25">
      <c r="B50" s="41">
        <f t="shared" si="32"/>
        <v>28</v>
      </c>
      <c r="C50" s="218"/>
      <c r="D50" s="218"/>
      <c r="E50" s="218"/>
      <c r="F50" s="218"/>
      <c r="G50" s="42"/>
      <c r="H50" s="43"/>
      <c r="I50" s="44"/>
      <c r="J50" s="45" t="str">
        <f t="shared" si="7"/>
        <v/>
      </c>
      <c r="K50" s="93"/>
      <c r="L50" s="152" t="str">
        <f t="shared" si="8"/>
        <v>No Quote</v>
      </c>
      <c r="M50" s="153"/>
      <c r="N50" s="44"/>
      <c r="O50" s="45" t="str">
        <f t="shared" si="9"/>
        <v/>
      </c>
      <c r="P50" s="93"/>
      <c r="Q50" s="152" t="str">
        <f t="shared" si="10"/>
        <v>No Quote</v>
      </c>
      <c r="R50" s="153"/>
      <c r="S50" s="44"/>
      <c r="T50" s="45" t="str">
        <f t="shared" si="11"/>
        <v/>
      </c>
      <c r="U50" s="92"/>
      <c r="V50" s="152" t="str">
        <f t="shared" si="12"/>
        <v>No Quote</v>
      </c>
      <c r="W50" s="153"/>
      <c r="X50" s="44"/>
      <c r="Y50" s="45" t="str">
        <f t="shared" si="13"/>
        <v/>
      </c>
      <c r="Z50" s="92"/>
      <c r="AA50" s="152" t="str">
        <f t="shared" si="14"/>
        <v>No Quote</v>
      </c>
      <c r="AB50" s="153"/>
      <c r="AC50" s="44"/>
      <c r="AD50" s="45" t="str">
        <f t="shared" si="15"/>
        <v/>
      </c>
      <c r="AE50" s="92"/>
      <c r="AF50" s="152" t="str">
        <f t="shared" si="16"/>
        <v>No Quote</v>
      </c>
      <c r="AG50" s="153"/>
      <c r="AH50" s="44"/>
      <c r="AI50" s="45" t="str">
        <f t="shared" si="17"/>
        <v/>
      </c>
      <c r="AJ50" s="92"/>
      <c r="AK50" s="212" t="str">
        <f t="shared" si="18"/>
        <v>No Quote</v>
      </c>
      <c r="AL50" s="213"/>
      <c r="AM50" s="90"/>
      <c r="AN50" s="96"/>
      <c r="AO50" s="66" t="str">
        <f t="shared" si="19"/>
        <v/>
      </c>
      <c r="AP50" s="95"/>
      <c r="AQ50" s="95"/>
      <c r="AR50" s="80" t="str">
        <f t="shared" si="20"/>
        <v>-</v>
      </c>
      <c r="AS50" s="80" t="str">
        <f t="shared" si="21"/>
        <v>-</v>
      </c>
      <c r="AT50" s="80" t="str">
        <f t="shared" si="22"/>
        <v>-</v>
      </c>
      <c r="AU50" s="80" t="str">
        <f t="shared" si="23"/>
        <v>-</v>
      </c>
      <c r="AV50" s="80" t="str">
        <f t="shared" si="24"/>
        <v>-</v>
      </c>
      <c r="AW50" s="80" t="str">
        <f t="shared" si="25"/>
        <v>-</v>
      </c>
      <c r="AX50" s="81" t="str">
        <f t="shared" si="4"/>
        <v/>
      </c>
      <c r="AY50" s="77" t="str">
        <f t="shared" si="26"/>
        <v/>
      </c>
      <c r="AZ50" s="75" t="str">
        <f t="shared" si="5"/>
        <v/>
      </c>
      <c r="BA50" s="74" t="str">
        <f t="shared" si="27"/>
        <v/>
      </c>
      <c r="BB50" s="77" t="str">
        <f t="shared" si="28"/>
        <v/>
      </c>
      <c r="BC50" s="75" t="str">
        <f t="shared" si="6"/>
        <v/>
      </c>
      <c r="BD50" s="74" t="str">
        <f t="shared" si="29"/>
        <v/>
      </c>
      <c r="BE50" s="77" t="str">
        <f t="shared" si="30"/>
        <v/>
      </c>
      <c r="BG50" s="104">
        <f t="shared" si="33"/>
        <v>0</v>
      </c>
      <c r="BH50" s="106"/>
    </row>
    <row r="51" spans="2:60" s="1" customFormat="1" ht="61.5" customHeight="1" outlineLevel="1" x14ac:dyDescent="0.25">
      <c r="B51" s="41">
        <f t="shared" si="32"/>
        <v>29</v>
      </c>
      <c r="C51" s="218"/>
      <c r="D51" s="218"/>
      <c r="E51" s="218"/>
      <c r="F51" s="218"/>
      <c r="G51" s="42"/>
      <c r="H51" s="43"/>
      <c r="I51" s="44"/>
      <c r="J51" s="45" t="str">
        <f t="shared" si="7"/>
        <v/>
      </c>
      <c r="K51" s="93"/>
      <c r="L51" s="152" t="str">
        <f t="shared" si="8"/>
        <v>No Quote</v>
      </c>
      <c r="M51" s="153"/>
      <c r="N51" s="44"/>
      <c r="O51" s="45" t="str">
        <f t="shared" si="9"/>
        <v/>
      </c>
      <c r="P51" s="93"/>
      <c r="Q51" s="152" t="str">
        <f t="shared" si="10"/>
        <v>No Quote</v>
      </c>
      <c r="R51" s="153"/>
      <c r="S51" s="44"/>
      <c r="T51" s="45" t="str">
        <f t="shared" si="11"/>
        <v/>
      </c>
      <c r="U51" s="92"/>
      <c r="V51" s="152" t="str">
        <f t="shared" si="12"/>
        <v>No Quote</v>
      </c>
      <c r="W51" s="153"/>
      <c r="X51" s="44"/>
      <c r="Y51" s="45" t="str">
        <f t="shared" si="13"/>
        <v/>
      </c>
      <c r="Z51" s="92"/>
      <c r="AA51" s="152" t="str">
        <f t="shared" si="14"/>
        <v>No Quote</v>
      </c>
      <c r="AB51" s="153"/>
      <c r="AC51" s="44"/>
      <c r="AD51" s="45" t="str">
        <f t="shared" si="15"/>
        <v/>
      </c>
      <c r="AE51" s="92"/>
      <c r="AF51" s="152" t="str">
        <f t="shared" si="16"/>
        <v>No Quote</v>
      </c>
      <c r="AG51" s="153"/>
      <c r="AH51" s="44"/>
      <c r="AI51" s="45" t="str">
        <f t="shared" si="17"/>
        <v/>
      </c>
      <c r="AJ51" s="92"/>
      <c r="AK51" s="212" t="str">
        <f t="shared" si="18"/>
        <v>No Quote</v>
      </c>
      <c r="AL51" s="213"/>
      <c r="AM51" s="90"/>
      <c r="AN51" s="96"/>
      <c r="AO51" s="66" t="str">
        <f t="shared" si="19"/>
        <v/>
      </c>
      <c r="AP51" s="95"/>
      <c r="AQ51" s="95"/>
      <c r="AR51" s="80" t="str">
        <f t="shared" si="20"/>
        <v>-</v>
      </c>
      <c r="AS51" s="80" t="str">
        <f t="shared" si="21"/>
        <v>-</v>
      </c>
      <c r="AT51" s="80" t="str">
        <f t="shared" si="22"/>
        <v>-</v>
      </c>
      <c r="AU51" s="80" t="str">
        <f t="shared" si="23"/>
        <v>-</v>
      </c>
      <c r="AV51" s="80" t="str">
        <f t="shared" si="24"/>
        <v>-</v>
      </c>
      <c r="AW51" s="80" t="str">
        <f t="shared" si="25"/>
        <v>-</v>
      </c>
      <c r="AX51" s="81" t="str">
        <f t="shared" si="4"/>
        <v/>
      </c>
      <c r="AY51" s="77" t="str">
        <f t="shared" si="26"/>
        <v/>
      </c>
      <c r="AZ51" s="75" t="str">
        <f t="shared" si="5"/>
        <v/>
      </c>
      <c r="BA51" s="74" t="str">
        <f t="shared" si="27"/>
        <v/>
      </c>
      <c r="BB51" s="77" t="str">
        <f t="shared" si="28"/>
        <v/>
      </c>
      <c r="BC51" s="75" t="str">
        <f t="shared" si="6"/>
        <v/>
      </c>
      <c r="BD51" s="74" t="str">
        <f t="shared" si="29"/>
        <v/>
      </c>
      <c r="BE51" s="77" t="str">
        <f t="shared" si="30"/>
        <v/>
      </c>
      <c r="BG51" s="104">
        <f t="shared" si="33"/>
        <v>0</v>
      </c>
      <c r="BH51" s="106"/>
    </row>
    <row r="52" spans="2:60" s="47" customFormat="1" ht="35.1" customHeight="1" x14ac:dyDescent="0.25">
      <c r="B52" s="214" t="s">
        <v>18</v>
      </c>
      <c r="C52" s="215"/>
      <c r="D52" s="215"/>
      <c r="E52" s="215"/>
      <c r="F52" s="215"/>
      <c r="G52" s="158" t="s">
        <v>36</v>
      </c>
      <c r="H52" s="159"/>
      <c r="I52" s="144">
        <f t="shared" ref="I52" si="34">SUMIF(K23:K51,"&lt;&gt;x",J23:J51)</f>
        <v>0</v>
      </c>
      <c r="J52" s="145"/>
      <c r="K52" s="145"/>
      <c r="L52" s="145"/>
      <c r="M52" s="146"/>
      <c r="N52" s="144">
        <f t="shared" ref="N52" si="35">SUMIF(P23:P51,"&lt;&gt;x",O23:O51)</f>
        <v>0</v>
      </c>
      <c r="O52" s="145"/>
      <c r="P52" s="145"/>
      <c r="Q52" s="145"/>
      <c r="R52" s="146"/>
      <c r="S52" s="144">
        <f t="shared" ref="S52" si="36">SUMIF(U23:U51,"&lt;&gt;x",T23:T51)</f>
        <v>0</v>
      </c>
      <c r="T52" s="145"/>
      <c r="U52" s="145"/>
      <c r="V52" s="145"/>
      <c r="W52" s="146"/>
      <c r="X52" s="144">
        <f t="shared" ref="X52" si="37">SUMIF(Z23:Z51,"&lt;&gt;x",Y23:Y51)</f>
        <v>0</v>
      </c>
      <c r="Y52" s="145"/>
      <c r="Z52" s="145"/>
      <c r="AA52" s="145"/>
      <c r="AB52" s="146"/>
      <c r="AC52" s="144">
        <f t="shared" ref="AC52" si="38">SUMIF(AE23:AE51,"&lt;&gt;x",AD23:AD51)</f>
        <v>0</v>
      </c>
      <c r="AD52" s="145"/>
      <c r="AE52" s="145"/>
      <c r="AF52" s="145"/>
      <c r="AG52" s="146"/>
      <c r="AH52" s="144">
        <f t="shared" ref="AH52" si="39">SUMIF(AJ23:AJ51,"&lt;&gt;x",AI23:AI51)</f>
        <v>0</v>
      </c>
      <c r="AI52" s="145"/>
      <c r="AJ52" s="145"/>
      <c r="AK52" s="145"/>
      <c r="AL52" s="157"/>
      <c r="AR52" s="116">
        <f>SUM(AR23:AR51)</f>
        <v>0</v>
      </c>
      <c r="AS52" s="116">
        <f t="shared" ref="AS52:AW52" si="40">SUM(AS23:AS51)</f>
        <v>0</v>
      </c>
      <c r="AT52" s="116">
        <f t="shared" si="40"/>
        <v>0</v>
      </c>
      <c r="AU52" s="116">
        <f t="shared" si="40"/>
        <v>0</v>
      </c>
      <c r="AV52" s="116">
        <f t="shared" si="40"/>
        <v>0</v>
      </c>
      <c r="AW52" s="116">
        <f t="shared" si="40"/>
        <v>0</v>
      </c>
      <c r="AX52" s="81" t="str">
        <f t="shared" si="4"/>
        <v/>
      </c>
      <c r="AY52" s="77" t="str">
        <f t="shared" ref="AY52" si="41">IF(AX52=AR52,$AR$20,IF(AX52=AS52,$AS$20,IF(AX52=AT52,$AT$20,IF(AX52=AU52,$AU$20,IF(AX52=AV52,$AV$20,IF(AX52=AW52,$AW$20,""))))))</f>
        <v/>
      </c>
      <c r="AZ52" s="75">
        <f t="shared" si="5"/>
        <v>0</v>
      </c>
      <c r="BA52" s="74" t="str">
        <f t="shared" si="27"/>
        <v/>
      </c>
      <c r="BB52" s="77">
        <f t="shared" ref="BB52" si="42">IFERROR(IF(AZ52="","",IF(AZ52=AR52,$AR$20,IF(AZ52=AS52,$AS$20,IF(AZ52=AT52,$AT$20,IF(AZ52=AU52,$AU$20,IF(AZ52=AV52,$AV$20,IF(AZ52=AW52,$AW$20,""))))))),"")</f>
        <v>0</v>
      </c>
      <c r="BC52" s="75">
        <f t="shared" si="6"/>
        <v>0</v>
      </c>
      <c r="BD52" s="74" t="str">
        <f t="shared" ref="BD52" si="43">IFERROR(IF((BC52-$AX52)/$AX52&lt;0%,"",(BC52-$AX52)/$AX52),"")</f>
        <v/>
      </c>
      <c r="BE52" s="77">
        <f t="shared" ref="BE52" si="44">IFERROR(IF(BC52="","",IF(BC52=AR52,$AR$20,IF(BC52=AS52,$AS$20,IF(BC52=AT52,$AT$20,IF(BC52=AU52,$AU$20,IF(BC52=AV52,$AV$20,IF(BC52=AW52,$AW$20,""))))))),"")</f>
        <v>0</v>
      </c>
      <c r="BG52" s="104">
        <f t="shared" si="33"/>
        <v>0</v>
      </c>
      <c r="BH52" s="106"/>
    </row>
    <row r="53" spans="2:60" s="47" customFormat="1" ht="35.1" customHeight="1" outlineLevel="1" x14ac:dyDescent="0.25">
      <c r="B53" s="216"/>
      <c r="C53" s="217"/>
      <c r="D53" s="217"/>
      <c r="E53" s="217"/>
      <c r="F53" s="217"/>
      <c r="G53" s="158" t="s">
        <v>37</v>
      </c>
      <c r="H53" s="159"/>
      <c r="I53" s="144">
        <f>I52+(I52*11%)</f>
        <v>0</v>
      </c>
      <c r="J53" s="145"/>
      <c r="K53" s="145"/>
      <c r="L53" s="145"/>
      <c r="M53" s="146"/>
      <c r="N53" s="144">
        <f>N52+(N52*11%)</f>
        <v>0</v>
      </c>
      <c r="O53" s="145"/>
      <c r="P53" s="145"/>
      <c r="Q53" s="145"/>
      <c r="R53" s="146"/>
      <c r="S53" s="144">
        <f>S52+(S52*11%)</f>
        <v>0</v>
      </c>
      <c r="T53" s="145"/>
      <c r="U53" s="145"/>
      <c r="V53" s="145"/>
      <c r="W53" s="146"/>
      <c r="X53" s="144">
        <f>X52+(X52*11%)</f>
        <v>0</v>
      </c>
      <c r="Y53" s="145"/>
      <c r="Z53" s="145"/>
      <c r="AA53" s="145"/>
      <c r="AB53" s="146"/>
      <c r="AC53" s="144">
        <f>AC52+(AC52*11%)</f>
        <v>0</v>
      </c>
      <c r="AD53" s="145"/>
      <c r="AE53" s="145"/>
      <c r="AF53" s="145"/>
      <c r="AG53" s="146"/>
      <c r="AH53" s="144">
        <f>AH52+(AH52*11%)</f>
        <v>0</v>
      </c>
      <c r="AI53" s="145"/>
      <c r="AJ53" s="145"/>
      <c r="AK53" s="145"/>
      <c r="AL53" s="157"/>
      <c r="AR53" s="11" t="str">
        <f>IF(COUNTIF(AR23:AR51,"-")&gt;0,"No Full Item","Full Item")</f>
        <v>No Full Item</v>
      </c>
      <c r="AS53" s="11" t="str">
        <f t="shared" ref="AS53:AW53" si="45">IF(COUNTIF(AS23:AS51,"-")&gt;0,"No Full Item","Full Item")</f>
        <v>No Full Item</v>
      </c>
      <c r="AT53" s="11" t="str">
        <f t="shared" si="45"/>
        <v>No Full Item</v>
      </c>
      <c r="AU53" s="11" t="str">
        <f t="shared" si="45"/>
        <v>No Full Item</v>
      </c>
      <c r="AV53" s="11" t="str">
        <f t="shared" si="45"/>
        <v>No Full Item</v>
      </c>
      <c r="AW53" s="11" t="str">
        <f t="shared" si="45"/>
        <v>No Full Item</v>
      </c>
      <c r="AX53" s="72"/>
      <c r="AY53" s="78"/>
      <c r="BA53" s="71"/>
      <c r="BB53" s="78"/>
      <c r="BE53" s="78"/>
      <c r="BH53" s="107"/>
    </row>
    <row r="54" spans="2:60" s="47" customFormat="1" ht="35.1" customHeight="1" x14ac:dyDescent="0.25">
      <c r="B54" s="216"/>
      <c r="C54" s="217"/>
      <c r="D54" s="217"/>
      <c r="E54" s="217"/>
      <c r="F54" s="217"/>
      <c r="G54" s="158" t="s">
        <v>38</v>
      </c>
      <c r="H54" s="159"/>
      <c r="I54" s="144"/>
      <c r="J54" s="145"/>
      <c r="K54" s="145"/>
      <c r="L54" s="145"/>
      <c r="M54" s="146"/>
      <c r="N54" s="144"/>
      <c r="O54" s="145"/>
      <c r="P54" s="145"/>
      <c r="Q54" s="145"/>
      <c r="R54" s="146"/>
      <c r="S54" s="144"/>
      <c r="T54" s="145"/>
      <c r="U54" s="145"/>
      <c r="V54" s="145"/>
      <c r="W54" s="146"/>
      <c r="X54" s="144"/>
      <c r="Y54" s="145"/>
      <c r="Z54" s="145"/>
      <c r="AA54" s="145"/>
      <c r="AB54" s="146"/>
      <c r="AC54" s="144"/>
      <c r="AD54" s="145"/>
      <c r="AE54" s="145"/>
      <c r="AF54" s="145"/>
      <c r="AG54" s="146"/>
      <c r="AH54" s="144"/>
      <c r="AI54" s="145"/>
      <c r="AJ54" s="145"/>
      <c r="AK54" s="145"/>
      <c r="AL54" s="157"/>
      <c r="AX54" s="72"/>
      <c r="AY54" s="78"/>
      <c r="BA54" s="71"/>
      <c r="BB54" s="78"/>
      <c r="BE54" s="78"/>
      <c r="BH54" s="107"/>
    </row>
    <row r="55" spans="2:60" s="1" customFormat="1" ht="80.25" customHeight="1" x14ac:dyDescent="0.25">
      <c r="B55" s="208" t="s">
        <v>39</v>
      </c>
      <c r="C55" s="209"/>
      <c r="D55" s="209"/>
      <c r="E55" s="209"/>
      <c r="F55" s="209"/>
      <c r="G55" s="209"/>
      <c r="H55" s="210"/>
      <c r="I55" s="211"/>
      <c r="J55" s="195"/>
      <c r="K55" s="195"/>
      <c r="L55" s="195"/>
      <c r="M55" s="196"/>
      <c r="N55" s="194"/>
      <c r="O55" s="195"/>
      <c r="P55" s="195"/>
      <c r="Q55" s="195"/>
      <c r="R55" s="196"/>
      <c r="S55" s="194"/>
      <c r="T55" s="195"/>
      <c r="U55" s="195"/>
      <c r="V55" s="195"/>
      <c r="W55" s="196"/>
      <c r="X55" s="194"/>
      <c r="Y55" s="195"/>
      <c r="Z55" s="195"/>
      <c r="AA55" s="195"/>
      <c r="AB55" s="196"/>
      <c r="AC55" s="194"/>
      <c r="AD55" s="195"/>
      <c r="AE55" s="195"/>
      <c r="AF55" s="195"/>
      <c r="AG55" s="196"/>
      <c r="AH55" s="194"/>
      <c r="AI55" s="195"/>
      <c r="AJ55" s="195"/>
      <c r="AK55" s="195"/>
      <c r="AL55" s="197"/>
      <c r="AX55" s="82"/>
      <c r="AY55" s="73"/>
      <c r="BA55" s="68"/>
      <c r="BB55" s="73"/>
      <c r="BE55" s="73"/>
      <c r="BH55" s="3"/>
    </row>
    <row r="56" spans="2:60" s="1" customFormat="1" ht="120" customHeight="1" x14ac:dyDescent="0.25">
      <c r="B56" s="198"/>
      <c r="C56" s="199"/>
      <c r="D56" s="199"/>
      <c r="E56" s="199"/>
      <c r="F56" s="199"/>
      <c r="G56" s="199"/>
      <c r="H56" s="199"/>
      <c r="I56" s="200" t="s">
        <v>40</v>
      </c>
      <c r="J56" s="201"/>
      <c r="K56" s="201"/>
      <c r="L56" s="201"/>
      <c r="M56" s="202"/>
      <c r="N56" s="200" t="s">
        <v>40</v>
      </c>
      <c r="O56" s="201"/>
      <c r="P56" s="201"/>
      <c r="Q56" s="201"/>
      <c r="R56" s="202"/>
      <c r="S56" s="200" t="s">
        <v>40</v>
      </c>
      <c r="T56" s="201"/>
      <c r="U56" s="201"/>
      <c r="V56" s="201"/>
      <c r="W56" s="202"/>
      <c r="X56" s="200" t="s">
        <v>40</v>
      </c>
      <c r="Y56" s="201"/>
      <c r="Z56" s="201"/>
      <c r="AA56" s="201"/>
      <c r="AB56" s="202"/>
      <c r="AC56" s="200" t="s">
        <v>40</v>
      </c>
      <c r="AD56" s="201"/>
      <c r="AE56" s="201"/>
      <c r="AF56" s="201"/>
      <c r="AG56" s="202"/>
      <c r="AH56" s="176" t="s">
        <v>40</v>
      </c>
      <c r="AI56" s="177"/>
      <c r="AJ56" s="177"/>
      <c r="AK56" s="177"/>
      <c r="AL56" s="178"/>
      <c r="AX56" s="82"/>
      <c r="AY56" s="73"/>
      <c r="BA56" s="68"/>
      <c r="BB56" s="73"/>
      <c r="BE56" s="73"/>
      <c r="BH56" s="3"/>
    </row>
    <row r="57" spans="2:60" s="50" customFormat="1" ht="15" customHeight="1" x14ac:dyDescent="0.25">
      <c r="B57" s="179" t="s">
        <v>41</v>
      </c>
      <c r="C57" s="180"/>
      <c r="D57" s="180"/>
      <c r="E57" s="180"/>
      <c r="F57" s="180"/>
      <c r="G57" s="180"/>
      <c r="H57" s="181"/>
      <c r="I57" s="162" t="s">
        <v>42</v>
      </c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295"/>
      <c r="X57" s="162" t="s">
        <v>56</v>
      </c>
      <c r="Y57" s="163"/>
      <c r="Z57" s="163"/>
      <c r="AA57" s="163"/>
      <c r="AB57" s="163"/>
      <c r="AC57" s="167" t="s">
        <v>43</v>
      </c>
      <c r="AD57" s="168"/>
      <c r="AE57" s="168"/>
      <c r="AF57" s="168"/>
      <c r="AG57" s="168"/>
      <c r="AH57" s="168"/>
      <c r="AI57" s="168"/>
      <c r="AJ57" s="168"/>
      <c r="AK57" s="168"/>
      <c r="AL57" s="193"/>
      <c r="AX57" s="84"/>
      <c r="AY57" s="73"/>
      <c r="AZ57" s="1"/>
      <c r="BA57" s="68"/>
      <c r="BB57" s="73"/>
      <c r="BE57" s="73"/>
      <c r="BH57" s="108"/>
    </row>
    <row r="58" spans="2:60" s="1" customFormat="1" ht="90" customHeight="1" x14ac:dyDescent="0.25">
      <c r="B58" s="186"/>
      <c r="C58" s="187"/>
      <c r="D58" s="187"/>
      <c r="E58" s="187"/>
      <c r="F58" s="187"/>
      <c r="G58" s="187"/>
      <c r="H58" s="188"/>
      <c r="I58" s="16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296"/>
      <c r="X58" s="164"/>
      <c r="Y58" s="165"/>
      <c r="Z58" s="165"/>
      <c r="AA58" s="165"/>
      <c r="AB58" s="165"/>
      <c r="AC58" s="164"/>
      <c r="AD58" s="165"/>
      <c r="AE58" s="165"/>
      <c r="AF58" s="165"/>
      <c r="AG58" s="165"/>
      <c r="AH58" s="165"/>
      <c r="AI58" s="165"/>
      <c r="AJ58" s="165"/>
      <c r="AK58" s="165"/>
      <c r="AL58" s="175"/>
      <c r="AX58" s="82"/>
      <c r="AY58" s="73"/>
      <c r="BA58" s="68"/>
      <c r="BB58" s="73"/>
      <c r="BE58" s="73"/>
      <c r="BH58" s="3"/>
    </row>
    <row r="59" spans="2:60" s="1" customFormat="1" ht="13.5" x14ac:dyDescent="0.25">
      <c r="B59" s="203" t="s">
        <v>51</v>
      </c>
      <c r="C59" s="204"/>
      <c r="D59" s="204"/>
      <c r="E59" s="204"/>
      <c r="F59" s="204"/>
      <c r="G59" s="204"/>
      <c r="H59" s="205"/>
      <c r="I59" s="206" t="s">
        <v>44</v>
      </c>
      <c r="J59" s="166"/>
      <c r="K59" s="166"/>
      <c r="L59" s="166"/>
      <c r="M59" s="166"/>
      <c r="N59" s="166" t="s">
        <v>57</v>
      </c>
      <c r="O59" s="166"/>
      <c r="P59" s="166"/>
      <c r="Q59" s="166"/>
      <c r="R59" s="166"/>
      <c r="S59" s="166" t="s">
        <v>46</v>
      </c>
      <c r="T59" s="166"/>
      <c r="U59" s="166"/>
      <c r="V59" s="166"/>
      <c r="W59" s="298"/>
      <c r="X59" s="189" t="s">
        <v>53</v>
      </c>
      <c r="Y59" s="190"/>
      <c r="Z59" s="190"/>
      <c r="AA59" s="190"/>
      <c r="AB59" s="190"/>
      <c r="AC59" s="206" t="str">
        <f>IF(OR($I$52&lt;200000000,$N$52&lt;200000000,$S$52&lt;200000000,$X$52&lt;200000000,$AC$52&lt;200000000,$AH$52&lt;200000000),"Mochammad Rusfandy","Mochammad Rusfandy")</f>
        <v>Mochammad Rusfandy</v>
      </c>
      <c r="AD59" s="166"/>
      <c r="AE59" s="166"/>
      <c r="AF59" s="166"/>
      <c r="AG59" s="166"/>
      <c r="AH59" s="166" t="str">
        <f>IF(OR($I$52="",$N$52="",$S$52="",$X$52="",$AC$52="",$AH$52=""),"",IF(OR($I$52&gt;50000000,$N$52&gt;200000000,$S$52&gt;200000000,$X$52&gt;200000000,$AC$52&gt;200000000,$AH$52&gt;200000000),"Heri Gunawan",""))</f>
        <v/>
      </c>
      <c r="AI59" s="166"/>
      <c r="AJ59" s="166"/>
      <c r="AK59" s="166"/>
      <c r="AL59" s="182"/>
      <c r="AX59" s="82"/>
      <c r="AY59" s="73"/>
      <c r="BA59" s="68"/>
      <c r="BB59" s="73"/>
      <c r="BE59" s="73"/>
      <c r="BH59" s="3"/>
    </row>
    <row r="60" spans="2:60" s="1" customFormat="1" ht="13.5" x14ac:dyDescent="0.25">
      <c r="B60" s="51" t="s">
        <v>47</v>
      </c>
      <c r="C60" s="52"/>
      <c r="D60" s="183">
        <f ca="1">AI8</f>
        <v>46231</v>
      </c>
      <c r="E60" s="183"/>
      <c r="F60" s="183"/>
      <c r="G60" s="183"/>
      <c r="H60" s="184"/>
      <c r="I60" s="170" t="str">
        <f>IF(I59="","","Date:")</f>
        <v>Date:</v>
      </c>
      <c r="J60" s="170"/>
      <c r="K60" s="170"/>
      <c r="L60" s="170"/>
      <c r="M60" s="170"/>
      <c r="N60" s="170" t="str">
        <f>IF(N59="","","Date:")</f>
        <v>Date:</v>
      </c>
      <c r="O60" s="170"/>
      <c r="P60" s="170"/>
      <c r="Q60" s="170"/>
      <c r="R60" s="170"/>
      <c r="S60" s="170" t="str">
        <f>IF(S59="","","Date:")</f>
        <v>Date:</v>
      </c>
      <c r="T60" s="170"/>
      <c r="U60" s="170"/>
      <c r="V60" s="170"/>
      <c r="W60" s="297"/>
      <c r="X60" s="191" t="s">
        <v>54</v>
      </c>
      <c r="Y60" s="192"/>
      <c r="Z60" s="192"/>
      <c r="AA60" s="192"/>
      <c r="AB60" s="192"/>
      <c r="AC60" s="173" t="str">
        <f>IF(AC59="","","Date:")</f>
        <v>Date:</v>
      </c>
      <c r="AD60" s="170"/>
      <c r="AE60" s="170"/>
      <c r="AF60" s="170"/>
      <c r="AG60" s="170"/>
      <c r="AH60" s="170" t="str">
        <f>IF(AH59="","","Date:")</f>
        <v/>
      </c>
      <c r="AI60" s="170"/>
      <c r="AJ60" s="170"/>
      <c r="AK60" s="170"/>
      <c r="AL60" s="174"/>
      <c r="AX60" s="82"/>
      <c r="AY60" s="73"/>
      <c r="BA60" s="68"/>
      <c r="BB60" s="73"/>
      <c r="BE60" s="73"/>
      <c r="BH60" s="3"/>
    </row>
    <row r="61" spans="2:60" s="1" customFormat="1" ht="15.75" customHeight="1" thickBot="1" x14ac:dyDescent="0.3">
      <c r="B61" s="299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0"/>
      <c r="AL61" s="301"/>
      <c r="AX61" s="82"/>
      <c r="AY61" s="73"/>
      <c r="BA61" s="68"/>
      <c r="BB61" s="73"/>
      <c r="BE61" s="73"/>
      <c r="BH61" s="3"/>
    </row>
    <row r="62" spans="2:60" ht="17.25" hidden="1" thickTop="1" x14ac:dyDescent="0.25">
      <c r="L62" s="58"/>
      <c r="M62" s="58"/>
    </row>
    <row r="63" spans="2:60" ht="17.25" hidden="1" thickTop="1" x14ac:dyDescent="0.25">
      <c r="L63" s="58"/>
      <c r="M63" s="58"/>
    </row>
    <row r="64" spans="2:60" ht="17.25" hidden="1" thickTop="1" x14ac:dyDescent="0.25">
      <c r="J64" s="160"/>
      <c r="K64" s="161"/>
      <c r="L64" s="161"/>
      <c r="M64" s="161"/>
    </row>
    <row r="65" spans="4:16" ht="17.25" hidden="1" thickTop="1" x14ac:dyDescent="0.25">
      <c r="J65" s="160"/>
      <c r="K65" s="161"/>
      <c r="L65" s="161"/>
      <c r="M65" s="161"/>
    </row>
    <row r="66" spans="4:16" ht="17.25" hidden="1" thickTop="1" x14ac:dyDescent="0.25">
      <c r="J66" s="160"/>
      <c r="K66" s="161"/>
      <c r="L66" s="161"/>
      <c r="M66" s="161"/>
    </row>
    <row r="67" spans="4:16" ht="17.25" hidden="1" thickTop="1" x14ac:dyDescent="0.25">
      <c r="J67" s="160"/>
      <c r="K67" s="161"/>
      <c r="L67" s="161"/>
      <c r="M67" s="161"/>
      <c r="N67" s="160"/>
      <c r="O67" s="161"/>
      <c r="P67" s="161"/>
    </row>
    <row r="68" spans="4:16" ht="17.25" hidden="1" thickTop="1" x14ac:dyDescent="0.25">
      <c r="J68" s="160"/>
      <c r="K68" s="161"/>
      <c r="L68" s="161"/>
      <c r="M68" s="161"/>
    </row>
    <row r="69" spans="4:16" ht="17.25" hidden="1" thickTop="1" x14ac:dyDescent="0.25">
      <c r="J69" s="161"/>
      <c r="K69" s="161"/>
      <c r="L69" s="161"/>
      <c r="M69" s="161"/>
    </row>
    <row r="70" spans="4:16" ht="17.25" hidden="1" thickTop="1" x14ac:dyDescent="0.25">
      <c r="L70" s="58"/>
      <c r="M70" s="58"/>
    </row>
    <row r="71" spans="4:16" ht="17.25" hidden="1" thickTop="1" x14ac:dyDescent="0.25">
      <c r="L71" s="171"/>
      <c r="M71" s="171"/>
    </row>
    <row r="74" spans="4:16" ht="17.25" hidden="1" thickTop="1" x14ac:dyDescent="0.25">
      <c r="D74" s="59"/>
      <c r="E74" s="59"/>
      <c r="F74" s="59"/>
      <c r="G74" s="59"/>
      <c r="H74" s="59"/>
      <c r="I74" s="59"/>
    </row>
    <row r="75" spans="4:16" ht="17.25" hidden="1" thickTop="1" x14ac:dyDescent="0.25">
      <c r="D75" s="59"/>
      <c r="E75" s="59"/>
      <c r="F75" s="59"/>
      <c r="G75" s="59"/>
      <c r="H75" s="59"/>
      <c r="I75" s="59"/>
    </row>
    <row r="76" spans="4:16" ht="17.25" hidden="1" thickTop="1" x14ac:dyDescent="0.25">
      <c r="D76" s="59"/>
      <c r="E76" s="59"/>
      <c r="F76" s="59"/>
      <c r="G76" s="59"/>
      <c r="H76" s="59"/>
      <c r="I76" s="59"/>
    </row>
    <row r="77" spans="4:16" ht="17.25" hidden="1" thickTop="1" x14ac:dyDescent="0.25">
      <c r="D77" s="59"/>
      <c r="E77" s="59"/>
      <c r="F77" s="59"/>
      <c r="G77" s="59"/>
      <c r="H77" s="59"/>
      <c r="I77" s="59"/>
    </row>
    <row r="78" spans="4:16" ht="17.25" hidden="1" thickTop="1" x14ac:dyDescent="0.25">
      <c r="D78" s="59"/>
      <c r="E78" s="59"/>
      <c r="F78" s="60"/>
      <c r="G78" s="59"/>
      <c r="H78" s="59"/>
      <c r="I78" s="59"/>
    </row>
    <row r="79" spans="4:16" ht="15" hidden="1" customHeight="1" x14ac:dyDescent="0.25">
      <c r="D79" s="59"/>
      <c r="E79" s="59"/>
      <c r="F79" s="172"/>
      <c r="G79" s="172"/>
      <c r="H79" s="172"/>
      <c r="I79" s="59"/>
    </row>
    <row r="80" spans="4:16" ht="15" hidden="1" customHeight="1" x14ac:dyDescent="0.25">
      <c r="D80" s="59"/>
      <c r="E80" s="59"/>
      <c r="F80" s="172"/>
      <c r="G80" s="172"/>
      <c r="H80" s="172"/>
      <c r="I80" s="61"/>
      <c r="J80" s="62"/>
    </row>
    <row r="81" spans="4:9" ht="17.25" hidden="1" thickTop="1" x14ac:dyDescent="0.25">
      <c r="D81" s="59"/>
      <c r="E81" s="59"/>
      <c r="F81" s="59"/>
      <c r="G81" s="59"/>
      <c r="H81" s="59"/>
      <c r="I81" s="59"/>
    </row>
    <row r="82" spans="4:9" ht="17.25" hidden="1" thickTop="1" x14ac:dyDescent="0.25">
      <c r="D82" s="59"/>
      <c r="E82" s="59"/>
      <c r="F82" s="59"/>
      <c r="G82" s="59"/>
      <c r="H82" s="59"/>
      <c r="I82" s="59"/>
    </row>
    <row r="83" spans="4:9" ht="17.25" hidden="1" thickTop="1" x14ac:dyDescent="0.25">
      <c r="D83" s="59"/>
      <c r="E83" s="59"/>
      <c r="F83" s="59"/>
      <c r="G83" s="59"/>
      <c r="H83" s="59"/>
      <c r="I83" s="63"/>
    </row>
    <row r="84" spans="4:9" ht="17.25" hidden="1" thickTop="1" x14ac:dyDescent="0.25">
      <c r="D84" s="59"/>
      <c r="E84" s="59"/>
      <c r="F84" s="59"/>
      <c r="G84" s="59"/>
      <c r="H84" s="59"/>
      <c r="I84" s="59"/>
    </row>
  </sheetData>
  <mergeCells count="382">
    <mergeCell ref="B57:H57"/>
    <mergeCell ref="B58:H58"/>
    <mergeCell ref="AC58:AL58"/>
    <mergeCell ref="B59:H59"/>
    <mergeCell ref="I59:M59"/>
    <mergeCell ref="N59:R59"/>
    <mergeCell ref="S59:W59"/>
    <mergeCell ref="X59:AB59"/>
    <mergeCell ref="AC59:AG59"/>
    <mergeCell ref="AH59:AL59"/>
    <mergeCell ref="X57:AB57"/>
    <mergeCell ref="X58:AB58"/>
    <mergeCell ref="I57:W57"/>
    <mergeCell ref="I58:W58"/>
    <mergeCell ref="AC57:AL57"/>
    <mergeCell ref="F79:H80"/>
    <mergeCell ref="J64:M64"/>
    <mergeCell ref="J65:M65"/>
    <mergeCell ref="J66:M66"/>
    <mergeCell ref="J67:M67"/>
    <mergeCell ref="N67:P67"/>
    <mergeCell ref="J68:M68"/>
    <mergeCell ref="D60:H60"/>
    <mergeCell ref="I60:M60"/>
    <mergeCell ref="N60:R60"/>
    <mergeCell ref="B61:AL61"/>
    <mergeCell ref="S60:W60"/>
    <mergeCell ref="X60:AB60"/>
    <mergeCell ref="AC60:AG60"/>
    <mergeCell ref="AH60:AL60"/>
    <mergeCell ref="J69:M69"/>
    <mergeCell ref="L71:M71"/>
    <mergeCell ref="AC55:AG55"/>
    <mergeCell ref="AH55:AL55"/>
    <mergeCell ref="B56:H56"/>
    <mergeCell ref="I56:M56"/>
    <mergeCell ref="N56:R56"/>
    <mergeCell ref="S56:W56"/>
    <mergeCell ref="X56:AB56"/>
    <mergeCell ref="AC56:AG56"/>
    <mergeCell ref="AH56:AL56"/>
    <mergeCell ref="B55:H55"/>
    <mergeCell ref="I55:M55"/>
    <mergeCell ref="N55:R55"/>
    <mergeCell ref="S55:W55"/>
    <mergeCell ref="X55:AB55"/>
    <mergeCell ref="X54:AB54"/>
    <mergeCell ref="AC54:AG54"/>
    <mergeCell ref="AH54:AL54"/>
    <mergeCell ref="X52:AB52"/>
    <mergeCell ref="AC52:AG52"/>
    <mergeCell ref="AH52:AL52"/>
    <mergeCell ref="G53:H53"/>
    <mergeCell ref="I53:M53"/>
    <mergeCell ref="N53:R53"/>
    <mergeCell ref="S53:W53"/>
    <mergeCell ref="X53:AB53"/>
    <mergeCell ref="AC53:AG53"/>
    <mergeCell ref="B52:F54"/>
    <mergeCell ref="G52:H52"/>
    <mergeCell ref="I52:M52"/>
    <mergeCell ref="N52:R52"/>
    <mergeCell ref="S52:W52"/>
    <mergeCell ref="AF50:AG50"/>
    <mergeCell ref="AK50:AL50"/>
    <mergeCell ref="C51:F51"/>
    <mergeCell ref="L51:M51"/>
    <mergeCell ref="Q51:R51"/>
    <mergeCell ref="V51:W51"/>
    <mergeCell ref="AA51:AB51"/>
    <mergeCell ref="AF51:AG51"/>
    <mergeCell ref="AK51:AL51"/>
    <mergeCell ref="C50:F50"/>
    <mergeCell ref="L50:M50"/>
    <mergeCell ref="Q50:R50"/>
    <mergeCell ref="V50:W50"/>
    <mergeCell ref="AA50:AB50"/>
    <mergeCell ref="AH53:AL53"/>
    <mergeCell ref="G54:H54"/>
    <mergeCell ref="I54:M54"/>
    <mergeCell ref="N54:R54"/>
    <mergeCell ref="S54:W54"/>
    <mergeCell ref="AF48:AG48"/>
    <mergeCell ref="AK48:AL48"/>
    <mergeCell ref="C49:F49"/>
    <mergeCell ref="L49:M49"/>
    <mergeCell ref="Q49:R49"/>
    <mergeCell ref="V49:W49"/>
    <mergeCell ref="AA49:AB49"/>
    <mergeCell ref="AF49:AG49"/>
    <mergeCell ref="AK49:AL49"/>
    <mergeCell ref="C48:F48"/>
    <mergeCell ref="L48:M48"/>
    <mergeCell ref="Q48:R48"/>
    <mergeCell ref="V48:W48"/>
    <mergeCell ref="AA48:AB48"/>
    <mergeCell ref="AF46:AG46"/>
    <mergeCell ref="AK46:AL46"/>
    <mergeCell ref="C47:F47"/>
    <mergeCell ref="L47:M47"/>
    <mergeCell ref="Q47:R47"/>
    <mergeCell ref="V47:W47"/>
    <mergeCell ref="AA47:AB47"/>
    <mergeCell ref="AF47:AG47"/>
    <mergeCell ref="AK47:AL47"/>
    <mergeCell ref="C46:F46"/>
    <mergeCell ref="L46:M46"/>
    <mergeCell ref="Q46:R46"/>
    <mergeCell ref="V46:W46"/>
    <mergeCell ref="AA46:AB46"/>
    <mergeCell ref="AF44:AG44"/>
    <mergeCell ref="AK44:AL44"/>
    <mergeCell ref="C45:F45"/>
    <mergeCell ref="L45:M45"/>
    <mergeCell ref="Q45:R45"/>
    <mergeCell ref="V45:W45"/>
    <mergeCell ref="AA45:AB45"/>
    <mergeCell ref="AF45:AG45"/>
    <mergeCell ref="AK45:AL45"/>
    <mergeCell ref="C44:F44"/>
    <mergeCell ref="L44:M44"/>
    <mergeCell ref="Q44:R44"/>
    <mergeCell ref="V44:W44"/>
    <mergeCell ref="AA44:AB44"/>
    <mergeCell ref="AF42:AG42"/>
    <mergeCell ref="AK42:AL42"/>
    <mergeCell ref="C43:F43"/>
    <mergeCell ref="L43:M43"/>
    <mergeCell ref="Q43:R43"/>
    <mergeCell ref="V43:W43"/>
    <mergeCell ref="AA43:AB43"/>
    <mergeCell ref="AF43:AG43"/>
    <mergeCell ref="AK43:AL43"/>
    <mergeCell ref="C42:F42"/>
    <mergeCell ref="L42:M42"/>
    <mergeCell ref="Q42:R42"/>
    <mergeCell ref="V42:W42"/>
    <mergeCell ref="AA42:AB42"/>
    <mergeCell ref="AF40:AG40"/>
    <mergeCell ref="AK40:AL40"/>
    <mergeCell ref="C41:F41"/>
    <mergeCell ref="L41:M41"/>
    <mergeCell ref="Q41:R41"/>
    <mergeCell ref="V41:W41"/>
    <mergeCell ref="AA41:AB41"/>
    <mergeCell ref="AF41:AG41"/>
    <mergeCell ref="AK41:AL41"/>
    <mergeCell ref="C40:F40"/>
    <mergeCell ref="L40:M40"/>
    <mergeCell ref="Q40:R40"/>
    <mergeCell ref="V40:W40"/>
    <mergeCell ref="AA40:AB40"/>
    <mergeCell ref="AF38:AG38"/>
    <mergeCell ref="AK38:AL38"/>
    <mergeCell ref="C39:F39"/>
    <mergeCell ref="L39:M39"/>
    <mergeCell ref="Q39:R39"/>
    <mergeCell ref="V39:W39"/>
    <mergeCell ref="AA39:AB39"/>
    <mergeCell ref="AF39:AG39"/>
    <mergeCell ref="AK39:AL39"/>
    <mergeCell ref="C38:F38"/>
    <mergeCell ref="L38:M38"/>
    <mergeCell ref="Q38:R38"/>
    <mergeCell ref="V38:W38"/>
    <mergeCell ref="AA38:AB38"/>
    <mergeCell ref="AF36:AG36"/>
    <mergeCell ref="AK36:AL36"/>
    <mergeCell ref="C37:F37"/>
    <mergeCell ref="L37:M37"/>
    <mergeCell ref="Q37:R37"/>
    <mergeCell ref="V37:W37"/>
    <mergeCell ref="AA37:AB37"/>
    <mergeCell ref="AF37:AG37"/>
    <mergeCell ref="AK37:AL37"/>
    <mergeCell ref="C36:F36"/>
    <mergeCell ref="L36:M36"/>
    <mergeCell ref="Q36:R36"/>
    <mergeCell ref="V36:W36"/>
    <mergeCell ref="AA36:AB36"/>
    <mergeCell ref="AF34:AG34"/>
    <mergeCell ref="AK34:AL34"/>
    <mergeCell ref="C35:F35"/>
    <mergeCell ref="L35:M35"/>
    <mergeCell ref="Q35:R35"/>
    <mergeCell ref="V35:W35"/>
    <mergeCell ref="AA35:AB35"/>
    <mergeCell ref="AF35:AG35"/>
    <mergeCell ref="AK35:AL35"/>
    <mergeCell ref="C34:F34"/>
    <mergeCell ref="L34:M34"/>
    <mergeCell ref="Q34:R34"/>
    <mergeCell ref="V34:W34"/>
    <mergeCell ref="AA34:AB34"/>
    <mergeCell ref="AF32:AG32"/>
    <mergeCell ref="AK32:AL32"/>
    <mergeCell ref="C33:F33"/>
    <mergeCell ref="L33:M33"/>
    <mergeCell ref="Q33:R33"/>
    <mergeCell ref="V33:W33"/>
    <mergeCell ref="AA33:AB33"/>
    <mergeCell ref="AF33:AG33"/>
    <mergeCell ref="AK33:AL33"/>
    <mergeCell ref="C32:F32"/>
    <mergeCell ref="L32:M32"/>
    <mergeCell ref="Q32:R32"/>
    <mergeCell ref="V32:W32"/>
    <mergeCell ref="AA32:AB32"/>
    <mergeCell ref="AF30:AG30"/>
    <mergeCell ref="AK30:AL30"/>
    <mergeCell ref="C31:F31"/>
    <mergeCell ref="L31:M31"/>
    <mergeCell ref="Q31:R31"/>
    <mergeCell ref="V31:W31"/>
    <mergeCell ref="AA31:AB31"/>
    <mergeCell ref="AF31:AG31"/>
    <mergeCell ref="AK31:AL31"/>
    <mergeCell ref="C30:F30"/>
    <mergeCell ref="L30:M30"/>
    <mergeCell ref="Q30:R30"/>
    <mergeCell ref="V30:W30"/>
    <mergeCell ref="AA30:AB30"/>
    <mergeCell ref="AF28:AG28"/>
    <mergeCell ref="AK28:AL28"/>
    <mergeCell ref="C29:F29"/>
    <mergeCell ref="L29:M29"/>
    <mergeCell ref="Q29:R29"/>
    <mergeCell ref="V29:W29"/>
    <mergeCell ref="AA29:AB29"/>
    <mergeCell ref="AF29:AG29"/>
    <mergeCell ref="AK29:AL29"/>
    <mergeCell ref="C28:F28"/>
    <mergeCell ref="L28:M28"/>
    <mergeCell ref="Q28:R28"/>
    <mergeCell ref="V28:W28"/>
    <mergeCell ref="AA28:AB28"/>
    <mergeCell ref="AF26:AG26"/>
    <mergeCell ref="AK26:AL26"/>
    <mergeCell ref="C27:F27"/>
    <mergeCell ref="L27:M27"/>
    <mergeCell ref="Q27:R27"/>
    <mergeCell ref="V27:W27"/>
    <mergeCell ref="AA27:AB27"/>
    <mergeCell ref="AF27:AG27"/>
    <mergeCell ref="AK27:AL27"/>
    <mergeCell ref="C26:F26"/>
    <mergeCell ref="L26:M26"/>
    <mergeCell ref="Q26:R26"/>
    <mergeCell ref="V26:W26"/>
    <mergeCell ref="AA26:AB26"/>
    <mergeCell ref="AF24:AG24"/>
    <mergeCell ref="AK24:AL24"/>
    <mergeCell ref="C25:F25"/>
    <mergeCell ref="L25:M25"/>
    <mergeCell ref="Q25:R25"/>
    <mergeCell ref="V25:W25"/>
    <mergeCell ref="AA25:AB25"/>
    <mergeCell ref="AF25:AG25"/>
    <mergeCell ref="AK25:AL25"/>
    <mergeCell ref="C24:F24"/>
    <mergeCell ref="L24:M24"/>
    <mergeCell ref="Q24:R24"/>
    <mergeCell ref="V24:W24"/>
    <mergeCell ref="AA24:AB24"/>
    <mergeCell ref="AZ22:BB22"/>
    <mergeCell ref="BC22:BE22"/>
    <mergeCell ref="C23:F23"/>
    <mergeCell ref="L23:M23"/>
    <mergeCell ref="Q23:R23"/>
    <mergeCell ref="V23:W23"/>
    <mergeCell ref="AA23:AB23"/>
    <mergeCell ref="AF23:AG23"/>
    <mergeCell ref="AK23:AL23"/>
    <mergeCell ref="AS20:AS22"/>
    <mergeCell ref="AT20:AT22"/>
    <mergeCell ref="AU20:AU22"/>
    <mergeCell ref="AV20:AV22"/>
    <mergeCell ref="AW20:AW22"/>
    <mergeCell ref="AX19:AX22"/>
    <mergeCell ref="G20:H20"/>
    <mergeCell ref="I20:M20"/>
    <mergeCell ref="N20:R20"/>
    <mergeCell ref="S20:W20"/>
    <mergeCell ref="X20:AB20"/>
    <mergeCell ref="AC20:AG20"/>
    <mergeCell ref="AH20:AL20"/>
    <mergeCell ref="AR20:AR22"/>
    <mergeCell ref="AC21:AG21"/>
    <mergeCell ref="AH21:AL21"/>
    <mergeCell ref="C22:F22"/>
    <mergeCell ref="L22:M22"/>
    <mergeCell ref="Q22:R22"/>
    <mergeCell ref="V22:W22"/>
    <mergeCell ref="AA22:AB22"/>
    <mergeCell ref="AF22:AG22"/>
    <mergeCell ref="AK22:AL22"/>
    <mergeCell ref="G21:H21"/>
    <mergeCell ref="I21:M21"/>
    <mergeCell ref="N21:R21"/>
    <mergeCell ref="S21:W21"/>
    <mergeCell ref="X21:AB21"/>
    <mergeCell ref="AH19:AL19"/>
    <mergeCell ref="X18:Y18"/>
    <mergeCell ref="Z18:AB18"/>
    <mergeCell ref="AC18:AD18"/>
    <mergeCell ref="AE18:AG18"/>
    <mergeCell ref="AH18:AI18"/>
    <mergeCell ref="G18:H18"/>
    <mergeCell ref="I18:J18"/>
    <mergeCell ref="K18:M18"/>
    <mergeCell ref="N18:O18"/>
    <mergeCell ref="P18:R18"/>
    <mergeCell ref="S18:T18"/>
    <mergeCell ref="U18:W18"/>
    <mergeCell ref="S13:W14"/>
    <mergeCell ref="N13:R14"/>
    <mergeCell ref="B19:F20"/>
    <mergeCell ref="G19:H19"/>
    <mergeCell ref="I19:M19"/>
    <mergeCell ref="N19:R19"/>
    <mergeCell ref="S19:W19"/>
    <mergeCell ref="X19:AB19"/>
    <mergeCell ref="AC19:AG19"/>
    <mergeCell ref="B18:E18"/>
    <mergeCell ref="Y12:AB12"/>
    <mergeCell ref="AD12:AG12"/>
    <mergeCell ref="X16:AB16"/>
    <mergeCell ref="AC16:AG16"/>
    <mergeCell ref="AC13:AG14"/>
    <mergeCell ref="AH13:AL14"/>
    <mergeCell ref="AH15:AL15"/>
    <mergeCell ref="AH16:AL16"/>
    <mergeCell ref="AC17:AG17"/>
    <mergeCell ref="AH17:AL17"/>
    <mergeCell ref="B4:F6"/>
    <mergeCell ref="G4:AJ6"/>
    <mergeCell ref="B7:D7"/>
    <mergeCell ref="AI7:AL7"/>
    <mergeCell ref="B8:D8"/>
    <mergeCell ref="AI8:AL8"/>
    <mergeCell ref="AI12:AL12"/>
    <mergeCell ref="AH11:AL11"/>
    <mergeCell ref="B13:F13"/>
    <mergeCell ref="G13:H14"/>
    <mergeCell ref="I13:M14"/>
    <mergeCell ref="B12:F12"/>
    <mergeCell ref="J12:M12"/>
    <mergeCell ref="O12:R12"/>
    <mergeCell ref="T12:W12"/>
    <mergeCell ref="B14:F16"/>
    <mergeCell ref="G15:H15"/>
    <mergeCell ref="I15:M15"/>
    <mergeCell ref="N15:R15"/>
    <mergeCell ref="S15:W15"/>
    <mergeCell ref="G16:H16"/>
    <mergeCell ref="I16:M16"/>
    <mergeCell ref="N16:R16"/>
    <mergeCell ref="S16:W16"/>
    <mergeCell ref="F7:Q7"/>
    <mergeCell ref="F8:Q8"/>
    <mergeCell ref="F9:Q9"/>
    <mergeCell ref="BG21:BH21"/>
    <mergeCell ref="BG22:BH22"/>
    <mergeCell ref="B9:D9"/>
    <mergeCell ref="B10:C10"/>
    <mergeCell ref="F10:H10"/>
    <mergeCell ref="B11:F11"/>
    <mergeCell ref="G11:H12"/>
    <mergeCell ref="I11:M11"/>
    <mergeCell ref="N11:R11"/>
    <mergeCell ref="G17:H17"/>
    <mergeCell ref="I17:M17"/>
    <mergeCell ref="N17:R17"/>
    <mergeCell ref="S17:W17"/>
    <mergeCell ref="X17:AB17"/>
    <mergeCell ref="AJ18:AL18"/>
    <mergeCell ref="X13:AB14"/>
    <mergeCell ref="S11:W11"/>
    <mergeCell ref="X11:AB11"/>
    <mergeCell ref="AC11:AG11"/>
    <mergeCell ref="X15:AB15"/>
    <mergeCell ref="AC15:AG15"/>
  </mergeCells>
  <conditionalFormatting sqref="I23:M51">
    <cfRule type="expression" dxfId="62" priority="1" stopIfTrue="1">
      <formula>$L23="No Quote"</formula>
    </cfRule>
  </conditionalFormatting>
  <conditionalFormatting sqref="K18">
    <cfRule type="expression" dxfId="61" priority="16" stopIfTrue="1">
      <formula>$I$18&gt;0</formula>
    </cfRule>
  </conditionalFormatting>
  <conditionalFormatting sqref="N23:R51">
    <cfRule type="expression" dxfId="60" priority="29" stopIfTrue="1">
      <formula>$Q23="No Quote"</formula>
    </cfRule>
  </conditionalFormatting>
  <conditionalFormatting sqref="P18">
    <cfRule type="expression" dxfId="59" priority="15" stopIfTrue="1">
      <formula>$N$18&gt;0</formula>
    </cfRule>
    <cfRule type="expression" dxfId="58" priority="22" stopIfTrue="1">
      <formula>$N$18</formula>
    </cfRule>
  </conditionalFormatting>
  <conditionalFormatting sqref="S23:W51">
    <cfRule type="expression" dxfId="57" priority="28" stopIfTrue="1">
      <formula>$V23="No Quote"</formula>
    </cfRule>
  </conditionalFormatting>
  <conditionalFormatting sqref="U18">
    <cfRule type="expression" dxfId="56" priority="21" stopIfTrue="1">
      <formula>$S$18&gt;0</formula>
    </cfRule>
  </conditionalFormatting>
  <conditionalFormatting sqref="X23:AB51">
    <cfRule type="expression" dxfId="55" priority="27" stopIfTrue="1">
      <formula>$AA23="No Quote"</formula>
    </cfRule>
  </conditionalFormatting>
  <conditionalFormatting sqref="Z18">
    <cfRule type="expression" dxfId="54" priority="19" stopIfTrue="1">
      <formula>$X$18&gt;0</formula>
    </cfRule>
  </conditionalFormatting>
  <conditionalFormatting sqref="AC23:AG51">
    <cfRule type="expression" dxfId="53" priority="26" stopIfTrue="1">
      <formula>$AF23="No Quote"</formula>
    </cfRule>
  </conditionalFormatting>
  <conditionalFormatting sqref="AE18">
    <cfRule type="expression" dxfId="52" priority="18" stopIfTrue="1">
      <formula>$AC$18&gt;0</formula>
    </cfRule>
  </conditionalFormatting>
  <conditionalFormatting sqref="AH23:AL51">
    <cfRule type="expression" dxfId="51" priority="25" stopIfTrue="1">
      <formula>$AK23="No Quote"</formula>
    </cfRule>
  </conditionalFormatting>
  <conditionalFormatting sqref="AJ18">
    <cfRule type="expression" dxfId="50" priority="17" stopIfTrue="1">
      <formula>$AH$18&gt;0</formula>
    </cfRule>
  </conditionalFormatting>
  <conditionalFormatting sqref="AO23:AP51">
    <cfRule type="expression" dxfId="49" priority="11" stopIfTrue="1">
      <formula>$AO23&gt;$AX23</formula>
    </cfRule>
  </conditionalFormatting>
  <conditionalFormatting sqref="AR23:AR51">
    <cfRule type="expression" dxfId="48" priority="7" stopIfTrue="1">
      <formula>$AR23=$AX23</formula>
    </cfRule>
  </conditionalFormatting>
  <conditionalFormatting sqref="AR24:AW51">
    <cfRule type="expression" dxfId="47" priority="8" stopIfTrue="1">
      <formula>$AA24=$AD24</formula>
    </cfRule>
  </conditionalFormatting>
  <conditionalFormatting sqref="AS23:AS51">
    <cfRule type="expression" dxfId="46" priority="6" stopIfTrue="1">
      <formula>$AS23=$AX23</formula>
    </cfRule>
  </conditionalFormatting>
  <conditionalFormatting sqref="AT23:AT51">
    <cfRule type="expression" dxfId="45" priority="5" stopIfTrue="1">
      <formula>$AT23=$AX23</formula>
    </cfRule>
  </conditionalFormatting>
  <conditionalFormatting sqref="AU23:AU51">
    <cfRule type="expression" dxfId="44" priority="4" stopIfTrue="1">
      <formula>$AU23=$AX23</formula>
    </cfRule>
  </conditionalFormatting>
  <conditionalFormatting sqref="AV23:AV51">
    <cfRule type="expression" dxfId="43" priority="3" stopIfTrue="1">
      <formula>$AV23=$AX23</formula>
    </cfRule>
  </conditionalFormatting>
  <conditionalFormatting sqref="AW23:AW51">
    <cfRule type="expression" dxfId="42" priority="2" stopIfTrue="1">
      <formula>$AW23=$AX23</formula>
    </cfRule>
  </conditionalFormatting>
  <dataValidations count="3">
    <dataValidation type="list" allowBlank="1" showInputMessage="1" showErrorMessage="1" sqref="N59:R59" xr:uid="{0E8E4E27-BC84-4BC1-92D4-9E5B4E8ABF5C}">
      <formula1>"Zulkifli Bastiandi, Teuku Syamsul Rizal, Nurhidayad Dawoed"</formula1>
    </dataValidation>
    <dataValidation type="list" allowBlank="1" showInputMessage="1" sqref="I20:AL20" xr:uid="{E57C41FC-7721-4DE2-B4AD-6FA63F0C233A}">
      <formula1>"Subject prior to sales"</formula1>
    </dataValidation>
    <dataValidation type="list" allowBlank="1" showInputMessage="1" sqref="I21:AL21" xr:uid="{6183CF2A-8B3E-4289-86A3-C684ECF727A0}">
      <formula1>"MSW Tanjung, IBT Mekar Putih"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9" scale="3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8D10-A1ED-497A-91AC-902871AF404F}">
  <sheetPr codeName="Sheet12">
    <pageSetUpPr fitToPage="1"/>
  </sheetPr>
  <dimension ref="A1:BB85"/>
  <sheetViews>
    <sheetView showGridLines="0" view="pageBreakPreview" zoomScale="85" zoomScaleNormal="50" zoomScaleSheetLayoutView="85" workbookViewId="0">
      <selection activeCell="B58" sqref="B58:H58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1" width="10.7109375" style="4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43" width="15.7109375" style="4" customWidth="1" outlineLevel="1"/>
    <col min="44" max="44" width="15.7109375" style="59" customWidth="1" outlineLevel="1"/>
    <col min="45" max="45" width="22" style="58" customWidth="1" outlineLevel="1"/>
    <col min="46" max="46" width="12" style="4" customWidth="1" outlineLevel="1"/>
    <col min="47" max="47" width="4.7109375" style="69" customWidth="1" outlineLevel="1"/>
    <col min="48" max="48" width="22" style="58" customWidth="1" outlineLevel="1"/>
    <col min="49" max="49" width="9.7109375" style="4" customWidth="1" outlineLevel="1"/>
    <col min="50" max="50" width="4.7109375" style="4" customWidth="1" outlineLevel="1"/>
    <col min="51" max="51" width="22" style="58" customWidth="1" outlineLevel="1"/>
    <col min="52" max="52" width="9.28515625" customWidth="1"/>
    <col min="53" max="53" width="9.28515625" style="4" customWidth="1"/>
    <col min="54" max="54" width="20.7109375" style="4" customWidth="1"/>
    <col min="55" max="16384" width="9.28515625" style="4" hidden="1"/>
  </cols>
  <sheetData>
    <row r="1" spans="2:51" s="1" customFormat="1" ht="13.5" x14ac:dyDescent="0.25">
      <c r="D1" s="2"/>
      <c r="AR1" s="82"/>
      <c r="AS1" s="73"/>
      <c r="AU1" s="68"/>
      <c r="AV1" s="73"/>
      <c r="AY1" s="73"/>
    </row>
    <row r="2" spans="2:51" s="1" customFormat="1" ht="13.5" x14ac:dyDescent="0.25">
      <c r="D2" s="2"/>
      <c r="AR2" s="82"/>
      <c r="AS2" s="73"/>
      <c r="AU2" s="68"/>
      <c r="AV2" s="73"/>
      <c r="AY2" s="73"/>
    </row>
    <row r="3" spans="2:51" ht="17.25" thickBot="1" x14ac:dyDescent="0.3"/>
    <row r="4" spans="2:51" ht="20.100000000000001" customHeight="1" thickTop="1" x14ac:dyDescent="0.25">
      <c r="B4" s="272" t="s">
        <v>2</v>
      </c>
      <c r="C4" s="273"/>
      <c r="D4" s="273"/>
      <c r="E4" s="273"/>
      <c r="F4" s="273"/>
      <c r="G4" s="276" t="s">
        <v>3</v>
      </c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6"/>
      <c r="AG4" s="7"/>
    </row>
    <row r="5" spans="2:51" ht="20.100000000000001" customHeight="1" x14ac:dyDescent="0.25">
      <c r="B5" s="274"/>
      <c r="C5" s="275"/>
      <c r="D5" s="275"/>
      <c r="E5" s="275"/>
      <c r="F5" s="275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8"/>
      <c r="AG5" s="9"/>
    </row>
    <row r="6" spans="2:51" ht="20.100000000000001" customHeight="1" x14ac:dyDescent="0.25">
      <c r="B6" s="274"/>
      <c r="C6" s="275"/>
      <c r="D6" s="275"/>
      <c r="E6" s="275"/>
      <c r="F6" s="275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8"/>
      <c r="AG6" s="9"/>
    </row>
    <row r="7" spans="2:51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AA7" s="14"/>
      <c r="AB7" s="15"/>
      <c r="AD7" s="278" t="s">
        <v>49</v>
      </c>
      <c r="AE7" s="278"/>
      <c r="AF7" s="278"/>
      <c r="AG7" s="279"/>
      <c r="AR7" s="83"/>
      <c r="AS7" s="76"/>
      <c r="AU7" s="70"/>
      <c r="AV7" s="76"/>
      <c r="AY7" s="76"/>
    </row>
    <row r="8" spans="2:51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AA8" s="16"/>
      <c r="AB8" s="15"/>
      <c r="AD8" s="256">
        <f ca="1">TODAY()</f>
        <v>46231</v>
      </c>
      <c r="AE8" s="256"/>
      <c r="AF8" s="256"/>
      <c r="AG8" s="257"/>
      <c r="AR8" s="83"/>
      <c r="AS8" s="76"/>
      <c r="AU8" s="70"/>
      <c r="AV8" s="76"/>
      <c r="AY8" s="76"/>
    </row>
    <row r="9" spans="2:51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AC9" s="10"/>
      <c r="AD9" s="17"/>
      <c r="AE9" s="17"/>
      <c r="AF9" s="17"/>
      <c r="AG9" s="18"/>
      <c r="AR9" s="83"/>
      <c r="AS9" s="76"/>
      <c r="AU9" s="70"/>
      <c r="AV9" s="76"/>
      <c r="AY9" s="76"/>
    </row>
    <row r="10" spans="2:51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AG10" s="21"/>
    </row>
    <row r="11" spans="2:51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>N11+1</f>
        <v>3</v>
      </c>
      <c r="T11" s="252"/>
      <c r="U11" s="252"/>
      <c r="V11" s="252"/>
      <c r="W11" s="253"/>
      <c r="X11" s="251">
        <f t="shared" ref="X11" si="0">S11+1</f>
        <v>4</v>
      </c>
      <c r="Y11" s="252"/>
      <c r="Z11" s="252"/>
      <c r="AA11" s="252"/>
      <c r="AB11" s="253"/>
      <c r="AC11" s="251">
        <f t="shared" ref="AC11" si="1">X11+1</f>
        <v>5</v>
      </c>
      <c r="AD11" s="252"/>
      <c r="AE11" s="252"/>
      <c r="AF11" s="252"/>
      <c r="AG11" s="280"/>
      <c r="AR11" s="82"/>
      <c r="AS11" s="73"/>
      <c r="AU11" s="68"/>
      <c r="AV11" s="73"/>
      <c r="AY11" s="73"/>
    </row>
    <row r="12" spans="2:51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/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7"/>
      <c r="X12" s="22"/>
      <c r="Y12" s="140"/>
      <c r="Z12" s="140"/>
      <c r="AA12" s="140"/>
      <c r="AB12" s="147"/>
      <c r="AC12" s="22"/>
      <c r="AD12" s="140"/>
      <c r="AE12" s="140"/>
      <c r="AF12" s="140"/>
      <c r="AG12" s="141"/>
      <c r="AM12" s="3"/>
      <c r="AN12" s="3"/>
      <c r="AR12" s="82"/>
      <c r="AS12" s="73"/>
      <c r="AU12" s="68"/>
      <c r="AV12" s="73"/>
      <c r="AY12" s="73"/>
    </row>
    <row r="13" spans="2:51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48"/>
      <c r="X13" s="128">
        <v>0</v>
      </c>
      <c r="Y13" s="129"/>
      <c r="Z13" s="129"/>
      <c r="AA13" s="129"/>
      <c r="AB13" s="148"/>
      <c r="AC13" s="128">
        <v>0</v>
      </c>
      <c r="AD13" s="129"/>
      <c r="AE13" s="129"/>
      <c r="AF13" s="129"/>
      <c r="AG13" s="130"/>
      <c r="AM13" s="12"/>
      <c r="AN13" s="12"/>
      <c r="AO13" s="12"/>
      <c r="AR13" s="82"/>
      <c r="AS13" s="73"/>
      <c r="AU13" s="68"/>
      <c r="AV13" s="73"/>
      <c r="AY13" s="73"/>
    </row>
    <row r="14" spans="2:51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49"/>
      <c r="X14" s="131"/>
      <c r="Y14" s="132"/>
      <c r="Z14" s="132"/>
      <c r="AA14" s="132"/>
      <c r="AB14" s="149"/>
      <c r="AC14" s="131"/>
      <c r="AD14" s="132"/>
      <c r="AE14" s="132"/>
      <c r="AF14" s="132"/>
      <c r="AG14" s="133"/>
      <c r="AM14" s="12"/>
      <c r="AN14" s="12"/>
      <c r="AO14" s="12"/>
      <c r="AR14" s="82"/>
      <c r="AS14" s="73"/>
      <c r="AU14" s="68"/>
      <c r="AV14" s="73"/>
      <c r="AY14" s="73"/>
    </row>
    <row r="15" spans="2:51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50"/>
      <c r="X15" s="134"/>
      <c r="Y15" s="135"/>
      <c r="Z15" s="135"/>
      <c r="AA15" s="135"/>
      <c r="AB15" s="150"/>
      <c r="AC15" s="134"/>
      <c r="AD15" s="135"/>
      <c r="AE15" s="135"/>
      <c r="AF15" s="135"/>
      <c r="AG15" s="136"/>
      <c r="AM15" s="12"/>
      <c r="AN15" s="12"/>
      <c r="AO15" s="12"/>
      <c r="AR15" s="82"/>
      <c r="AS15" s="73"/>
      <c r="AU15" s="68"/>
      <c r="AV15" s="73"/>
      <c r="AY15" s="73"/>
    </row>
    <row r="16" spans="2:51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51"/>
      <c r="X16" s="137" t="s">
        <v>51</v>
      </c>
      <c r="Y16" s="138"/>
      <c r="Z16" s="138"/>
      <c r="AA16" s="138"/>
      <c r="AB16" s="151"/>
      <c r="AC16" s="137" t="s">
        <v>51</v>
      </c>
      <c r="AD16" s="138"/>
      <c r="AE16" s="138"/>
      <c r="AF16" s="138"/>
      <c r="AG16" s="139"/>
      <c r="AR16" s="82"/>
      <c r="AS16" s="73"/>
      <c r="AU16" s="68"/>
      <c r="AV16" s="73"/>
      <c r="AY16" s="73"/>
    </row>
    <row r="17" spans="2:54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7"/>
      <c r="X17" s="239"/>
      <c r="Y17" s="240"/>
      <c r="Z17" s="240"/>
      <c r="AA17" s="240"/>
      <c r="AB17" s="247"/>
      <c r="AC17" s="239"/>
      <c r="AD17" s="240"/>
      <c r="AE17" s="240"/>
      <c r="AF17" s="240"/>
      <c r="AG17" s="241"/>
      <c r="AR17" s="82"/>
      <c r="AS17" s="73"/>
      <c r="AU17" s="68"/>
      <c r="AV17" s="73"/>
      <c r="AY17" s="73"/>
    </row>
    <row r="18" spans="2:54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5"/>
      <c r="X18" s="242" t="str">
        <f>IF(X12="","",IF(X12="NV","","30"))</f>
        <v/>
      </c>
      <c r="Y18" s="243"/>
      <c r="Z18" s="244" t="str">
        <f>IFERROR(IF(X17+X18="","",X17+X18),"")</f>
        <v/>
      </c>
      <c r="AA18" s="244"/>
      <c r="AB18" s="245"/>
      <c r="AC18" s="242" t="str">
        <f>IF(AC12="","",IF(AC12="NV","","30"))</f>
        <v/>
      </c>
      <c r="AD18" s="243"/>
      <c r="AE18" s="244" t="str">
        <f>IFERROR(IF(AC17+AC18="","",AC17+AC18),"")</f>
        <v/>
      </c>
      <c r="AF18" s="244"/>
      <c r="AG18" s="246"/>
      <c r="AR18" s="82"/>
      <c r="AS18" s="73"/>
      <c r="AU18" s="68"/>
      <c r="AV18" s="73"/>
      <c r="AY18" s="73"/>
    </row>
    <row r="19" spans="2:54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159"/>
      <c r="X19" s="227" t="str">
        <f>IF(X12="NV","",IF(X12="","-","45 days"))</f>
        <v>-</v>
      </c>
      <c r="Y19" s="124"/>
      <c r="Z19" s="124"/>
      <c r="AA19" s="124"/>
      <c r="AB19" s="159"/>
      <c r="AC19" s="227" t="str">
        <f>IF(AC12="NV","",IF(AC12="","-","45 days"))</f>
        <v>-</v>
      </c>
      <c r="AD19" s="124"/>
      <c r="AE19" s="124"/>
      <c r="AF19" s="124"/>
      <c r="AG19" s="228"/>
      <c r="AM19" s="25">
        <v>1</v>
      </c>
      <c r="AN19" s="25">
        <f>AM19+1</f>
        <v>2</v>
      </c>
      <c r="AO19" s="25">
        <f>AN19+1</f>
        <v>3</v>
      </c>
      <c r="AP19" s="25">
        <f t="shared" ref="AP19:AQ19" si="2">AO19+1</f>
        <v>4</v>
      </c>
      <c r="AQ19" s="25">
        <f t="shared" si="2"/>
        <v>5</v>
      </c>
      <c r="AR19" s="125" t="s">
        <v>18</v>
      </c>
      <c r="AS19" s="73"/>
      <c r="AU19" s="68"/>
      <c r="AV19" s="73"/>
      <c r="AY19" s="73"/>
    </row>
    <row r="20" spans="2:54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159"/>
      <c r="X20" s="227" t="s">
        <v>50</v>
      </c>
      <c r="Y20" s="124"/>
      <c r="Z20" s="124"/>
      <c r="AA20" s="124"/>
      <c r="AB20" s="159"/>
      <c r="AC20" s="227" t="s">
        <v>50</v>
      </c>
      <c r="AD20" s="124"/>
      <c r="AE20" s="124"/>
      <c r="AF20" s="124"/>
      <c r="AG20" s="228"/>
      <c r="AM20" s="223">
        <f>J12</f>
        <v>0</v>
      </c>
      <c r="AN20" s="223">
        <f>O12</f>
        <v>0</v>
      </c>
      <c r="AO20" s="223">
        <f>T12</f>
        <v>0</v>
      </c>
      <c r="AP20" s="223">
        <f>Y12</f>
        <v>0</v>
      </c>
      <c r="AQ20" s="223">
        <f>AD12</f>
        <v>0</v>
      </c>
      <c r="AR20" s="126"/>
    </row>
    <row r="21" spans="2:54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 t="str">
        <f>IF(J12="","","MSW Tanjung")</f>
        <v/>
      </c>
      <c r="J21" s="155"/>
      <c r="K21" s="155"/>
      <c r="L21" s="155"/>
      <c r="M21" s="156"/>
      <c r="N21" s="154" t="str">
        <f>IF(O12="","","MSW Tanjung")</f>
        <v/>
      </c>
      <c r="O21" s="155"/>
      <c r="P21" s="155"/>
      <c r="Q21" s="155"/>
      <c r="R21" s="156"/>
      <c r="S21" s="154" t="str">
        <f>IF(T12="","","MSW Tanjung")</f>
        <v/>
      </c>
      <c r="T21" s="155"/>
      <c r="U21" s="155"/>
      <c r="V21" s="155"/>
      <c r="W21" s="156"/>
      <c r="X21" s="154" t="str">
        <f>IF(Y12="","","MSW Tanjung")</f>
        <v/>
      </c>
      <c r="Y21" s="155"/>
      <c r="Z21" s="155"/>
      <c r="AA21" s="155"/>
      <c r="AB21" s="156"/>
      <c r="AC21" s="154" t="str">
        <f>IF(AD12="","","MSW Tanjung")</f>
        <v/>
      </c>
      <c r="AD21" s="155"/>
      <c r="AE21" s="155"/>
      <c r="AF21" s="155"/>
      <c r="AG21" s="222"/>
      <c r="AH21" s="50"/>
      <c r="AI21" s="50"/>
      <c r="AM21" s="223"/>
      <c r="AN21" s="223"/>
      <c r="AO21" s="223"/>
      <c r="AP21" s="223"/>
      <c r="AQ21" s="223"/>
      <c r="AR21" s="126"/>
      <c r="AS21" s="73"/>
      <c r="AU21" s="68"/>
      <c r="AV21" s="73"/>
      <c r="AY21" s="73"/>
      <c r="BA21" s="123">
        <f>SUM(BA23:BA39)</f>
        <v>0</v>
      </c>
      <c r="BB21" s="124"/>
    </row>
    <row r="22" spans="2:54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2" t="s">
        <v>26</v>
      </c>
      <c r="O22" s="30" t="s">
        <v>18</v>
      </c>
      <c r="P22" s="33" t="s">
        <v>27</v>
      </c>
      <c r="Q22" s="220" t="s">
        <v>28</v>
      </c>
      <c r="R22" s="233"/>
      <c r="S22" s="36" t="s">
        <v>26</v>
      </c>
      <c r="T22" s="30" t="s">
        <v>18</v>
      </c>
      <c r="U22" s="35" t="s">
        <v>27</v>
      </c>
      <c r="V22" s="220" t="s">
        <v>28</v>
      </c>
      <c r="W22" s="221"/>
      <c r="X22" s="36" t="s">
        <v>26</v>
      </c>
      <c r="Y22" s="30" t="s">
        <v>18</v>
      </c>
      <c r="Z22" s="35" t="s">
        <v>27</v>
      </c>
      <c r="AA22" s="220" t="s">
        <v>28</v>
      </c>
      <c r="AB22" s="221"/>
      <c r="AC22" s="37" t="s">
        <v>26</v>
      </c>
      <c r="AD22" s="38" t="s">
        <v>18</v>
      </c>
      <c r="AE22" s="39" t="s">
        <v>27</v>
      </c>
      <c r="AF22" s="229" t="s">
        <v>28</v>
      </c>
      <c r="AG22" s="230"/>
      <c r="AH22" s="40" t="s">
        <v>29</v>
      </c>
      <c r="AI22" s="40" t="s">
        <v>0</v>
      </c>
      <c r="AJ22" s="40" t="s">
        <v>30</v>
      </c>
      <c r="AK22" s="40" t="s">
        <v>31</v>
      </c>
      <c r="AL22" s="117" t="s">
        <v>1</v>
      </c>
      <c r="AM22" s="223"/>
      <c r="AN22" s="223"/>
      <c r="AO22" s="223"/>
      <c r="AP22" s="223"/>
      <c r="AQ22" s="223"/>
      <c r="AR22" s="127"/>
      <c r="AS22" s="79" t="s">
        <v>32</v>
      </c>
      <c r="AT22" s="219" t="s">
        <v>33</v>
      </c>
      <c r="AU22" s="219"/>
      <c r="AV22" s="219"/>
      <c r="AW22" s="219" t="s">
        <v>34</v>
      </c>
      <c r="AX22" s="219"/>
      <c r="AY22" s="219"/>
      <c r="BA22" s="142" t="s">
        <v>35</v>
      </c>
      <c r="BB22" s="143"/>
    </row>
    <row r="23" spans="2:54" s="1" customFormat="1" ht="61.5" customHeight="1" x14ac:dyDescent="0.25">
      <c r="B23" s="41">
        <v>1</v>
      </c>
      <c r="C23" s="328"/>
      <c r="D23" s="329"/>
      <c r="E23" s="329"/>
      <c r="F23" s="330"/>
      <c r="G23" s="42"/>
      <c r="H23" s="43"/>
      <c r="I23" s="44"/>
      <c r="J23" s="45" t="str">
        <f>IF($G23="","",$G23*I23)</f>
        <v/>
      </c>
      <c r="K23" s="93"/>
      <c r="L23" s="152" t="str">
        <f t="shared" ref="L23:L51" si="3">IF($I23="","No Quote",IF($K23="","","No Comply"))</f>
        <v>No Quote</v>
      </c>
      <c r="M23" s="153"/>
      <c r="N23" s="44"/>
      <c r="O23" s="45" t="str">
        <f>IF($G23="","",$G23*N23)</f>
        <v/>
      </c>
      <c r="P23" s="93"/>
      <c r="Q23" s="152" t="str">
        <f t="shared" ref="Q23:Q51" si="4">IF($N23="","No Quote",IF($P23="","","No Comply"))</f>
        <v>No Quote</v>
      </c>
      <c r="R23" s="153"/>
      <c r="S23" s="44"/>
      <c r="T23" s="45" t="str">
        <f>IF($G23="","",$G23*S23)</f>
        <v/>
      </c>
      <c r="U23" s="92"/>
      <c r="V23" s="152" t="str">
        <f>IF($S23="","No Quote",IF($U23="","","No Comply"))</f>
        <v>No Quote</v>
      </c>
      <c r="W23" s="153"/>
      <c r="X23" s="44"/>
      <c r="Y23" s="45" t="str">
        <f>IF($G23="","",$G23*X23)</f>
        <v/>
      </c>
      <c r="Z23" s="92"/>
      <c r="AA23" s="152" t="str">
        <f t="shared" ref="AA23:AA51" si="5">IF($X23="","No Quote",IF($Z23="","","No Comply"))</f>
        <v>No Quote</v>
      </c>
      <c r="AB23" s="153"/>
      <c r="AC23" s="44"/>
      <c r="AD23" s="45" t="str">
        <f>IF($G23="","",$G23*AC23)</f>
        <v/>
      </c>
      <c r="AE23" s="92"/>
      <c r="AF23" s="212" t="str">
        <f>IF($AC23="","No Quote",IF($AE23="","","No Comply"))</f>
        <v>No Quote</v>
      </c>
      <c r="AG23" s="213"/>
      <c r="AH23" s="90"/>
      <c r="AI23" s="96"/>
      <c r="AJ23" s="66" t="str">
        <f>IF(AH23="","",$AH23*$G23)</f>
        <v/>
      </c>
      <c r="AK23" s="95"/>
      <c r="AL23" s="95"/>
      <c r="AM23" s="80" t="str">
        <f>IF(OR(K23="X",J23=""),"-",J23)</f>
        <v>-</v>
      </c>
      <c r="AN23" s="80" t="str">
        <f>IF(OR(P23="X",O23=""),"-",O23)</f>
        <v>-</v>
      </c>
      <c r="AO23" s="80" t="str">
        <f>IF(OR(U23="X",T23=""),"-",T23)</f>
        <v>-</v>
      </c>
      <c r="AP23" s="80" t="str">
        <f>IF(OR(Z23="X",Y23=""),"-",Y23)</f>
        <v>-</v>
      </c>
      <c r="AQ23" s="80" t="str">
        <f>IF(OR(AE23="X",AD23=""),"-",AD23)</f>
        <v>-</v>
      </c>
      <c r="AR23" s="81" t="str">
        <f t="shared" ref="AR23:AR52" si="6">IFERROR(SMALL($AM23:$AQ23,COUNTIF($AM23:$AQ23,0)+1),"")</f>
        <v/>
      </c>
      <c r="AS23" s="77" t="str">
        <f>IF(AR23=AM23,$AM$20,IF(AR23=AN23,$AN$20,IF(AR23=AO23,$AO$20,IF(AR23=AP23,$AP$20,IF(AR23=AQ23,$AQ$20,"")))))</f>
        <v/>
      </c>
      <c r="AT23" s="75" t="str">
        <f t="shared" ref="AT23:AT52" si="7">IFERROR(SMALL($AM23:$AQ23,2),"")</f>
        <v/>
      </c>
      <c r="AU23" s="74" t="str">
        <f>IFERROR(IF(($AT23-$AR23)/$AR23&lt;0%,"",($AT23-$AR23)/$AR23),"")</f>
        <v/>
      </c>
      <c r="AV23" s="77" t="str">
        <f>IFERROR(IF(AT23="","",IF(AT23=AM23,$AM$20,IF(AT23=AN23,$AN$20,IF(AT23=AO23,$AO$20,IF(AT23=AP23,$AP$20,IF(AT23=AQ23,$AQ$20,"")))))),"")</f>
        <v/>
      </c>
      <c r="AW23" s="75" t="str">
        <f t="shared" ref="AW23:AW52" si="8">IFERROR(SMALL($AM23:$AQ23,3),"")</f>
        <v/>
      </c>
      <c r="AX23" s="74" t="str">
        <f>IFERROR(IF((AW23-$AR23)/$AR23&lt;0%,"",(AW23-$AR23)/$AR23),"")</f>
        <v/>
      </c>
      <c r="AY23" s="77" t="str">
        <f>IFERROR(IF(AW23="","",IF(AW23=AM23,$AM$20,IF(AW23=AN23,$AN$20,IF(AW23=AO23,$AO$20,IF(AW23=AP23,$AP$20,IF(AW23=AQ23,$AQ$20,"")))))),"")</f>
        <v/>
      </c>
      <c r="BA23" s="104">
        <f t="shared" ref="BA23:BA39" si="9">SUMIFS($AR$23:$AR$51,$AS$23:$AS$51,BB23)</f>
        <v>0</v>
      </c>
      <c r="BB23" s="105" t="s">
        <v>48</v>
      </c>
    </row>
    <row r="24" spans="2:54" s="1" customFormat="1" ht="61.5" customHeight="1" x14ac:dyDescent="0.25">
      <c r="B24" s="41">
        <f>B23+1</f>
        <v>2</v>
      </c>
      <c r="C24" s="325"/>
      <c r="D24" s="326"/>
      <c r="E24" s="326"/>
      <c r="F24" s="327"/>
      <c r="G24" s="112"/>
      <c r="H24" s="113"/>
      <c r="I24" s="44"/>
      <c r="J24" s="45" t="str">
        <f t="shared" ref="J24:J51" si="10">IF($G24="","",$G24*I24)</f>
        <v/>
      </c>
      <c r="K24" s="93"/>
      <c r="L24" s="152" t="str">
        <f t="shared" si="3"/>
        <v>No Quote</v>
      </c>
      <c r="M24" s="153"/>
      <c r="N24" s="44"/>
      <c r="O24" s="45" t="str">
        <f t="shared" ref="O24:O51" si="11">IF($G24="","",$G24*N24)</f>
        <v/>
      </c>
      <c r="P24" s="93"/>
      <c r="Q24" s="152" t="str">
        <f t="shared" si="4"/>
        <v>No Quote</v>
      </c>
      <c r="R24" s="153"/>
      <c r="S24" s="44"/>
      <c r="T24" s="45" t="str">
        <f t="shared" ref="T24:T51" si="12">IF($G24="","",$G24*S24)</f>
        <v/>
      </c>
      <c r="U24" s="92"/>
      <c r="V24" s="152" t="str">
        <f t="shared" ref="V24:V51" si="13">IF($S24="","No Quote",IF($U24="","","No Comply"))</f>
        <v>No Quote</v>
      </c>
      <c r="W24" s="153"/>
      <c r="X24" s="44"/>
      <c r="Y24" s="45" t="str">
        <f t="shared" ref="Y24:Y51" si="14">IF($G24="","",$G24*X24)</f>
        <v/>
      </c>
      <c r="Z24" s="92"/>
      <c r="AA24" s="152" t="str">
        <f t="shared" si="5"/>
        <v>No Quote</v>
      </c>
      <c r="AB24" s="153"/>
      <c r="AC24" s="44"/>
      <c r="AD24" s="45" t="str">
        <f t="shared" ref="AD24:AD51" si="15">IF($G24="","",$G24*AC24)</f>
        <v/>
      </c>
      <c r="AE24" s="92"/>
      <c r="AF24" s="212" t="str">
        <f t="shared" ref="AF24:AF51" si="16">IF($AC24="","No Quote",IF($AE24="","","No Comply"))</f>
        <v>No Quote</v>
      </c>
      <c r="AG24" s="213"/>
      <c r="AH24" s="90"/>
      <c r="AI24" s="96"/>
      <c r="AJ24" s="66" t="str">
        <f t="shared" ref="AJ24:AJ51" si="17">IF(AH24="","",$AH24*$G24)</f>
        <v/>
      </c>
      <c r="AK24" s="95"/>
      <c r="AL24" s="95"/>
      <c r="AM24" s="80" t="str">
        <f t="shared" ref="AM24:AM51" si="18">IF(OR(K24="X",J24=""),"-",J24)</f>
        <v>-</v>
      </c>
      <c r="AN24" s="80" t="str">
        <f t="shared" ref="AN24:AN51" si="19">IF(OR(P24="X",O24=""),"-",O24)</f>
        <v>-</v>
      </c>
      <c r="AO24" s="80" t="str">
        <f t="shared" ref="AO24:AO51" si="20">IF(OR(U24="X",T24=""),"-",T24)</f>
        <v>-</v>
      </c>
      <c r="AP24" s="80" t="str">
        <f t="shared" ref="AP24:AP51" si="21">IF(OR(Z24="X",Y24=""),"-",Y24)</f>
        <v>-</v>
      </c>
      <c r="AQ24" s="80" t="str">
        <f t="shared" ref="AQ24:AQ51" si="22">IF(OR(AE24="X",AD24=""),"-",AD24)</f>
        <v>-</v>
      </c>
      <c r="AR24" s="81" t="str">
        <f t="shared" si="6"/>
        <v/>
      </c>
      <c r="AS24" s="77" t="str">
        <f t="shared" ref="AS24:AS51" si="23">IF(AR24=AM24,$AM$20,IF(AR24=AN24,$AN$20,IF(AR24=AO24,$AO$20,IF(AR24=AP24,$AP$20,IF(AR24=AQ24,$AQ$20,"")))))</f>
        <v/>
      </c>
      <c r="AT24" s="75" t="str">
        <f t="shared" si="7"/>
        <v/>
      </c>
      <c r="AU24" s="74" t="str">
        <f t="shared" ref="AU24:AU52" si="24">IFERROR(IF(($AT24-$AR24)/$AR24&lt;0%,"",($AT24-$AR24)/$AR24),"")</f>
        <v/>
      </c>
      <c r="AV24" s="77" t="str">
        <f t="shared" ref="AV24:AV51" si="25">IFERROR(IF(AT24="","",IF(AT24=AM24,$AM$20,IF(AT24=AN24,$AN$20,IF(AT24=AO24,$AO$20,IF(AT24=AP24,$AP$20,IF(AT24=AQ24,$AQ$20,"")))))),"")</f>
        <v/>
      </c>
      <c r="AW24" s="75" t="str">
        <f t="shared" si="8"/>
        <v/>
      </c>
      <c r="AX24" s="74" t="str">
        <f t="shared" ref="AX24:AX51" si="26">IFERROR(IF((AW24-$AR24)/$AR24&lt;0%,"",(AW24-$AR24)/$AR24),"")</f>
        <v/>
      </c>
      <c r="AY24" s="77" t="str">
        <f t="shared" ref="AY24:AY51" si="27">IFERROR(IF(AW24="","",IF(AW24=AM24,$AM$20,IF(AW24=AN24,$AN$20,IF(AW24=AO24,$AO$20,IF(AW24=AP24,$AP$20,IF(AW24=AQ24,$AQ$20,"")))))),"")</f>
        <v/>
      </c>
      <c r="BA24" s="104">
        <f t="shared" si="9"/>
        <v>0</v>
      </c>
      <c r="BB24" s="106"/>
    </row>
    <row r="25" spans="2:54" s="1" customFormat="1" ht="61.5" customHeight="1" x14ac:dyDescent="0.25">
      <c r="B25" s="41">
        <f t="shared" ref="B25:B51" si="28">B24+1</f>
        <v>3</v>
      </c>
      <c r="C25" s="322"/>
      <c r="D25" s="323"/>
      <c r="E25" s="323"/>
      <c r="F25" s="324"/>
      <c r="G25" s="42"/>
      <c r="H25" s="43"/>
      <c r="I25" s="44"/>
      <c r="J25" s="45" t="str">
        <f t="shared" si="10"/>
        <v/>
      </c>
      <c r="K25" s="93"/>
      <c r="L25" s="152" t="str">
        <f t="shared" si="3"/>
        <v>No Quote</v>
      </c>
      <c r="M25" s="153"/>
      <c r="N25" s="44"/>
      <c r="O25" s="45" t="str">
        <f t="shared" si="11"/>
        <v/>
      </c>
      <c r="P25" s="93"/>
      <c r="Q25" s="152" t="str">
        <f t="shared" si="4"/>
        <v>No Quote</v>
      </c>
      <c r="R25" s="153"/>
      <c r="S25" s="44"/>
      <c r="T25" s="45" t="str">
        <f t="shared" si="12"/>
        <v/>
      </c>
      <c r="U25" s="92"/>
      <c r="V25" s="152" t="str">
        <f t="shared" si="13"/>
        <v>No Quote</v>
      </c>
      <c r="W25" s="153"/>
      <c r="X25" s="44"/>
      <c r="Y25" s="45" t="str">
        <f t="shared" si="14"/>
        <v/>
      </c>
      <c r="Z25" s="92"/>
      <c r="AA25" s="152" t="str">
        <f t="shared" si="5"/>
        <v>No Quote</v>
      </c>
      <c r="AB25" s="153"/>
      <c r="AC25" s="44"/>
      <c r="AD25" s="45" t="str">
        <f t="shared" si="15"/>
        <v/>
      </c>
      <c r="AE25" s="92"/>
      <c r="AF25" s="212" t="str">
        <f t="shared" si="16"/>
        <v>No Quote</v>
      </c>
      <c r="AG25" s="213"/>
      <c r="AH25" s="90"/>
      <c r="AI25" s="96"/>
      <c r="AJ25" s="66" t="str">
        <f t="shared" si="17"/>
        <v/>
      </c>
      <c r="AK25" s="95"/>
      <c r="AL25" s="95"/>
      <c r="AM25" s="80" t="str">
        <f t="shared" si="18"/>
        <v>-</v>
      </c>
      <c r="AN25" s="80" t="str">
        <f t="shared" si="19"/>
        <v>-</v>
      </c>
      <c r="AO25" s="80" t="str">
        <f t="shared" si="20"/>
        <v>-</v>
      </c>
      <c r="AP25" s="80" t="str">
        <f t="shared" si="21"/>
        <v>-</v>
      </c>
      <c r="AQ25" s="80" t="str">
        <f t="shared" si="22"/>
        <v>-</v>
      </c>
      <c r="AR25" s="81" t="str">
        <f t="shared" si="6"/>
        <v/>
      </c>
      <c r="AS25" s="77" t="str">
        <f t="shared" si="23"/>
        <v/>
      </c>
      <c r="AT25" s="75" t="str">
        <f t="shared" si="7"/>
        <v/>
      </c>
      <c r="AU25" s="74" t="str">
        <f t="shared" si="24"/>
        <v/>
      </c>
      <c r="AV25" s="77" t="str">
        <f t="shared" si="25"/>
        <v/>
      </c>
      <c r="AW25" s="75" t="str">
        <f t="shared" si="8"/>
        <v/>
      </c>
      <c r="AX25" s="74" t="str">
        <f t="shared" si="26"/>
        <v/>
      </c>
      <c r="AY25" s="77" t="str">
        <f t="shared" si="27"/>
        <v/>
      </c>
      <c r="BA25" s="104">
        <f t="shared" si="9"/>
        <v>0</v>
      </c>
      <c r="BB25" s="106"/>
    </row>
    <row r="26" spans="2:54" s="1" customFormat="1" ht="61.5" customHeight="1" x14ac:dyDescent="0.25">
      <c r="B26" s="41">
        <f t="shared" si="28"/>
        <v>4</v>
      </c>
      <c r="C26" s="322"/>
      <c r="D26" s="323"/>
      <c r="E26" s="323"/>
      <c r="F26" s="324"/>
      <c r="G26" s="42"/>
      <c r="H26" s="43"/>
      <c r="I26" s="44"/>
      <c r="J26" s="45" t="str">
        <f t="shared" si="10"/>
        <v/>
      </c>
      <c r="K26" s="93"/>
      <c r="L26" s="152" t="str">
        <f t="shared" si="3"/>
        <v>No Quote</v>
      </c>
      <c r="M26" s="153"/>
      <c r="N26" s="44"/>
      <c r="O26" s="45" t="str">
        <f t="shared" si="11"/>
        <v/>
      </c>
      <c r="P26" s="93"/>
      <c r="Q26" s="152" t="str">
        <f t="shared" si="4"/>
        <v>No Quote</v>
      </c>
      <c r="R26" s="153"/>
      <c r="S26" s="44"/>
      <c r="T26" s="45" t="str">
        <f t="shared" si="12"/>
        <v/>
      </c>
      <c r="U26" s="92"/>
      <c r="V26" s="152" t="str">
        <f t="shared" si="13"/>
        <v>No Quote</v>
      </c>
      <c r="W26" s="153"/>
      <c r="X26" s="44"/>
      <c r="Y26" s="45" t="str">
        <f t="shared" si="14"/>
        <v/>
      </c>
      <c r="Z26" s="92"/>
      <c r="AA26" s="152" t="str">
        <f t="shared" si="5"/>
        <v>No Quote</v>
      </c>
      <c r="AB26" s="153"/>
      <c r="AC26" s="44"/>
      <c r="AD26" s="45" t="str">
        <f t="shared" si="15"/>
        <v/>
      </c>
      <c r="AE26" s="92"/>
      <c r="AF26" s="212" t="str">
        <f t="shared" si="16"/>
        <v>No Quote</v>
      </c>
      <c r="AG26" s="213"/>
      <c r="AH26" s="90"/>
      <c r="AI26" s="96"/>
      <c r="AJ26" s="66" t="str">
        <f t="shared" si="17"/>
        <v/>
      </c>
      <c r="AK26" s="95"/>
      <c r="AL26" s="95"/>
      <c r="AM26" s="80" t="str">
        <f t="shared" si="18"/>
        <v>-</v>
      </c>
      <c r="AN26" s="80" t="str">
        <f t="shared" si="19"/>
        <v>-</v>
      </c>
      <c r="AO26" s="80" t="str">
        <f t="shared" si="20"/>
        <v>-</v>
      </c>
      <c r="AP26" s="80" t="str">
        <f t="shared" si="21"/>
        <v>-</v>
      </c>
      <c r="AQ26" s="80" t="str">
        <f t="shared" si="22"/>
        <v>-</v>
      </c>
      <c r="AR26" s="81" t="str">
        <f t="shared" si="6"/>
        <v/>
      </c>
      <c r="AS26" s="77" t="str">
        <f t="shared" si="23"/>
        <v/>
      </c>
      <c r="AT26" s="75" t="str">
        <f t="shared" si="7"/>
        <v/>
      </c>
      <c r="AU26" s="74" t="str">
        <f t="shared" si="24"/>
        <v/>
      </c>
      <c r="AV26" s="77" t="str">
        <f t="shared" si="25"/>
        <v/>
      </c>
      <c r="AW26" s="75" t="str">
        <f t="shared" si="8"/>
        <v/>
      </c>
      <c r="AX26" s="74" t="str">
        <f t="shared" si="26"/>
        <v/>
      </c>
      <c r="AY26" s="77" t="str">
        <f t="shared" si="27"/>
        <v/>
      </c>
      <c r="BA26" s="104">
        <f t="shared" si="9"/>
        <v>0</v>
      </c>
      <c r="BB26" s="106"/>
    </row>
    <row r="27" spans="2:54" s="1" customFormat="1" ht="61.5" customHeight="1" x14ac:dyDescent="0.25">
      <c r="B27" s="41">
        <f t="shared" si="28"/>
        <v>5</v>
      </c>
      <c r="C27" s="218"/>
      <c r="D27" s="218"/>
      <c r="E27" s="218"/>
      <c r="F27" s="218"/>
      <c r="G27" s="42"/>
      <c r="H27" s="43"/>
      <c r="I27" s="44"/>
      <c r="J27" s="45" t="str">
        <f t="shared" si="10"/>
        <v/>
      </c>
      <c r="K27" s="93"/>
      <c r="L27" s="152" t="str">
        <f t="shared" si="3"/>
        <v>No Quote</v>
      </c>
      <c r="M27" s="153"/>
      <c r="N27" s="44"/>
      <c r="O27" s="45" t="str">
        <f t="shared" si="11"/>
        <v/>
      </c>
      <c r="P27" s="93"/>
      <c r="Q27" s="152" t="str">
        <f t="shared" si="4"/>
        <v>No Quote</v>
      </c>
      <c r="R27" s="153"/>
      <c r="S27" s="44"/>
      <c r="T27" s="45" t="str">
        <f t="shared" si="12"/>
        <v/>
      </c>
      <c r="U27" s="92"/>
      <c r="V27" s="152" t="str">
        <f t="shared" si="13"/>
        <v>No Quote</v>
      </c>
      <c r="W27" s="153"/>
      <c r="X27" s="44"/>
      <c r="Y27" s="45" t="str">
        <f t="shared" si="14"/>
        <v/>
      </c>
      <c r="Z27" s="92"/>
      <c r="AA27" s="152" t="str">
        <f t="shared" si="5"/>
        <v>No Quote</v>
      </c>
      <c r="AB27" s="153"/>
      <c r="AC27" s="44"/>
      <c r="AD27" s="45" t="str">
        <f t="shared" si="15"/>
        <v/>
      </c>
      <c r="AE27" s="92"/>
      <c r="AF27" s="212" t="str">
        <f t="shared" si="16"/>
        <v>No Quote</v>
      </c>
      <c r="AG27" s="213"/>
      <c r="AH27" s="90"/>
      <c r="AI27" s="96"/>
      <c r="AJ27" s="66" t="str">
        <f t="shared" si="17"/>
        <v/>
      </c>
      <c r="AK27" s="95"/>
      <c r="AL27" s="95"/>
      <c r="AM27" s="80" t="str">
        <f t="shared" si="18"/>
        <v>-</v>
      </c>
      <c r="AN27" s="80" t="str">
        <f t="shared" si="19"/>
        <v>-</v>
      </c>
      <c r="AO27" s="80" t="str">
        <f t="shared" si="20"/>
        <v>-</v>
      </c>
      <c r="AP27" s="80" t="str">
        <f t="shared" si="21"/>
        <v>-</v>
      </c>
      <c r="AQ27" s="80" t="str">
        <f t="shared" si="22"/>
        <v>-</v>
      </c>
      <c r="AR27" s="81" t="str">
        <f t="shared" si="6"/>
        <v/>
      </c>
      <c r="AS27" s="77" t="str">
        <f t="shared" si="23"/>
        <v/>
      </c>
      <c r="AT27" s="75" t="str">
        <f t="shared" si="7"/>
        <v/>
      </c>
      <c r="AU27" s="74" t="str">
        <f t="shared" si="24"/>
        <v/>
      </c>
      <c r="AV27" s="77" t="str">
        <f t="shared" si="25"/>
        <v/>
      </c>
      <c r="AW27" s="75" t="str">
        <f t="shared" si="8"/>
        <v/>
      </c>
      <c r="AX27" s="74" t="str">
        <f t="shared" si="26"/>
        <v/>
      </c>
      <c r="AY27" s="77" t="str">
        <f t="shared" si="27"/>
        <v/>
      </c>
      <c r="BA27" s="104">
        <f t="shared" si="9"/>
        <v>0</v>
      </c>
      <c r="BB27" s="106"/>
    </row>
    <row r="28" spans="2:54" s="1" customFormat="1" ht="61.5" customHeight="1" outlineLevel="1" x14ac:dyDescent="0.25">
      <c r="B28" s="41">
        <f t="shared" si="28"/>
        <v>6</v>
      </c>
      <c r="C28" s="218"/>
      <c r="D28" s="218"/>
      <c r="E28" s="218"/>
      <c r="F28" s="218"/>
      <c r="G28" s="42"/>
      <c r="H28" s="43"/>
      <c r="I28" s="44"/>
      <c r="J28" s="45" t="str">
        <f t="shared" si="10"/>
        <v/>
      </c>
      <c r="K28" s="93"/>
      <c r="L28" s="152" t="str">
        <f t="shared" si="3"/>
        <v>No Quote</v>
      </c>
      <c r="M28" s="153"/>
      <c r="N28" s="44"/>
      <c r="O28" s="45" t="str">
        <f t="shared" si="11"/>
        <v/>
      </c>
      <c r="P28" s="93"/>
      <c r="Q28" s="152" t="str">
        <f t="shared" si="4"/>
        <v>No Quote</v>
      </c>
      <c r="R28" s="153"/>
      <c r="S28" s="44"/>
      <c r="T28" s="45" t="str">
        <f t="shared" si="12"/>
        <v/>
      </c>
      <c r="U28" s="92"/>
      <c r="V28" s="152" t="str">
        <f t="shared" si="13"/>
        <v>No Quote</v>
      </c>
      <c r="W28" s="153"/>
      <c r="X28" s="44"/>
      <c r="Y28" s="45" t="str">
        <f t="shared" si="14"/>
        <v/>
      </c>
      <c r="Z28" s="92"/>
      <c r="AA28" s="152" t="str">
        <f t="shared" si="5"/>
        <v>No Quote</v>
      </c>
      <c r="AB28" s="153"/>
      <c r="AC28" s="44"/>
      <c r="AD28" s="45" t="str">
        <f t="shared" si="15"/>
        <v/>
      </c>
      <c r="AE28" s="92"/>
      <c r="AF28" s="212" t="str">
        <f t="shared" si="16"/>
        <v>No Quote</v>
      </c>
      <c r="AG28" s="213"/>
      <c r="AH28" s="90"/>
      <c r="AI28" s="96"/>
      <c r="AJ28" s="66" t="str">
        <f t="shared" si="17"/>
        <v/>
      </c>
      <c r="AK28" s="95"/>
      <c r="AL28" s="95"/>
      <c r="AM28" s="80" t="str">
        <f t="shared" si="18"/>
        <v>-</v>
      </c>
      <c r="AN28" s="80" t="str">
        <f t="shared" si="19"/>
        <v>-</v>
      </c>
      <c r="AO28" s="80" t="str">
        <f t="shared" si="20"/>
        <v>-</v>
      </c>
      <c r="AP28" s="80" t="str">
        <f t="shared" si="21"/>
        <v>-</v>
      </c>
      <c r="AQ28" s="80" t="str">
        <f t="shared" si="22"/>
        <v>-</v>
      </c>
      <c r="AR28" s="81" t="str">
        <f t="shared" si="6"/>
        <v/>
      </c>
      <c r="AS28" s="77" t="str">
        <f t="shared" si="23"/>
        <v/>
      </c>
      <c r="AT28" s="75" t="str">
        <f t="shared" si="7"/>
        <v/>
      </c>
      <c r="AU28" s="74" t="str">
        <f t="shared" si="24"/>
        <v/>
      </c>
      <c r="AV28" s="77" t="str">
        <f t="shared" si="25"/>
        <v/>
      </c>
      <c r="AW28" s="75" t="str">
        <f t="shared" si="8"/>
        <v/>
      </c>
      <c r="AX28" s="74" t="str">
        <f t="shared" si="26"/>
        <v/>
      </c>
      <c r="AY28" s="77" t="str">
        <f t="shared" si="27"/>
        <v/>
      </c>
      <c r="BA28" s="104">
        <f t="shared" si="9"/>
        <v>0</v>
      </c>
      <c r="BB28" s="102"/>
    </row>
    <row r="29" spans="2:54" s="1" customFormat="1" ht="61.5" customHeight="1" outlineLevel="1" x14ac:dyDescent="0.25">
      <c r="B29" s="41">
        <f t="shared" si="28"/>
        <v>7</v>
      </c>
      <c r="C29" s="218"/>
      <c r="D29" s="218"/>
      <c r="E29" s="218"/>
      <c r="F29" s="218"/>
      <c r="G29" s="42"/>
      <c r="H29" s="43"/>
      <c r="I29" s="44"/>
      <c r="J29" s="45" t="str">
        <f t="shared" si="10"/>
        <v/>
      </c>
      <c r="K29" s="93"/>
      <c r="L29" s="152" t="str">
        <f t="shared" si="3"/>
        <v>No Quote</v>
      </c>
      <c r="M29" s="153"/>
      <c r="N29" s="44"/>
      <c r="O29" s="45" t="str">
        <f t="shared" si="11"/>
        <v/>
      </c>
      <c r="P29" s="93"/>
      <c r="Q29" s="152" t="str">
        <f t="shared" si="4"/>
        <v>No Quote</v>
      </c>
      <c r="R29" s="153"/>
      <c r="S29" s="44"/>
      <c r="T29" s="45" t="str">
        <f t="shared" si="12"/>
        <v/>
      </c>
      <c r="U29" s="92"/>
      <c r="V29" s="152" t="str">
        <f t="shared" si="13"/>
        <v>No Quote</v>
      </c>
      <c r="W29" s="153"/>
      <c r="X29" s="44"/>
      <c r="Y29" s="45" t="str">
        <f t="shared" si="14"/>
        <v/>
      </c>
      <c r="Z29" s="92"/>
      <c r="AA29" s="152" t="str">
        <f t="shared" si="5"/>
        <v>No Quote</v>
      </c>
      <c r="AB29" s="153"/>
      <c r="AC29" s="44"/>
      <c r="AD29" s="45" t="str">
        <f t="shared" si="15"/>
        <v/>
      </c>
      <c r="AE29" s="92"/>
      <c r="AF29" s="212" t="str">
        <f t="shared" si="16"/>
        <v>No Quote</v>
      </c>
      <c r="AG29" s="213"/>
      <c r="AH29" s="90"/>
      <c r="AI29" s="96"/>
      <c r="AJ29" s="66" t="str">
        <f t="shared" si="17"/>
        <v/>
      </c>
      <c r="AK29" s="95"/>
      <c r="AL29" s="95"/>
      <c r="AM29" s="80" t="str">
        <f t="shared" si="18"/>
        <v>-</v>
      </c>
      <c r="AN29" s="80" t="str">
        <f t="shared" si="19"/>
        <v>-</v>
      </c>
      <c r="AO29" s="80" t="str">
        <f t="shared" si="20"/>
        <v>-</v>
      </c>
      <c r="AP29" s="80" t="str">
        <f t="shared" si="21"/>
        <v>-</v>
      </c>
      <c r="AQ29" s="80" t="str">
        <f t="shared" si="22"/>
        <v>-</v>
      </c>
      <c r="AR29" s="81" t="str">
        <f t="shared" si="6"/>
        <v/>
      </c>
      <c r="AS29" s="77" t="str">
        <f t="shared" si="23"/>
        <v/>
      </c>
      <c r="AT29" s="75" t="str">
        <f t="shared" si="7"/>
        <v/>
      </c>
      <c r="AU29" s="74" t="str">
        <f t="shared" si="24"/>
        <v/>
      </c>
      <c r="AV29" s="77" t="str">
        <f t="shared" si="25"/>
        <v/>
      </c>
      <c r="AW29" s="75" t="str">
        <f t="shared" si="8"/>
        <v/>
      </c>
      <c r="AX29" s="74" t="str">
        <f t="shared" si="26"/>
        <v/>
      </c>
      <c r="AY29" s="77" t="str">
        <f t="shared" si="27"/>
        <v/>
      </c>
      <c r="BA29" s="104">
        <f t="shared" si="9"/>
        <v>0</v>
      </c>
      <c r="BB29" s="102"/>
    </row>
    <row r="30" spans="2:54" s="1" customFormat="1" ht="61.5" customHeight="1" outlineLevel="1" x14ac:dyDescent="0.25">
      <c r="B30" s="41">
        <f t="shared" si="28"/>
        <v>8</v>
      </c>
      <c r="C30" s="218"/>
      <c r="D30" s="218"/>
      <c r="E30" s="218"/>
      <c r="F30" s="218"/>
      <c r="G30" s="42"/>
      <c r="H30" s="43"/>
      <c r="I30" s="44"/>
      <c r="J30" s="45" t="str">
        <f t="shared" si="10"/>
        <v/>
      </c>
      <c r="K30" s="93"/>
      <c r="L30" s="152" t="str">
        <f t="shared" si="3"/>
        <v>No Quote</v>
      </c>
      <c r="M30" s="153"/>
      <c r="N30" s="44"/>
      <c r="O30" s="45" t="str">
        <f t="shared" si="11"/>
        <v/>
      </c>
      <c r="P30" s="93"/>
      <c r="Q30" s="152" t="str">
        <f t="shared" si="4"/>
        <v>No Quote</v>
      </c>
      <c r="R30" s="153"/>
      <c r="S30" s="44"/>
      <c r="T30" s="45" t="str">
        <f t="shared" si="12"/>
        <v/>
      </c>
      <c r="U30" s="92"/>
      <c r="V30" s="152" t="str">
        <f t="shared" si="13"/>
        <v>No Quote</v>
      </c>
      <c r="W30" s="153"/>
      <c r="X30" s="44"/>
      <c r="Y30" s="45" t="str">
        <f t="shared" si="14"/>
        <v/>
      </c>
      <c r="Z30" s="92"/>
      <c r="AA30" s="152" t="str">
        <f t="shared" si="5"/>
        <v>No Quote</v>
      </c>
      <c r="AB30" s="153"/>
      <c r="AC30" s="44"/>
      <c r="AD30" s="45" t="str">
        <f t="shared" si="15"/>
        <v/>
      </c>
      <c r="AE30" s="92"/>
      <c r="AF30" s="212" t="str">
        <f t="shared" si="16"/>
        <v>No Quote</v>
      </c>
      <c r="AG30" s="213"/>
      <c r="AH30" s="90"/>
      <c r="AI30" s="96"/>
      <c r="AJ30" s="66" t="str">
        <f t="shared" si="17"/>
        <v/>
      </c>
      <c r="AK30" s="95"/>
      <c r="AL30" s="95"/>
      <c r="AM30" s="80" t="str">
        <f t="shared" si="18"/>
        <v>-</v>
      </c>
      <c r="AN30" s="80" t="str">
        <f t="shared" si="19"/>
        <v>-</v>
      </c>
      <c r="AO30" s="80" t="str">
        <f t="shared" si="20"/>
        <v>-</v>
      </c>
      <c r="AP30" s="80" t="str">
        <f t="shared" si="21"/>
        <v>-</v>
      </c>
      <c r="AQ30" s="80" t="str">
        <f t="shared" si="22"/>
        <v>-</v>
      </c>
      <c r="AR30" s="81" t="str">
        <f t="shared" si="6"/>
        <v/>
      </c>
      <c r="AS30" s="77" t="str">
        <f t="shared" si="23"/>
        <v/>
      </c>
      <c r="AT30" s="75" t="str">
        <f t="shared" si="7"/>
        <v/>
      </c>
      <c r="AU30" s="74" t="str">
        <f t="shared" si="24"/>
        <v/>
      </c>
      <c r="AV30" s="77" t="str">
        <f t="shared" si="25"/>
        <v/>
      </c>
      <c r="AW30" s="75" t="str">
        <f t="shared" si="8"/>
        <v/>
      </c>
      <c r="AX30" s="74" t="str">
        <f t="shared" si="26"/>
        <v/>
      </c>
      <c r="AY30" s="77" t="str">
        <f t="shared" si="27"/>
        <v/>
      </c>
      <c r="BA30" s="104">
        <f t="shared" si="9"/>
        <v>0</v>
      </c>
      <c r="BB30" s="102"/>
    </row>
    <row r="31" spans="2:54" s="1" customFormat="1" ht="61.5" customHeight="1" outlineLevel="1" x14ac:dyDescent="0.25">
      <c r="B31" s="41">
        <f t="shared" si="28"/>
        <v>9</v>
      </c>
      <c r="C31" s="218"/>
      <c r="D31" s="218"/>
      <c r="E31" s="218"/>
      <c r="F31" s="218"/>
      <c r="G31" s="42"/>
      <c r="H31" s="43"/>
      <c r="I31" s="44"/>
      <c r="J31" s="45" t="str">
        <f t="shared" si="10"/>
        <v/>
      </c>
      <c r="K31" s="93"/>
      <c r="L31" s="152" t="str">
        <f t="shared" si="3"/>
        <v>No Quote</v>
      </c>
      <c r="M31" s="153"/>
      <c r="N31" s="44"/>
      <c r="O31" s="45" t="str">
        <f t="shared" si="11"/>
        <v/>
      </c>
      <c r="P31" s="93"/>
      <c r="Q31" s="152" t="str">
        <f t="shared" si="4"/>
        <v>No Quote</v>
      </c>
      <c r="R31" s="153"/>
      <c r="S31" s="44"/>
      <c r="T31" s="45" t="str">
        <f t="shared" si="12"/>
        <v/>
      </c>
      <c r="U31" s="92"/>
      <c r="V31" s="152" t="str">
        <f t="shared" si="13"/>
        <v>No Quote</v>
      </c>
      <c r="W31" s="153"/>
      <c r="X31" s="44"/>
      <c r="Y31" s="45" t="str">
        <f t="shared" si="14"/>
        <v/>
      </c>
      <c r="Z31" s="92"/>
      <c r="AA31" s="152" t="str">
        <f t="shared" si="5"/>
        <v>No Quote</v>
      </c>
      <c r="AB31" s="153"/>
      <c r="AC31" s="44"/>
      <c r="AD31" s="45" t="str">
        <f t="shared" si="15"/>
        <v/>
      </c>
      <c r="AE31" s="92"/>
      <c r="AF31" s="212" t="str">
        <f t="shared" si="16"/>
        <v>No Quote</v>
      </c>
      <c r="AG31" s="213"/>
      <c r="AH31" s="90"/>
      <c r="AI31" s="96"/>
      <c r="AJ31" s="66" t="str">
        <f t="shared" si="17"/>
        <v/>
      </c>
      <c r="AK31" s="95"/>
      <c r="AL31" s="95"/>
      <c r="AM31" s="80" t="str">
        <f t="shared" si="18"/>
        <v>-</v>
      </c>
      <c r="AN31" s="80" t="str">
        <f t="shared" si="19"/>
        <v>-</v>
      </c>
      <c r="AO31" s="80" t="str">
        <f t="shared" si="20"/>
        <v>-</v>
      </c>
      <c r="AP31" s="80" t="str">
        <f t="shared" si="21"/>
        <v>-</v>
      </c>
      <c r="AQ31" s="80" t="str">
        <f t="shared" si="22"/>
        <v>-</v>
      </c>
      <c r="AR31" s="81" t="str">
        <f t="shared" si="6"/>
        <v/>
      </c>
      <c r="AS31" s="77" t="str">
        <f t="shared" si="23"/>
        <v/>
      </c>
      <c r="AT31" s="75" t="str">
        <f t="shared" si="7"/>
        <v/>
      </c>
      <c r="AU31" s="74" t="str">
        <f t="shared" si="24"/>
        <v/>
      </c>
      <c r="AV31" s="77" t="str">
        <f t="shared" si="25"/>
        <v/>
      </c>
      <c r="AW31" s="75" t="str">
        <f t="shared" si="8"/>
        <v/>
      </c>
      <c r="AX31" s="74" t="str">
        <f t="shared" si="26"/>
        <v/>
      </c>
      <c r="AY31" s="77" t="str">
        <f t="shared" si="27"/>
        <v/>
      </c>
      <c r="BA31" s="104">
        <f t="shared" si="9"/>
        <v>0</v>
      </c>
      <c r="BB31" s="102"/>
    </row>
    <row r="32" spans="2:54" s="1" customFormat="1" ht="61.5" customHeight="1" outlineLevel="1" x14ac:dyDescent="0.25">
      <c r="B32" s="41">
        <f t="shared" si="28"/>
        <v>10</v>
      </c>
      <c r="C32" s="218"/>
      <c r="D32" s="218"/>
      <c r="E32" s="218"/>
      <c r="F32" s="218"/>
      <c r="G32" s="42"/>
      <c r="H32" s="43"/>
      <c r="I32" s="44"/>
      <c r="J32" s="45" t="str">
        <f t="shared" si="10"/>
        <v/>
      </c>
      <c r="K32" s="93"/>
      <c r="L32" s="152" t="str">
        <f t="shared" si="3"/>
        <v>No Quote</v>
      </c>
      <c r="M32" s="153"/>
      <c r="N32" s="44"/>
      <c r="O32" s="45" t="str">
        <f t="shared" si="11"/>
        <v/>
      </c>
      <c r="P32" s="93"/>
      <c r="Q32" s="152" t="str">
        <f t="shared" si="4"/>
        <v>No Quote</v>
      </c>
      <c r="R32" s="153"/>
      <c r="S32" s="44"/>
      <c r="T32" s="45" t="str">
        <f t="shared" si="12"/>
        <v/>
      </c>
      <c r="U32" s="92"/>
      <c r="V32" s="152" t="str">
        <f t="shared" si="13"/>
        <v>No Quote</v>
      </c>
      <c r="W32" s="153"/>
      <c r="X32" s="44"/>
      <c r="Y32" s="45" t="str">
        <f t="shared" si="14"/>
        <v/>
      </c>
      <c r="Z32" s="92"/>
      <c r="AA32" s="152" t="str">
        <f t="shared" si="5"/>
        <v>No Quote</v>
      </c>
      <c r="AB32" s="153"/>
      <c r="AC32" s="44"/>
      <c r="AD32" s="45" t="str">
        <f t="shared" si="15"/>
        <v/>
      </c>
      <c r="AE32" s="92"/>
      <c r="AF32" s="212" t="str">
        <f t="shared" si="16"/>
        <v>No Quote</v>
      </c>
      <c r="AG32" s="213"/>
      <c r="AH32" s="90"/>
      <c r="AI32" s="96"/>
      <c r="AJ32" s="66" t="str">
        <f t="shared" si="17"/>
        <v/>
      </c>
      <c r="AK32" s="95"/>
      <c r="AL32" s="95"/>
      <c r="AM32" s="80" t="str">
        <f t="shared" si="18"/>
        <v>-</v>
      </c>
      <c r="AN32" s="80" t="str">
        <f t="shared" si="19"/>
        <v>-</v>
      </c>
      <c r="AO32" s="80" t="str">
        <f t="shared" si="20"/>
        <v>-</v>
      </c>
      <c r="AP32" s="80" t="str">
        <f t="shared" si="21"/>
        <v>-</v>
      </c>
      <c r="AQ32" s="80" t="str">
        <f t="shared" si="22"/>
        <v>-</v>
      </c>
      <c r="AR32" s="81" t="str">
        <f t="shared" si="6"/>
        <v/>
      </c>
      <c r="AS32" s="77" t="str">
        <f t="shared" si="23"/>
        <v/>
      </c>
      <c r="AT32" s="75" t="str">
        <f t="shared" si="7"/>
        <v/>
      </c>
      <c r="AU32" s="74" t="str">
        <f t="shared" si="24"/>
        <v/>
      </c>
      <c r="AV32" s="77" t="str">
        <f t="shared" si="25"/>
        <v/>
      </c>
      <c r="AW32" s="75" t="str">
        <f t="shared" si="8"/>
        <v/>
      </c>
      <c r="AX32" s="74" t="str">
        <f t="shared" si="26"/>
        <v/>
      </c>
      <c r="AY32" s="77" t="str">
        <f t="shared" si="27"/>
        <v/>
      </c>
      <c r="BA32" s="104">
        <f t="shared" si="9"/>
        <v>0</v>
      </c>
      <c r="BB32" s="102"/>
    </row>
    <row r="33" spans="2:54" s="1" customFormat="1" ht="61.5" customHeight="1" outlineLevel="1" x14ac:dyDescent="0.25">
      <c r="B33" s="41">
        <f t="shared" si="28"/>
        <v>11</v>
      </c>
      <c r="C33" s="218"/>
      <c r="D33" s="218"/>
      <c r="E33" s="218"/>
      <c r="F33" s="218"/>
      <c r="G33" s="42"/>
      <c r="H33" s="43"/>
      <c r="I33" s="44"/>
      <c r="J33" s="45" t="str">
        <f t="shared" si="10"/>
        <v/>
      </c>
      <c r="K33" s="93"/>
      <c r="L33" s="152" t="str">
        <f t="shared" si="3"/>
        <v>No Quote</v>
      </c>
      <c r="M33" s="153"/>
      <c r="N33" s="44"/>
      <c r="O33" s="45" t="str">
        <f t="shared" si="11"/>
        <v/>
      </c>
      <c r="P33" s="93"/>
      <c r="Q33" s="152" t="str">
        <f t="shared" si="4"/>
        <v>No Quote</v>
      </c>
      <c r="R33" s="153"/>
      <c r="S33" s="44"/>
      <c r="T33" s="45" t="str">
        <f t="shared" si="12"/>
        <v/>
      </c>
      <c r="U33" s="92"/>
      <c r="V33" s="152" t="str">
        <f t="shared" si="13"/>
        <v>No Quote</v>
      </c>
      <c r="W33" s="153"/>
      <c r="X33" s="44"/>
      <c r="Y33" s="45" t="str">
        <f t="shared" si="14"/>
        <v/>
      </c>
      <c r="Z33" s="92"/>
      <c r="AA33" s="152" t="str">
        <f t="shared" si="5"/>
        <v>No Quote</v>
      </c>
      <c r="AB33" s="153"/>
      <c r="AC33" s="44"/>
      <c r="AD33" s="45" t="str">
        <f t="shared" si="15"/>
        <v/>
      </c>
      <c r="AE33" s="92"/>
      <c r="AF33" s="212" t="str">
        <f t="shared" si="16"/>
        <v>No Quote</v>
      </c>
      <c r="AG33" s="213"/>
      <c r="AH33" s="90"/>
      <c r="AI33" s="96"/>
      <c r="AJ33" s="66" t="str">
        <f t="shared" si="17"/>
        <v/>
      </c>
      <c r="AK33" s="95"/>
      <c r="AL33" s="95"/>
      <c r="AM33" s="80" t="str">
        <f t="shared" si="18"/>
        <v>-</v>
      </c>
      <c r="AN33" s="80" t="str">
        <f t="shared" si="19"/>
        <v>-</v>
      </c>
      <c r="AO33" s="80" t="str">
        <f t="shared" si="20"/>
        <v>-</v>
      </c>
      <c r="AP33" s="80" t="str">
        <f t="shared" si="21"/>
        <v>-</v>
      </c>
      <c r="AQ33" s="80" t="str">
        <f t="shared" si="22"/>
        <v>-</v>
      </c>
      <c r="AR33" s="81" t="str">
        <f t="shared" si="6"/>
        <v/>
      </c>
      <c r="AS33" s="77" t="str">
        <f t="shared" si="23"/>
        <v/>
      </c>
      <c r="AT33" s="75" t="str">
        <f t="shared" si="7"/>
        <v/>
      </c>
      <c r="AU33" s="74" t="str">
        <f t="shared" si="24"/>
        <v/>
      </c>
      <c r="AV33" s="77" t="str">
        <f t="shared" si="25"/>
        <v/>
      </c>
      <c r="AW33" s="75" t="str">
        <f t="shared" si="8"/>
        <v/>
      </c>
      <c r="AX33" s="74" t="str">
        <f t="shared" si="26"/>
        <v/>
      </c>
      <c r="AY33" s="77" t="str">
        <f t="shared" si="27"/>
        <v/>
      </c>
      <c r="BA33" s="104">
        <f t="shared" si="9"/>
        <v>0</v>
      </c>
      <c r="BB33" s="102"/>
    </row>
    <row r="34" spans="2:54" s="1" customFormat="1" ht="61.5" customHeight="1" outlineLevel="1" x14ac:dyDescent="0.25">
      <c r="B34" s="41">
        <f t="shared" si="28"/>
        <v>12</v>
      </c>
      <c r="C34" s="218"/>
      <c r="D34" s="218"/>
      <c r="E34" s="218"/>
      <c r="F34" s="218"/>
      <c r="G34" s="42"/>
      <c r="H34" s="43"/>
      <c r="I34" s="44"/>
      <c r="J34" s="45" t="str">
        <f t="shared" si="10"/>
        <v/>
      </c>
      <c r="K34" s="93"/>
      <c r="L34" s="152" t="str">
        <f t="shared" si="3"/>
        <v>No Quote</v>
      </c>
      <c r="M34" s="153"/>
      <c r="N34" s="44"/>
      <c r="O34" s="45" t="str">
        <f t="shared" si="11"/>
        <v/>
      </c>
      <c r="P34" s="93"/>
      <c r="Q34" s="152" t="str">
        <f t="shared" si="4"/>
        <v>No Quote</v>
      </c>
      <c r="R34" s="153"/>
      <c r="S34" s="44"/>
      <c r="T34" s="45" t="str">
        <f t="shared" si="12"/>
        <v/>
      </c>
      <c r="U34" s="92"/>
      <c r="V34" s="152" t="str">
        <f t="shared" si="13"/>
        <v>No Quote</v>
      </c>
      <c r="W34" s="153"/>
      <c r="X34" s="44"/>
      <c r="Y34" s="45" t="str">
        <f t="shared" si="14"/>
        <v/>
      </c>
      <c r="Z34" s="92"/>
      <c r="AA34" s="152" t="str">
        <f t="shared" si="5"/>
        <v>No Quote</v>
      </c>
      <c r="AB34" s="153"/>
      <c r="AC34" s="44"/>
      <c r="AD34" s="45" t="str">
        <f t="shared" si="15"/>
        <v/>
      </c>
      <c r="AE34" s="92"/>
      <c r="AF34" s="212" t="str">
        <f t="shared" si="16"/>
        <v>No Quote</v>
      </c>
      <c r="AG34" s="213"/>
      <c r="AH34" s="90"/>
      <c r="AI34" s="96"/>
      <c r="AJ34" s="66" t="str">
        <f t="shared" si="17"/>
        <v/>
      </c>
      <c r="AK34" s="95"/>
      <c r="AL34" s="95"/>
      <c r="AM34" s="80" t="str">
        <f t="shared" si="18"/>
        <v>-</v>
      </c>
      <c r="AN34" s="80" t="str">
        <f t="shared" si="19"/>
        <v>-</v>
      </c>
      <c r="AO34" s="80" t="str">
        <f t="shared" si="20"/>
        <v>-</v>
      </c>
      <c r="AP34" s="80" t="str">
        <f t="shared" si="21"/>
        <v>-</v>
      </c>
      <c r="AQ34" s="80" t="str">
        <f t="shared" si="22"/>
        <v>-</v>
      </c>
      <c r="AR34" s="81" t="str">
        <f t="shared" si="6"/>
        <v/>
      </c>
      <c r="AS34" s="77" t="str">
        <f t="shared" si="23"/>
        <v/>
      </c>
      <c r="AT34" s="75" t="str">
        <f t="shared" si="7"/>
        <v/>
      </c>
      <c r="AU34" s="74" t="str">
        <f t="shared" si="24"/>
        <v/>
      </c>
      <c r="AV34" s="77" t="str">
        <f t="shared" si="25"/>
        <v/>
      </c>
      <c r="AW34" s="75" t="str">
        <f t="shared" si="8"/>
        <v/>
      </c>
      <c r="AX34" s="74" t="str">
        <f t="shared" si="26"/>
        <v/>
      </c>
      <c r="AY34" s="77" t="str">
        <f t="shared" si="27"/>
        <v/>
      </c>
      <c r="BA34" s="104">
        <f t="shared" si="9"/>
        <v>0</v>
      </c>
      <c r="BB34" s="102"/>
    </row>
    <row r="35" spans="2:54" s="1" customFormat="1" ht="61.5" customHeight="1" outlineLevel="1" x14ac:dyDescent="0.25">
      <c r="B35" s="41">
        <f t="shared" si="28"/>
        <v>13</v>
      </c>
      <c r="C35" s="218"/>
      <c r="D35" s="218"/>
      <c r="E35" s="218"/>
      <c r="F35" s="218"/>
      <c r="G35" s="42"/>
      <c r="H35" s="43"/>
      <c r="I35" s="44"/>
      <c r="J35" s="45" t="str">
        <f t="shared" si="10"/>
        <v/>
      </c>
      <c r="K35" s="93"/>
      <c r="L35" s="152" t="str">
        <f t="shared" si="3"/>
        <v>No Quote</v>
      </c>
      <c r="M35" s="153"/>
      <c r="N35" s="44"/>
      <c r="O35" s="45" t="str">
        <f t="shared" si="11"/>
        <v/>
      </c>
      <c r="P35" s="93"/>
      <c r="Q35" s="152" t="str">
        <f t="shared" si="4"/>
        <v>No Quote</v>
      </c>
      <c r="R35" s="153"/>
      <c r="S35" s="44"/>
      <c r="T35" s="45" t="str">
        <f t="shared" si="12"/>
        <v/>
      </c>
      <c r="U35" s="92"/>
      <c r="V35" s="152" t="str">
        <f t="shared" si="13"/>
        <v>No Quote</v>
      </c>
      <c r="W35" s="153"/>
      <c r="X35" s="44"/>
      <c r="Y35" s="45" t="str">
        <f t="shared" si="14"/>
        <v/>
      </c>
      <c r="Z35" s="92"/>
      <c r="AA35" s="152" t="str">
        <f t="shared" si="5"/>
        <v>No Quote</v>
      </c>
      <c r="AB35" s="153"/>
      <c r="AC35" s="44"/>
      <c r="AD35" s="45" t="str">
        <f t="shared" si="15"/>
        <v/>
      </c>
      <c r="AE35" s="92"/>
      <c r="AF35" s="212" t="str">
        <f t="shared" si="16"/>
        <v>No Quote</v>
      </c>
      <c r="AG35" s="213"/>
      <c r="AH35" s="90"/>
      <c r="AI35" s="96"/>
      <c r="AJ35" s="66" t="str">
        <f t="shared" si="17"/>
        <v/>
      </c>
      <c r="AK35" s="95"/>
      <c r="AL35" s="95"/>
      <c r="AM35" s="80" t="str">
        <f t="shared" si="18"/>
        <v>-</v>
      </c>
      <c r="AN35" s="80" t="str">
        <f t="shared" si="19"/>
        <v>-</v>
      </c>
      <c r="AO35" s="80" t="str">
        <f t="shared" si="20"/>
        <v>-</v>
      </c>
      <c r="AP35" s="80" t="str">
        <f t="shared" si="21"/>
        <v>-</v>
      </c>
      <c r="AQ35" s="80" t="str">
        <f t="shared" si="22"/>
        <v>-</v>
      </c>
      <c r="AR35" s="81" t="str">
        <f t="shared" si="6"/>
        <v/>
      </c>
      <c r="AS35" s="77" t="str">
        <f t="shared" si="23"/>
        <v/>
      </c>
      <c r="AT35" s="75" t="str">
        <f t="shared" si="7"/>
        <v/>
      </c>
      <c r="AU35" s="74" t="str">
        <f t="shared" si="24"/>
        <v/>
      </c>
      <c r="AV35" s="77" t="str">
        <f t="shared" si="25"/>
        <v/>
      </c>
      <c r="AW35" s="75" t="str">
        <f t="shared" si="8"/>
        <v/>
      </c>
      <c r="AX35" s="74" t="str">
        <f t="shared" si="26"/>
        <v/>
      </c>
      <c r="AY35" s="77" t="str">
        <f t="shared" si="27"/>
        <v/>
      </c>
      <c r="BA35" s="104">
        <f t="shared" si="9"/>
        <v>0</v>
      </c>
      <c r="BB35" s="102"/>
    </row>
    <row r="36" spans="2:54" s="1" customFormat="1" ht="61.5" customHeight="1" outlineLevel="1" x14ac:dyDescent="0.25">
      <c r="B36" s="41">
        <f t="shared" si="28"/>
        <v>14</v>
      </c>
      <c r="C36" s="218"/>
      <c r="D36" s="218"/>
      <c r="E36" s="218"/>
      <c r="F36" s="218"/>
      <c r="G36" s="42"/>
      <c r="H36" s="43"/>
      <c r="I36" s="44"/>
      <c r="J36" s="45" t="str">
        <f t="shared" si="10"/>
        <v/>
      </c>
      <c r="K36" s="93"/>
      <c r="L36" s="152" t="str">
        <f t="shared" si="3"/>
        <v>No Quote</v>
      </c>
      <c r="M36" s="153"/>
      <c r="N36" s="44"/>
      <c r="O36" s="45" t="str">
        <f t="shared" si="11"/>
        <v/>
      </c>
      <c r="P36" s="93"/>
      <c r="Q36" s="152" t="str">
        <f t="shared" si="4"/>
        <v>No Quote</v>
      </c>
      <c r="R36" s="153"/>
      <c r="S36" s="44"/>
      <c r="T36" s="45" t="str">
        <f t="shared" si="12"/>
        <v/>
      </c>
      <c r="U36" s="92"/>
      <c r="V36" s="152" t="str">
        <f t="shared" si="13"/>
        <v>No Quote</v>
      </c>
      <c r="W36" s="153"/>
      <c r="X36" s="44"/>
      <c r="Y36" s="45" t="str">
        <f t="shared" si="14"/>
        <v/>
      </c>
      <c r="Z36" s="92"/>
      <c r="AA36" s="152" t="str">
        <f t="shared" si="5"/>
        <v>No Quote</v>
      </c>
      <c r="AB36" s="153"/>
      <c r="AC36" s="44"/>
      <c r="AD36" s="45" t="str">
        <f t="shared" si="15"/>
        <v/>
      </c>
      <c r="AE36" s="92"/>
      <c r="AF36" s="212" t="str">
        <f t="shared" si="16"/>
        <v>No Quote</v>
      </c>
      <c r="AG36" s="213"/>
      <c r="AH36" s="90"/>
      <c r="AI36" s="96"/>
      <c r="AJ36" s="66" t="str">
        <f t="shared" si="17"/>
        <v/>
      </c>
      <c r="AK36" s="95"/>
      <c r="AL36" s="95"/>
      <c r="AM36" s="80" t="str">
        <f t="shared" si="18"/>
        <v>-</v>
      </c>
      <c r="AN36" s="80" t="str">
        <f t="shared" si="19"/>
        <v>-</v>
      </c>
      <c r="AO36" s="80" t="str">
        <f t="shared" si="20"/>
        <v>-</v>
      </c>
      <c r="AP36" s="80" t="str">
        <f t="shared" si="21"/>
        <v>-</v>
      </c>
      <c r="AQ36" s="80" t="str">
        <f t="shared" si="22"/>
        <v>-</v>
      </c>
      <c r="AR36" s="81" t="str">
        <f t="shared" si="6"/>
        <v/>
      </c>
      <c r="AS36" s="77" t="str">
        <f t="shared" si="23"/>
        <v/>
      </c>
      <c r="AT36" s="75" t="str">
        <f t="shared" si="7"/>
        <v/>
      </c>
      <c r="AU36" s="74" t="str">
        <f t="shared" si="24"/>
        <v/>
      </c>
      <c r="AV36" s="77" t="str">
        <f t="shared" si="25"/>
        <v/>
      </c>
      <c r="AW36" s="75" t="str">
        <f t="shared" si="8"/>
        <v/>
      </c>
      <c r="AX36" s="74" t="str">
        <f t="shared" si="26"/>
        <v/>
      </c>
      <c r="AY36" s="77" t="str">
        <f t="shared" si="27"/>
        <v/>
      </c>
      <c r="BA36" s="104">
        <f t="shared" si="9"/>
        <v>0</v>
      </c>
      <c r="BB36" s="102"/>
    </row>
    <row r="37" spans="2:54" s="1" customFormat="1" ht="61.5" customHeight="1" outlineLevel="1" x14ac:dyDescent="0.25">
      <c r="B37" s="41">
        <f t="shared" si="28"/>
        <v>15</v>
      </c>
      <c r="C37" s="218"/>
      <c r="D37" s="218"/>
      <c r="E37" s="218"/>
      <c r="F37" s="218"/>
      <c r="G37" s="42"/>
      <c r="H37" s="43"/>
      <c r="I37" s="44"/>
      <c r="J37" s="45" t="str">
        <f t="shared" si="10"/>
        <v/>
      </c>
      <c r="K37" s="93"/>
      <c r="L37" s="152" t="str">
        <f t="shared" si="3"/>
        <v>No Quote</v>
      </c>
      <c r="M37" s="153"/>
      <c r="N37" s="44"/>
      <c r="O37" s="45" t="str">
        <f t="shared" si="11"/>
        <v/>
      </c>
      <c r="P37" s="93"/>
      <c r="Q37" s="152" t="str">
        <f t="shared" si="4"/>
        <v>No Quote</v>
      </c>
      <c r="R37" s="153"/>
      <c r="S37" s="44"/>
      <c r="T37" s="45" t="str">
        <f t="shared" si="12"/>
        <v/>
      </c>
      <c r="U37" s="92"/>
      <c r="V37" s="152" t="str">
        <f t="shared" si="13"/>
        <v>No Quote</v>
      </c>
      <c r="W37" s="153"/>
      <c r="X37" s="44"/>
      <c r="Y37" s="45" t="str">
        <f t="shared" si="14"/>
        <v/>
      </c>
      <c r="Z37" s="92"/>
      <c r="AA37" s="152" t="str">
        <f t="shared" si="5"/>
        <v>No Quote</v>
      </c>
      <c r="AB37" s="153"/>
      <c r="AC37" s="44"/>
      <c r="AD37" s="45" t="str">
        <f t="shared" si="15"/>
        <v/>
      </c>
      <c r="AE37" s="92"/>
      <c r="AF37" s="212" t="str">
        <f t="shared" si="16"/>
        <v>No Quote</v>
      </c>
      <c r="AG37" s="213"/>
      <c r="AH37" s="90"/>
      <c r="AI37" s="96"/>
      <c r="AJ37" s="66" t="str">
        <f t="shared" si="17"/>
        <v/>
      </c>
      <c r="AK37" s="95"/>
      <c r="AL37" s="95"/>
      <c r="AM37" s="80" t="str">
        <f t="shared" si="18"/>
        <v>-</v>
      </c>
      <c r="AN37" s="80" t="str">
        <f t="shared" si="19"/>
        <v>-</v>
      </c>
      <c r="AO37" s="80" t="str">
        <f t="shared" si="20"/>
        <v>-</v>
      </c>
      <c r="AP37" s="80" t="str">
        <f t="shared" si="21"/>
        <v>-</v>
      </c>
      <c r="AQ37" s="80" t="str">
        <f t="shared" si="22"/>
        <v>-</v>
      </c>
      <c r="AR37" s="81" t="str">
        <f t="shared" si="6"/>
        <v/>
      </c>
      <c r="AS37" s="77" t="str">
        <f t="shared" si="23"/>
        <v/>
      </c>
      <c r="AT37" s="75" t="str">
        <f t="shared" si="7"/>
        <v/>
      </c>
      <c r="AU37" s="74" t="str">
        <f t="shared" si="24"/>
        <v/>
      </c>
      <c r="AV37" s="77" t="str">
        <f t="shared" si="25"/>
        <v/>
      </c>
      <c r="AW37" s="75" t="str">
        <f t="shared" si="8"/>
        <v/>
      </c>
      <c r="AX37" s="74" t="str">
        <f t="shared" si="26"/>
        <v/>
      </c>
      <c r="AY37" s="77" t="str">
        <f t="shared" si="27"/>
        <v/>
      </c>
      <c r="BA37" s="104">
        <f t="shared" si="9"/>
        <v>0</v>
      </c>
      <c r="BB37" s="102"/>
    </row>
    <row r="38" spans="2:54" s="1" customFormat="1" ht="61.5" customHeight="1" outlineLevel="1" x14ac:dyDescent="0.25">
      <c r="B38" s="41">
        <f t="shared" si="28"/>
        <v>16</v>
      </c>
      <c r="C38" s="218"/>
      <c r="D38" s="218"/>
      <c r="E38" s="218"/>
      <c r="F38" s="218"/>
      <c r="G38" s="42"/>
      <c r="H38" s="43"/>
      <c r="I38" s="44"/>
      <c r="J38" s="45" t="str">
        <f t="shared" si="10"/>
        <v/>
      </c>
      <c r="K38" s="93"/>
      <c r="L38" s="152" t="str">
        <f t="shared" si="3"/>
        <v>No Quote</v>
      </c>
      <c r="M38" s="153"/>
      <c r="N38" s="44"/>
      <c r="O38" s="45" t="str">
        <f t="shared" si="11"/>
        <v/>
      </c>
      <c r="P38" s="93"/>
      <c r="Q38" s="152" t="str">
        <f t="shared" si="4"/>
        <v>No Quote</v>
      </c>
      <c r="R38" s="153"/>
      <c r="S38" s="44"/>
      <c r="T38" s="45" t="str">
        <f t="shared" si="12"/>
        <v/>
      </c>
      <c r="U38" s="92"/>
      <c r="V38" s="152" t="str">
        <f t="shared" si="13"/>
        <v>No Quote</v>
      </c>
      <c r="W38" s="153"/>
      <c r="X38" s="44"/>
      <c r="Y38" s="45" t="str">
        <f t="shared" si="14"/>
        <v/>
      </c>
      <c r="Z38" s="92"/>
      <c r="AA38" s="152" t="str">
        <f t="shared" si="5"/>
        <v>No Quote</v>
      </c>
      <c r="AB38" s="153"/>
      <c r="AC38" s="44"/>
      <c r="AD38" s="45" t="str">
        <f t="shared" si="15"/>
        <v/>
      </c>
      <c r="AE38" s="92"/>
      <c r="AF38" s="212" t="str">
        <f t="shared" si="16"/>
        <v>No Quote</v>
      </c>
      <c r="AG38" s="213"/>
      <c r="AH38" s="90"/>
      <c r="AI38" s="96"/>
      <c r="AJ38" s="66" t="str">
        <f t="shared" si="17"/>
        <v/>
      </c>
      <c r="AK38" s="95"/>
      <c r="AL38" s="95"/>
      <c r="AM38" s="80" t="str">
        <f t="shared" si="18"/>
        <v>-</v>
      </c>
      <c r="AN38" s="80" t="str">
        <f t="shared" si="19"/>
        <v>-</v>
      </c>
      <c r="AO38" s="80" t="str">
        <f t="shared" si="20"/>
        <v>-</v>
      </c>
      <c r="AP38" s="80" t="str">
        <f t="shared" si="21"/>
        <v>-</v>
      </c>
      <c r="AQ38" s="80" t="str">
        <f t="shared" si="22"/>
        <v>-</v>
      </c>
      <c r="AR38" s="81" t="str">
        <f t="shared" si="6"/>
        <v/>
      </c>
      <c r="AS38" s="77" t="str">
        <f t="shared" si="23"/>
        <v/>
      </c>
      <c r="AT38" s="75" t="str">
        <f t="shared" si="7"/>
        <v/>
      </c>
      <c r="AU38" s="74" t="str">
        <f t="shared" si="24"/>
        <v/>
      </c>
      <c r="AV38" s="77" t="str">
        <f t="shared" si="25"/>
        <v/>
      </c>
      <c r="AW38" s="75" t="str">
        <f t="shared" si="8"/>
        <v/>
      </c>
      <c r="AX38" s="74" t="str">
        <f t="shared" si="26"/>
        <v/>
      </c>
      <c r="AY38" s="77" t="str">
        <f t="shared" si="27"/>
        <v/>
      </c>
      <c r="BA38" s="104">
        <f t="shared" si="9"/>
        <v>0</v>
      </c>
      <c r="BB38" s="102"/>
    </row>
    <row r="39" spans="2:54" s="1" customFormat="1" ht="61.5" customHeight="1" outlineLevel="1" x14ac:dyDescent="0.25">
      <c r="B39" s="41">
        <f t="shared" si="28"/>
        <v>17</v>
      </c>
      <c r="C39" s="218"/>
      <c r="D39" s="218"/>
      <c r="E39" s="218"/>
      <c r="F39" s="218"/>
      <c r="G39" s="42"/>
      <c r="H39" s="43"/>
      <c r="I39" s="44"/>
      <c r="J39" s="45" t="str">
        <f t="shared" si="10"/>
        <v/>
      </c>
      <c r="K39" s="93"/>
      <c r="L39" s="152" t="str">
        <f t="shared" si="3"/>
        <v>No Quote</v>
      </c>
      <c r="M39" s="153"/>
      <c r="N39" s="44"/>
      <c r="O39" s="45" t="str">
        <f t="shared" si="11"/>
        <v/>
      </c>
      <c r="P39" s="93"/>
      <c r="Q39" s="152" t="str">
        <f t="shared" si="4"/>
        <v>No Quote</v>
      </c>
      <c r="R39" s="153"/>
      <c r="S39" s="44"/>
      <c r="T39" s="45" t="str">
        <f t="shared" si="12"/>
        <v/>
      </c>
      <c r="U39" s="92"/>
      <c r="V39" s="152" t="str">
        <f t="shared" si="13"/>
        <v>No Quote</v>
      </c>
      <c r="W39" s="153"/>
      <c r="X39" s="44"/>
      <c r="Y39" s="45" t="str">
        <f t="shared" si="14"/>
        <v/>
      </c>
      <c r="Z39" s="92"/>
      <c r="AA39" s="152" t="str">
        <f t="shared" si="5"/>
        <v>No Quote</v>
      </c>
      <c r="AB39" s="153"/>
      <c r="AC39" s="44"/>
      <c r="AD39" s="45" t="str">
        <f t="shared" si="15"/>
        <v/>
      </c>
      <c r="AE39" s="92"/>
      <c r="AF39" s="212" t="str">
        <f t="shared" si="16"/>
        <v>No Quote</v>
      </c>
      <c r="AG39" s="213"/>
      <c r="AH39" s="90"/>
      <c r="AI39" s="96"/>
      <c r="AJ39" s="66" t="str">
        <f t="shared" si="17"/>
        <v/>
      </c>
      <c r="AK39" s="95"/>
      <c r="AL39" s="95"/>
      <c r="AM39" s="80" t="str">
        <f t="shared" si="18"/>
        <v>-</v>
      </c>
      <c r="AN39" s="80" t="str">
        <f t="shared" si="19"/>
        <v>-</v>
      </c>
      <c r="AO39" s="80" t="str">
        <f t="shared" si="20"/>
        <v>-</v>
      </c>
      <c r="AP39" s="80" t="str">
        <f t="shared" si="21"/>
        <v>-</v>
      </c>
      <c r="AQ39" s="80" t="str">
        <f t="shared" si="22"/>
        <v>-</v>
      </c>
      <c r="AR39" s="81" t="str">
        <f t="shared" si="6"/>
        <v/>
      </c>
      <c r="AS39" s="77" t="str">
        <f t="shared" si="23"/>
        <v/>
      </c>
      <c r="AT39" s="75" t="str">
        <f t="shared" si="7"/>
        <v/>
      </c>
      <c r="AU39" s="74" t="str">
        <f t="shared" si="24"/>
        <v/>
      </c>
      <c r="AV39" s="77" t="str">
        <f t="shared" si="25"/>
        <v/>
      </c>
      <c r="AW39" s="75" t="str">
        <f t="shared" si="8"/>
        <v/>
      </c>
      <c r="AX39" s="74" t="str">
        <f t="shared" si="26"/>
        <v/>
      </c>
      <c r="AY39" s="77" t="str">
        <f t="shared" si="27"/>
        <v/>
      </c>
      <c r="BA39" s="104">
        <f t="shared" si="9"/>
        <v>0</v>
      </c>
      <c r="BB39" s="102"/>
    </row>
    <row r="40" spans="2:54" s="1" customFormat="1" ht="61.5" customHeight="1" outlineLevel="1" x14ac:dyDescent="0.25">
      <c r="B40" s="41">
        <f t="shared" si="28"/>
        <v>18</v>
      </c>
      <c r="C40" s="218"/>
      <c r="D40" s="218"/>
      <c r="E40" s="218"/>
      <c r="F40" s="218"/>
      <c r="G40" s="42"/>
      <c r="H40" s="43"/>
      <c r="I40" s="44"/>
      <c r="J40" s="45" t="str">
        <f t="shared" si="10"/>
        <v/>
      </c>
      <c r="K40" s="93"/>
      <c r="L40" s="152" t="str">
        <f t="shared" si="3"/>
        <v>No Quote</v>
      </c>
      <c r="M40" s="153"/>
      <c r="N40" s="44"/>
      <c r="O40" s="45" t="str">
        <f t="shared" si="11"/>
        <v/>
      </c>
      <c r="P40" s="93"/>
      <c r="Q40" s="152" t="str">
        <f t="shared" si="4"/>
        <v>No Quote</v>
      </c>
      <c r="R40" s="153"/>
      <c r="S40" s="44"/>
      <c r="T40" s="45" t="str">
        <f t="shared" si="12"/>
        <v/>
      </c>
      <c r="U40" s="92"/>
      <c r="V40" s="152" t="str">
        <f t="shared" si="13"/>
        <v>No Quote</v>
      </c>
      <c r="W40" s="153"/>
      <c r="X40" s="44"/>
      <c r="Y40" s="45" t="str">
        <f t="shared" si="14"/>
        <v/>
      </c>
      <c r="Z40" s="92"/>
      <c r="AA40" s="152" t="str">
        <f t="shared" si="5"/>
        <v>No Quote</v>
      </c>
      <c r="AB40" s="153"/>
      <c r="AC40" s="44"/>
      <c r="AD40" s="45" t="str">
        <f t="shared" si="15"/>
        <v/>
      </c>
      <c r="AE40" s="92"/>
      <c r="AF40" s="212" t="str">
        <f t="shared" si="16"/>
        <v>No Quote</v>
      </c>
      <c r="AG40" s="213"/>
      <c r="AH40" s="90"/>
      <c r="AI40" s="96"/>
      <c r="AJ40" s="66" t="str">
        <f t="shared" si="17"/>
        <v/>
      </c>
      <c r="AK40" s="95"/>
      <c r="AL40" s="95"/>
      <c r="AM40" s="80" t="str">
        <f t="shared" si="18"/>
        <v>-</v>
      </c>
      <c r="AN40" s="80" t="str">
        <f t="shared" si="19"/>
        <v>-</v>
      </c>
      <c r="AO40" s="80" t="str">
        <f t="shared" si="20"/>
        <v>-</v>
      </c>
      <c r="AP40" s="80" t="str">
        <f t="shared" si="21"/>
        <v>-</v>
      </c>
      <c r="AQ40" s="80" t="str">
        <f t="shared" si="22"/>
        <v>-</v>
      </c>
      <c r="AR40" s="81" t="str">
        <f t="shared" si="6"/>
        <v/>
      </c>
      <c r="AS40" s="77" t="str">
        <f t="shared" si="23"/>
        <v/>
      </c>
      <c r="AT40" s="75" t="str">
        <f t="shared" si="7"/>
        <v/>
      </c>
      <c r="AU40" s="74" t="str">
        <f t="shared" si="24"/>
        <v/>
      </c>
      <c r="AV40" s="77" t="str">
        <f t="shared" si="25"/>
        <v/>
      </c>
      <c r="AW40" s="75" t="str">
        <f t="shared" si="8"/>
        <v/>
      </c>
      <c r="AX40" s="74" t="str">
        <f t="shared" si="26"/>
        <v/>
      </c>
      <c r="AY40" s="77" t="str">
        <f t="shared" si="27"/>
        <v/>
      </c>
      <c r="BA40" s="104">
        <f t="shared" ref="BA40:BA52" si="29">SUMIFS($AR$23:$AR$51,$AS$23:$AS$51,BB40)</f>
        <v>0</v>
      </c>
      <c r="BB40" s="102"/>
    </row>
    <row r="41" spans="2:54" s="1" customFormat="1" ht="61.5" customHeight="1" outlineLevel="1" x14ac:dyDescent="0.25">
      <c r="B41" s="41">
        <f t="shared" si="28"/>
        <v>19</v>
      </c>
      <c r="C41" s="218"/>
      <c r="D41" s="218"/>
      <c r="E41" s="218"/>
      <c r="F41" s="218"/>
      <c r="G41" s="42"/>
      <c r="H41" s="43"/>
      <c r="I41" s="44"/>
      <c r="J41" s="45" t="str">
        <f t="shared" si="10"/>
        <v/>
      </c>
      <c r="K41" s="93"/>
      <c r="L41" s="152" t="str">
        <f t="shared" si="3"/>
        <v>No Quote</v>
      </c>
      <c r="M41" s="153"/>
      <c r="N41" s="44"/>
      <c r="O41" s="45" t="str">
        <f t="shared" si="11"/>
        <v/>
      </c>
      <c r="P41" s="93"/>
      <c r="Q41" s="152" t="str">
        <f t="shared" si="4"/>
        <v>No Quote</v>
      </c>
      <c r="R41" s="153"/>
      <c r="S41" s="44"/>
      <c r="T41" s="45" t="str">
        <f t="shared" si="12"/>
        <v/>
      </c>
      <c r="U41" s="92"/>
      <c r="V41" s="152" t="str">
        <f t="shared" si="13"/>
        <v>No Quote</v>
      </c>
      <c r="W41" s="153"/>
      <c r="X41" s="44"/>
      <c r="Y41" s="45" t="str">
        <f t="shared" si="14"/>
        <v/>
      </c>
      <c r="Z41" s="92"/>
      <c r="AA41" s="152" t="str">
        <f t="shared" si="5"/>
        <v>No Quote</v>
      </c>
      <c r="AB41" s="153"/>
      <c r="AC41" s="44"/>
      <c r="AD41" s="45" t="str">
        <f t="shared" si="15"/>
        <v/>
      </c>
      <c r="AE41" s="92"/>
      <c r="AF41" s="212" t="str">
        <f t="shared" si="16"/>
        <v>No Quote</v>
      </c>
      <c r="AG41" s="213"/>
      <c r="AH41" s="90"/>
      <c r="AI41" s="96"/>
      <c r="AJ41" s="66" t="str">
        <f t="shared" si="17"/>
        <v/>
      </c>
      <c r="AK41" s="95"/>
      <c r="AL41" s="95"/>
      <c r="AM41" s="80" t="str">
        <f t="shared" si="18"/>
        <v>-</v>
      </c>
      <c r="AN41" s="80" t="str">
        <f t="shared" si="19"/>
        <v>-</v>
      </c>
      <c r="AO41" s="80" t="str">
        <f t="shared" si="20"/>
        <v>-</v>
      </c>
      <c r="AP41" s="80" t="str">
        <f t="shared" si="21"/>
        <v>-</v>
      </c>
      <c r="AQ41" s="80" t="str">
        <f t="shared" si="22"/>
        <v>-</v>
      </c>
      <c r="AR41" s="81" t="str">
        <f t="shared" si="6"/>
        <v/>
      </c>
      <c r="AS41" s="77" t="str">
        <f t="shared" si="23"/>
        <v/>
      </c>
      <c r="AT41" s="75" t="str">
        <f t="shared" si="7"/>
        <v/>
      </c>
      <c r="AU41" s="74" t="str">
        <f t="shared" si="24"/>
        <v/>
      </c>
      <c r="AV41" s="77" t="str">
        <f t="shared" si="25"/>
        <v/>
      </c>
      <c r="AW41" s="75" t="str">
        <f t="shared" si="8"/>
        <v/>
      </c>
      <c r="AX41" s="74" t="str">
        <f t="shared" si="26"/>
        <v/>
      </c>
      <c r="AY41" s="77" t="str">
        <f t="shared" si="27"/>
        <v/>
      </c>
      <c r="BA41" s="104">
        <f t="shared" si="29"/>
        <v>0</v>
      </c>
      <c r="BB41" s="102"/>
    </row>
    <row r="42" spans="2:54" s="1" customFormat="1" ht="61.5" customHeight="1" outlineLevel="1" x14ac:dyDescent="0.25">
      <c r="B42" s="41">
        <f t="shared" si="28"/>
        <v>20</v>
      </c>
      <c r="C42" s="218"/>
      <c r="D42" s="218"/>
      <c r="E42" s="218"/>
      <c r="F42" s="218"/>
      <c r="G42" s="42"/>
      <c r="H42" s="43"/>
      <c r="I42" s="44"/>
      <c r="J42" s="45" t="str">
        <f t="shared" si="10"/>
        <v/>
      </c>
      <c r="K42" s="93"/>
      <c r="L42" s="152" t="str">
        <f t="shared" si="3"/>
        <v>No Quote</v>
      </c>
      <c r="M42" s="153"/>
      <c r="N42" s="44"/>
      <c r="O42" s="45" t="str">
        <f t="shared" si="11"/>
        <v/>
      </c>
      <c r="P42" s="93"/>
      <c r="Q42" s="152" t="str">
        <f t="shared" si="4"/>
        <v>No Quote</v>
      </c>
      <c r="R42" s="153"/>
      <c r="S42" s="44"/>
      <c r="T42" s="45" t="str">
        <f t="shared" si="12"/>
        <v/>
      </c>
      <c r="U42" s="92"/>
      <c r="V42" s="152" t="str">
        <f t="shared" si="13"/>
        <v>No Quote</v>
      </c>
      <c r="W42" s="153"/>
      <c r="X42" s="44"/>
      <c r="Y42" s="45" t="str">
        <f t="shared" si="14"/>
        <v/>
      </c>
      <c r="Z42" s="92"/>
      <c r="AA42" s="152" t="str">
        <f t="shared" si="5"/>
        <v>No Quote</v>
      </c>
      <c r="AB42" s="153"/>
      <c r="AC42" s="44"/>
      <c r="AD42" s="45" t="str">
        <f t="shared" si="15"/>
        <v/>
      </c>
      <c r="AE42" s="92"/>
      <c r="AF42" s="212" t="str">
        <f t="shared" si="16"/>
        <v>No Quote</v>
      </c>
      <c r="AG42" s="213"/>
      <c r="AH42" s="90"/>
      <c r="AI42" s="96"/>
      <c r="AJ42" s="66" t="str">
        <f t="shared" si="17"/>
        <v/>
      </c>
      <c r="AK42" s="95"/>
      <c r="AL42" s="95"/>
      <c r="AM42" s="80" t="str">
        <f t="shared" si="18"/>
        <v>-</v>
      </c>
      <c r="AN42" s="80" t="str">
        <f t="shared" si="19"/>
        <v>-</v>
      </c>
      <c r="AO42" s="80" t="str">
        <f t="shared" si="20"/>
        <v>-</v>
      </c>
      <c r="AP42" s="80" t="str">
        <f t="shared" si="21"/>
        <v>-</v>
      </c>
      <c r="AQ42" s="80" t="str">
        <f t="shared" si="22"/>
        <v>-</v>
      </c>
      <c r="AR42" s="81" t="str">
        <f t="shared" si="6"/>
        <v/>
      </c>
      <c r="AS42" s="77" t="str">
        <f t="shared" si="23"/>
        <v/>
      </c>
      <c r="AT42" s="75" t="str">
        <f t="shared" si="7"/>
        <v/>
      </c>
      <c r="AU42" s="74" t="str">
        <f t="shared" si="24"/>
        <v/>
      </c>
      <c r="AV42" s="77" t="str">
        <f t="shared" si="25"/>
        <v/>
      </c>
      <c r="AW42" s="75" t="str">
        <f t="shared" si="8"/>
        <v/>
      </c>
      <c r="AX42" s="74" t="str">
        <f t="shared" si="26"/>
        <v/>
      </c>
      <c r="AY42" s="77" t="str">
        <f t="shared" si="27"/>
        <v/>
      </c>
      <c r="BA42" s="104">
        <f t="shared" si="29"/>
        <v>0</v>
      </c>
      <c r="BB42" s="102"/>
    </row>
    <row r="43" spans="2:54" s="1" customFormat="1" ht="61.5" customHeight="1" outlineLevel="1" x14ac:dyDescent="0.25">
      <c r="B43" s="41">
        <f t="shared" si="28"/>
        <v>21</v>
      </c>
      <c r="C43" s="218"/>
      <c r="D43" s="218"/>
      <c r="E43" s="218"/>
      <c r="F43" s="218"/>
      <c r="G43" s="42"/>
      <c r="H43" s="43"/>
      <c r="I43" s="44"/>
      <c r="J43" s="45" t="str">
        <f t="shared" si="10"/>
        <v/>
      </c>
      <c r="K43" s="93"/>
      <c r="L43" s="152" t="str">
        <f t="shared" si="3"/>
        <v>No Quote</v>
      </c>
      <c r="M43" s="153"/>
      <c r="N43" s="44"/>
      <c r="O43" s="45" t="str">
        <f t="shared" si="11"/>
        <v/>
      </c>
      <c r="P43" s="93"/>
      <c r="Q43" s="152" t="str">
        <f t="shared" si="4"/>
        <v>No Quote</v>
      </c>
      <c r="R43" s="153"/>
      <c r="S43" s="44"/>
      <c r="T43" s="45" t="str">
        <f t="shared" si="12"/>
        <v/>
      </c>
      <c r="U43" s="92"/>
      <c r="V43" s="152" t="str">
        <f t="shared" si="13"/>
        <v>No Quote</v>
      </c>
      <c r="W43" s="153"/>
      <c r="X43" s="44"/>
      <c r="Y43" s="45" t="str">
        <f t="shared" si="14"/>
        <v/>
      </c>
      <c r="Z43" s="92"/>
      <c r="AA43" s="152" t="str">
        <f t="shared" si="5"/>
        <v>No Quote</v>
      </c>
      <c r="AB43" s="153"/>
      <c r="AC43" s="44"/>
      <c r="AD43" s="45" t="str">
        <f t="shared" si="15"/>
        <v/>
      </c>
      <c r="AE43" s="92"/>
      <c r="AF43" s="212" t="str">
        <f t="shared" si="16"/>
        <v>No Quote</v>
      </c>
      <c r="AG43" s="213"/>
      <c r="AH43" s="90"/>
      <c r="AI43" s="96"/>
      <c r="AJ43" s="66" t="str">
        <f t="shared" si="17"/>
        <v/>
      </c>
      <c r="AK43" s="95"/>
      <c r="AL43" s="95"/>
      <c r="AM43" s="80" t="str">
        <f t="shared" si="18"/>
        <v>-</v>
      </c>
      <c r="AN43" s="80" t="str">
        <f t="shared" si="19"/>
        <v>-</v>
      </c>
      <c r="AO43" s="80" t="str">
        <f t="shared" si="20"/>
        <v>-</v>
      </c>
      <c r="AP43" s="80" t="str">
        <f t="shared" si="21"/>
        <v>-</v>
      </c>
      <c r="AQ43" s="80" t="str">
        <f t="shared" si="22"/>
        <v>-</v>
      </c>
      <c r="AR43" s="81" t="str">
        <f t="shared" si="6"/>
        <v/>
      </c>
      <c r="AS43" s="77" t="str">
        <f t="shared" si="23"/>
        <v/>
      </c>
      <c r="AT43" s="75" t="str">
        <f t="shared" si="7"/>
        <v/>
      </c>
      <c r="AU43" s="74" t="str">
        <f t="shared" si="24"/>
        <v/>
      </c>
      <c r="AV43" s="77" t="str">
        <f t="shared" si="25"/>
        <v/>
      </c>
      <c r="AW43" s="75" t="str">
        <f t="shared" si="8"/>
        <v/>
      </c>
      <c r="AX43" s="74" t="str">
        <f t="shared" si="26"/>
        <v/>
      </c>
      <c r="AY43" s="77" t="str">
        <f t="shared" si="27"/>
        <v/>
      </c>
      <c r="BA43" s="104">
        <f t="shared" si="29"/>
        <v>0</v>
      </c>
      <c r="BB43" s="102"/>
    </row>
    <row r="44" spans="2:54" s="1" customFormat="1" ht="61.5" customHeight="1" outlineLevel="1" x14ac:dyDescent="0.25">
      <c r="B44" s="41">
        <f t="shared" si="28"/>
        <v>22</v>
      </c>
      <c r="C44" s="218"/>
      <c r="D44" s="218"/>
      <c r="E44" s="218"/>
      <c r="F44" s="218"/>
      <c r="G44" s="42"/>
      <c r="H44" s="43"/>
      <c r="I44" s="44"/>
      <c r="J44" s="45" t="str">
        <f t="shared" si="10"/>
        <v/>
      </c>
      <c r="K44" s="93"/>
      <c r="L44" s="152" t="str">
        <f t="shared" si="3"/>
        <v>No Quote</v>
      </c>
      <c r="M44" s="153"/>
      <c r="N44" s="44"/>
      <c r="O44" s="45" t="str">
        <f t="shared" si="11"/>
        <v/>
      </c>
      <c r="P44" s="93"/>
      <c r="Q44" s="152" t="str">
        <f t="shared" si="4"/>
        <v>No Quote</v>
      </c>
      <c r="R44" s="153"/>
      <c r="S44" s="44"/>
      <c r="T44" s="45" t="str">
        <f t="shared" si="12"/>
        <v/>
      </c>
      <c r="U44" s="92"/>
      <c r="V44" s="152" t="str">
        <f t="shared" si="13"/>
        <v>No Quote</v>
      </c>
      <c r="W44" s="153"/>
      <c r="X44" s="44"/>
      <c r="Y44" s="45" t="str">
        <f t="shared" si="14"/>
        <v/>
      </c>
      <c r="Z44" s="92"/>
      <c r="AA44" s="152" t="str">
        <f t="shared" si="5"/>
        <v>No Quote</v>
      </c>
      <c r="AB44" s="153"/>
      <c r="AC44" s="44"/>
      <c r="AD44" s="45" t="str">
        <f t="shared" si="15"/>
        <v/>
      </c>
      <c r="AE44" s="92"/>
      <c r="AF44" s="212" t="str">
        <f t="shared" si="16"/>
        <v>No Quote</v>
      </c>
      <c r="AG44" s="213"/>
      <c r="AH44" s="90"/>
      <c r="AI44" s="96"/>
      <c r="AJ44" s="66" t="str">
        <f t="shared" si="17"/>
        <v/>
      </c>
      <c r="AK44" s="95"/>
      <c r="AL44" s="95"/>
      <c r="AM44" s="80" t="str">
        <f t="shared" si="18"/>
        <v>-</v>
      </c>
      <c r="AN44" s="80" t="str">
        <f t="shared" si="19"/>
        <v>-</v>
      </c>
      <c r="AO44" s="80" t="str">
        <f t="shared" si="20"/>
        <v>-</v>
      </c>
      <c r="AP44" s="80" t="str">
        <f t="shared" si="21"/>
        <v>-</v>
      </c>
      <c r="AQ44" s="80" t="str">
        <f t="shared" si="22"/>
        <v>-</v>
      </c>
      <c r="AR44" s="81" t="str">
        <f t="shared" si="6"/>
        <v/>
      </c>
      <c r="AS44" s="77" t="str">
        <f t="shared" si="23"/>
        <v/>
      </c>
      <c r="AT44" s="75" t="str">
        <f t="shared" si="7"/>
        <v/>
      </c>
      <c r="AU44" s="74" t="str">
        <f t="shared" si="24"/>
        <v/>
      </c>
      <c r="AV44" s="77" t="str">
        <f t="shared" si="25"/>
        <v/>
      </c>
      <c r="AW44" s="75" t="str">
        <f t="shared" si="8"/>
        <v/>
      </c>
      <c r="AX44" s="74" t="str">
        <f t="shared" si="26"/>
        <v/>
      </c>
      <c r="AY44" s="77" t="str">
        <f t="shared" si="27"/>
        <v/>
      </c>
      <c r="BA44" s="104">
        <f t="shared" si="29"/>
        <v>0</v>
      </c>
      <c r="BB44" s="102"/>
    </row>
    <row r="45" spans="2:54" s="1" customFormat="1" ht="61.5" customHeight="1" outlineLevel="1" x14ac:dyDescent="0.25">
      <c r="B45" s="41">
        <f t="shared" si="28"/>
        <v>23</v>
      </c>
      <c r="C45" s="218"/>
      <c r="D45" s="218"/>
      <c r="E45" s="218"/>
      <c r="F45" s="218"/>
      <c r="G45" s="42"/>
      <c r="H45" s="43"/>
      <c r="I45" s="44"/>
      <c r="J45" s="45" t="str">
        <f t="shared" si="10"/>
        <v/>
      </c>
      <c r="K45" s="93"/>
      <c r="L45" s="152" t="str">
        <f t="shared" si="3"/>
        <v>No Quote</v>
      </c>
      <c r="M45" s="153"/>
      <c r="N45" s="44"/>
      <c r="O45" s="45" t="str">
        <f t="shared" si="11"/>
        <v/>
      </c>
      <c r="P45" s="93"/>
      <c r="Q45" s="152" t="str">
        <f t="shared" si="4"/>
        <v>No Quote</v>
      </c>
      <c r="R45" s="153"/>
      <c r="S45" s="44"/>
      <c r="T45" s="45" t="str">
        <f t="shared" si="12"/>
        <v/>
      </c>
      <c r="U45" s="92"/>
      <c r="V45" s="152" t="str">
        <f t="shared" si="13"/>
        <v>No Quote</v>
      </c>
      <c r="W45" s="153"/>
      <c r="X45" s="44"/>
      <c r="Y45" s="45" t="str">
        <f t="shared" si="14"/>
        <v/>
      </c>
      <c r="Z45" s="92"/>
      <c r="AA45" s="152" t="str">
        <f t="shared" si="5"/>
        <v>No Quote</v>
      </c>
      <c r="AB45" s="153"/>
      <c r="AC45" s="44"/>
      <c r="AD45" s="45" t="str">
        <f t="shared" si="15"/>
        <v/>
      </c>
      <c r="AE45" s="92"/>
      <c r="AF45" s="212" t="str">
        <f t="shared" si="16"/>
        <v>No Quote</v>
      </c>
      <c r="AG45" s="213"/>
      <c r="AH45" s="90"/>
      <c r="AI45" s="96"/>
      <c r="AJ45" s="66" t="str">
        <f t="shared" si="17"/>
        <v/>
      </c>
      <c r="AK45" s="95"/>
      <c r="AL45" s="95"/>
      <c r="AM45" s="80" t="str">
        <f t="shared" si="18"/>
        <v>-</v>
      </c>
      <c r="AN45" s="80" t="str">
        <f t="shared" si="19"/>
        <v>-</v>
      </c>
      <c r="AO45" s="80" t="str">
        <f t="shared" si="20"/>
        <v>-</v>
      </c>
      <c r="AP45" s="80" t="str">
        <f t="shared" si="21"/>
        <v>-</v>
      </c>
      <c r="AQ45" s="80" t="str">
        <f t="shared" si="22"/>
        <v>-</v>
      </c>
      <c r="AR45" s="81" t="str">
        <f t="shared" si="6"/>
        <v/>
      </c>
      <c r="AS45" s="77" t="str">
        <f t="shared" si="23"/>
        <v/>
      </c>
      <c r="AT45" s="75" t="str">
        <f t="shared" si="7"/>
        <v/>
      </c>
      <c r="AU45" s="74" t="str">
        <f t="shared" si="24"/>
        <v/>
      </c>
      <c r="AV45" s="77" t="str">
        <f t="shared" si="25"/>
        <v/>
      </c>
      <c r="AW45" s="75" t="str">
        <f t="shared" si="8"/>
        <v/>
      </c>
      <c r="AX45" s="74" t="str">
        <f t="shared" si="26"/>
        <v/>
      </c>
      <c r="AY45" s="77" t="str">
        <f t="shared" si="27"/>
        <v/>
      </c>
      <c r="BA45" s="104">
        <f t="shared" si="29"/>
        <v>0</v>
      </c>
      <c r="BB45" s="102"/>
    </row>
    <row r="46" spans="2:54" s="1" customFormat="1" ht="61.5" customHeight="1" outlineLevel="1" x14ac:dyDescent="0.25">
      <c r="B46" s="41">
        <f t="shared" si="28"/>
        <v>24</v>
      </c>
      <c r="C46" s="218"/>
      <c r="D46" s="218"/>
      <c r="E46" s="218"/>
      <c r="F46" s="218"/>
      <c r="G46" s="42"/>
      <c r="H46" s="43"/>
      <c r="I46" s="44"/>
      <c r="J46" s="45" t="str">
        <f t="shared" si="10"/>
        <v/>
      </c>
      <c r="K46" s="93"/>
      <c r="L46" s="152" t="str">
        <f t="shared" si="3"/>
        <v>No Quote</v>
      </c>
      <c r="M46" s="153"/>
      <c r="N46" s="44"/>
      <c r="O46" s="45" t="str">
        <f t="shared" si="11"/>
        <v/>
      </c>
      <c r="P46" s="93"/>
      <c r="Q46" s="152" t="str">
        <f t="shared" si="4"/>
        <v>No Quote</v>
      </c>
      <c r="R46" s="153"/>
      <c r="S46" s="44"/>
      <c r="T46" s="45" t="str">
        <f t="shared" si="12"/>
        <v/>
      </c>
      <c r="U46" s="92"/>
      <c r="V46" s="152" t="str">
        <f t="shared" si="13"/>
        <v>No Quote</v>
      </c>
      <c r="W46" s="153"/>
      <c r="X46" s="44"/>
      <c r="Y46" s="45" t="str">
        <f t="shared" si="14"/>
        <v/>
      </c>
      <c r="Z46" s="92"/>
      <c r="AA46" s="152" t="str">
        <f t="shared" si="5"/>
        <v>No Quote</v>
      </c>
      <c r="AB46" s="153"/>
      <c r="AC46" s="44"/>
      <c r="AD46" s="45" t="str">
        <f t="shared" si="15"/>
        <v/>
      </c>
      <c r="AE46" s="92"/>
      <c r="AF46" s="212" t="str">
        <f t="shared" si="16"/>
        <v>No Quote</v>
      </c>
      <c r="AG46" s="213"/>
      <c r="AH46" s="90"/>
      <c r="AI46" s="96"/>
      <c r="AJ46" s="66" t="str">
        <f t="shared" si="17"/>
        <v/>
      </c>
      <c r="AK46" s="95"/>
      <c r="AL46" s="95"/>
      <c r="AM46" s="80" t="str">
        <f t="shared" si="18"/>
        <v>-</v>
      </c>
      <c r="AN46" s="80" t="str">
        <f t="shared" si="19"/>
        <v>-</v>
      </c>
      <c r="AO46" s="80" t="str">
        <f t="shared" si="20"/>
        <v>-</v>
      </c>
      <c r="AP46" s="80" t="str">
        <f t="shared" si="21"/>
        <v>-</v>
      </c>
      <c r="AQ46" s="80" t="str">
        <f t="shared" si="22"/>
        <v>-</v>
      </c>
      <c r="AR46" s="81" t="str">
        <f t="shared" si="6"/>
        <v/>
      </c>
      <c r="AS46" s="77" t="str">
        <f t="shared" si="23"/>
        <v/>
      </c>
      <c r="AT46" s="75" t="str">
        <f t="shared" si="7"/>
        <v/>
      </c>
      <c r="AU46" s="74" t="str">
        <f t="shared" si="24"/>
        <v/>
      </c>
      <c r="AV46" s="77" t="str">
        <f t="shared" si="25"/>
        <v/>
      </c>
      <c r="AW46" s="75" t="str">
        <f t="shared" si="8"/>
        <v/>
      </c>
      <c r="AX46" s="74" t="str">
        <f t="shared" si="26"/>
        <v/>
      </c>
      <c r="AY46" s="77" t="str">
        <f t="shared" si="27"/>
        <v/>
      </c>
      <c r="BA46" s="104">
        <f t="shared" si="29"/>
        <v>0</v>
      </c>
      <c r="BB46" s="102"/>
    </row>
    <row r="47" spans="2:54" s="1" customFormat="1" ht="61.5" customHeight="1" outlineLevel="1" x14ac:dyDescent="0.25">
      <c r="B47" s="41">
        <f t="shared" si="28"/>
        <v>25</v>
      </c>
      <c r="C47" s="218"/>
      <c r="D47" s="218"/>
      <c r="E47" s="218"/>
      <c r="F47" s="218"/>
      <c r="G47" s="42"/>
      <c r="H47" s="43"/>
      <c r="I47" s="44"/>
      <c r="J47" s="45" t="str">
        <f t="shared" si="10"/>
        <v/>
      </c>
      <c r="K47" s="93"/>
      <c r="L47" s="152" t="str">
        <f t="shared" si="3"/>
        <v>No Quote</v>
      </c>
      <c r="M47" s="153"/>
      <c r="N47" s="44"/>
      <c r="O47" s="45" t="str">
        <f t="shared" si="11"/>
        <v/>
      </c>
      <c r="P47" s="93"/>
      <c r="Q47" s="152" t="str">
        <f t="shared" si="4"/>
        <v>No Quote</v>
      </c>
      <c r="R47" s="153"/>
      <c r="S47" s="44"/>
      <c r="T47" s="45" t="str">
        <f t="shared" si="12"/>
        <v/>
      </c>
      <c r="U47" s="92"/>
      <c r="V47" s="152" t="str">
        <f t="shared" si="13"/>
        <v>No Quote</v>
      </c>
      <c r="W47" s="153"/>
      <c r="X47" s="44"/>
      <c r="Y47" s="45" t="str">
        <f t="shared" si="14"/>
        <v/>
      </c>
      <c r="Z47" s="92"/>
      <c r="AA47" s="152" t="str">
        <f t="shared" si="5"/>
        <v>No Quote</v>
      </c>
      <c r="AB47" s="153"/>
      <c r="AC47" s="44"/>
      <c r="AD47" s="45" t="str">
        <f t="shared" si="15"/>
        <v/>
      </c>
      <c r="AE47" s="92"/>
      <c r="AF47" s="212" t="str">
        <f t="shared" si="16"/>
        <v>No Quote</v>
      </c>
      <c r="AG47" s="213"/>
      <c r="AH47" s="90"/>
      <c r="AI47" s="96"/>
      <c r="AJ47" s="66" t="str">
        <f t="shared" si="17"/>
        <v/>
      </c>
      <c r="AK47" s="95"/>
      <c r="AL47" s="95"/>
      <c r="AM47" s="80" t="str">
        <f t="shared" si="18"/>
        <v>-</v>
      </c>
      <c r="AN47" s="80" t="str">
        <f t="shared" si="19"/>
        <v>-</v>
      </c>
      <c r="AO47" s="80" t="str">
        <f t="shared" si="20"/>
        <v>-</v>
      </c>
      <c r="AP47" s="80" t="str">
        <f t="shared" si="21"/>
        <v>-</v>
      </c>
      <c r="AQ47" s="80" t="str">
        <f t="shared" si="22"/>
        <v>-</v>
      </c>
      <c r="AR47" s="81" t="str">
        <f t="shared" si="6"/>
        <v/>
      </c>
      <c r="AS47" s="77" t="str">
        <f t="shared" si="23"/>
        <v/>
      </c>
      <c r="AT47" s="75" t="str">
        <f t="shared" si="7"/>
        <v/>
      </c>
      <c r="AU47" s="74" t="str">
        <f t="shared" si="24"/>
        <v/>
      </c>
      <c r="AV47" s="77" t="str">
        <f t="shared" si="25"/>
        <v/>
      </c>
      <c r="AW47" s="75" t="str">
        <f t="shared" si="8"/>
        <v/>
      </c>
      <c r="AX47" s="74" t="str">
        <f t="shared" si="26"/>
        <v/>
      </c>
      <c r="AY47" s="77" t="str">
        <f t="shared" si="27"/>
        <v/>
      </c>
      <c r="BA47" s="104">
        <f t="shared" si="29"/>
        <v>0</v>
      </c>
      <c r="BB47" s="102"/>
    </row>
    <row r="48" spans="2:54" s="1" customFormat="1" ht="61.5" customHeight="1" outlineLevel="1" x14ac:dyDescent="0.25">
      <c r="B48" s="41">
        <f t="shared" si="28"/>
        <v>26</v>
      </c>
      <c r="C48" s="218"/>
      <c r="D48" s="218"/>
      <c r="E48" s="218"/>
      <c r="F48" s="218"/>
      <c r="G48" s="42"/>
      <c r="H48" s="43"/>
      <c r="I48" s="44"/>
      <c r="J48" s="45" t="str">
        <f t="shared" si="10"/>
        <v/>
      </c>
      <c r="K48" s="93"/>
      <c r="L48" s="152" t="str">
        <f t="shared" si="3"/>
        <v>No Quote</v>
      </c>
      <c r="M48" s="153"/>
      <c r="N48" s="44"/>
      <c r="O48" s="45" t="str">
        <f t="shared" si="11"/>
        <v/>
      </c>
      <c r="P48" s="93"/>
      <c r="Q48" s="152" t="str">
        <f t="shared" si="4"/>
        <v>No Quote</v>
      </c>
      <c r="R48" s="153"/>
      <c r="S48" s="44"/>
      <c r="T48" s="45" t="str">
        <f t="shared" si="12"/>
        <v/>
      </c>
      <c r="U48" s="92"/>
      <c r="V48" s="152" t="str">
        <f t="shared" si="13"/>
        <v>No Quote</v>
      </c>
      <c r="W48" s="153"/>
      <c r="X48" s="44"/>
      <c r="Y48" s="45" t="str">
        <f t="shared" si="14"/>
        <v/>
      </c>
      <c r="Z48" s="92"/>
      <c r="AA48" s="152" t="str">
        <f t="shared" si="5"/>
        <v>No Quote</v>
      </c>
      <c r="AB48" s="153"/>
      <c r="AC48" s="44"/>
      <c r="AD48" s="45" t="str">
        <f t="shared" si="15"/>
        <v/>
      </c>
      <c r="AE48" s="92"/>
      <c r="AF48" s="212" t="str">
        <f t="shared" si="16"/>
        <v>No Quote</v>
      </c>
      <c r="AG48" s="213"/>
      <c r="AH48" s="90"/>
      <c r="AI48" s="96"/>
      <c r="AJ48" s="66" t="str">
        <f t="shared" si="17"/>
        <v/>
      </c>
      <c r="AK48" s="95"/>
      <c r="AL48" s="95"/>
      <c r="AM48" s="80" t="str">
        <f t="shared" si="18"/>
        <v>-</v>
      </c>
      <c r="AN48" s="80" t="str">
        <f t="shared" si="19"/>
        <v>-</v>
      </c>
      <c r="AO48" s="80" t="str">
        <f t="shared" si="20"/>
        <v>-</v>
      </c>
      <c r="AP48" s="80" t="str">
        <f t="shared" si="21"/>
        <v>-</v>
      </c>
      <c r="AQ48" s="80" t="str">
        <f t="shared" si="22"/>
        <v>-</v>
      </c>
      <c r="AR48" s="81" t="str">
        <f t="shared" si="6"/>
        <v/>
      </c>
      <c r="AS48" s="77" t="str">
        <f t="shared" si="23"/>
        <v/>
      </c>
      <c r="AT48" s="75" t="str">
        <f t="shared" si="7"/>
        <v/>
      </c>
      <c r="AU48" s="74" t="str">
        <f t="shared" si="24"/>
        <v/>
      </c>
      <c r="AV48" s="77" t="str">
        <f t="shared" si="25"/>
        <v/>
      </c>
      <c r="AW48" s="75" t="str">
        <f t="shared" si="8"/>
        <v/>
      </c>
      <c r="AX48" s="74" t="str">
        <f t="shared" si="26"/>
        <v/>
      </c>
      <c r="AY48" s="77" t="str">
        <f t="shared" si="27"/>
        <v/>
      </c>
      <c r="BA48" s="104">
        <f t="shared" si="29"/>
        <v>0</v>
      </c>
      <c r="BB48" s="102"/>
    </row>
    <row r="49" spans="2:54" s="1" customFormat="1" ht="61.5" customHeight="1" outlineLevel="1" x14ac:dyDescent="0.25">
      <c r="B49" s="41">
        <f t="shared" si="28"/>
        <v>27</v>
      </c>
      <c r="C49" s="218"/>
      <c r="D49" s="218"/>
      <c r="E49" s="218"/>
      <c r="F49" s="218"/>
      <c r="G49" s="42"/>
      <c r="H49" s="43"/>
      <c r="I49" s="44"/>
      <c r="J49" s="45" t="str">
        <f t="shared" si="10"/>
        <v/>
      </c>
      <c r="K49" s="93"/>
      <c r="L49" s="152" t="str">
        <f t="shared" si="3"/>
        <v>No Quote</v>
      </c>
      <c r="M49" s="153"/>
      <c r="N49" s="44"/>
      <c r="O49" s="45" t="str">
        <f t="shared" si="11"/>
        <v/>
      </c>
      <c r="P49" s="93"/>
      <c r="Q49" s="152" t="str">
        <f t="shared" si="4"/>
        <v>No Quote</v>
      </c>
      <c r="R49" s="153"/>
      <c r="S49" s="44"/>
      <c r="T49" s="45" t="str">
        <f t="shared" si="12"/>
        <v/>
      </c>
      <c r="U49" s="92"/>
      <c r="V49" s="152" t="str">
        <f t="shared" si="13"/>
        <v>No Quote</v>
      </c>
      <c r="W49" s="153"/>
      <c r="X49" s="44"/>
      <c r="Y49" s="45" t="str">
        <f t="shared" si="14"/>
        <v/>
      </c>
      <c r="Z49" s="92"/>
      <c r="AA49" s="152" t="str">
        <f t="shared" si="5"/>
        <v>No Quote</v>
      </c>
      <c r="AB49" s="153"/>
      <c r="AC49" s="44"/>
      <c r="AD49" s="45" t="str">
        <f t="shared" si="15"/>
        <v/>
      </c>
      <c r="AE49" s="92"/>
      <c r="AF49" s="212" t="str">
        <f t="shared" si="16"/>
        <v>No Quote</v>
      </c>
      <c r="AG49" s="213"/>
      <c r="AH49" s="90"/>
      <c r="AI49" s="96"/>
      <c r="AJ49" s="66" t="str">
        <f t="shared" si="17"/>
        <v/>
      </c>
      <c r="AK49" s="95"/>
      <c r="AL49" s="95"/>
      <c r="AM49" s="80" t="str">
        <f t="shared" si="18"/>
        <v>-</v>
      </c>
      <c r="AN49" s="80" t="str">
        <f t="shared" si="19"/>
        <v>-</v>
      </c>
      <c r="AO49" s="80" t="str">
        <f t="shared" si="20"/>
        <v>-</v>
      </c>
      <c r="AP49" s="80" t="str">
        <f t="shared" si="21"/>
        <v>-</v>
      </c>
      <c r="AQ49" s="80" t="str">
        <f t="shared" si="22"/>
        <v>-</v>
      </c>
      <c r="AR49" s="81" t="str">
        <f t="shared" si="6"/>
        <v/>
      </c>
      <c r="AS49" s="77" t="str">
        <f t="shared" si="23"/>
        <v/>
      </c>
      <c r="AT49" s="75" t="str">
        <f t="shared" si="7"/>
        <v/>
      </c>
      <c r="AU49" s="74" t="str">
        <f t="shared" si="24"/>
        <v/>
      </c>
      <c r="AV49" s="77" t="str">
        <f t="shared" si="25"/>
        <v/>
      </c>
      <c r="AW49" s="75" t="str">
        <f t="shared" si="8"/>
        <v/>
      </c>
      <c r="AX49" s="74" t="str">
        <f t="shared" si="26"/>
        <v/>
      </c>
      <c r="AY49" s="77" t="str">
        <f t="shared" si="27"/>
        <v/>
      </c>
      <c r="BA49" s="104">
        <f t="shared" si="29"/>
        <v>0</v>
      </c>
      <c r="BB49" s="102"/>
    </row>
    <row r="50" spans="2:54" s="1" customFormat="1" ht="61.5" customHeight="1" outlineLevel="1" x14ac:dyDescent="0.25">
      <c r="B50" s="41">
        <f t="shared" si="28"/>
        <v>28</v>
      </c>
      <c r="C50" s="218"/>
      <c r="D50" s="218"/>
      <c r="E50" s="218"/>
      <c r="F50" s="218"/>
      <c r="G50" s="42"/>
      <c r="H50" s="43"/>
      <c r="I50" s="44"/>
      <c r="J50" s="45" t="str">
        <f t="shared" si="10"/>
        <v/>
      </c>
      <c r="K50" s="93"/>
      <c r="L50" s="152" t="str">
        <f t="shared" si="3"/>
        <v>No Quote</v>
      </c>
      <c r="M50" s="153"/>
      <c r="N50" s="44"/>
      <c r="O50" s="45" t="str">
        <f t="shared" si="11"/>
        <v/>
      </c>
      <c r="P50" s="93"/>
      <c r="Q50" s="152" t="str">
        <f t="shared" si="4"/>
        <v>No Quote</v>
      </c>
      <c r="R50" s="153"/>
      <c r="S50" s="44"/>
      <c r="T50" s="45" t="str">
        <f t="shared" si="12"/>
        <v/>
      </c>
      <c r="U50" s="92"/>
      <c r="V50" s="152" t="str">
        <f t="shared" si="13"/>
        <v>No Quote</v>
      </c>
      <c r="W50" s="153"/>
      <c r="X50" s="44"/>
      <c r="Y50" s="45" t="str">
        <f t="shared" si="14"/>
        <v/>
      </c>
      <c r="Z50" s="92"/>
      <c r="AA50" s="152" t="str">
        <f t="shared" si="5"/>
        <v>No Quote</v>
      </c>
      <c r="AB50" s="153"/>
      <c r="AC50" s="44"/>
      <c r="AD50" s="45" t="str">
        <f t="shared" si="15"/>
        <v/>
      </c>
      <c r="AE50" s="92"/>
      <c r="AF50" s="212" t="str">
        <f t="shared" si="16"/>
        <v>No Quote</v>
      </c>
      <c r="AG50" s="213"/>
      <c r="AH50" s="90"/>
      <c r="AI50" s="96"/>
      <c r="AJ50" s="66" t="str">
        <f t="shared" si="17"/>
        <v/>
      </c>
      <c r="AK50" s="95"/>
      <c r="AL50" s="95"/>
      <c r="AM50" s="80" t="str">
        <f t="shared" si="18"/>
        <v>-</v>
      </c>
      <c r="AN50" s="80" t="str">
        <f t="shared" si="19"/>
        <v>-</v>
      </c>
      <c r="AO50" s="80" t="str">
        <f t="shared" si="20"/>
        <v>-</v>
      </c>
      <c r="AP50" s="80" t="str">
        <f t="shared" si="21"/>
        <v>-</v>
      </c>
      <c r="AQ50" s="80" t="str">
        <f t="shared" si="22"/>
        <v>-</v>
      </c>
      <c r="AR50" s="81" t="str">
        <f t="shared" si="6"/>
        <v/>
      </c>
      <c r="AS50" s="77" t="str">
        <f t="shared" si="23"/>
        <v/>
      </c>
      <c r="AT50" s="75" t="str">
        <f t="shared" si="7"/>
        <v/>
      </c>
      <c r="AU50" s="74" t="str">
        <f t="shared" si="24"/>
        <v/>
      </c>
      <c r="AV50" s="77" t="str">
        <f t="shared" si="25"/>
        <v/>
      </c>
      <c r="AW50" s="75" t="str">
        <f t="shared" si="8"/>
        <v/>
      </c>
      <c r="AX50" s="74" t="str">
        <f t="shared" si="26"/>
        <v/>
      </c>
      <c r="AY50" s="77" t="str">
        <f t="shared" si="27"/>
        <v/>
      </c>
      <c r="BA50" s="104">
        <f t="shared" si="29"/>
        <v>0</v>
      </c>
      <c r="BB50" s="102"/>
    </row>
    <row r="51" spans="2:54" s="1" customFormat="1" ht="61.5" customHeight="1" outlineLevel="1" x14ac:dyDescent="0.25">
      <c r="B51" s="41">
        <f t="shared" si="28"/>
        <v>29</v>
      </c>
      <c r="C51" s="218"/>
      <c r="D51" s="218"/>
      <c r="E51" s="218"/>
      <c r="F51" s="218"/>
      <c r="G51" s="42"/>
      <c r="H51" s="43"/>
      <c r="I51" s="44"/>
      <c r="J51" s="45" t="str">
        <f t="shared" si="10"/>
        <v/>
      </c>
      <c r="K51" s="93"/>
      <c r="L51" s="152" t="str">
        <f t="shared" si="3"/>
        <v>No Quote</v>
      </c>
      <c r="M51" s="153"/>
      <c r="N51" s="44"/>
      <c r="O51" s="45" t="str">
        <f t="shared" si="11"/>
        <v/>
      </c>
      <c r="P51" s="93"/>
      <c r="Q51" s="152" t="str">
        <f t="shared" si="4"/>
        <v>No Quote</v>
      </c>
      <c r="R51" s="153"/>
      <c r="S51" s="44"/>
      <c r="T51" s="45" t="str">
        <f t="shared" si="12"/>
        <v/>
      </c>
      <c r="U51" s="92"/>
      <c r="V51" s="152" t="str">
        <f t="shared" si="13"/>
        <v>No Quote</v>
      </c>
      <c r="W51" s="153"/>
      <c r="X51" s="44"/>
      <c r="Y51" s="45" t="str">
        <f t="shared" si="14"/>
        <v/>
      </c>
      <c r="Z51" s="92"/>
      <c r="AA51" s="152" t="str">
        <f t="shared" si="5"/>
        <v>No Quote</v>
      </c>
      <c r="AB51" s="153"/>
      <c r="AC51" s="44"/>
      <c r="AD51" s="45" t="str">
        <f t="shared" si="15"/>
        <v/>
      </c>
      <c r="AE51" s="92"/>
      <c r="AF51" s="212" t="str">
        <f t="shared" si="16"/>
        <v>No Quote</v>
      </c>
      <c r="AG51" s="213"/>
      <c r="AH51" s="90"/>
      <c r="AI51" s="96"/>
      <c r="AJ51" s="66" t="str">
        <f t="shared" si="17"/>
        <v/>
      </c>
      <c r="AK51" s="95"/>
      <c r="AL51" s="95"/>
      <c r="AM51" s="80" t="str">
        <f t="shared" si="18"/>
        <v>-</v>
      </c>
      <c r="AN51" s="80" t="str">
        <f t="shared" si="19"/>
        <v>-</v>
      </c>
      <c r="AO51" s="80" t="str">
        <f t="shared" si="20"/>
        <v>-</v>
      </c>
      <c r="AP51" s="80" t="str">
        <f t="shared" si="21"/>
        <v>-</v>
      </c>
      <c r="AQ51" s="80" t="str">
        <f t="shared" si="22"/>
        <v>-</v>
      </c>
      <c r="AR51" s="81" t="str">
        <f t="shared" si="6"/>
        <v/>
      </c>
      <c r="AS51" s="77" t="str">
        <f t="shared" si="23"/>
        <v/>
      </c>
      <c r="AT51" s="75" t="str">
        <f t="shared" si="7"/>
        <v/>
      </c>
      <c r="AU51" s="74" t="str">
        <f t="shared" si="24"/>
        <v/>
      </c>
      <c r="AV51" s="77" t="str">
        <f t="shared" si="25"/>
        <v/>
      </c>
      <c r="AW51" s="75" t="str">
        <f t="shared" si="8"/>
        <v/>
      </c>
      <c r="AX51" s="74" t="str">
        <f t="shared" si="26"/>
        <v/>
      </c>
      <c r="AY51" s="77" t="str">
        <f t="shared" si="27"/>
        <v/>
      </c>
      <c r="BA51" s="104">
        <f t="shared" si="29"/>
        <v>0</v>
      </c>
      <c r="BB51" s="102"/>
    </row>
    <row r="52" spans="2:54" s="47" customFormat="1" ht="35.1" customHeight="1" x14ac:dyDescent="0.25">
      <c r="B52" s="214" t="s">
        <v>18</v>
      </c>
      <c r="C52" s="215"/>
      <c r="D52" s="215"/>
      <c r="E52" s="215"/>
      <c r="F52" s="215"/>
      <c r="G52" s="158" t="s">
        <v>36</v>
      </c>
      <c r="H52" s="159"/>
      <c r="I52" s="144">
        <f t="shared" ref="I52" si="30">SUMIF(K23:K51,"&lt;&gt;x",J23:J51)</f>
        <v>0</v>
      </c>
      <c r="J52" s="145"/>
      <c r="K52" s="145"/>
      <c r="L52" s="145"/>
      <c r="M52" s="146"/>
      <c r="N52" s="144">
        <f t="shared" ref="N52" si="31">SUMIF(P23:P51,"&lt;&gt;x",O23:O51)</f>
        <v>0</v>
      </c>
      <c r="O52" s="145"/>
      <c r="P52" s="145"/>
      <c r="Q52" s="145"/>
      <c r="R52" s="146"/>
      <c r="S52" s="144">
        <f t="shared" ref="S52" si="32">SUMIF(U23:U51,"&lt;&gt;x",T23:T51)</f>
        <v>0</v>
      </c>
      <c r="T52" s="145"/>
      <c r="U52" s="145"/>
      <c r="V52" s="145"/>
      <c r="W52" s="146"/>
      <c r="X52" s="144">
        <f t="shared" ref="X52" si="33">SUMIF(Z23:Z51,"&lt;&gt;x",Y23:Y51)</f>
        <v>0</v>
      </c>
      <c r="Y52" s="145"/>
      <c r="Z52" s="145"/>
      <c r="AA52" s="145"/>
      <c r="AB52" s="146"/>
      <c r="AC52" s="144">
        <f t="shared" ref="AC52" si="34">SUMIF(AE23:AE51,"&lt;&gt;x",AD23:AD51)</f>
        <v>0</v>
      </c>
      <c r="AD52" s="145"/>
      <c r="AE52" s="145"/>
      <c r="AF52" s="145"/>
      <c r="AG52" s="157"/>
      <c r="AM52" s="116">
        <f>SUM(AM23:AM51)</f>
        <v>0</v>
      </c>
      <c r="AN52" s="116">
        <f t="shared" ref="AN52:AQ52" si="35">SUM(AN23:AN51)</f>
        <v>0</v>
      </c>
      <c r="AO52" s="116">
        <f t="shared" si="35"/>
        <v>0</v>
      </c>
      <c r="AP52" s="116">
        <f t="shared" si="35"/>
        <v>0</v>
      </c>
      <c r="AQ52" s="116">
        <f t="shared" si="35"/>
        <v>0</v>
      </c>
      <c r="AR52" s="81" t="str">
        <f t="shared" si="6"/>
        <v/>
      </c>
      <c r="AS52" s="77" t="str">
        <f t="shared" ref="AS52" si="36">IF(AR52=AM52,$AM$20,IF(AR52=AN52,$AN$20,IF(AR52=AO52,$AO$20,IF(AR52=AP52,$AP$20,IF(AR52=AQ52,$AQ$20,"")))))</f>
        <v/>
      </c>
      <c r="AT52" s="75">
        <f t="shared" si="7"/>
        <v>0</v>
      </c>
      <c r="AU52" s="74" t="str">
        <f t="shared" si="24"/>
        <v/>
      </c>
      <c r="AV52" s="77">
        <f t="shared" ref="AV52" si="37">IFERROR(IF(AT52="","",IF(AT52=AM52,$AM$20,IF(AT52=AN52,$AN$20,IF(AT52=AO52,$AO$20,IF(AT52=AP52,$AP$20,IF(AT52=AQ52,$AQ$20,"")))))),"")</f>
        <v>0</v>
      </c>
      <c r="AW52" s="75">
        <f t="shared" si="8"/>
        <v>0</v>
      </c>
      <c r="AX52" s="74" t="str">
        <f t="shared" ref="AX52" si="38">IFERROR(IF((AW52-$AR52)/$AR52&lt;0%,"",(AW52-$AR52)/$AR52),"")</f>
        <v/>
      </c>
      <c r="AY52" s="77">
        <f t="shared" ref="AY52" si="39">IFERROR(IF(AW52="","",IF(AW52=AM52,$AM$20,IF(AW52=AN52,$AN$20,IF(AW52=AO52,$AO$20,IF(AW52=AP52,$AP$20,IF(AW52=AQ52,$AQ$20,"")))))),"")</f>
        <v>0</v>
      </c>
      <c r="BA52" s="104">
        <f t="shared" si="29"/>
        <v>0</v>
      </c>
      <c r="BB52" s="102"/>
    </row>
    <row r="53" spans="2:54" s="47" customFormat="1" ht="35.1" customHeight="1" outlineLevel="1" x14ac:dyDescent="0.25">
      <c r="B53" s="216"/>
      <c r="C53" s="217"/>
      <c r="D53" s="217"/>
      <c r="E53" s="217"/>
      <c r="F53" s="217"/>
      <c r="G53" s="158" t="s">
        <v>37</v>
      </c>
      <c r="H53" s="159"/>
      <c r="I53" s="144">
        <f>I52+(I52*11%)</f>
        <v>0</v>
      </c>
      <c r="J53" s="145"/>
      <c r="K53" s="145"/>
      <c r="L53" s="145"/>
      <c r="M53" s="146"/>
      <c r="N53" s="144">
        <f>N52+(N52*11%)</f>
        <v>0</v>
      </c>
      <c r="O53" s="145"/>
      <c r="P53" s="145"/>
      <c r="Q53" s="145"/>
      <c r="R53" s="146"/>
      <c r="S53" s="144">
        <f>S52+(S52*11%)</f>
        <v>0</v>
      </c>
      <c r="T53" s="145"/>
      <c r="U53" s="145"/>
      <c r="V53" s="145"/>
      <c r="W53" s="146"/>
      <c r="X53" s="144">
        <f>X52+(X52*11%)</f>
        <v>0</v>
      </c>
      <c r="Y53" s="145"/>
      <c r="Z53" s="145"/>
      <c r="AA53" s="145"/>
      <c r="AB53" s="146"/>
      <c r="AC53" s="144">
        <f>AC52+(AC52*11%)</f>
        <v>0</v>
      </c>
      <c r="AD53" s="145"/>
      <c r="AE53" s="145"/>
      <c r="AF53" s="145"/>
      <c r="AG53" s="157"/>
      <c r="AM53" s="11" t="str">
        <f>IF(COUNTIF(AM23:AM51,"-")&gt;0,"No Full Item","Full Item")</f>
        <v>No Full Item</v>
      </c>
      <c r="AN53" s="11" t="str">
        <f t="shared" ref="AN53:AQ53" si="40">IF(COUNTIF(AN23:AN51,"-")&gt;0,"No Full Item","Full Item")</f>
        <v>No Full Item</v>
      </c>
      <c r="AO53" s="11" t="str">
        <f t="shared" si="40"/>
        <v>No Full Item</v>
      </c>
      <c r="AP53" s="11" t="str">
        <f t="shared" si="40"/>
        <v>No Full Item</v>
      </c>
      <c r="AQ53" s="11" t="str">
        <f t="shared" si="40"/>
        <v>No Full Item</v>
      </c>
      <c r="AR53" s="72"/>
      <c r="AS53" s="78"/>
      <c r="AU53" s="71"/>
      <c r="AV53" s="78"/>
      <c r="AY53" s="78"/>
    </row>
    <row r="54" spans="2:54" s="47" customFormat="1" ht="35.1" customHeight="1" x14ac:dyDescent="0.25">
      <c r="B54" s="216"/>
      <c r="C54" s="217"/>
      <c r="D54" s="217"/>
      <c r="E54" s="217"/>
      <c r="F54" s="217"/>
      <c r="G54" s="158" t="s">
        <v>38</v>
      </c>
      <c r="H54" s="159"/>
      <c r="I54" s="144"/>
      <c r="J54" s="145"/>
      <c r="K54" s="145"/>
      <c r="L54" s="145"/>
      <c r="M54" s="146"/>
      <c r="N54" s="144"/>
      <c r="O54" s="145"/>
      <c r="P54" s="145"/>
      <c r="Q54" s="145"/>
      <c r="R54" s="146"/>
      <c r="S54" s="144"/>
      <c r="T54" s="145"/>
      <c r="U54" s="145"/>
      <c r="V54" s="145"/>
      <c r="W54" s="146"/>
      <c r="X54" s="144"/>
      <c r="Y54" s="145"/>
      <c r="Z54" s="145"/>
      <c r="AA54" s="145"/>
      <c r="AB54" s="146"/>
      <c r="AC54" s="144"/>
      <c r="AD54" s="145"/>
      <c r="AE54" s="145"/>
      <c r="AF54" s="145"/>
      <c r="AG54" s="157"/>
      <c r="AR54" s="72"/>
      <c r="AS54" s="78"/>
      <c r="AU54" s="71"/>
      <c r="AV54" s="78"/>
      <c r="AY54" s="78"/>
    </row>
    <row r="55" spans="2:54" s="1" customFormat="1" ht="80.25" customHeight="1" x14ac:dyDescent="0.25">
      <c r="B55" s="208" t="s">
        <v>39</v>
      </c>
      <c r="C55" s="209"/>
      <c r="D55" s="209"/>
      <c r="E55" s="209"/>
      <c r="F55" s="209"/>
      <c r="G55" s="209"/>
      <c r="H55" s="210"/>
      <c r="I55" s="211"/>
      <c r="J55" s="195"/>
      <c r="K55" s="195"/>
      <c r="L55" s="195"/>
      <c r="M55" s="196"/>
      <c r="N55" s="194"/>
      <c r="O55" s="195"/>
      <c r="P55" s="195"/>
      <c r="Q55" s="195"/>
      <c r="R55" s="196"/>
      <c r="S55" s="194"/>
      <c r="T55" s="195"/>
      <c r="U55" s="195"/>
      <c r="V55" s="195"/>
      <c r="W55" s="196"/>
      <c r="X55" s="194"/>
      <c r="Y55" s="195"/>
      <c r="Z55" s="195"/>
      <c r="AA55" s="195"/>
      <c r="AB55" s="196"/>
      <c r="AC55" s="194"/>
      <c r="AD55" s="195"/>
      <c r="AE55" s="195"/>
      <c r="AF55" s="195"/>
      <c r="AG55" s="197"/>
      <c r="AR55" s="82"/>
      <c r="AS55" s="73"/>
      <c r="AU55" s="68"/>
      <c r="AV55" s="73"/>
      <c r="AY55" s="73"/>
    </row>
    <row r="56" spans="2:54" s="1" customFormat="1" ht="120" customHeight="1" x14ac:dyDescent="0.25">
      <c r="B56" s="198"/>
      <c r="C56" s="199"/>
      <c r="D56" s="199"/>
      <c r="E56" s="199"/>
      <c r="F56" s="199"/>
      <c r="G56" s="199"/>
      <c r="H56" s="199"/>
      <c r="I56" s="200" t="s">
        <v>40</v>
      </c>
      <c r="J56" s="201"/>
      <c r="K56" s="201"/>
      <c r="L56" s="201"/>
      <c r="M56" s="202"/>
      <c r="N56" s="200" t="s">
        <v>40</v>
      </c>
      <c r="O56" s="201"/>
      <c r="P56" s="201"/>
      <c r="Q56" s="201"/>
      <c r="R56" s="202"/>
      <c r="S56" s="200" t="s">
        <v>40</v>
      </c>
      <c r="T56" s="201"/>
      <c r="U56" s="201"/>
      <c r="V56" s="201"/>
      <c r="W56" s="202"/>
      <c r="X56" s="176" t="s">
        <v>40</v>
      </c>
      <c r="Y56" s="177"/>
      <c r="Z56" s="177"/>
      <c r="AA56" s="177"/>
      <c r="AB56" s="331"/>
      <c r="AC56" s="176" t="s">
        <v>40</v>
      </c>
      <c r="AD56" s="177"/>
      <c r="AE56" s="177"/>
      <c r="AF56" s="177"/>
      <c r="AG56" s="178"/>
      <c r="AR56" s="82"/>
      <c r="AS56" s="73"/>
      <c r="AU56" s="68"/>
      <c r="AV56" s="73"/>
      <c r="AY56" s="73"/>
    </row>
    <row r="57" spans="2:54" s="50" customFormat="1" ht="15" customHeight="1" x14ac:dyDescent="0.25">
      <c r="B57" s="179" t="s">
        <v>41</v>
      </c>
      <c r="C57" s="180"/>
      <c r="D57" s="180"/>
      <c r="E57" s="180"/>
      <c r="F57" s="180"/>
      <c r="G57" s="180"/>
      <c r="H57" s="181"/>
      <c r="I57" s="162" t="s">
        <v>42</v>
      </c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295"/>
      <c r="X57" s="167" t="s">
        <v>56</v>
      </c>
      <c r="Y57" s="168"/>
      <c r="Z57" s="168"/>
      <c r="AA57" s="168"/>
      <c r="AB57" s="169"/>
      <c r="AC57" s="167" t="s">
        <v>43</v>
      </c>
      <c r="AD57" s="168"/>
      <c r="AE57" s="168"/>
      <c r="AF57" s="168"/>
      <c r="AG57" s="193"/>
      <c r="AR57" s="84"/>
      <c r="AS57" s="73"/>
      <c r="AT57" s="1"/>
      <c r="AU57" s="68"/>
      <c r="AV57" s="73"/>
      <c r="AY57" s="73"/>
    </row>
    <row r="58" spans="2:54" s="1" customFormat="1" ht="90" customHeight="1" x14ac:dyDescent="0.25">
      <c r="B58" s="186"/>
      <c r="C58" s="187"/>
      <c r="D58" s="187"/>
      <c r="E58" s="187"/>
      <c r="F58" s="187"/>
      <c r="G58" s="187"/>
      <c r="H58" s="188"/>
      <c r="I58" s="16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296"/>
      <c r="X58" s="164"/>
      <c r="Y58" s="165"/>
      <c r="Z58" s="165"/>
      <c r="AA58" s="165"/>
      <c r="AB58" s="165"/>
      <c r="AC58" s="164"/>
      <c r="AD58" s="165"/>
      <c r="AE58" s="165"/>
      <c r="AF58" s="165"/>
      <c r="AG58" s="175"/>
      <c r="AR58" s="82"/>
      <c r="AS58" s="73"/>
      <c r="AU58" s="68"/>
      <c r="AV58" s="73"/>
      <c r="AY58" s="73"/>
    </row>
    <row r="59" spans="2:54" s="1" customFormat="1" ht="13.5" x14ac:dyDescent="0.25">
      <c r="B59" s="203" t="s">
        <v>51</v>
      </c>
      <c r="C59" s="204"/>
      <c r="D59" s="204"/>
      <c r="E59" s="204"/>
      <c r="F59" s="204"/>
      <c r="G59" s="204"/>
      <c r="H59" s="205"/>
      <c r="I59" s="206" t="s">
        <v>44</v>
      </c>
      <c r="J59" s="166"/>
      <c r="K59" s="166"/>
      <c r="L59" s="166"/>
      <c r="M59" s="65"/>
      <c r="N59" s="332" t="s">
        <v>57</v>
      </c>
      <c r="O59" s="332"/>
      <c r="P59" s="332"/>
      <c r="Q59" s="332"/>
      <c r="R59" s="332"/>
      <c r="S59" s="166" t="s">
        <v>46</v>
      </c>
      <c r="T59" s="166"/>
      <c r="U59" s="166"/>
      <c r="V59" s="166"/>
      <c r="W59" s="166"/>
      <c r="X59" s="333" t="s">
        <v>53</v>
      </c>
      <c r="Y59" s="334"/>
      <c r="Z59" s="334"/>
      <c r="AA59" s="334"/>
      <c r="AB59" s="335"/>
      <c r="AC59" s="206" t="str">
        <f>IF(OR($I$52&lt;200000000,$N$52&lt;200000000,$S$52&lt;200000000,$X$52&lt;200000000,$AC$52&lt;200000000),"Mochammad Rusfandy","Mochammad Rusfandy")</f>
        <v>Mochammad Rusfandy</v>
      </c>
      <c r="AD59" s="166"/>
      <c r="AE59" s="166"/>
      <c r="AF59" s="166" t="str">
        <f>IF(OR($I$52="",$N$52="",$S$52="",$X$52="",$AC$52=""),"",IF(OR($I$52&gt;200000000,$N$52&gt;200000000,$S$52&gt;200000000,$X$52&gt;200000000,$AC$52&gt;200000000),"Heri Gunawan",""))</f>
        <v/>
      </c>
      <c r="AG59" s="182"/>
      <c r="AR59" s="82"/>
      <c r="AS59" s="73"/>
      <c r="AU59" s="68"/>
      <c r="AV59" s="73"/>
      <c r="AY59" s="73"/>
    </row>
    <row r="60" spans="2:54" s="1" customFormat="1" ht="13.5" x14ac:dyDescent="0.25">
      <c r="B60" s="51" t="s">
        <v>47</v>
      </c>
      <c r="C60" s="52"/>
      <c r="D60" s="183">
        <f ca="1">AD8</f>
        <v>46231</v>
      </c>
      <c r="E60" s="183"/>
      <c r="F60" s="183"/>
      <c r="G60" s="183"/>
      <c r="H60" s="184"/>
      <c r="I60" s="173" t="str">
        <f>IF(I59="","","Date:")</f>
        <v>Date:</v>
      </c>
      <c r="J60" s="170"/>
      <c r="K60" s="170"/>
      <c r="L60" s="170"/>
      <c r="M60" s="52"/>
      <c r="N60" s="52" t="str">
        <f>IF(N59="","","Date:")</f>
        <v>Date:</v>
      </c>
      <c r="O60" s="52"/>
      <c r="P60" s="52"/>
      <c r="Q60" s="52"/>
      <c r="R60" s="52"/>
      <c r="S60" s="170" t="str">
        <f>IF(S59="","","Date:")</f>
        <v>Date:</v>
      </c>
      <c r="T60" s="170"/>
      <c r="U60" s="170"/>
      <c r="V60" s="170"/>
      <c r="W60" s="170"/>
      <c r="X60" s="319" t="str">
        <f>IF(X59="","","Date:")</f>
        <v>Date:</v>
      </c>
      <c r="Y60" s="320"/>
      <c r="Z60" s="320"/>
      <c r="AA60" s="320"/>
      <c r="AB60" s="321"/>
      <c r="AC60" s="173" t="str">
        <f>IF(AC59="","","Date:")</f>
        <v>Date:</v>
      </c>
      <c r="AD60" s="170"/>
      <c r="AE60" s="170"/>
      <c r="AF60" s="170" t="str">
        <f>IF(AF59="","","Date:")</f>
        <v/>
      </c>
      <c r="AG60" s="174"/>
      <c r="AR60" s="82"/>
      <c r="AS60" s="73"/>
      <c r="AU60" s="68"/>
      <c r="AV60" s="73"/>
      <c r="AY60" s="73"/>
    </row>
    <row r="61" spans="2:54" s="1" customFormat="1" ht="15.75" customHeight="1" thickBot="1" x14ac:dyDescent="0.3">
      <c r="B61" s="299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1"/>
      <c r="AR61" s="82"/>
      <c r="AS61" s="73"/>
      <c r="AU61" s="68"/>
      <c r="AV61" s="73"/>
      <c r="AY61" s="73"/>
    </row>
    <row r="62" spans="2:54" ht="17.25" hidden="1" thickTop="1" x14ac:dyDescent="0.25">
      <c r="L62" s="58"/>
      <c r="M62" s="58"/>
    </row>
    <row r="63" spans="2:54" ht="17.25" hidden="1" thickTop="1" x14ac:dyDescent="0.25">
      <c r="L63" s="58"/>
      <c r="M63" s="58"/>
    </row>
    <row r="64" spans="2:54" ht="17.25" hidden="1" thickTop="1" x14ac:dyDescent="0.25">
      <c r="J64" s="160"/>
      <c r="K64" s="161"/>
      <c r="L64" s="161"/>
      <c r="M64" s="161"/>
    </row>
    <row r="65" spans="4:16" ht="17.25" hidden="1" thickTop="1" x14ac:dyDescent="0.25">
      <c r="J65" s="160"/>
      <c r="K65" s="161"/>
      <c r="L65" s="161"/>
      <c r="M65" s="161"/>
    </row>
    <row r="66" spans="4:16" ht="17.25" hidden="1" thickTop="1" x14ac:dyDescent="0.25">
      <c r="J66" s="160"/>
      <c r="K66" s="161"/>
      <c r="L66" s="161"/>
      <c r="M66" s="161"/>
    </row>
    <row r="67" spans="4:16" ht="17.25" hidden="1" thickTop="1" x14ac:dyDescent="0.25">
      <c r="J67" s="160"/>
      <c r="K67" s="161"/>
      <c r="L67" s="161"/>
      <c r="M67" s="161"/>
      <c r="N67" s="160"/>
      <c r="O67" s="161"/>
      <c r="P67" s="161"/>
    </row>
    <row r="68" spans="4:16" ht="17.25" hidden="1" thickTop="1" x14ac:dyDescent="0.25">
      <c r="J68" s="160"/>
      <c r="K68" s="161"/>
      <c r="L68" s="161"/>
      <c r="M68" s="161"/>
    </row>
    <row r="69" spans="4:16" ht="17.25" hidden="1" thickTop="1" x14ac:dyDescent="0.25">
      <c r="J69" s="161"/>
      <c r="K69" s="161"/>
      <c r="L69" s="161"/>
      <c r="M69" s="161"/>
    </row>
    <row r="70" spans="4:16" ht="17.25" hidden="1" thickTop="1" x14ac:dyDescent="0.25">
      <c r="L70" s="58"/>
      <c r="M70" s="58"/>
    </row>
    <row r="71" spans="4:16" ht="17.25" hidden="1" thickTop="1" x14ac:dyDescent="0.25">
      <c r="L71" s="171"/>
      <c r="M71" s="171"/>
    </row>
    <row r="74" spans="4:16" ht="17.25" hidden="1" thickTop="1" x14ac:dyDescent="0.25">
      <c r="D74" s="59"/>
      <c r="E74" s="59"/>
      <c r="F74" s="59"/>
      <c r="G74" s="59"/>
      <c r="H74" s="59"/>
      <c r="I74" s="59"/>
    </row>
    <row r="75" spans="4:16" ht="17.25" hidden="1" thickTop="1" x14ac:dyDescent="0.25">
      <c r="D75" s="59"/>
      <c r="E75" s="59"/>
      <c r="F75" s="59"/>
      <c r="G75" s="59"/>
      <c r="H75" s="59"/>
      <c r="I75" s="59"/>
    </row>
    <row r="76" spans="4:16" ht="17.25" hidden="1" thickTop="1" x14ac:dyDescent="0.25">
      <c r="D76" s="59"/>
      <c r="E76" s="59"/>
      <c r="F76" s="59"/>
      <c r="G76" s="59"/>
      <c r="H76" s="59"/>
      <c r="I76" s="59"/>
    </row>
    <row r="77" spans="4:16" ht="17.25" hidden="1" thickTop="1" x14ac:dyDescent="0.25">
      <c r="D77" s="59"/>
      <c r="E77" s="59"/>
      <c r="F77" s="59"/>
      <c r="G77" s="59"/>
      <c r="H77" s="59"/>
      <c r="I77" s="59"/>
    </row>
    <row r="78" spans="4:16" ht="17.25" hidden="1" thickTop="1" x14ac:dyDescent="0.25">
      <c r="D78" s="59"/>
      <c r="E78" s="59"/>
      <c r="F78" s="60"/>
      <c r="G78" s="59"/>
      <c r="H78" s="59"/>
      <c r="I78" s="59"/>
    </row>
    <row r="79" spans="4:16" ht="15" hidden="1" customHeight="1" x14ac:dyDescent="0.25">
      <c r="D79" s="59"/>
      <c r="E79" s="59"/>
      <c r="F79" s="172"/>
      <c r="G79" s="172"/>
      <c r="H79" s="172"/>
      <c r="I79" s="59"/>
    </row>
    <row r="80" spans="4:16" ht="15" hidden="1" customHeight="1" x14ac:dyDescent="0.25">
      <c r="D80" s="59"/>
      <c r="E80" s="59"/>
      <c r="F80" s="172"/>
      <c r="G80" s="172"/>
      <c r="H80" s="172"/>
      <c r="I80" s="61"/>
      <c r="J80" s="62"/>
    </row>
    <row r="81" spans="4:9" ht="17.25" hidden="1" thickTop="1" x14ac:dyDescent="0.25">
      <c r="D81" s="59"/>
      <c r="E81" s="59"/>
      <c r="F81" s="59"/>
      <c r="G81" s="59"/>
      <c r="H81" s="59"/>
      <c r="I81" s="59"/>
    </row>
    <row r="82" spans="4:9" ht="17.25" hidden="1" thickTop="1" x14ac:dyDescent="0.25">
      <c r="D82" s="59"/>
      <c r="E82" s="59"/>
      <c r="F82" s="59"/>
      <c r="G82" s="59"/>
      <c r="H82" s="59"/>
      <c r="I82" s="59"/>
    </row>
    <row r="83" spans="4:9" ht="17.25" hidden="1" thickTop="1" x14ac:dyDescent="0.25">
      <c r="D83" s="59"/>
      <c r="E83" s="59"/>
      <c r="F83" s="59"/>
      <c r="G83" s="59"/>
      <c r="H83" s="59"/>
      <c r="I83" s="63"/>
    </row>
    <row r="84" spans="4:9" ht="17.25" hidden="1" thickTop="1" x14ac:dyDescent="0.25">
      <c r="D84" s="59"/>
      <c r="E84" s="59"/>
      <c r="F84" s="59"/>
      <c r="G84" s="59"/>
      <c r="H84" s="59"/>
      <c r="I84" s="59"/>
    </row>
    <row r="85" spans="4:9" ht="17.25" thickTop="1" x14ac:dyDescent="0.25"/>
  </sheetData>
  <mergeCells count="334">
    <mergeCell ref="S59:W59"/>
    <mergeCell ref="AC59:AE59"/>
    <mergeCell ref="AC58:AG58"/>
    <mergeCell ref="AC56:AG56"/>
    <mergeCell ref="B57:H57"/>
    <mergeCell ref="B58:H58"/>
    <mergeCell ref="B56:H56"/>
    <mergeCell ref="I56:M56"/>
    <mergeCell ref="N56:R56"/>
    <mergeCell ref="S56:W56"/>
    <mergeCell ref="X56:AB56"/>
    <mergeCell ref="N59:R59"/>
    <mergeCell ref="X59:AB59"/>
    <mergeCell ref="B55:H55"/>
    <mergeCell ref="I55:M55"/>
    <mergeCell ref="N55:R55"/>
    <mergeCell ref="S55:W55"/>
    <mergeCell ref="X55:AB55"/>
    <mergeCell ref="AC55:AG55"/>
    <mergeCell ref="J69:M69"/>
    <mergeCell ref="L71:M71"/>
    <mergeCell ref="F79:H80"/>
    <mergeCell ref="I59:L59"/>
    <mergeCell ref="I60:L60"/>
    <mergeCell ref="J64:M64"/>
    <mergeCell ref="J65:M65"/>
    <mergeCell ref="J66:M66"/>
    <mergeCell ref="J67:M67"/>
    <mergeCell ref="X58:AB58"/>
    <mergeCell ref="AF59:AG59"/>
    <mergeCell ref="AF60:AG60"/>
    <mergeCell ref="N67:P67"/>
    <mergeCell ref="J68:M68"/>
    <mergeCell ref="D60:H60"/>
    <mergeCell ref="B59:H59"/>
    <mergeCell ref="AC60:AE60"/>
    <mergeCell ref="S60:W60"/>
    <mergeCell ref="N53:R53"/>
    <mergeCell ref="S53:W53"/>
    <mergeCell ref="X53:AB53"/>
    <mergeCell ref="AC53:AG53"/>
    <mergeCell ref="B52:F54"/>
    <mergeCell ref="G52:H52"/>
    <mergeCell ref="I52:M52"/>
    <mergeCell ref="N52:R52"/>
    <mergeCell ref="S52:W52"/>
    <mergeCell ref="G54:H54"/>
    <mergeCell ref="I54:M54"/>
    <mergeCell ref="N54:R54"/>
    <mergeCell ref="S54:W54"/>
    <mergeCell ref="X54:AB54"/>
    <mergeCell ref="AC54:AG54"/>
    <mergeCell ref="X52:AB52"/>
    <mergeCell ref="AC52:AG52"/>
    <mergeCell ref="G53:H53"/>
    <mergeCell ref="I53:M53"/>
    <mergeCell ref="AF50:AG50"/>
    <mergeCell ref="C51:F51"/>
    <mergeCell ref="L51:M51"/>
    <mergeCell ref="Q51:R51"/>
    <mergeCell ref="V51:W51"/>
    <mergeCell ref="AA51:AB51"/>
    <mergeCell ref="AF51:AG51"/>
    <mergeCell ref="C50:F50"/>
    <mergeCell ref="L50:M50"/>
    <mergeCell ref="Q50:R50"/>
    <mergeCell ref="V50:W50"/>
    <mergeCell ref="AA50:AB50"/>
    <mergeCell ref="AF48:AG48"/>
    <mergeCell ref="C49:F49"/>
    <mergeCell ref="L49:M49"/>
    <mergeCell ref="Q49:R49"/>
    <mergeCell ref="V49:W49"/>
    <mergeCell ref="AA49:AB49"/>
    <mergeCell ref="AF49:AG49"/>
    <mergeCell ref="C48:F48"/>
    <mergeCell ref="L48:M48"/>
    <mergeCell ref="Q48:R48"/>
    <mergeCell ref="V48:W48"/>
    <mergeCell ref="AA48:AB48"/>
    <mergeCell ref="AF46:AG46"/>
    <mergeCell ref="C47:F47"/>
    <mergeCell ref="L47:M47"/>
    <mergeCell ref="Q47:R47"/>
    <mergeCell ref="V47:W47"/>
    <mergeCell ref="AA47:AB47"/>
    <mergeCell ref="AF47:AG47"/>
    <mergeCell ref="C46:F46"/>
    <mergeCell ref="L46:M46"/>
    <mergeCell ref="Q46:R46"/>
    <mergeCell ref="V46:W46"/>
    <mergeCell ref="AA46:AB46"/>
    <mergeCell ref="AF44:AG44"/>
    <mergeCell ref="C45:F45"/>
    <mergeCell ref="L45:M45"/>
    <mergeCell ref="Q45:R45"/>
    <mergeCell ref="V45:W45"/>
    <mergeCell ref="AA45:AB45"/>
    <mergeCell ref="AF45:AG45"/>
    <mergeCell ref="C44:F44"/>
    <mergeCell ref="L44:M44"/>
    <mergeCell ref="Q44:R44"/>
    <mergeCell ref="V44:W44"/>
    <mergeCell ref="AA44:AB44"/>
    <mergeCell ref="AF42:AG42"/>
    <mergeCell ref="C43:F43"/>
    <mergeCell ref="L43:M43"/>
    <mergeCell ref="Q43:R43"/>
    <mergeCell ref="V43:W43"/>
    <mergeCell ref="AA43:AB43"/>
    <mergeCell ref="AF43:AG43"/>
    <mergeCell ref="C42:F42"/>
    <mergeCell ref="L42:M42"/>
    <mergeCell ref="Q42:R42"/>
    <mergeCell ref="V42:W42"/>
    <mergeCell ref="AA42:AB42"/>
    <mergeCell ref="AF40:AG40"/>
    <mergeCell ref="C41:F41"/>
    <mergeCell ref="L41:M41"/>
    <mergeCell ref="Q41:R41"/>
    <mergeCell ref="V41:W41"/>
    <mergeCell ref="AA41:AB41"/>
    <mergeCell ref="AF41:AG41"/>
    <mergeCell ref="C40:F40"/>
    <mergeCell ref="L40:M40"/>
    <mergeCell ref="Q40:R40"/>
    <mergeCell ref="V40:W40"/>
    <mergeCell ref="AA40:AB40"/>
    <mergeCell ref="AF38:AG38"/>
    <mergeCell ref="C39:F39"/>
    <mergeCell ref="L39:M39"/>
    <mergeCell ref="Q39:R39"/>
    <mergeCell ref="V39:W39"/>
    <mergeCell ref="AA39:AB39"/>
    <mergeCell ref="AF39:AG39"/>
    <mergeCell ref="C38:F38"/>
    <mergeCell ref="L38:M38"/>
    <mergeCell ref="Q38:R38"/>
    <mergeCell ref="V38:W38"/>
    <mergeCell ref="AA38:AB38"/>
    <mergeCell ref="AF36:AG36"/>
    <mergeCell ref="C37:F37"/>
    <mergeCell ref="L37:M37"/>
    <mergeCell ref="Q37:R37"/>
    <mergeCell ref="V37:W37"/>
    <mergeCell ref="AA37:AB37"/>
    <mergeCell ref="AF37:AG37"/>
    <mergeCell ref="C36:F36"/>
    <mergeCell ref="L36:M36"/>
    <mergeCell ref="Q36:R36"/>
    <mergeCell ref="V36:W36"/>
    <mergeCell ref="AA36:AB36"/>
    <mergeCell ref="AF34:AG34"/>
    <mergeCell ref="C35:F35"/>
    <mergeCell ref="L35:M35"/>
    <mergeCell ref="Q35:R35"/>
    <mergeCell ref="V35:W35"/>
    <mergeCell ref="AA35:AB35"/>
    <mergeCell ref="AF35:AG35"/>
    <mergeCell ref="C34:F34"/>
    <mergeCell ref="L34:M34"/>
    <mergeCell ref="Q34:R34"/>
    <mergeCell ref="V34:W34"/>
    <mergeCell ref="AA34:AB34"/>
    <mergeCell ref="AF32:AG32"/>
    <mergeCell ref="C33:F33"/>
    <mergeCell ref="L33:M33"/>
    <mergeCell ref="Q33:R33"/>
    <mergeCell ref="V33:W33"/>
    <mergeCell ref="AA33:AB33"/>
    <mergeCell ref="AF33:AG33"/>
    <mergeCell ref="C32:F32"/>
    <mergeCell ref="L32:M32"/>
    <mergeCell ref="Q32:R32"/>
    <mergeCell ref="V32:W32"/>
    <mergeCell ref="AA32:AB32"/>
    <mergeCell ref="AF30:AG30"/>
    <mergeCell ref="C31:F31"/>
    <mergeCell ref="L31:M31"/>
    <mergeCell ref="Q31:R31"/>
    <mergeCell ref="V31:W31"/>
    <mergeCell ref="AA31:AB31"/>
    <mergeCell ref="AF31:AG31"/>
    <mergeCell ref="C30:F30"/>
    <mergeCell ref="L30:M30"/>
    <mergeCell ref="Q30:R30"/>
    <mergeCell ref="V30:W30"/>
    <mergeCell ref="AA30:AB30"/>
    <mergeCell ref="AF28:AG28"/>
    <mergeCell ref="AF26:AG26"/>
    <mergeCell ref="C29:F29"/>
    <mergeCell ref="L29:M29"/>
    <mergeCell ref="Q29:R29"/>
    <mergeCell ref="V29:W29"/>
    <mergeCell ref="AA29:AB29"/>
    <mergeCell ref="AF29:AG29"/>
    <mergeCell ref="C28:F28"/>
    <mergeCell ref="L28:M28"/>
    <mergeCell ref="Q28:R28"/>
    <mergeCell ref="V28:W28"/>
    <mergeCell ref="AA28:AB28"/>
    <mergeCell ref="AF23:AG23"/>
    <mergeCell ref="AC21:AG21"/>
    <mergeCell ref="C22:F22"/>
    <mergeCell ref="C27:F27"/>
    <mergeCell ref="L27:M27"/>
    <mergeCell ref="Q27:R27"/>
    <mergeCell ref="V27:W27"/>
    <mergeCell ref="AA27:AB27"/>
    <mergeCell ref="AF27:AG27"/>
    <mergeCell ref="C26:F26"/>
    <mergeCell ref="L26:M26"/>
    <mergeCell ref="Q26:R26"/>
    <mergeCell ref="V26:W26"/>
    <mergeCell ref="AA26:AB26"/>
    <mergeCell ref="V22:W22"/>
    <mergeCell ref="AA22:AB22"/>
    <mergeCell ref="AF22:AG22"/>
    <mergeCell ref="G21:H21"/>
    <mergeCell ref="I21:M21"/>
    <mergeCell ref="N21:R21"/>
    <mergeCell ref="S21:W21"/>
    <mergeCell ref="X21:AB21"/>
    <mergeCell ref="L24:M24"/>
    <mergeCell ref="Q24:R24"/>
    <mergeCell ref="V24:W24"/>
    <mergeCell ref="AA24:AB24"/>
    <mergeCell ref="C23:F23"/>
    <mergeCell ref="L23:M23"/>
    <mergeCell ref="Q23:R23"/>
    <mergeCell ref="V23:W23"/>
    <mergeCell ref="AA23:AB23"/>
    <mergeCell ref="AO20:AO22"/>
    <mergeCell ref="AP20:AP22"/>
    <mergeCell ref="AQ20:AQ22"/>
    <mergeCell ref="X19:AB19"/>
    <mergeCell ref="AC19:AG19"/>
    <mergeCell ref="P18:R18"/>
    <mergeCell ref="S18:T18"/>
    <mergeCell ref="U18:W18"/>
    <mergeCell ref="G17:H17"/>
    <mergeCell ref="I17:M17"/>
    <mergeCell ref="N17:R17"/>
    <mergeCell ref="K18:M18"/>
    <mergeCell ref="G19:H19"/>
    <mergeCell ref="I19:M19"/>
    <mergeCell ref="N19:R19"/>
    <mergeCell ref="B4:F6"/>
    <mergeCell ref="G4:AE6"/>
    <mergeCell ref="B7:D7"/>
    <mergeCell ref="AD7:AG7"/>
    <mergeCell ref="B8:D8"/>
    <mergeCell ref="AD8:AG8"/>
    <mergeCell ref="S11:W11"/>
    <mergeCell ref="X11:AB11"/>
    <mergeCell ref="AC11:AG11"/>
    <mergeCell ref="B9:D9"/>
    <mergeCell ref="B10:C10"/>
    <mergeCell ref="F10:H10"/>
    <mergeCell ref="B11:F11"/>
    <mergeCell ref="G11:H12"/>
    <mergeCell ref="I11:M11"/>
    <mergeCell ref="N11:R11"/>
    <mergeCell ref="B12:F12"/>
    <mergeCell ref="J12:M12"/>
    <mergeCell ref="O12:R12"/>
    <mergeCell ref="F7:Q7"/>
    <mergeCell ref="F8:Q8"/>
    <mergeCell ref="F9:Q9"/>
    <mergeCell ref="BA21:BB21"/>
    <mergeCell ref="BA22:BB22"/>
    <mergeCell ref="G15:H15"/>
    <mergeCell ref="I15:M15"/>
    <mergeCell ref="N16:R16"/>
    <mergeCell ref="S16:W16"/>
    <mergeCell ref="X16:AB16"/>
    <mergeCell ref="AR19:AR22"/>
    <mergeCell ref="G20:H20"/>
    <mergeCell ref="I20:M20"/>
    <mergeCell ref="N20:R20"/>
    <mergeCell ref="S20:W20"/>
    <mergeCell ref="X20:AB20"/>
    <mergeCell ref="AC20:AG20"/>
    <mergeCell ref="AC16:AG16"/>
    <mergeCell ref="S17:W17"/>
    <mergeCell ref="X17:AB17"/>
    <mergeCell ref="X18:Y18"/>
    <mergeCell ref="Z18:AB18"/>
    <mergeCell ref="S19:W19"/>
    <mergeCell ref="AT22:AV22"/>
    <mergeCell ref="AW22:AY22"/>
    <mergeCell ref="AM20:AM22"/>
    <mergeCell ref="AN20:AN22"/>
    <mergeCell ref="AC17:AG17"/>
    <mergeCell ref="G18:H18"/>
    <mergeCell ref="I18:J18"/>
    <mergeCell ref="B18:E18"/>
    <mergeCell ref="X60:AB60"/>
    <mergeCell ref="I58:W58"/>
    <mergeCell ref="I57:W57"/>
    <mergeCell ref="B61:AG61"/>
    <mergeCell ref="AC57:AG57"/>
    <mergeCell ref="X57:AB57"/>
    <mergeCell ref="L22:M22"/>
    <mergeCell ref="AC18:AD18"/>
    <mergeCell ref="AE18:AG18"/>
    <mergeCell ref="N18:O18"/>
    <mergeCell ref="Q22:R22"/>
    <mergeCell ref="B19:F20"/>
    <mergeCell ref="AF24:AG24"/>
    <mergeCell ref="C25:F25"/>
    <mergeCell ref="L25:M25"/>
    <mergeCell ref="Q25:R25"/>
    <mergeCell ref="V25:W25"/>
    <mergeCell ref="AA25:AB25"/>
    <mergeCell ref="AF25:AG25"/>
    <mergeCell ref="C24:F24"/>
    <mergeCell ref="AC13:AG14"/>
    <mergeCell ref="AD12:AG12"/>
    <mergeCell ref="B13:F13"/>
    <mergeCell ref="T12:W12"/>
    <mergeCell ref="AC15:AG15"/>
    <mergeCell ref="S13:W14"/>
    <mergeCell ref="X13:AB14"/>
    <mergeCell ref="G13:H14"/>
    <mergeCell ref="B14:F16"/>
    <mergeCell ref="G16:H16"/>
    <mergeCell ref="I13:M14"/>
    <mergeCell ref="N13:R14"/>
    <mergeCell ref="Y12:AB12"/>
    <mergeCell ref="N15:R15"/>
    <mergeCell ref="S15:W15"/>
    <mergeCell ref="X15:AB15"/>
    <mergeCell ref="I16:M16"/>
  </mergeCells>
  <conditionalFormatting sqref="I23:M51">
    <cfRule type="expression" dxfId="41" priority="1" stopIfTrue="1">
      <formula>$L23="No Quote"</formula>
    </cfRule>
  </conditionalFormatting>
  <conditionalFormatting sqref="K18">
    <cfRule type="expression" dxfId="40" priority="12" stopIfTrue="1">
      <formula>$I$18&gt;0</formula>
    </cfRule>
  </conditionalFormatting>
  <conditionalFormatting sqref="N23:R51">
    <cfRule type="expression" dxfId="39" priority="23" stopIfTrue="1">
      <formula>$Q23="No Quote"</formula>
    </cfRule>
  </conditionalFormatting>
  <conditionalFormatting sqref="P18">
    <cfRule type="expression" dxfId="38" priority="11" stopIfTrue="1">
      <formula>$N$18&gt;0</formula>
    </cfRule>
    <cfRule type="expression" dxfId="37" priority="17" stopIfTrue="1">
      <formula>$N$18</formula>
    </cfRule>
  </conditionalFormatting>
  <conditionalFormatting sqref="S23:W51">
    <cfRule type="expression" dxfId="36" priority="21" stopIfTrue="1">
      <formula>$V23="No Quote"</formula>
    </cfRule>
  </conditionalFormatting>
  <conditionalFormatting sqref="U18">
    <cfRule type="expression" dxfId="35" priority="15" stopIfTrue="1">
      <formula>$S$18&gt;0</formula>
    </cfRule>
  </conditionalFormatting>
  <conditionalFormatting sqref="X23:AB51">
    <cfRule type="expression" dxfId="34" priority="20" stopIfTrue="1">
      <formula>$AA23="No Quote"</formula>
    </cfRule>
  </conditionalFormatting>
  <conditionalFormatting sqref="Z18">
    <cfRule type="expression" dxfId="33" priority="14" stopIfTrue="1">
      <formula>$X$18&gt;0</formula>
    </cfRule>
  </conditionalFormatting>
  <conditionalFormatting sqref="AC23:AG51">
    <cfRule type="expression" dxfId="32" priority="19" stopIfTrue="1">
      <formula>$AF23="No Quote"</formula>
    </cfRule>
  </conditionalFormatting>
  <conditionalFormatting sqref="AE18">
    <cfRule type="expression" dxfId="31" priority="13" stopIfTrue="1">
      <formula>$AC$18&gt;0</formula>
    </cfRule>
  </conditionalFormatting>
  <conditionalFormatting sqref="AJ23:AK51">
    <cfRule type="expression" dxfId="30" priority="8" stopIfTrue="1">
      <formula>$AJ23&gt;$AR23</formula>
    </cfRule>
  </conditionalFormatting>
  <conditionalFormatting sqref="AM23:AM51">
    <cfRule type="expression" dxfId="29" priority="7" stopIfTrue="1">
      <formula>$AM23=$AR23</formula>
    </cfRule>
  </conditionalFormatting>
  <conditionalFormatting sqref="AN23:AN51">
    <cfRule type="expression" dxfId="28" priority="6" stopIfTrue="1">
      <formula>$AN23=$AR23</formula>
    </cfRule>
  </conditionalFormatting>
  <conditionalFormatting sqref="AN24:AQ51">
    <cfRule type="expression" dxfId="27" priority="5" stopIfTrue="1">
      <formula>$AA24=$AD24</formula>
    </cfRule>
  </conditionalFormatting>
  <conditionalFormatting sqref="AO23:AO51">
    <cfRule type="expression" dxfId="26" priority="4" stopIfTrue="1">
      <formula>$AO23=$AR23</formula>
    </cfRule>
  </conditionalFormatting>
  <conditionalFormatting sqref="AP23:AP51">
    <cfRule type="expression" dxfId="25" priority="3" stopIfTrue="1">
      <formula>$AP23=$AR23</formula>
    </cfRule>
  </conditionalFormatting>
  <conditionalFormatting sqref="AQ23:AQ51">
    <cfRule type="expression" dxfId="24" priority="2" stopIfTrue="1">
      <formula>$AQ23=$AR23</formula>
    </cfRule>
  </conditionalFormatting>
  <dataValidations count="4">
    <dataValidation type="list" allowBlank="1" showInputMessage="1" showErrorMessage="1" sqref="M59" xr:uid="{84F351C0-9192-479F-95C9-6D895C0B55F1}">
      <formula1>$N$80:$N$82</formula1>
    </dataValidation>
    <dataValidation type="list" allowBlank="1" showInputMessage="1" showErrorMessage="1" sqref="N59" xr:uid="{9C54320C-0535-4DE3-AFAB-76B23FE782B7}">
      <formula1>"Zulkifli Bastiandi, Teuku Syamsul Rizal, Ifit Prabowo"</formula1>
    </dataValidation>
    <dataValidation type="list" allowBlank="1" showInputMessage="1" sqref="I20:AG20" xr:uid="{4E9C2791-377C-4301-8451-2C67B19BE331}">
      <formula1>"Subject prior to sales"</formula1>
    </dataValidation>
    <dataValidation type="list" allowBlank="1" showInputMessage="1" sqref="I21:AG21" xr:uid="{F0CB5C72-CA30-435E-8D66-F2892BDA815F}">
      <formula1>"MSW Tanjung, IBT Mekar Putih"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5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64BD-9C20-4477-A73B-2F0CE4682231}">
  <sheetPr codeName="Sheet13">
    <pageSetUpPr fitToPage="1"/>
  </sheetPr>
  <dimension ref="A1:AV84"/>
  <sheetViews>
    <sheetView showGridLines="0" view="pageBreakPreview" zoomScale="70" zoomScaleNormal="50" zoomScaleSheetLayoutView="70" workbookViewId="0">
      <selection activeCell="B58" sqref="B58:H58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1" width="10.7109375" style="4" customWidth="1"/>
    <col min="22" max="23" width="15.7109375" style="4" customWidth="1"/>
    <col min="24" max="26" width="10.7109375" style="4" customWidth="1"/>
    <col min="27" max="28" width="15.7109375" style="4" customWidth="1"/>
    <col min="29" max="37" width="15.7109375" style="4" customWidth="1" outlineLevel="1"/>
    <col min="38" max="38" width="15.7109375" style="59" customWidth="1" outlineLevel="1"/>
    <col min="39" max="39" width="22" style="58" customWidth="1" outlineLevel="1"/>
    <col min="40" max="40" width="12" style="4" customWidth="1" outlineLevel="1"/>
    <col min="41" max="41" width="4.7109375" style="69" customWidth="1" outlineLevel="1"/>
    <col min="42" max="42" width="22" style="58" customWidth="1" outlineLevel="1"/>
    <col min="43" max="43" width="9.7109375" style="4" customWidth="1" outlineLevel="1"/>
    <col min="44" max="44" width="4.7109375" style="4" customWidth="1" outlineLevel="1"/>
    <col min="45" max="45" width="22" style="58" customWidth="1" outlineLevel="1"/>
    <col min="46" max="46" width="9.28515625" customWidth="1"/>
    <col min="47" max="47" width="11.42578125" style="98" bestFit="1" customWidth="1"/>
    <col min="48" max="48" width="23" style="4" customWidth="1"/>
    <col min="49" max="16384" width="9.28515625" style="4" hidden="1"/>
  </cols>
  <sheetData>
    <row r="1" spans="2:47" s="1" customFormat="1" ht="13.5" x14ac:dyDescent="0.25">
      <c r="D1" s="2"/>
      <c r="AL1" s="82"/>
      <c r="AM1" s="73"/>
      <c r="AO1" s="68"/>
      <c r="AP1" s="73"/>
      <c r="AS1" s="73"/>
      <c r="AU1" s="97"/>
    </row>
    <row r="2" spans="2:47" s="1" customFormat="1" ht="13.5" x14ac:dyDescent="0.25">
      <c r="D2" s="2"/>
      <c r="AL2" s="82"/>
      <c r="AM2" s="73"/>
      <c r="AO2" s="68"/>
      <c r="AP2" s="73"/>
      <c r="AS2" s="73"/>
      <c r="AU2" s="97"/>
    </row>
    <row r="3" spans="2:47" ht="17.25" thickBot="1" x14ac:dyDescent="0.3"/>
    <row r="4" spans="2:47" ht="19.5" customHeight="1" thickTop="1" x14ac:dyDescent="0.25">
      <c r="B4" s="272" t="s">
        <v>2</v>
      </c>
      <c r="C4" s="273"/>
      <c r="D4" s="273"/>
      <c r="E4" s="273"/>
      <c r="F4" s="273"/>
      <c r="G4" s="344" t="s">
        <v>3</v>
      </c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6"/>
      <c r="AB4" s="7"/>
    </row>
    <row r="5" spans="2:47" ht="20.100000000000001" customHeight="1" x14ac:dyDescent="0.25">
      <c r="B5" s="274"/>
      <c r="C5" s="275"/>
      <c r="D5" s="275"/>
      <c r="E5" s="275"/>
      <c r="F5" s="27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8"/>
      <c r="AB5" s="9"/>
    </row>
    <row r="6" spans="2:47" ht="20.100000000000001" customHeight="1" x14ac:dyDescent="0.25">
      <c r="B6" s="274"/>
      <c r="C6" s="275"/>
      <c r="D6" s="275"/>
      <c r="E6" s="275"/>
      <c r="F6" s="27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8"/>
      <c r="AB6" s="9"/>
    </row>
    <row r="7" spans="2:47" s="12" customFormat="1" ht="15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V7" s="14"/>
      <c r="W7" s="15"/>
      <c r="Y7" s="278" t="s">
        <v>6</v>
      </c>
      <c r="Z7" s="278"/>
      <c r="AA7" s="278"/>
      <c r="AB7" s="279"/>
      <c r="AL7" s="83"/>
      <c r="AM7" s="76"/>
      <c r="AO7" s="70"/>
      <c r="AP7" s="76"/>
      <c r="AS7" s="76"/>
      <c r="AU7" s="99"/>
    </row>
    <row r="8" spans="2:47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V8" s="16"/>
      <c r="W8" s="15"/>
      <c r="Y8" s="256">
        <f ca="1">TODAY()</f>
        <v>46231</v>
      </c>
      <c r="Z8" s="256"/>
      <c r="AA8" s="256"/>
      <c r="AB8" s="257"/>
      <c r="AL8" s="83"/>
      <c r="AM8" s="76"/>
      <c r="AO8" s="70"/>
      <c r="AP8" s="76"/>
      <c r="AS8" s="76"/>
      <c r="AU8" s="99"/>
    </row>
    <row r="9" spans="2:47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X9" s="10"/>
      <c r="Y9" s="17"/>
      <c r="Z9" s="17"/>
      <c r="AA9" s="17"/>
      <c r="AB9" s="18"/>
      <c r="AL9" s="83"/>
      <c r="AM9" s="76"/>
      <c r="AO9" s="70"/>
      <c r="AP9" s="76"/>
      <c r="AS9" s="76"/>
      <c r="AU9" s="99"/>
    </row>
    <row r="10" spans="2:47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AB10" s="21"/>
    </row>
    <row r="11" spans="2:47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 t="shared" ref="S11" si="0">N11+1</f>
        <v>3</v>
      </c>
      <c r="T11" s="252"/>
      <c r="U11" s="252"/>
      <c r="V11" s="252"/>
      <c r="W11" s="253"/>
      <c r="X11" s="251">
        <f t="shared" ref="X11" si="1">S11+1</f>
        <v>4</v>
      </c>
      <c r="Y11" s="252"/>
      <c r="Z11" s="252"/>
      <c r="AA11" s="252"/>
      <c r="AB11" s="280"/>
      <c r="AL11" s="82"/>
      <c r="AM11" s="73"/>
      <c r="AO11" s="68"/>
      <c r="AP11" s="73"/>
      <c r="AS11" s="73"/>
      <c r="AU11" s="97"/>
    </row>
    <row r="12" spans="2:47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 t="s">
        <v>51</v>
      </c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7"/>
      <c r="X12" s="22"/>
      <c r="Y12" s="140"/>
      <c r="Z12" s="140"/>
      <c r="AA12" s="140"/>
      <c r="AB12" s="141"/>
      <c r="AH12" s="3"/>
      <c r="AI12" s="3"/>
      <c r="AL12" s="82"/>
      <c r="AM12" s="73"/>
      <c r="AO12" s="68"/>
      <c r="AP12" s="73"/>
      <c r="AS12" s="73"/>
      <c r="AU12" s="97"/>
    </row>
    <row r="13" spans="2:47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48"/>
      <c r="X13" s="128">
        <v>0</v>
      </c>
      <c r="Y13" s="129"/>
      <c r="Z13" s="129"/>
      <c r="AA13" s="129"/>
      <c r="AB13" s="130"/>
      <c r="AH13" s="3"/>
      <c r="AI13" s="3"/>
      <c r="AJ13" s="3"/>
      <c r="AL13" s="82"/>
      <c r="AM13" s="73"/>
      <c r="AO13" s="68"/>
      <c r="AP13" s="73"/>
      <c r="AS13" s="73"/>
      <c r="AU13" s="97"/>
    </row>
    <row r="14" spans="2:47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49"/>
      <c r="X14" s="131"/>
      <c r="Y14" s="132"/>
      <c r="Z14" s="132"/>
      <c r="AA14" s="132"/>
      <c r="AB14" s="133"/>
      <c r="AH14" s="3"/>
      <c r="AI14" s="3"/>
      <c r="AJ14" s="3"/>
      <c r="AL14" s="82"/>
      <c r="AM14" s="73"/>
      <c r="AO14" s="68"/>
      <c r="AP14" s="73"/>
      <c r="AS14" s="73"/>
      <c r="AU14" s="97"/>
    </row>
    <row r="15" spans="2:47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50"/>
      <c r="X15" s="134"/>
      <c r="Y15" s="135"/>
      <c r="Z15" s="135"/>
      <c r="AA15" s="135"/>
      <c r="AB15" s="136"/>
      <c r="AH15" s="3"/>
      <c r="AI15" s="3"/>
      <c r="AJ15" s="3"/>
      <c r="AL15" s="82"/>
      <c r="AM15" s="73"/>
      <c r="AO15" s="68"/>
      <c r="AP15" s="73"/>
      <c r="AS15" s="73"/>
      <c r="AU15" s="97"/>
    </row>
    <row r="16" spans="2:47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51"/>
      <c r="X16" s="137" t="s">
        <v>51</v>
      </c>
      <c r="Y16" s="138"/>
      <c r="Z16" s="138"/>
      <c r="AA16" s="138"/>
      <c r="AB16" s="139"/>
      <c r="AL16" s="82"/>
      <c r="AM16" s="73"/>
      <c r="AO16" s="68"/>
      <c r="AP16" s="73"/>
      <c r="AS16" s="73"/>
      <c r="AU16" s="97"/>
    </row>
    <row r="17" spans="2:48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7"/>
      <c r="X17" s="239"/>
      <c r="Y17" s="240"/>
      <c r="Z17" s="240"/>
      <c r="AA17" s="240"/>
      <c r="AB17" s="241"/>
      <c r="AL17" s="82"/>
      <c r="AM17" s="73"/>
      <c r="AO17" s="68"/>
      <c r="AP17" s="73"/>
      <c r="AS17" s="73"/>
      <c r="AU17" s="97"/>
    </row>
    <row r="18" spans="2:48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5"/>
      <c r="X18" s="242" t="str">
        <f>IF(X12="","",IF(X12="NV","","30"))</f>
        <v/>
      </c>
      <c r="Y18" s="243"/>
      <c r="Z18" s="244" t="str">
        <f>IFERROR(IF(X17+X18="","",X17+X18),"")</f>
        <v/>
      </c>
      <c r="AA18" s="244"/>
      <c r="AB18" s="246"/>
      <c r="AL18" s="82"/>
      <c r="AM18" s="73"/>
      <c r="AO18" s="68"/>
      <c r="AP18" s="73"/>
      <c r="AS18" s="73"/>
      <c r="AU18" s="97"/>
    </row>
    <row r="19" spans="2:48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159"/>
      <c r="X19" s="227" t="str">
        <f>IF(X12="NV","",IF(X12="","-","45 days"))</f>
        <v>-</v>
      </c>
      <c r="Y19" s="124"/>
      <c r="Z19" s="124"/>
      <c r="AA19" s="124"/>
      <c r="AB19" s="228"/>
      <c r="AH19" s="25">
        <v>1</v>
      </c>
      <c r="AI19" s="25">
        <f>AH19+1</f>
        <v>2</v>
      </c>
      <c r="AJ19" s="25">
        <f t="shared" ref="AJ19:AK19" si="2">AI19+1</f>
        <v>3</v>
      </c>
      <c r="AK19" s="25">
        <f t="shared" si="2"/>
        <v>4</v>
      </c>
      <c r="AL19" s="125" t="s">
        <v>18</v>
      </c>
      <c r="AM19" s="73"/>
      <c r="AO19" s="68"/>
      <c r="AP19" s="73"/>
      <c r="AS19" s="73"/>
      <c r="AU19" s="97"/>
    </row>
    <row r="20" spans="2:48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159"/>
      <c r="X20" s="227" t="s">
        <v>50</v>
      </c>
      <c r="Y20" s="124"/>
      <c r="Z20" s="124"/>
      <c r="AA20" s="124"/>
      <c r="AB20" s="228"/>
      <c r="AH20" s="223">
        <f>J12</f>
        <v>0</v>
      </c>
      <c r="AI20" s="223">
        <f>O12</f>
        <v>0</v>
      </c>
      <c r="AJ20" s="223">
        <f>T12</f>
        <v>0</v>
      </c>
      <c r="AK20" s="223">
        <f>Y12</f>
        <v>0</v>
      </c>
      <c r="AL20" s="126"/>
      <c r="AU20" s="97"/>
    </row>
    <row r="21" spans="2:48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 t="str">
        <f>IF(J12="","","MSW Tanjung")</f>
        <v/>
      </c>
      <c r="J21" s="155"/>
      <c r="K21" s="155"/>
      <c r="L21" s="155"/>
      <c r="M21" s="156"/>
      <c r="N21" s="154" t="str">
        <f>IF(O12="","","MSW Tanjung")</f>
        <v/>
      </c>
      <c r="O21" s="155"/>
      <c r="P21" s="155"/>
      <c r="Q21" s="155"/>
      <c r="R21" s="156"/>
      <c r="S21" s="154" t="str">
        <f>IF(T12="","","MSW Tanjung")</f>
        <v/>
      </c>
      <c r="T21" s="155"/>
      <c r="U21" s="155"/>
      <c r="V21" s="155"/>
      <c r="W21" s="156"/>
      <c r="X21" s="154" t="str">
        <f>IF(Y12="","","MSW Tanjung")</f>
        <v/>
      </c>
      <c r="Y21" s="155"/>
      <c r="Z21" s="155"/>
      <c r="AA21" s="155"/>
      <c r="AB21" s="222"/>
      <c r="AC21" s="50"/>
      <c r="AD21" s="50"/>
      <c r="AH21" s="223"/>
      <c r="AI21" s="223"/>
      <c r="AJ21" s="223"/>
      <c r="AK21" s="223"/>
      <c r="AL21" s="126"/>
      <c r="AM21" s="73"/>
      <c r="AO21" s="68"/>
      <c r="AP21" s="73"/>
      <c r="AS21" s="73"/>
      <c r="AU21" s="343">
        <f>SUM(AU23:AU36)</f>
        <v>0</v>
      </c>
      <c r="AV21" s="343"/>
    </row>
    <row r="22" spans="2:48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6" t="s">
        <v>26</v>
      </c>
      <c r="O22" s="30" t="s">
        <v>18</v>
      </c>
      <c r="P22" s="35" t="s">
        <v>27</v>
      </c>
      <c r="Q22" s="220" t="s">
        <v>28</v>
      </c>
      <c r="R22" s="221"/>
      <c r="S22" s="36" t="s">
        <v>26</v>
      </c>
      <c r="T22" s="30" t="s">
        <v>18</v>
      </c>
      <c r="U22" s="35" t="s">
        <v>27</v>
      </c>
      <c r="V22" s="220" t="s">
        <v>28</v>
      </c>
      <c r="W22" s="221"/>
      <c r="X22" s="37" t="s">
        <v>26</v>
      </c>
      <c r="Y22" s="38" t="s">
        <v>18</v>
      </c>
      <c r="Z22" s="39" t="s">
        <v>27</v>
      </c>
      <c r="AA22" s="229" t="s">
        <v>28</v>
      </c>
      <c r="AB22" s="230"/>
      <c r="AC22" s="40" t="s">
        <v>29</v>
      </c>
      <c r="AD22" s="40" t="s">
        <v>0</v>
      </c>
      <c r="AE22" s="40" t="s">
        <v>30</v>
      </c>
      <c r="AF22" s="40" t="s">
        <v>31</v>
      </c>
      <c r="AG22" s="117" t="s">
        <v>1</v>
      </c>
      <c r="AH22" s="223"/>
      <c r="AI22" s="223"/>
      <c r="AJ22" s="223"/>
      <c r="AK22" s="223"/>
      <c r="AL22" s="127"/>
      <c r="AM22" s="79" t="s">
        <v>32</v>
      </c>
      <c r="AN22" s="219" t="s">
        <v>33</v>
      </c>
      <c r="AO22" s="219"/>
      <c r="AP22" s="219"/>
      <c r="AQ22" s="219" t="s">
        <v>34</v>
      </c>
      <c r="AR22" s="219"/>
      <c r="AS22" s="219"/>
      <c r="AU22" s="142" t="s">
        <v>35</v>
      </c>
      <c r="AV22" s="143"/>
    </row>
    <row r="23" spans="2:48" s="1" customFormat="1" ht="61.5" customHeight="1" x14ac:dyDescent="0.25">
      <c r="B23" s="41">
        <v>1</v>
      </c>
      <c r="C23" s="218"/>
      <c r="D23" s="218"/>
      <c r="E23" s="218"/>
      <c r="F23" s="218"/>
      <c r="G23" s="42"/>
      <c r="H23" s="43"/>
      <c r="I23" s="44"/>
      <c r="J23" s="45" t="str">
        <f>IF($G23="","",$G23*I23)</f>
        <v/>
      </c>
      <c r="K23" s="93"/>
      <c r="L23" s="152" t="str">
        <f>IF($I23="","No Quote",IF($K23="","","No Comply"))</f>
        <v>No Quote</v>
      </c>
      <c r="M23" s="153"/>
      <c r="N23" s="44"/>
      <c r="O23" s="45" t="str">
        <f>IF($G23="","",$G23*N23)</f>
        <v/>
      </c>
      <c r="P23" s="92"/>
      <c r="Q23" s="152" t="str">
        <f>IF($N23="","No Quote",IF($P23="","","No Comply"))</f>
        <v>No Quote</v>
      </c>
      <c r="R23" s="153"/>
      <c r="S23" s="44"/>
      <c r="T23" s="45" t="str">
        <f>IF($G23="","",$G23*S23)</f>
        <v/>
      </c>
      <c r="U23" s="92"/>
      <c r="V23" s="152" t="str">
        <f>IF($S23="","No Quote",IF($U23="","","No Comply"))</f>
        <v>No Quote</v>
      </c>
      <c r="W23" s="153"/>
      <c r="X23" s="44"/>
      <c r="Y23" s="45" t="str">
        <f>IF($G23="","",$G23*X23)</f>
        <v/>
      </c>
      <c r="Z23" s="92"/>
      <c r="AA23" s="212" t="str">
        <f>IF($X23="","No Quote",IF($Z23="","","No Comply"))</f>
        <v>No Quote</v>
      </c>
      <c r="AB23" s="213"/>
      <c r="AC23" s="90"/>
      <c r="AD23" s="96"/>
      <c r="AE23" s="66" t="str">
        <f>IF(AC23="","",$AC23*$G23)</f>
        <v/>
      </c>
      <c r="AF23" s="95"/>
      <c r="AG23" s="95"/>
      <c r="AH23" s="80" t="str">
        <f>IF(OR(K23="X",J23=""),"-",J23)</f>
        <v>-</v>
      </c>
      <c r="AI23" s="80" t="str">
        <f>IF(OR(P23="X",O23=""),"-",O23)</f>
        <v>-</v>
      </c>
      <c r="AJ23" s="80" t="str">
        <f>IF(OR(U23="X",T23=""),"-",T23)</f>
        <v>-</v>
      </c>
      <c r="AK23" s="80" t="str">
        <f>IF(OR(Z23="X",Y23=""),"-",Y23)</f>
        <v>-</v>
      </c>
      <c r="AL23" s="81" t="str">
        <f t="shared" ref="AL23:AL52" si="3">IFERROR(SMALL($AH23:$AK23,COUNTIF($AH23:$AK23,0)+1),"")</f>
        <v/>
      </c>
      <c r="AM23" s="77" t="str">
        <f>IF(AL23=AH23,$AH$20,IF(AL23=AI23,$AI$20,IF(AL23=AJ23,$AJ$20,IF(AL23=AK23,$AK$20,""))))</f>
        <v/>
      </c>
      <c r="AN23" s="75" t="str">
        <f t="shared" ref="AN23:AN52" si="4">IFERROR(SMALL($AH23:$AK23,2),"")</f>
        <v/>
      </c>
      <c r="AO23" s="74" t="str">
        <f>IFERROR(IF(($AN23-$AL23)/$AL23&lt;0%,"",($AN23-$AL23)/$AL23),"")</f>
        <v/>
      </c>
      <c r="AP23" s="77" t="str">
        <f>IFERROR(IF(AN23="","",IF(AN23=AH23,$AH$20,IF(AN23=AI23,$AI$20,IF(AN23=AJ23,$AJ$20,IF(AN23=AK23,$AK$20,""))))),"")</f>
        <v/>
      </c>
      <c r="AQ23" s="75" t="str">
        <f t="shared" ref="AQ23:AQ52" si="5">IFERROR(SMALL($AH23:$AK23,3),"")</f>
        <v/>
      </c>
      <c r="AR23" s="74" t="str">
        <f>IFERROR(IF((AQ23-$AL23)/$AL23&lt;0%,"",(AQ23-$AL23)/$AL23),"")</f>
        <v/>
      </c>
      <c r="AS23" s="77" t="str">
        <f>IFERROR(IF(AQ23="","",IF(AQ23=AH23,$AH$20,IF(AQ23=AI23,$AI$20,IF(AQ23=AJ23,$AJ$20,IF(AQ23=AK23,$AK$20,""))))),"")</f>
        <v/>
      </c>
      <c r="AU23" s="104">
        <f>SUMIFS($AL$23:$AL$51,$AM$23:$AM$51,AV23)</f>
        <v>0</v>
      </c>
      <c r="AV23" s="109"/>
    </row>
    <row r="24" spans="2:48" s="1" customFormat="1" ht="61.5" customHeight="1" x14ac:dyDescent="0.25">
      <c r="B24" s="41">
        <f>B23+1</f>
        <v>2</v>
      </c>
      <c r="C24" s="218"/>
      <c r="D24" s="218"/>
      <c r="E24" s="218"/>
      <c r="F24" s="218"/>
      <c r="G24" s="42"/>
      <c r="H24" s="43"/>
      <c r="I24" s="44"/>
      <c r="J24" s="45" t="str">
        <f t="shared" ref="J24:J51" si="6">IF($G24="","",$G24*I24)</f>
        <v/>
      </c>
      <c r="K24" s="93"/>
      <c r="L24" s="152" t="str">
        <f t="shared" ref="L24:L51" si="7">IF($I24="","No Quote",IF($K24="","","No Comply"))</f>
        <v>No Quote</v>
      </c>
      <c r="M24" s="153"/>
      <c r="N24" s="44"/>
      <c r="O24" s="45" t="str">
        <f t="shared" ref="O24:O51" si="8">IF($G24="","",$G24*N24)</f>
        <v/>
      </c>
      <c r="P24" s="92"/>
      <c r="Q24" s="152" t="str">
        <f t="shared" ref="Q24:Q51" si="9">IF($N24="","No Quote",IF($P24="","","No Comply"))</f>
        <v>No Quote</v>
      </c>
      <c r="R24" s="153"/>
      <c r="S24" s="44"/>
      <c r="T24" s="45" t="str">
        <f t="shared" ref="T24:T51" si="10">IF($G24="","",$G24*S24)</f>
        <v/>
      </c>
      <c r="U24" s="92"/>
      <c r="V24" s="152" t="str">
        <f t="shared" ref="V24:V51" si="11">IF($S24="","No Quote",IF($U24="","","No Comply"))</f>
        <v>No Quote</v>
      </c>
      <c r="W24" s="153"/>
      <c r="X24" s="44"/>
      <c r="Y24" s="45" t="str">
        <f t="shared" ref="Y24:Y51" si="12">IF($G24="","",$G24*X24)</f>
        <v/>
      </c>
      <c r="Z24" s="92"/>
      <c r="AA24" s="212" t="str">
        <f t="shared" ref="AA24:AA51" si="13">IF($X24="","No Quote",IF($Z24="","","No Comply"))</f>
        <v>No Quote</v>
      </c>
      <c r="AB24" s="213"/>
      <c r="AC24" s="90"/>
      <c r="AD24" s="96"/>
      <c r="AE24" s="66" t="str">
        <f t="shared" ref="AE24:AE51" si="14">IF(AC24="","",$AC24*$G24)</f>
        <v/>
      </c>
      <c r="AF24" s="95"/>
      <c r="AG24" s="95"/>
      <c r="AH24" s="80" t="str">
        <f t="shared" ref="AH24:AH51" si="15">IF(OR(K24="X",J24=""),"-",J24)</f>
        <v>-</v>
      </c>
      <c r="AI24" s="80" t="str">
        <f t="shared" ref="AI24:AI51" si="16">IF(OR(P24="X",O24=""),"-",O24)</f>
        <v>-</v>
      </c>
      <c r="AJ24" s="80" t="str">
        <f t="shared" ref="AJ24:AJ51" si="17">IF(OR(U24="X",T24=""),"-",T24)</f>
        <v>-</v>
      </c>
      <c r="AK24" s="80" t="str">
        <f t="shared" ref="AK24:AK51" si="18">IF(OR(Z24="X",Y24=""),"-",Y24)</f>
        <v>-</v>
      </c>
      <c r="AL24" s="81" t="str">
        <f t="shared" si="3"/>
        <v/>
      </c>
      <c r="AM24" s="77" t="str">
        <f t="shared" ref="AM24:AM51" si="19">IF(AL24=AH24,$AH$20,IF(AL24=AI24,$AI$20,IF(AL24=AJ24,$AJ$20,IF(AL24=AK24,$AK$20,""))))</f>
        <v/>
      </c>
      <c r="AN24" s="75" t="str">
        <f t="shared" si="4"/>
        <v/>
      </c>
      <c r="AO24" s="74" t="str">
        <f t="shared" ref="AO24:AO52" si="20">IFERROR(IF(($AN24-$AL24)/$AL24&lt;0%,"",($AN24-$AL24)/$AL24),"")</f>
        <v/>
      </c>
      <c r="AP24" s="77" t="str">
        <f t="shared" ref="AP24:AP51" si="21">IFERROR(IF(AN24="","",IF(AN24=AH24,$AH$20,IF(AN24=AI24,$AI$20,IF(AN24=AJ24,$AJ$20,IF(AN24=AK24,$AK$20,""))))),"")</f>
        <v/>
      </c>
      <c r="AQ24" s="75" t="str">
        <f t="shared" si="5"/>
        <v/>
      </c>
      <c r="AR24" s="74" t="str">
        <f t="shared" ref="AR24:AR51" si="22">IFERROR(IF((AQ24-$AL24)/$AL24&lt;0%,"",(AQ24-$AL24)/$AL24),"")</f>
        <v/>
      </c>
      <c r="AS24" s="77" t="str">
        <f t="shared" ref="AS24:AS51" si="23">IFERROR(IF(AQ24="","",IF(AQ24=AH24,$AH$20,IF(AQ24=AI24,$AI$20,IF(AQ24=AJ24,$AJ$20,IF(AQ24=AK24,$AK$20,""))))),"")</f>
        <v/>
      </c>
      <c r="AU24" s="104">
        <f t="shared" ref="AU24:AU36" si="24">SUMIFS($AL$23:$AL$51,$AM$23:$AM$51,AV24)</f>
        <v>0</v>
      </c>
      <c r="AV24" s="103"/>
    </row>
    <row r="25" spans="2:48" s="1" customFormat="1" ht="61.5" customHeight="1" x14ac:dyDescent="0.25">
      <c r="B25" s="41">
        <f t="shared" ref="B25:B51" si="25">B24+1</f>
        <v>3</v>
      </c>
      <c r="C25" s="218"/>
      <c r="D25" s="218"/>
      <c r="E25" s="218"/>
      <c r="F25" s="218"/>
      <c r="G25" s="42"/>
      <c r="H25" s="43"/>
      <c r="I25" s="44"/>
      <c r="J25" s="45" t="str">
        <f t="shared" si="6"/>
        <v/>
      </c>
      <c r="K25" s="93"/>
      <c r="L25" s="152" t="str">
        <f t="shared" si="7"/>
        <v>No Quote</v>
      </c>
      <c r="M25" s="153"/>
      <c r="N25" s="44"/>
      <c r="O25" s="45" t="str">
        <f t="shared" si="8"/>
        <v/>
      </c>
      <c r="P25" s="92"/>
      <c r="Q25" s="152" t="str">
        <f t="shared" si="9"/>
        <v>No Quote</v>
      </c>
      <c r="R25" s="153"/>
      <c r="S25" s="44"/>
      <c r="T25" s="45" t="str">
        <f t="shared" si="10"/>
        <v/>
      </c>
      <c r="U25" s="92"/>
      <c r="V25" s="152" t="str">
        <f t="shared" si="11"/>
        <v>No Quote</v>
      </c>
      <c r="W25" s="153"/>
      <c r="X25" s="44"/>
      <c r="Y25" s="45" t="str">
        <f t="shared" si="12"/>
        <v/>
      </c>
      <c r="Z25" s="92"/>
      <c r="AA25" s="212" t="str">
        <f t="shared" si="13"/>
        <v>No Quote</v>
      </c>
      <c r="AB25" s="213"/>
      <c r="AC25" s="90"/>
      <c r="AD25" s="96"/>
      <c r="AE25" s="66" t="str">
        <f t="shared" si="14"/>
        <v/>
      </c>
      <c r="AF25" s="95"/>
      <c r="AG25" s="95"/>
      <c r="AH25" s="80" t="str">
        <f t="shared" si="15"/>
        <v>-</v>
      </c>
      <c r="AI25" s="80" t="str">
        <f t="shared" si="16"/>
        <v>-</v>
      </c>
      <c r="AJ25" s="80" t="str">
        <f t="shared" si="17"/>
        <v>-</v>
      </c>
      <c r="AK25" s="80" t="str">
        <f t="shared" si="18"/>
        <v>-</v>
      </c>
      <c r="AL25" s="81" t="str">
        <f t="shared" si="3"/>
        <v/>
      </c>
      <c r="AM25" s="77" t="str">
        <f t="shared" si="19"/>
        <v/>
      </c>
      <c r="AN25" s="75" t="str">
        <f t="shared" si="4"/>
        <v/>
      </c>
      <c r="AO25" s="74" t="str">
        <f t="shared" si="20"/>
        <v/>
      </c>
      <c r="AP25" s="77" t="str">
        <f t="shared" si="21"/>
        <v/>
      </c>
      <c r="AQ25" s="75" t="str">
        <f t="shared" si="5"/>
        <v/>
      </c>
      <c r="AR25" s="74" t="str">
        <f t="shared" si="22"/>
        <v/>
      </c>
      <c r="AS25" s="77" t="str">
        <f t="shared" si="23"/>
        <v/>
      </c>
      <c r="AU25" s="104">
        <f t="shared" si="24"/>
        <v>0</v>
      </c>
      <c r="AV25" s="103"/>
    </row>
    <row r="26" spans="2:48" s="1" customFormat="1" ht="61.5" customHeight="1" x14ac:dyDescent="0.25">
      <c r="B26" s="41">
        <f t="shared" si="25"/>
        <v>4</v>
      </c>
      <c r="C26" s="218"/>
      <c r="D26" s="218"/>
      <c r="E26" s="218"/>
      <c r="F26" s="218"/>
      <c r="G26" s="42"/>
      <c r="H26" s="43"/>
      <c r="I26" s="44"/>
      <c r="J26" s="45" t="str">
        <f t="shared" si="6"/>
        <v/>
      </c>
      <c r="K26" s="93"/>
      <c r="L26" s="152" t="str">
        <f t="shared" si="7"/>
        <v>No Quote</v>
      </c>
      <c r="M26" s="153"/>
      <c r="N26" s="44"/>
      <c r="O26" s="45" t="str">
        <f t="shared" si="8"/>
        <v/>
      </c>
      <c r="P26" s="92"/>
      <c r="Q26" s="152" t="str">
        <f t="shared" si="9"/>
        <v>No Quote</v>
      </c>
      <c r="R26" s="153"/>
      <c r="S26" s="44"/>
      <c r="T26" s="45" t="str">
        <f t="shared" si="10"/>
        <v/>
      </c>
      <c r="U26" s="92"/>
      <c r="V26" s="152" t="str">
        <f t="shared" si="11"/>
        <v>No Quote</v>
      </c>
      <c r="W26" s="153"/>
      <c r="X26" s="44"/>
      <c r="Y26" s="45" t="str">
        <f t="shared" si="12"/>
        <v/>
      </c>
      <c r="Z26" s="92"/>
      <c r="AA26" s="212" t="str">
        <f t="shared" si="13"/>
        <v>No Quote</v>
      </c>
      <c r="AB26" s="213"/>
      <c r="AC26" s="90"/>
      <c r="AD26" s="96"/>
      <c r="AE26" s="66" t="str">
        <f t="shared" si="14"/>
        <v/>
      </c>
      <c r="AF26" s="95"/>
      <c r="AG26" s="95"/>
      <c r="AH26" s="80" t="str">
        <f t="shared" si="15"/>
        <v>-</v>
      </c>
      <c r="AI26" s="80" t="str">
        <f t="shared" si="16"/>
        <v>-</v>
      </c>
      <c r="AJ26" s="80" t="str">
        <f t="shared" si="17"/>
        <v>-</v>
      </c>
      <c r="AK26" s="80" t="str">
        <f t="shared" si="18"/>
        <v>-</v>
      </c>
      <c r="AL26" s="81" t="str">
        <f t="shared" si="3"/>
        <v/>
      </c>
      <c r="AM26" s="77" t="str">
        <f t="shared" si="19"/>
        <v/>
      </c>
      <c r="AN26" s="75" t="str">
        <f t="shared" si="4"/>
        <v/>
      </c>
      <c r="AO26" s="74" t="str">
        <f t="shared" si="20"/>
        <v/>
      </c>
      <c r="AP26" s="77" t="str">
        <f t="shared" si="21"/>
        <v/>
      </c>
      <c r="AQ26" s="75" t="str">
        <f t="shared" si="5"/>
        <v/>
      </c>
      <c r="AR26" s="74" t="str">
        <f t="shared" si="22"/>
        <v/>
      </c>
      <c r="AS26" s="77" t="str">
        <f t="shared" si="23"/>
        <v/>
      </c>
      <c r="AU26" s="104">
        <f t="shared" si="24"/>
        <v>0</v>
      </c>
      <c r="AV26" s="103"/>
    </row>
    <row r="27" spans="2:48" s="1" customFormat="1" ht="61.5" customHeight="1" x14ac:dyDescent="0.25">
      <c r="B27" s="41">
        <f t="shared" si="25"/>
        <v>5</v>
      </c>
      <c r="C27" s="218"/>
      <c r="D27" s="218"/>
      <c r="E27" s="218"/>
      <c r="F27" s="218"/>
      <c r="G27" s="42"/>
      <c r="H27" s="43"/>
      <c r="I27" s="44"/>
      <c r="J27" s="45" t="str">
        <f t="shared" si="6"/>
        <v/>
      </c>
      <c r="K27" s="93"/>
      <c r="L27" s="152" t="str">
        <f t="shared" si="7"/>
        <v>No Quote</v>
      </c>
      <c r="M27" s="153"/>
      <c r="N27" s="44"/>
      <c r="O27" s="45" t="str">
        <f t="shared" si="8"/>
        <v/>
      </c>
      <c r="P27" s="92"/>
      <c r="Q27" s="152" t="str">
        <f t="shared" si="9"/>
        <v>No Quote</v>
      </c>
      <c r="R27" s="153"/>
      <c r="S27" s="44"/>
      <c r="T27" s="45" t="str">
        <f t="shared" si="10"/>
        <v/>
      </c>
      <c r="U27" s="92"/>
      <c r="V27" s="152" t="str">
        <f t="shared" si="11"/>
        <v>No Quote</v>
      </c>
      <c r="W27" s="153"/>
      <c r="X27" s="44"/>
      <c r="Y27" s="45" t="str">
        <f t="shared" si="12"/>
        <v/>
      </c>
      <c r="Z27" s="92"/>
      <c r="AA27" s="212" t="str">
        <f t="shared" si="13"/>
        <v>No Quote</v>
      </c>
      <c r="AB27" s="213"/>
      <c r="AC27" s="90"/>
      <c r="AD27" s="96"/>
      <c r="AE27" s="66" t="str">
        <f t="shared" si="14"/>
        <v/>
      </c>
      <c r="AF27" s="95"/>
      <c r="AG27" s="95"/>
      <c r="AH27" s="80" t="str">
        <f t="shared" si="15"/>
        <v>-</v>
      </c>
      <c r="AI27" s="80" t="str">
        <f t="shared" si="16"/>
        <v>-</v>
      </c>
      <c r="AJ27" s="80" t="str">
        <f t="shared" si="17"/>
        <v>-</v>
      </c>
      <c r="AK27" s="80" t="str">
        <f t="shared" si="18"/>
        <v>-</v>
      </c>
      <c r="AL27" s="81" t="str">
        <f t="shared" si="3"/>
        <v/>
      </c>
      <c r="AM27" s="77" t="str">
        <f t="shared" si="19"/>
        <v/>
      </c>
      <c r="AN27" s="75" t="str">
        <f t="shared" si="4"/>
        <v/>
      </c>
      <c r="AO27" s="74" t="str">
        <f t="shared" si="20"/>
        <v/>
      </c>
      <c r="AP27" s="77" t="str">
        <f t="shared" si="21"/>
        <v/>
      </c>
      <c r="AQ27" s="75" t="str">
        <f t="shared" si="5"/>
        <v/>
      </c>
      <c r="AR27" s="74" t="str">
        <f t="shared" si="22"/>
        <v/>
      </c>
      <c r="AS27" s="77" t="str">
        <f t="shared" si="23"/>
        <v/>
      </c>
      <c r="AU27" s="104">
        <f t="shared" si="24"/>
        <v>0</v>
      </c>
      <c r="AV27" s="103"/>
    </row>
    <row r="28" spans="2:48" s="1" customFormat="1" ht="61.5" customHeight="1" outlineLevel="1" x14ac:dyDescent="0.25">
      <c r="B28" s="41">
        <f t="shared" si="25"/>
        <v>6</v>
      </c>
      <c r="C28" s="218"/>
      <c r="D28" s="218"/>
      <c r="E28" s="218"/>
      <c r="F28" s="218"/>
      <c r="G28" s="42"/>
      <c r="H28" s="43"/>
      <c r="I28" s="44"/>
      <c r="J28" s="45" t="str">
        <f t="shared" si="6"/>
        <v/>
      </c>
      <c r="K28" s="93"/>
      <c r="L28" s="152" t="str">
        <f t="shared" si="7"/>
        <v>No Quote</v>
      </c>
      <c r="M28" s="153"/>
      <c r="N28" s="44"/>
      <c r="O28" s="45" t="str">
        <f t="shared" si="8"/>
        <v/>
      </c>
      <c r="P28" s="92"/>
      <c r="Q28" s="152" t="str">
        <f t="shared" si="9"/>
        <v>No Quote</v>
      </c>
      <c r="R28" s="153"/>
      <c r="S28" s="44"/>
      <c r="T28" s="45" t="str">
        <f t="shared" si="10"/>
        <v/>
      </c>
      <c r="U28" s="92"/>
      <c r="V28" s="152" t="str">
        <f t="shared" si="11"/>
        <v>No Quote</v>
      </c>
      <c r="W28" s="153"/>
      <c r="X28" s="44"/>
      <c r="Y28" s="45" t="str">
        <f t="shared" si="12"/>
        <v/>
      </c>
      <c r="Z28" s="92"/>
      <c r="AA28" s="212" t="str">
        <f t="shared" si="13"/>
        <v>No Quote</v>
      </c>
      <c r="AB28" s="213"/>
      <c r="AC28" s="90"/>
      <c r="AD28" s="96"/>
      <c r="AE28" s="66" t="str">
        <f t="shared" si="14"/>
        <v/>
      </c>
      <c r="AF28" s="95"/>
      <c r="AG28" s="95"/>
      <c r="AH28" s="80" t="str">
        <f t="shared" si="15"/>
        <v>-</v>
      </c>
      <c r="AI28" s="80" t="str">
        <f t="shared" si="16"/>
        <v>-</v>
      </c>
      <c r="AJ28" s="80" t="str">
        <f t="shared" si="17"/>
        <v>-</v>
      </c>
      <c r="AK28" s="80" t="str">
        <f t="shared" si="18"/>
        <v>-</v>
      </c>
      <c r="AL28" s="81" t="str">
        <f t="shared" si="3"/>
        <v/>
      </c>
      <c r="AM28" s="77" t="str">
        <f t="shared" si="19"/>
        <v/>
      </c>
      <c r="AN28" s="75" t="str">
        <f t="shared" si="4"/>
        <v/>
      </c>
      <c r="AO28" s="74" t="str">
        <f t="shared" si="20"/>
        <v/>
      </c>
      <c r="AP28" s="77" t="str">
        <f t="shared" si="21"/>
        <v/>
      </c>
      <c r="AQ28" s="75" t="str">
        <f t="shared" si="5"/>
        <v/>
      </c>
      <c r="AR28" s="74" t="str">
        <f t="shared" si="22"/>
        <v/>
      </c>
      <c r="AS28" s="77" t="str">
        <f t="shared" si="23"/>
        <v/>
      </c>
      <c r="AU28" s="104">
        <f t="shared" si="24"/>
        <v>0</v>
      </c>
      <c r="AV28" s="103"/>
    </row>
    <row r="29" spans="2:48" s="1" customFormat="1" ht="61.5" customHeight="1" outlineLevel="1" x14ac:dyDescent="0.25">
      <c r="B29" s="41">
        <f t="shared" si="25"/>
        <v>7</v>
      </c>
      <c r="C29" s="218"/>
      <c r="D29" s="218"/>
      <c r="E29" s="218"/>
      <c r="F29" s="218"/>
      <c r="G29" s="42"/>
      <c r="H29" s="43"/>
      <c r="I29" s="44"/>
      <c r="J29" s="45" t="str">
        <f t="shared" si="6"/>
        <v/>
      </c>
      <c r="K29" s="93"/>
      <c r="L29" s="152" t="str">
        <f t="shared" si="7"/>
        <v>No Quote</v>
      </c>
      <c r="M29" s="153"/>
      <c r="N29" s="44"/>
      <c r="O29" s="45" t="str">
        <f t="shared" si="8"/>
        <v/>
      </c>
      <c r="P29" s="92"/>
      <c r="Q29" s="152" t="str">
        <f t="shared" si="9"/>
        <v>No Quote</v>
      </c>
      <c r="R29" s="153"/>
      <c r="S29" s="44"/>
      <c r="T29" s="45" t="str">
        <f t="shared" si="10"/>
        <v/>
      </c>
      <c r="U29" s="92"/>
      <c r="V29" s="152" t="str">
        <f t="shared" si="11"/>
        <v>No Quote</v>
      </c>
      <c r="W29" s="153"/>
      <c r="X29" s="44"/>
      <c r="Y29" s="45" t="str">
        <f t="shared" si="12"/>
        <v/>
      </c>
      <c r="Z29" s="92"/>
      <c r="AA29" s="212" t="str">
        <f t="shared" si="13"/>
        <v>No Quote</v>
      </c>
      <c r="AB29" s="213"/>
      <c r="AC29" s="90"/>
      <c r="AD29" s="96"/>
      <c r="AE29" s="66" t="str">
        <f t="shared" si="14"/>
        <v/>
      </c>
      <c r="AF29" s="95"/>
      <c r="AG29" s="95"/>
      <c r="AH29" s="80" t="str">
        <f t="shared" si="15"/>
        <v>-</v>
      </c>
      <c r="AI29" s="80" t="str">
        <f t="shared" si="16"/>
        <v>-</v>
      </c>
      <c r="AJ29" s="80" t="str">
        <f t="shared" si="17"/>
        <v>-</v>
      </c>
      <c r="AK29" s="80" t="str">
        <f t="shared" si="18"/>
        <v>-</v>
      </c>
      <c r="AL29" s="81" t="str">
        <f t="shared" si="3"/>
        <v/>
      </c>
      <c r="AM29" s="77" t="str">
        <f t="shared" si="19"/>
        <v/>
      </c>
      <c r="AN29" s="75" t="str">
        <f t="shared" si="4"/>
        <v/>
      </c>
      <c r="AO29" s="74" t="str">
        <f t="shared" si="20"/>
        <v/>
      </c>
      <c r="AP29" s="77" t="str">
        <f t="shared" si="21"/>
        <v/>
      </c>
      <c r="AQ29" s="75" t="str">
        <f t="shared" si="5"/>
        <v/>
      </c>
      <c r="AR29" s="74" t="str">
        <f t="shared" si="22"/>
        <v/>
      </c>
      <c r="AS29" s="77" t="str">
        <f t="shared" si="23"/>
        <v/>
      </c>
      <c r="AU29" s="104">
        <f t="shared" si="24"/>
        <v>0</v>
      </c>
      <c r="AV29" s="103"/>
    </row>
    <row r="30" spans="2:48" s="1" customFormat="1" ht="61.5" customHeight="1" outlineLevel="1" x14ac:dyDescent="0.25">
      <c r="B30" s="41">
        <f t="shared" si="25"/>
        <v>8</v>
      </c>
      <c r="C30" s="218"/>
      <c r="D30" s="218"/>
      <c r="E30" s="218"/>
      <c r="F30" s="218"/>
      <c r="G30" s="42"/>
      <c r="H30" s="43"/>
      <c r="I30" s="44"/>
      <c r="J30" s="45" t="str">
        <f t="shared" si="6"/>
        <v/>
      </c>
      <c r="K30" s="93"/>
      <c r="L30" s="152" t="str">
        <f t="shared" si="7"/>
        <v>No Quote</v>
      </c>
      <c r="M30" s="153"/>
      <c r="N30" s="44"/>
      <c r="O30" s="45" t="str">
        <f t="shared" si="8"/>
        <v/>
      </c>
      <c r="P30" s="92"/>
      <c r="Q30" s="152" t="str">
        <f t="shared" si="9"/>
        <v>No Quote</v>
      </c>
      <c r="R30" s="153"/>
      <c r="S30" s="44"/>
      <c r="T30" s="45" t="str">
        <f t="shared" si="10"/>
        <v/>
      </c>
      <c r="U30" s="92"/>
      <c r="V30" s="152" t="str">
        <f t="shared" si="11"/>
        <v>No Quote</v>
      </c>
      <c r="W30" s="153"/>
      <c r="X30" s="44"/>
      <c r="Y30" s="45" t="str">
        <f t="shared" si="12"/>
        <v/>
      </c>
      <c r="Z30" s="92"/>
      <c r="AA30" s="212" t="str">
        <f t="shared" si="13"/>
        <v>No Quote</v>
      </c>
      <c r="AB30" s="213"/>
      <c r="AC30" s="90"/>
      <c r="AD30" s="96"/>
      <c r="AE30" s="66" t="str">
        <f t="shared" si="14"/>
        <v/>
      </c>
      <c r="AF30" s="95"/>
      <c r="AG30" s="95"/>
      <c r="AH30" s="80" t="str">
        <f t="shared" si="15"/>
        <v>-</v>
      </c>
      <c r="AI30" s="80" t="str">
        <f t="shared" si="16"/>
        <v>-</v>
      </c>
      <c r="AJ30" s="80" t="str">
        <f t="shared" si="17"/>
        <v>-</v>
      </c>
      <c r="AK30" s="80" t="str">
        <f t="shared" si="18"/>
        <v>-</v>
      </c>
      <c r="AL30" s="81" t="str">
        <f t="shared" si="3"/>
        <v/>
      </c>
      <c r="AM30" s="77" t="str">
        <f t="shared" si="19"/>
        <v/>
      </c>
      <c r="AN30" s="75" t="str">
        <f t="shared" si="4"/>
        <v/>
      </c>
      <c r="AO30" s="74" t="str">
        <f t="shared" si="20"/>
        <v/>
      </c>
      <c r="AP30" s="77" t="str">
        <f t="shared" si="21"/>
        <v/>
      </c>
      <c r="AQ30" s="75" t="str">
        <f t="shared" si="5"/>
        <v/>
      </c>
      <c r="AR30" s="74" t="str">
        <f t="shared" si="22"/>
        <v/>
      </c>
      <c r="AS30" s="77" t="str">
        <f t="shared" si="23"/>
        <v/>
      </c>
      <c r="AU30" s="104">
        <f t="shared" si="24"/>
        <v>0</v>
      </c>
      <c r="AV30" s="103"/>
    </row>
    <row r="31" spans="2:48" s="1" customFormat="1" ht="61.5" customHeight="1" outlineLevel="1" x14ac:dyDescent="0.25">
      <c r="B31" s="41">
        <f t="shared" si="25"/>
        <v>9</v>
      </c>
      <c r="C31" s="218"/>
      <c r="D31" s="218"/>
      <c r="E31" s="218"/>
      <c r="F31" s="218"/>
      <c r="G31" s="42"/>
      <c r="H31" s="43"/>
      <c r="I31" s="44"/>
      <c r="J31" s="45" t="str">
        <f t="shared" si="6"/>
        <v/>
      </c>
      <c r="K31" s="93"/>
      <c r="L31" s="152" t="str">
        <f t="shared" si="7"/>
        <v>No Quote</v>
      </c>
      <c r="M31" s="153"/>
      <c r="N31" s="44"/>
      <c r="O31" s="45" t="str">
        <f t="shared" si="8"/>
        <v/>
      </c>
      <c r="P31" s="92"/>
      <c r="Q31" s="152" t="str">
        <f t="shared" si="9"/>
        <v>No Quote</v>
      </c>
      <c r="R31" s="153"/>
      <c r="S31" s="44"/>
      <c r="T31" s="45" t="str">
        <f t="shared" si="10"/>
        <v/>
      </c>
      <c r="U31" s="92"/>
      <c r="V31" s="152" t="str">
        <f t="shared" si="11"/>
        <v>No Quote</v>
      </c>
      <c r="W31" s="153"/>
      <c r="X31" s="44"/>
      <c r="Y31" s="45" t="str">
        <f t="shared" si="12"/>
        <v/>
      </c>
      <c r="Z31" s="92"/>
      <c r="AA31" s="212" t="str">
        <f t="shared" si="13"/>
        <v>No Quote</v>
      </c>
      <c r="AB31" s="213"/>
      <c r="AC31" s="90"/>
      <c r="AD31" s="96"/>
      <c r="AE31" s="66" t="str">
        <f t="shared" si="14"/>
        <v/>
      </c>
      <c r="AF31" s="95"/>
      <c r="AG31" s="95"/>
      <c r="AH31" s="80" t="str">
        <f t="shared" si="15"/>
        <v>-</v>
      </c>
      <c r="AI31" s="80" t="str">
        <f t="shared" si="16"/>
        <v>-</v>
      </c>
      <c r="AJ31" s="80" t="str">
        <f t="shared" si="17"/>
        <v>-</v>
      </c>
      <c r="AK31" s="80" t="str">
        <f t="shared" si="18"/>
        <v>-</v>
      </c>
      <c r="AL31" s="81" t="str">
        <f t="shared" si="3"/>
        <v/>
      </c>
      <c r="AM31" s="77" t="str">
        <f t="shared" si="19"/>
        <v/>
      </c>
      <c r="AN31" s="75" t="str">
        <f t="shared" si="4"/>
        <v/>
      </c>
      <c r="AO31" s="74" t="str">
        <f t="shared" si="20"/>
        <v/>
      </c>
      <c r="AP31" s="77" t="str">
        <f t="shared" si="21"/>
        <v/>
      </c>
      <c r="AQ31" s="75" t="str">
        <f t="shared" si="5"/>
        <v/>
      </c>
      <c r="AR31" s="74" t="str">
        <f t="shared" si="22"/>
        <v/>
      </c>
      <c r="AS31" s="77" t="str">
        <f t="shared" si="23"/>
        <v/>
      </c>
      <c r="AU31" s="104">
        <f t="shared" si="24"/>
        <v>0</v>
      </c>
      <c r="AV31" s="103"/>
    </row>
    <row r="32" spans="2:48" s="1" customFormat="1" ht="61.5" customHeight="1" outlineLevel="1" x14ac:dyDescent="0.25">
      <c r="B32" s="41">
        <f t="shared" si="25"/>
        <v>10</v>
      </c>
      <c r="C32" s="218"/>
      <c r="D32" s="218"/>
      <c r="E32" s="218"/>
      <c r="F32" s="218"/>
      <c r="G32" s="42"/>
      <c r="H32" s="43"/>
      <c r="I32" s="44"/>
      <c r="J32" s="45" t="str">
        <f t="shared" si="6"/>
        <v/>
      </c>
      <c r="K32" s="93"/>
      <c r="L32" s="152" t="str">
        <f t="shared" si="7"/>
        <v>No Quote</v>
      </c>
      <c r="M32" s="153"/>
      <c r="N32" s="44"/>
      <c r="O32" s="45" t="str">
        <f t="shared" si="8"/>
        <v/>
      </c>
      <c r="P32" s="92"/>
      <c r="Q32" s="152" t="str">
        <f t="shared" si="9"/>
        <v>No Quote</v>
      </c>
      <c r="R32" s="153"/>
      <c r="S32" s="44"/>
      <c r="T32" s="45" t="str">
        <f t="shared" si="10"/>
        <v/>
      </c>
      <c r="U32" s="92"/>
      <c r="V32" s="152" t="str">
        <f t="shared" si="11"/>
        <v>No Quote</v>
      </c>
      <c r="W32" s="153"/>
      <c r="X32" s="44"/>
      <c r="Y32" s="45" t="str">
        <f t="shared" si="12"/>
        <v/>
      </c>
      <c r="Z32" s="92"/>
      <c r="AA32" s="212" t="str">
        <f t="shared" si="13"/>
        <v>No Quote</v>
      </c>
      <c r="AB32" s="213"/>
      <c r="AC32" s="90"/>
      <c r="AD32" s="96"/>
      <c r="AE32" s="66" t="str">
        <f t="shared" si="14"/>
        <v/>
      </c>
      <c r="AF32" s="95"/>
      <c r="AG32" s="95"/>
      <c r="AH32" s="80" t="str">
        <f t="shared" si="15"/>
        <v>-</v>
      </c>
      <c r="AI32" s="80" t="str">
        <f t="shared" si="16"/>
        <v>-</v>
      </c>
      <c r="AJ32" s="80" t="str">
        <f t="shared" si="17"/>
        <v>-</v>
      </c>
      <c r="AK32" s="80" t="str">
        <f t="shared" si="18"/>
        <v>-</v>
      </c>
      <c r="AL32" s="81" t="str">
        <f t="shared" si="3"/>
        <v/>
      </c>
      <c r="AM32" s="77" t="str">
        <f t="shared" si="19"/>
        <v/>
      </c>
      <c r="AN32" s="75" t="str">
        <f t="shared" si="4"/>
        <v/>
      </c>
      <c r="AO32" s="74" t="str">
        <f t="shared" si="20"/>
        <v/>
      </c>
      <c r="AP32" s="77" t="str">
        <f t="shared" si="21"/>
        <v/>
      </c>
      <c r="AQ32" s="75" t="str">
        <f t="shared" si="5"/>
        <v/>
      </c>
      <c r="AR32" s="74" t="str">
        <f t="shared" si="22"/>
        <v/>
      </c>
      <c r="AS32" s="77" t="str">
        <f t="shared" si="23"/>
        <v/>
      </c>
      <c r="AU32" s="104">
        <f t="shared" si="24"/>
        <v>0</v>
      </c>
      <c r="AV32" s="103"/>
    </row>
    <row r="33" spans="2:48" s="1" customFormat="1" ht="61.5" customHeight="1" outlineLevel="1" x14ac:dyDescent="0.25">
      <c r="B33" s="41">
        <f t="shared" si="25"/>
        <v>11</v>
      </c>
      <c r="C33" s="218"/>
      <c r="D33" s="218"/>
      <c r="E33" s="218"/>
      <c r="F33" s="218"/>
      <c r="G33" s="42"/>
      <c r="H33" s="43"/>
      <c r="I33" s="44"/>
      <c r="J33" s="45" t="str">
        <f t="shared" si="6"/>
        <v/>
      </c>
      <c r="K33" s="93"/>
      <c r="L33" s="152" t="str">
        <f t="shared" si="7"/>
        <v>No Quote</v>
      </c>
      <c r="M33" s="153"/>
      <c r="N33" s="44"/>
      <c r="O33" s="45" t="str">
        <f t="shared" si="8"/>
        <v/>
      </c>
      <c r="P33" s="92"/>
      <c r="Q33" s="152" t="str">
        <f t="shared" si="9"/>
        <v>No Quote</v>
      </c>
      <c r="R33" s="153"/>
      <c r="S33" s="44"/>
      <c r="T33" s="45" t="str">
        <f t="shared" si="10"/>
        <v/>
      </c>
      <c r="U33" s="92"/>
      <c r="V33" s="152" t="str">
        <f t="shared" si="11"/>
        <v>No Quote</v>
      </c>
      <c r="W33" s="153"/>
      <c r="X33" s="44"/>
      <c r="Y33" s="45" t="str">
        <f t="shared" si="12"/>
        <v/>
      </c>
      <c r="Z33" s="92"/>
      <c r="AA33" s="212" t="str">
        <f t="shared" si="13"/>
        <v>No Quote</v>
      </c>
      <c r="AB33" s="213"/>
      <c r="AC33" s="90"/>
      <c r="AD33" s="96"/>
      <c r="AE33" s="66" t="str">
        <f t="shared" si="14"/>
        <v/>
      </c>
      <c r="AF33" s="95"/>
      <c r="AG33" s="95"/>
      <c r="AH33" s="80" t="str">
        <f t="shared" si="15"/>
        <v>-</v>
      </c>
      <c r="AI33" s="80" t="str">
        <f t="shared" si="16"/>
        <v>-</v>
      </c>
      <c r="AJ33" s="80" t="str">
        <f t="shared" si="17"/>
        <v>-</v>
      </c>
      <c r="AK33" s="80" t="str">
        <f t="shared" si="18"/>
        <v>-</v>
      </c>
      <c r="AL33" s="81" t="str">
        <f t="shared" si="3"/>
        <v/>
      </c>
      <c r="AM33" s="77" t="str">
        <f t="shared" si="19"/>
        <v/>
      </c>
      <c r="AN33" s="75" t="str">
        <f t="shared" si="4"/>
        <v/>
      </c>
      <c r="AO33" s="74" t="str">
        <f t="shared" si="20"/>
        <v/>
      </c>
      <c r="AP33" s="77" t="str">
        <f t="shared" si="21"/>
        <v/>
      </c>
      <c r="AQ33" s="75" t="str">
        <f t="shared" si="5"/>
        <v/>
      </c>
      <c r="AR33" s="74" t="str">
        <f t="shared" si="22"/>
        <v/>
      </c>
      <c r="AS33" s="77" t="str">
        <f t="shared" si="23"/>
        <v/>
      </c>
      <c r="AU33" s="104">
        <f t="shared" si="24"/>
        <v>0</v>
      </c>
      <c r="AV33" s="103"/>
    </row>
    <row r="34" spans="2:48" s="1" customFormat="1" ht="61.5" customHeight="1" outlineLevel="1" x14ac:dyDescent="0.25">
      <c r="B34" s="41">
        <f t="shared" si="25"/>
        <v>12</v>
      </c>
      <c r="C34" s="218"/>
      <c r="D34" s="218"/>
      <c r="E34" s="218"/>
      <c r="F34" s="218"/>
      <c r="G34" s="42"/>
      <c r="H34" s="43"/>
      <c r="I34" s="44"/>
      <c r="J34" s="45" t="str">
        <f t="shared" si="6"/>
        <v/>
      </c>
      <c r="K34" s="93"/>
      <c r="L34" s="152" t="str">
        <f t="shared" si="7"/>
        <v>No Quote</v>
      </c>
      <c r="M34" s="153"/>
      <c r="N34" s="44"/>
      <c r="O34" s="45" t="str">
        <f t="shared" si="8"/>
        <v/>
      </c>
      <c r="P34" s="92"/>
      <c r="Q34" s="152" t="str">
        <f t="shared" si="9"/>
        <v>No Quote</v>
      </c>
      <c r="R34" s="153"/>
      <c r="S34" s="44"/>
      <c r="T34" s="45" t="str">
        <f t="shared" si="10"/>
        <v/>
      </c>
      <c r="U34" s="92"/>
      <c r="V34" s="152" t="str">
        <f t="shared" si="11"/>
        <v>No Quote</v>
      </c>
      <c r="W34" s="153"/>
      <c r="X34" s="44"/>
      <c r="Y34" s="45" t="str">
        <f t="shared" si="12"/>
        <v/>
      </c>
      <c r="Z34" s="92"/>
      <c r="AA34" s="212" t="str">
        <f t="shared" si="13"/>
        <v>No Quote</v>
      </c>
      <c r="AB34" s="213"/>
      <c r="AC34" s="90"/>
      <c r="AD34" s="96"/>
      <c r="AE34" s="66" t="str">
        <f t="shared" si="14"/>
        <v/>
      </c>
      <c r="AF34" s="95"/>
      <c r="AG34" s="95"/>
      <c r="AH34" s="80" t="str">
        <f t="shared" si="15"/>
        <v>-</v>
      </c>
      <c r="AI34" s="80" t="str">
        <f t="shared" si="16"/>
        <v>-</v>
      </c>
      <c r="AJ34" s="80" t="str">
        <f t="shared" si="17"/>
        <v>-</v>
      </c>
      <c r="AK34" s="80" t="str">
        <f t="shared" si="18"/>
        <v>-</v>
      </c>
      <c r="AL34" s="81" t="str">
        <f t="shared" si="3"/>
        <v/>
      </c>
      <c r="AM34" s="77" t="str">
        <f t="shared" si="19"/>
        <v/>
      </c>
      <c r="AN34" s="75" t="str">
        <f t="shared" si="4"/>
        <v/>
      </c>
      <c r="AO34" s="74" t="str">
        <f t="shared" si="20"/>
        <v/>
      </c>
      <c r="AP34" s="77" t="str">
        <f t="shared" si="21"/>
        <v/>
      </c>
      <c r="AQ34" s="75" t="str">
        <f t="shared" si="5"/>
        <v/>
      </c>
      <c r="AR34" s="74" t="str">
        <f t="shared" si="22"/>
        <v/>
      </c>
      <c r="AS34" s="77" t="str">
        <f t="shared" si="23"/>
        <v/>
      </c>
      <c r="AU34" s="104">
        <f t="shared" si="24"/>
        <v>0</v>
      </c>
      <c r="AV34" s="103"/>
    </row>
    <row r="35" spans="2:48" s="1" customFormat="1" ht="61.5" customHeight="1" outlineLevel="1" x14ac:dyDescent="0.25">
      <c r="B35" s="41">
        <f t="shared" si="25"/>
        <v>13</v>
      </c>
      <c r="C35" s="218"/>
      <c r="D35" s="218"/>
      <c r="E35" s="218"/>
      <c r="F35" s="218"/>
      <c r="G35" s="42"/>
      <c r="H35" s="43"/>
      <c r="I35" s="44"/>
      <c r="J35" s="45" t="str">
        <f t="shared" si="6"/>
        <v/>
      </c>
      <c r="K35" s="93"/>
      <c r="L35" s="152" t="str">
        <f t="shared" si="7"/>
        <v>No Quote</v>
      </c>
      <c r="M35" s="153"/>
      <c r="N35" s="44"/>
      <c r="O35" s="45" t="str">
        <f t="shared" si="8"/>
        <v/>
      </c>
      <c r="P35" s="92"/>
      <c r="Q35" s="152" t="str">
        <f t="shared" si="9"/>
        <v>No Quote</v>
      </c>
      <c r="R35" s="153"/>
      <c r="S35" s="44"/>
      <c r="T35" s="45" t="str">
        <f t="shared" si="10"/>
        <v/>
      </c>
      <c r="U35" s="92"/>
      <c r="V35" s="152" t="str">
        <f t="shared" si="11"/>
        <v>No Quote</v>
      </c>
      <c r="W35" s="153"/>
      <c r="X35" s="44"/>
      <c r="Y35" s="45" t="str">
        <f t="shared" si="12"/>
        <v/>
      </c>
      <c r="Z35" s="92"/>
      <c r="AA35" s="212" t="str">
        <f t="shared" si="13"/>
        <v>No Quote</v>
      </c>
      <c r="AB35" s="213"/>
      <c r="AC35" s="90"/>
      <c r="AD35" s="96"/>
      <c r="AE35" s="66" t="str">
        <f t="shared" si="14"/>
        <v/>
      </c>
      <c r="AF35" s="95"/>
      <c r="AG35" s="95"/>
      <c r="AH35" s="80" t="str">
        <f t="shared" si="15"/>
        <v>-</v>
      </c>
      <c r="AI35" s="80" t="str">
        <f t="shared" si="16"/>
        <v>-</v>
      </c>
      <c r="AJ35" s="80" t="str">
        <f t="shared" si="17"/>
        <v>-</v>
      </c>
      <c r="AK35" s="80" t="str">
        <f t="shared" si="18"/>
        <v>-</v>
      </c>
      <c r="AL35" s="81" t="str">
        <f t="shared" si="3"/>
        <v/>
      </c>
      <c r="AM35" s="77" t="str">
        <f t="shared" si="19"/>
        <v/>
      </c>
      <c r="AN35" s="75" t="str">
        <f t="shared" si="4"/>
        <v/>
      </c>
      <c r="AO35" s="74" t="str">
        <f t="shared" si="20"/>
        <v/>
      </c>
      <c r="AP35" s="77" t="str">
        <f t="shared" si="21"/>
        <v/>
      </c>
      <c r="AQ35" s="75" t="str">
        <f t="shared" si="5"/>
        <v/>
      </c>
      <c r="AR35" s="74" t="str">
        <f t="shared" si="22"/>
        <v/>
      </c>
      <c r="AS35" s="77" t="str">
        <f t="shared" si="23"/>
        <v/>
      </c>
      <c r="AU35" s="104">
        <f t="shared" si="24"/>
        <v>0</v>
      </c>
      <c r="AV35" s="103"/>
    </row>
    <row r="36" spans="2:48" s="1" customFormat="1" ht="61.5" customHeight="1" outlineLevel="1" x14ac:dyDescent="0.25">
      <c r="B36" s="41">
        <f t="shared" si="25"/>
        <v>14</v>
      </c>
      <c r="C36" s="218"/>
      <c r="D36" s="218"/>
      <c r="E36" s="218"/>
      <c r="F36" s="218"/>
      <c r="G36" s="42"/>
      <c r="H36" s="43"/>
      <c r="I36" s="44"/>
      <c r="J36" s="45" t="str">
        <f t="shared" si="6"/>
        <v/>
      </c>
      <c r="K36" s="93"/>
      <c r="L36" s="152" t="str">
        <f t="shared" si="7"/>
        <v>No Quote</v>
      </c>
      <c r="M36" s="153"/>
      <c r="N36" s="44"/>
      <c r="O36" s="45" t="str">
        <f t="shared" si="8"/>
        <v/>
      </c>
      <c r="P36" s="92"/>
      <c r="Q36" s="152" t="str">
        <f t="shared" si="9"/>
        <v>No Quote</v>
      </c>
      <c r="R36" s="153"/>
      <c r="S36" s="44"/>
      <c r="T36" s="45" t="str">
        <f t="shared" si="10"/>
        <v/>
      </c>
      <c r="U36" s="92"/>
      <c r="V36" s="152" t="str">
        <f t="shared" si="11"/>
        <v>No Quote</v>
      </c>
      <c r="W36" s="153"/>
      <c r="X36" s="44"/>
      <c r="Y36" s="45" t="str">
        <f t="shared" si="12"/>
        <v/>
      </c>
      <c r="Z36" s="92"/>
      <c r="AA36" s="212" t="str">
        <f t="shared" si="13"/>
        <v>No Quote</v>
      </c>
      <c r="AB36" s="213"/>
      <c r="AC36" s="90"/>
      <c r="AD36" s="96"/>
      <c r="AE36" s="66" t="str">
        <f t="shared" si="14"/>
        <v/>
      </c>
      <c r="AF36" s="95"/>
      <c r="AG36" s="95"/>
      <c r="AH36" s="80" t="str">
        <f t="shared" si="15"/>
        <v>-</v>
      </c>
      <c r="AI36" s="80" t="str">
        <f t="shared" si="16"/>
        <v>-</v>
      </c>
      <c r="AJ36" s="80" t="str">
        <f t="shared" si="17"/>
        <v>-</v>
      </c>
      <c r="AK36" s="80" t="str">
        <f t="shared" si="18"/>
        <v>-</v>
      </c>
      <c r="AL36" s="81" t="str">
        <f t="shared" si="3"/>
        <v/>
      </c>
      <c r="AM36" s="77" t="str">
        <f t="shared" si="19"/>
        <v/>
      </c>
      <c r="AN36" s="75" t="str">
        <f t="shared" si="4"/>
        <v/>
      </c>
      <c r="AO36" s="74" t="str">
        <f t="shared" si="20"/>
        <v/>
      </c>
      <c r="AP36" s="77" t="str">
        <f t="shared" si="21"/>
        <v/>
      </c>
      <c r="AQ36" s="75" t="str">
        <f t="shared" si="5"/>
        <v/>
      </c>
      <c r="AR36" s="74" t="str">
        <f t="shared" si="22"/>
        <v/>
      </c>
      <c r="AS36" s="77" t="str">
        <f t="shared" si="23"/>
        <v/>
      </c>
      <c r="AU36" s="104">
        <f t="shared" si="24"/>
        <v>0</v>
      </c>
      <c r="AV36" s="103"/>
    </row>
    <row r="37" spans="2:48" s="1" customFormat="1" ht="61.5" customHeight="1" outlineLevel="1" x14ac:dyDescent="0.25">
      <c r="B37" s="41">
        <f t="shared" si="25"/>
        <v>15</v>
      </c>
      <c r="C37" s="218"/>
      <c r="D37" s="218"/>
      <c r="E37" s="218"/>
      <c r="F37" s="218"/>
      <c r="G37" s="42"/>
      <c r="H37" s="43"/>
      <c r="I37" s="44"/>
      <c r="J37" s="45" t="str">
        <f t="shared" si="6"/>
        <v/>
      </c>
      <c r="K37" s="93"/>
      <c r="L37" s="152" t="str">
        <f t="shared" si="7"/>
        <v>No Quote</v>
      </c>
      <c r="M37" s="153"/>
      <c r="N37" s="44"/>
      <c r="O37" s="45" t="str">
        <f t="shared" si="8"/>
        <v/>
      </c>
      <c r="P37" s="92"/>
      <c r="Q37" s="152" t="str">
        <f t="shared" si="9"/>
        <v>No Quote</v>
      </c>
      <c r="R37" s="153"/>
      <c r="S37" s="44"/>
      <c r="T37" s="45" t="str">
        <f t="shared" si="10"/>
        <v/>
      </c>
      <c r="U37" s="92"/>
      <c r="V37" s="152" t="str">
        <f t="shared" si="11"/>
        <v>No Quote</v>
      </c>
      <c r="W37" s="153"/>
      <c r="X37" s="44"/>
      <c r="Y37" s="45" t="str">
        <f t="shared" si="12"/>
        <v/>
      </c>
      <c r="Z37" s="92"/>
      <c r="AA37" s="212" t="str">
        <f t="shared" si="13"/>
        <v>No Quote</v>
      </c>
      <c r="AB37" s="213"/>
      <c r="AC37" s="90"/>
      <c r="AD37" s="96"/>
      <c r="AE37" s="66" t="str">
        <f t="shared" si="14"/>
        <v/>
      </c>
      <c r="AF37" s="95"/>
      <c r="AG37" s="95"/>
      <c r="AH37" s="80" t="str">
        <f t="shared" si="15"/>
        <v>-</v>
      </c>
      <c r="AI37" s="80" t="str">
        <f t="shared" si="16"/>
        <v>-</v>
      </c>
      <c r="AJ37" s="80" t="str">
        <f t="shared" si="17"/>
        <v>-</v>
      </c>
      <c r="AK37" s="80" t="str">
        <f t="shared" si="18"/>
        <v>-</v>
      </c>
      <c r="AL37" s="81" t="str">
        <f t="shared" si="3"/>
        <v/>
      </c>
      <c r="AM37" s="77" t="str">
        <f t="shared" si="19"/>
        <v/>
      </c>
      <c r="AN37" s="75" t="str">
        <f t="shared" si="4"/>
        <v/>
      </c>
      <c r="AO37" s="74" t="str">
        <f t="shared" si="20"/>
        <v/>
      </c>
      <c r="AP37" s="77" t="str">
        <f t="shared" si="21"/>
        <v/>
      </c>
      <c r="AQ37" s="75" t="str">
        <f t="shared" si="5"/>
        <v/>
      </c>
      <c r="AR37" s="74" t="str">
        <f t="shared" si="22"/>
        <v/>
      </c>
      <c r="AS37" s="77" t="str">
        <f t="shared" si="23"/>
        <v/>
      </c>
      <c r="AU37" s="104">
        <f t="shared" ref="AU37:AU51" si="26">SUMIFS($AL$23:$AL$51,$AM$23:$AM$51,AV37)</f>
        <v>0</v>
      </c>
      <c r="AV37" s="103"/>
    </row>
    <row r="38" spans="2:48" s="1" customFormat="1" ht="61.5" customHeight="1" outlineLevel="1" x14ac:dyDescent="0.25">
      <c r="B38" s="41">
        <f t="shared" si="25"/>
        <v>16</v>
      </c>
      <c r="C38" s="218"/>
      <c r="D38" s="218"/>
      <c r="E38" s="218"/>
      <c r="F38" s="218"/>
      <c r="G38" s="42"/>
      <c r="H38" s="43"/>
      <c r="I38" s="44"/>
      <c r="J38" s="45" t="str">
        <f t="shared" si="6"/>
        <v/>
      </c>
      <c r="K38" s="93"/>
      <c r="L38" s="152" t="str">
        <f t="shared" si="7"/>
        <v>No Quote</v>
      </c>
      <c r="M38" s="153"/>
      <c r="N38" s="44"/>
      <c r="O38" s="45" t="str">
        <f t="shared" si="8"/>
        <v/>
      </c>
      <c r="P38" s="92"/>
      <c r="Q38" s="152" t="str">
        <f t="shared" si="9"/>
        <v>No Quote</v>
      </c>
      <c r="R38" s="153"/>
      <c r="S38" s="44"/>
      <c r="T38" s="45" t="str">
        <f t="shared" si="10"/>
        <v/>
      </c>
      <c r="U38" s="92"/>
      <c r="V38" s="152" t="str">
        <f t="shared" si="11"/>
        <v>No Quote</v>
      </c>
      <c r="W38" s="153"/>
      <c r="X38" s="44"/>
      <c r="Y38" s="45" t="str">
        <f t="shared" si="12"/>
        <v/>
      </c>
      <c r="Z38" s="92"/>
      <c r="AA38" s="212" t="str">
        <f t="shared" si="13"/>
        <v>No Quote</v>
      </c>
      <c r="AB38" s="213"/>
      <c r="AC38" s="90"/>
      <c r="AD38" s="96"/>
      <c r="AE38" s="66" t="str">
        <f t="shared" si="14"/>
        <v/>
      </c>
      <c r="AF38" s="95"/>
      <c r="AG38" s="95"/>
      <c r="AH38" s="80" t="str">
        <f t="shared" si="15"/>
        <v>-</v>
      </c>
      <c r="AI38" s="80" t="str">
        <f t="shared" si="16"/>
        <v>-</v>
      </c>
      <c r="AJ38" s="80" t="str">
        <f t="shared" si="17"/>
        <v>-</v>
      </c>
      <c r="AK38" s="80" t="str">
        <f t="shared" si="18"/>
        <v>-</v>
      </c>
      <c r="AL38" s="81" t="str">
        <f t="shared" si="3"/>
        <v/>
      </c>
      <c r="AM38" s="77" t="str">
        <f t="shared" si="19"/>
        <v/>
      </c>
      <c r="AN38" s="75" t="str">
        <f t="shared" si="4"/>
        <v/>
      </c>
      <c r="AO38" s="74" t="str">
        <f t="shared" si="20"/>
        <v/>
      </c>
      <c r="AP38" s="77" t="str">
        <f t="shared" si="21"/>
        <v/>
      </c>
      <c r="AQ38" s="75" t="str">
        <f t="shared" si="5"/>
        <v/>
      </c>
      <c r="AR38" s="74" t="str">
        <f t="shared" si="22"/>
        <v/>
      </c>
      <c r="AS38" s="77" t="str">
        <f t="shared" si="23"/>
        <v/>
      </c>
      <c r="AU38" s="104">
        <f t="shared" si="26"/>
        <v>0</v>
      </c>
      <c r="AV38" s="103"/>
    </row>
    <row r="39" spans="2:48" s="1" customFormat="1" ht="61.5" customHeight="1" outlineLevel="1" x14ac:dyDescent="0.25">
      <c r="B39" s="41">
        <f t="shared" si="25"/>
        <v>17</v>
      </c>
      <c r="C39" s="218"/>
      <c r="D39" s="218"/>
      <c r="E39" s="218"/>
      <c r="F39" s="218"/>
      <c r="G39" s="42"/>
      <c r="H39" s="43"/>
      <c r="I39" s="44"/>
      <c r="J39" s="45" t="str">
        <f t="shared" si="6"/>
        <v/>
      </c>
      <c r="K39" s="93"/>
      <c r="L39" s="152" t="str">
        <f t="shared" si="7"/>
        <v>No Quote</v>
      </c>
      <c r="M39" s="153"/>
      <c r="N39" s="44"/>
      <c r="O39" s="45" t="str">
        <f t="shared" si="8"/>
        <v/>
      </c>
      <c r="P39" s="92"/>
      <c r="Q39" s="152" t="str">
        <f t="shared" si="9"/>
        <v>No Quote</v>
      </c>
      <c r="R39" s="153"/>
      <c r="S39" s="44"/>
      <c r="T39" s="45" t="str">
        <f t="shared" si="10"/>
        <v/>
      </c>
      <c r="U39" s="92"/>
      <c r="V39" s="152" t="str">
        <f t="shared" si="11"/>
        <v>No Quote</v>
      </c>
      <c r="W39" s="153"/>
      <c r="X39" s="44"/>
      <c r="Y39" s="45" t="str">
        <f t="shared" si="12"/>
        <v/>
      </c>
      <c r="Z39" s="92"/>
      <c r="AA39" s="212" t="str">
        <f t="shared" si="13"/>
        <v>No Quote</v>
      </c>
      <c r="AB39" s="213"/>
      <c r="AC39" s="90"/>
      <c r="AD39" s="96"/>
      <c r="AE39" s="66" t="str">
        <f t="shared" si="14"/>
        <v/>
      </c>
      <c r="AF39" s="95"/>
      <c r="AG39" s="95"/>
      <c r="AH39" s="80" t="str">
        <f t="shared" si="15"/>
        <v>-</v>
      </c>
      <c r="AI39" s="80" t="str">
        <f t="shared" si="16"/>
        <v>-</v>
      </c>
      <c r="AJ39" s="80" t="str">
        <f t="shared" si="17"/>
        <v>-</v>
      </c>
      <c r="AK39" s="80" t="str">
        <f t="shared" si="18"/>
        <v>-</v>
      </c>
      <c r="AL39" s="81" t="str">
        <f t="shared" si="3"/>
        <v/>
      </c>
      <c r="AM39" s="77" t="str">
        <f t="shared" si="19"/>
        <v/>
      </c>
      <c r="AN39" s="75" t="str">
        <f t="shared" si="4"/>
        <v/>
      </c>
      <c r="AO39" s="74" t="str">
        <f t="shared" si="20"/>
        <v/>
      </c>
      <c r="AP39" s="77" t="str">
        <f t="shared" si="21"/>
        <v/>
      </c>
      <c r="AQ39" s="75" t="str">
        <f t="shared" si="5"/>
        <v/>
      </c>
      <c r="AR39" s="74" t="str">
        <f t="shared" si="22"/>
        <v/>
      </c>
      <c r="AS39" s="77" t="str">
        <f t="shared" si="23"/>
        <v/>
      </c>
      <c r="AU39" s="104">
        <f t="shared" si="26"/>
        <v>0</v>
      </c>
      <c r="AV39" s="103"/>
    </row>
    <row r="40" spans="2:48" s="1" customFormat="1" ht="61.5" customHeight="1" outlineLevel="1" x14ac:dyDescent="0.25">
      <c r="B40" s="41">
        <f t="shared" si="25"/>
        <v>18</v>
      </c>
      <c r="C40" s="218"/>
      <c r="D40" s="218"/>
      <c r="E40" s="218"/>
      <c r="F40" s="218"/>
      <c r="G40" s="42"/>
      <c r="H40" s="43"/>
      <c r="I40" s="44"/>
      <c r="J40" s="45" t="str">
        <f t="shared" si="6"/>
        <v/>
      </c>
      <c r="K40" s="93"/>
      <c r="L40" s="152" t="str">
        <f t="shared" si="7"/>
        <v>No Quote</v>
      </c>
      <c r="M40" s="153"/>
      <c r="N40" s="44"/>
      <c r="O40" s="45" t="str">
        <f t="shared" si="8"/>
        <v/>
      </c>
      <c r="P40" s="92"/>
      <c r="Q40" s="152" t="str">
        <f t="shared" si="9"/>
        <v>No Quote</v>
      </c>
      <c r="R40" s="153"/>
      <c r="S40" s="44"/>
      <c r="T40" s="45" t="str">
        <f t="shared" si="10"/>
        <v/>
      </c>
      <c r="U40" s="92"/>
      <c r="V40" s="152" t="str">
        <f t="shared" si="11"/>
        <v>No Quote</v>
      </c>
      <c r="W40" s="153"/>
      <c r="X40" s="44"/>
      <c r="Y40" s="45" t="str">
        <f t="shared" si="12"/>
        <v/>
      </c>
      <c r="Z40" s="92"/>
      <c r="AA40" s="212" t="str">
        <f t="shared" si="13"/>
        <v>No Quote</v>
      </c>
      <c r="AB40" s="213"/>
      <c r="AC40" s="90"/>
      <c r="AD40" s="96"/>
      <c r="AE40" s="66" t="str">
        <f t="shared" si="14"/>
        <v/>
      </c>
      <c r="AF40" s="95"/>
      <c r="AG40" s="95"/>
      <c r="AH40" s="80" t="str">
        <f t="shared" si="15"/>
        <v>-</v>
      </c>
      <c r="AI40" s="80" t="str">
        <f t="shared" si="16"/>
        <v>-</v>
      </c>
      <c r="AJ40" s="80" t="str">
        <f t="shared" si="17"/>
        <v>-</v>
      </c>
      <c r="AK40" s="80" t="str">
        <f t="shared" si="18"/>
        <v>-</v>
      </c>
      <c r="AL40" s="81" t="str">
        <f t="shared" si="3"/>
        <v/>
      </c>
      <c r="AM40" s="77" t="str">
        <f t="shared" si="19"/>
        <v/>
      </c>
      <c r="AN40" s="75" t="str">
        <f t="shared" si="4"/>
        <v/>
      </c>
      <c r="AO40" s="74" t="str">
        <f t="shared" si="20"/>
        <v/>
      </c>
      <c r="AP40" s="77" t="str">
        <f t="shared" si="21"/>
        <v/>
      </c>
      <c r="AQ40" s="75" t="str">
        <f t="shared" si="5"/>
        <v/>
      </c>
      <c r="AR40" s="74" t="str">
        <f t="shared" si="22"/>
        <v/>
      </c>
      <c r="AS40" s="77" t="str">
        <f t="shared" si="23"/>
        <v/>
      </c>
      <c r="AU40" s="104">
        <f t="shared" si="26"/>
        <v>0</v>
      </c>
      <c r="AV40" s="103"/>
    </row>
    <row r="41" spans="2:48" s="1" customFormat="1" ht="61.5" customHeight="1" outlineLevel="1" x14ac:dyDescent="0.25">
      <c r="B41" s="41">
        <f t="shared" si="25"/>
        <v>19</v>
      </c>
      <c r="C41" s="218"/>
      <c r="D41" s="218"/>
      <c r="E41" s="218"/>
      <c r="F41" s="218"/>
      <c r="G41" s="42"/>
      <c r="H41" s="43"/>
      <c r="I41" s="44"/>
      <c r="J41" s="45" t="str">
        <f t="shared" si="6"/>
        <v/>
      </c>
      <c r="K41" s="93"/>
      <c r="L41" s="152" t="str">
        <f t="shared" si="7"/>
        <v>No Quote</v>
      </c>
      <c r="M41" s="153"/>
      <c r="N41" s="44"/>
      <c r="O41" s="45" t="str">
        <f t="shared" si="8"/>
        <v/>
      </c>
      <c r="P41" s="92"/>
      <c r="Q41" s="152" t="str">
        <f t="shared" si="9"/>
        <v>No Quote</v>
      </c>
      <c r="R41" s="153"/>
      <c r="S41" s="44"/>
      <c r="T41" s="45" t="str">
        <f t="shared" si="10"/>
        <v/>
      </c>
      <c r="U41" s="92"/>
      <c r="V41" s="152" t="str">
        <f t="shared" si="11"/>
        <v>No Quote</v>
      </c>
      <c r="W41" s="153"/>
      <c r="X41" s="44"/>
      <c r="Y41" s="45" t="str">
        <f t="shared" si="12"/>
        <v/>
      </c>
      <c r="Z41" s="92"/>
      <c r="AA41" s="212" t="str">
        <f t="shared" si="13"/>
        <v>No Quote</v>
      </c>
      <c r="AB41" s="213"/>
      <c r="AC41" s="90"/>
      <c r="AD41" s="96"/>
      <c r="AE41" s="66" t="str">
        <f t="shared" si="14"/>
        <v/>
      </c>
      <c r="AF41" s="95"/>
      <c r="AG41" s="95"/>
      <c r="AH41" s="80" t="str">
        <f t="shared" si="15"/>
        <v>-</v>
      </c>
      <c r="AI41" s="80" t="str">
        <f t="shared" si="16"/>
        <v>-</v>
      </c>
      <c r="AJ41" s="80" t="str">
        <f t="shared" si="17"/>
        <v>-</v>
      </c>
      <c r="AK41" s="80" t="str">
        <f t="shared" si="18"/>
        <v>-</v>
      </c>
      <c r="AL41" s="81" t="str">
        <f t="shared" si="3"/>
        <v/>
      </c>
      <c r="AM41" s="77" t="str">
        <f t="shared" si="19"/>
        <v/>
      </c>
      <c r="AN41" s="75" t="str">
        <f t="shared" si="4"/>
        <v/>
      </c>
      <c r="AO41" s="74" t="str">
        <f t="shared" si="20"/>
        <v/>
      </c>
      <c r="AP41" s="77" t="str">
        <f t="shared" si="21"/>
        <v/>
      </c>
      <c r="AQ41" s="75" t="str">
        <f t="shared" si="5"/>
        <v/>
      </c>
      <c r="AR41" s="74" t="str">
        <f t="shared" si="22"/>
        <v/>
      </c>
      <c r="AS41" s="77" t="str">
        <f t="shared" si="23"/>
        <v/>
      </c>
      <c r="AU41" s="104">
        <f t="shared" si="26"/>
        <v>0</v>
      </c>
      <c r="AV41" s="103"/>
    </row>
    <row r="42" spans="2:48" s="1" customFormat="1" ht="61.5" customHeight="1" outlineLevel="1" x14ac:dyDescent="0.25">
      <c r="B42" s="41">
        <f t="shared" si="25"/>
        <v>20</v>
      </c>
      <c r="C42" s="218"/>
      <c r="D42" s="218"/>
      <c r="E42" s="218"/>
      <c r="F42" s="218"/>
      <c r="G42" s="42"/>
      <c r="H42" s="43"/>
      <c r="I42" s="44"/>
      <c r="J42" s="45" t="str">
        <f t="shared" si="6"/>
        <v/>
      </c>
      <c r="K42" s="93"/>
      <c r="L42" s="152" t="str">
        <f t="shared" si="7"/>
        <v>No Quote</v>
      </c>
      <c r="M42" s="153"/>
      <c r="N42" s="44"/>
      <c r="O42" s="45" t="str">
        <f t="shared" si="8"/>
        <v/>
      </c>
      <c r="P42" s="92"/>
      <c r="Q42" s="152" t="str">
        <f t="shared" si="9"/>
        <v>No Quote</v>
      </c>
      <c r="R42" s="153"/>
      <c r="S42" s="44"/>
      <c r="T42" s="45" t="str">
        <f t="shared" si="10"/>
        <v/>
      </c>
      <c r="U42" s="92"/>
      <c r="V42" s="152" t="str">
        <f t="shared" si="11"/>
        <v>No Quote</v>
      </c>
      <c r="W42" s="153"/>
      <c r="X42" s="44"/>
      <c r="Y42" s="45" t="str">
        <f t="shared" si="12"/>
        <v/>
      </c>
      <c r="Z42" s="92"/>
      <c r="AA42" s="212" t="str">
        <f t="shared" si="13"/>
        <v>No Quote</v>
      </c>
      <c r="AB42" s="213"/>
      <c r="AC42" s="90"/>
      <c r="AD42" s="96"/>
      <c r="AE42" s="66" t="str">
        <f t="shared" si="14"/>
        <v/>
      </c>
      <c r="AF42" s="95"/>
      <c r="AG42" s="95"/>
      <c r="AH42" s="80" t="str">
        <f t="shared" si="15"/>
        <v>-</v>
      </c>
      <c r="AI42" s="80" t="str">
        <f t="shared" si="16"/>
        <v>-</v>
      </c>
      <c r="AJ42" s="80" t="str">
        <f t="shared" si="17"/>
        <v>-</v>
      </c>
      <c r="AK42" s="80" t="str">
        <f t="shared" si="18"/>
        <v>-</v>
      </c>
      <c r="AL42" s="81" t="str">
        <f t="shared" si="3"/>
        <v/>
      </c>
      <c r="AM42" s="77" t="str">
        <f t="shared" si="19"/>
        <v/>
      </c>
      <c r="AN42" s="75" t="str">
        <f t="shared" si="4"/>
        <v/>
      </c>
      <c r="AO42" s="74" t="str">
        <f t="shared" si="20"/>
        <v/>
      </c>
      <c r="AP42" s="77" t="str">
        <f t="shared" si="21"/>
        <v/>
      </c>
      <c r="AQ42" s="75" t="str">
        <f t="shared" si="5"/>
        <v/>
      </c>
      <c r="AR42" s="74" t="str">
        <f t="shared" si="22"/>
        <v/>
      </c>
      <c r="AS42" s="77" t="str">
        <f t="shared" si="23"/>
        <v/>
      </c>
      <c r="AU42" s="104">
        <f t="shared" si="26"/>
        <v>0</v>
      </c>
      <c r="AV42" s="103"/>
    </row>
    <row r="43" spans="2:48" s="1" customFormat="1" ht="61.5" customHeight="1" outlineLevel="1" x14ac:dyDescent="0.25">
      <c r="B43" s="41">
        <f t="shared" si="25"/>
        <v>21</v>
      </c>
      <c r="C43" s="218"/>
      <c r="D43" s="218"/>
      <c r="E43" s="218"/>
      <c r="F43" s="218"/>
      <c r="G43" s="42"/>
      <c r="H43" s="43"/>
      <c r="I43" s="44"/>
      <c r="J43" s="45" t="str">
        <f t="shared" si="6"/>
        <v/>
      </c>
      <c r="K43" s="93"/>
      <c r="L43" s="152" t="str">
        <f t="shared" si="7"/>
        <v>No Quote</v>
      </c>
      <c r="M43" s="153"/>
      <c r="N43" s="44"/>
      <c r="O43" s="45" t="str">
        <f t="shared" si="8"/>
        <v/>
      </c>
      <c r="P43" s="92"/>
      <c r="Q43" s="152" t="str">
        <f t="shared" si="9"/>
        <v>No Quote</v>
      </c>
      <c r="R43" s="153"/>
      <c r="S43" s="44"/>
      <c r="T43" s="45" t="str">
        <f t="shared" si="10"/>
        <v/>
      </c>
      <c r="U43" s="92"/>
      <c r="V43" s="152" t="str">
        <f t="shared" si="11"/>
        <v>No Quote</v>
      </c>
      <c r="W43" s="153"/>
      <c r="X43" s="44"/>
      <c r="Y43" s="45" t="str">
        <f t="shared" si="12"/>
        <v/>
      </c>
      <c r="Z43" s="92"/>
      <c r="AA43" s="212" t="str">
        <f t="shared" si="13"/>
        <v>No Quote</v>
      </c>
      <c r="AB43" s="213"/>
      <c r="AC43" s="90"/>
      <c r="AD43" s="96"/>
      <c r="AE43" s="66" t="str">
        <f t="shared" si="14"/>
        <v/>
      </c>
      <c r="AF43" s="95"/>
      <c r="AG43" s="95"/>
      <c r="AH43" s="80" t="str">
        <f t="shared" si="15"/>
        <v>-</v>
      </c>
      <c r="AI43" s="80" t="str">
        <f t="shared" si="16"/>
        <v>-</v>
      </c>
      <c r="AJ43" s="80" t="str">
        <f t="shared" si="17"/>
        <v>-</v>
      </c>
      <c r="AK43" s="80" t="str">
        <f t="shared" si="18"/>
        <v>-</v>
      </c>
      <c r="AL43" s="81" t="str">
        <f t="shared" si="3"/>
        <v/>
      </c>
      <c r="AM43" s="77" t="str">
        <f t="shared" si="19"/>
        <v/>
      </c>
      <c r="AN43" s="75" t="str">
        <f t="shared" si="4"/>
        <v/>
      </c>
      <c r="AO43" s="74" t="str">
        <f t="shared" si="20"/>
        <v/>
      </c>
      <c r="AP43" s="77" t="str">
        <f t="shared" si="21"/>
        <v/>
      </c>
      <c r="AQ43" s="75" t="str">
        <f t="shared" si="5"/>
        <v/>
      </c>
      <c r="AR43" s="74" t="str">
        <f t="shared" si="22"/>
        <v/>
      </c>
      <c r="AS43" s="77" t="str">
        <f t="shared" si="23"/>
        <v/>
      </c>
      <c r="AU43" s="104">
        <f t="shared" si="26"/>
        <v>0</v>
      </c>
      <c r="AV43" s="103"/>
    </row>
    <row r="44" spans="2:48" s="1" customFormat="1" ht="61.5" customHeight="1" outlineLevel="1" x14ac:dyDescent="0.25">
      <c r="B44" s="41">
        <f t="shared" si="25"/>
        <v>22</v>
      </c>
      <c r="C44" s="218"/>
      <c r="D44" s="218"/>
      <c r="E44" s="218"/>
      <c r="F44" s="218"/>
      <c r="G44" s="42"/>
      <c r="H44" s="43"/>
      <c r="I44" s="44"/>
      <c r="J44" s="45" t="str">
        <f t="shared" si="6"/>
        <v/>
      </c>
      <c r="K44" s="93"/>
      <c r="L44" s="152" t="str">
        <f t="shared" si="7"/>
        <v>No Quote</v>
      </c>
      <c r="M44" s="153"/>
      <c r="N44" s="44"/>
      <c r="O44" s="45" t="str">
        <f t="shared" si="8"/>
        <v/>
      </c>
      <c r="P44" s="92"/>
      <c r="Q44" s="152" t="str">
        <f t="shared" si="9"/>
        <v>No Quote</v>
      </c>
      <c r="R44" s="153"/>
      <c r="S44" s="44"/>
      <c r="T44" s="45" t="str">
        <f t="shared" si="10"/>
        <v/>
      </c>
      <c r="U44" s="92"/>
      <c r="V44" s="152" t="str">
        <f t="shared" si="11"/>
        <v>No Quote</v>
      </c>
      <c r="W44" s="153"/>
      <c r="X44" s="44"/>
      <c r="Y44" s="45" t="str">
        <f t="shared" si="12"/>
        <v/>
      </c>
      <c r="Z44" s="92"/>
      <c r="AA44" s="212" t="str">
        <f t="shared" si="13"/>
        <v>No Quote</v>
      </c>
      <c r="AB44" s="213"/>
      <c r="AC44" s="90"/>
      <c r="AD44" s="96"/>
      <c r="AE44" s="66" t="str">
        <f t="shared" si="14"/>
        <v/>
      </c>
      <c r="AF44" s="95"/>
      <c r="AG44" s="95"/>
      <c r="AH44" s="80" t="str">
        <f t="shared" si="15"/>
        <v>-</v>
      </c>
      <c r="AI44" s="80" t="str">
        <f t="shared" si="16"/>
        <v>-</v>
      </c>
      <c r="AJ44" s="80" t="str">
        <f t="shared" si="17"/>
        <v>-</v>
      </c>
      <c r="AK44" s="80" t="str">
        <f t="shared" si="18"/>
        <v>-</v>
      </c>
      <c r="AL44" s="81" t="str">
        <f t="shared" si="3"/>
        <v/>
      </c>
      <c r="AM44" s="77" t="str">
        <f t="shared" si="19"/>
        <v/>
      </c>
      <c r="AN44" s="75" t="str">
        <f t="shared" si="4"/>
        <v/>
      </c>
      <c r="AO44" s="74" t="str">
        <f t="shared" si="20"/>
        <v/>
      </c>
      <c r="AP44" s="77" t="str">
        <f t="shared" si="21"/>
        <v/>
      </c>
      <c r="AQ44" s="75" t="str">
        <f t="shared" si="5"/>
        <v/>
      </c>
      <c r="AR44" s="74" t="str">
        <f t="shared" si="22"/>
        <v/>
      </c>
      <c r="AS44" s="77" t="str">
        <f t="shared" si="23"/>
        <v/>
      </c>
      <c r="AU44" s="104">
        <f t="shared" si="26"/>
        <v>0</v>
      </c>
      <c r="AV44" s="103"/>
    </row>
    <row r="45" spans="2:48" s="1" customFormat="1" ht="61.5" customHeight="1" outlineLevel="1" x14ac:dyDescent="0.25">
      <c r="B45" s="41">
        <f t="shared" si="25"/>
        <v>23</v>
      </c>
      <c r="C45" s="218"/>
      <c r="D45" s="218"/>
      <c r="E45" s="218"/>
      <c r="F45" s="218"/>
      <c r="G45" s="42"/>
      <c r="H45" s="43"/>
      <c r="I45" s="44"/>
      <c r="J45" s="45" t="str">
        <f t="shared" si="6"/>
        <v/>
      </c>
      <c r="K45" s="93"/>
      <c r="L45" s="152" t="str">
        <f t="shared" si="7"/>
        <v>No Quote</v>
      </c>
      <c r="M45" s="153"/>
      <c r="N45" s="44"/>
      <c r="O45" s="45" t="str">
        <f t="shared" si="8"/>
        <v/>
      </c>
      <c r="P45" s="92"/>
      <c r="Q45" s="152" t="str">
        <f t="shared" si="9"/>
        <v>No Quote</v>
      </c>
      <c r="R45" s="153"/>
      <c r="S45" s="44"/>
      <c r="T45" s="45" t="str">
        <f t="shared" si="10"/>
        <v/>
      </c>
      <c r="U45" s="92"/>
      <c r="V45" s="152" t="str">
        <f t="shared" si="11"/>
        <v>No Quote</v>
      </c>
      <c r="W45" s="153"/>
      <c r="X45" s="44"/>
      <c r="Y45" s="45" t="str">
        <f t="shared" si="12"/>
        <v/>
      </c>
      <c r="Z45" s="92"/>
      <c r="AA45" s="212" t="str">
        <f t="shared" si="13"/>
        <v>No Quote</v>
      </c>
      <c r="AB45" s="213"/>
      <c r="AC45" s="90"/>
      <c r="AD45" s="96"/>
      <c r="AE45" s="66" t="str">
        <f t="shared" si="14"/>
        <v/>
      </c>
      <c r="AF45" s="95"/>
      <c r="AG45" s="95"/>
      <c r="AH45" s="80" t="str">
        <f t="shared" si="15"/>
        <v>-</v>
      </c>
      <c r="AI45" s="80" t="str">
        <f t="shared" si="16"/>
        <v>-</v>
      </c>
      <c r="AJ45" s="80" t="str">
        <f t="shared" si="17"/>
        <v>-</v>
      </c>
      <c r="AK45" s="80" t="str">
        <f t="shared" si="18"/>
        <v>-</v>
      </c>
      <c r="AL45" s="81" t="str">
        <f t="shared" si="3"/>
        <v/>
      </c>
      <c r="AM45" s="77" t="str">
        <f t="shared" si="19"/>
        <v/>
      </c>
      <c r="AN45" s="75" t="str">
        <f t="shared" si="4"/>
        <v/>
      </c>
      <c r="AO45" s="74" t="str">
        <f t="shared" si="20"/>
        <v/>
      </c>
      <c r="AP45" s="77" t="str">
        <f t="shared" si="21"/>
        <v/>
      </c>
      <c r="AQ45" s="75" t="str">
        <f t="shared" si="5"/>
        <v/>
      </c>
      <c r="AR45" s="74" t="str">
        <f t="shared" si="22"/>
        <v/>
      </c>
      <c r="AS45" s="77" t="str">
        <f t="shared" si="23"/>
        <v/>
      </c>
      <c r="AU45" s="104">
        <f t="shared" si="26"/>
        <v>0</v>
      </c>
      <c r="AV45" s="103"/>
    </row>
    <row r="46" spans="2:48" s="1" customFormat="1" ht="61.5" customHeight="1" outlineLevel="1" x14ac:dyDescent="0.25">
      <c r="B46" s="41">
        <f t="shared" si="25"/>
        <v>24</v>
      </c>
      <c r="C46" s="218"/>
      <c r="D46" s="218"/>
      <c r="E46" s="218"/>
      <c r="F46" s="218"/>
      <c r="G46" s="42"/>
      <c r="H46" s="43"/>
      <c r="I46" s="44"/>
      <c r="J46" s="45" t="str">
        <f t="shared" si="6"/>
        <v/>
      </c>
      <c r="K46" s="93"/>
      <c r="L46" s="152" t="str">
        <f t="shared" si="7"/>
        <v>No Quote</v>
      </c>
      <c r="M46" s="153"/>
      <c r="N46" s="44"/>
      <c r="O46" s="45" t="str">
        <f t="shared" si="8"/>
        <v/>
      </c>
      <c r="P46" s="92"/>
      <c r="Q46" s="152" t="str">
        <f t="shared" si="9"/>
        <v>No Quote</v>
      </c>
      <c r="R46" s="153"/>
      <c r="S46" s="44"/>
      <c r="T46" s="45" t="str">
        <f t="shared" si="10"/>
        <v/>
      </c>
      <c r="U46" s="92"/>
      <c r="V46" s="152" t="str">
        <f t="shared" si="11"/>
        <v>No Quote</v>
      </c>
      <c r="W46" s="153"/>
      <c r="X46" s="44"/>
      <c r="Y46" s="45" t="str">
        <f t="shared" si="12"/>
        <v/>
      </c>
      <c r="Z46" s="92"/>
      <c r="AA46" s="212" t="str">
        <f t="shared" si="13"/>
        <v>No Quote</v>
      </c>
      <c r="AB46" s="213"/>
      <c r="AC46" s="90"/>
      <c r="AD46" s="96"/>
      <c r="AE46" s="66" t="str">
        <f t="shared" si="14"/>
        <v/>
      </c>
      <c r="AF46" s="95"/>
      <c r="AG46" s="95"/>
      <c r="AH46" s="80" t="str">
        <f t="shared" si="15"/>
        <v>-</v>
      </c>
      <c r="AI46" s="80" t="str">
        <f t="shared" si="16"/>
        <v>-</v>
      </c>
      <c r="AJ46" s="80" t="str">
        <f t="shared" si="17"/>
        <v>-</v>
      </c>
      <c r="AK46" s="80" t="str">
        <f t="shared" si="18"/>
        <v>-</v>
      </c>
      <c r="AL46" s="81" t="str">
        <f t="shared" si="3"/>
        <v/>
      </c>
      <c r="AM46" s="77" t="str">
        <f t="shared" si="19"/>
        <v/>
      </c>
      <c r="AN46" s="75" t="str">
        <f t="shared" si="4"/>
        <v/>
      </c>
      <c r="AO46" s="74" t="str">
        <f t="shared" si="20"/>
        <v/>
      </c>
      <c r="AP46" s="77" t="str">
        <f t="shared" si="21"/>
        <v/>
      </c>
      <c r="AQ46" s="75" t="str">
        <f t="shared" si="5"/>
        <v/>
      </c>
      <c r="AR46" s="74" t="str">
        <f t="shared" si="22"/>
        <v/>
      </c>
      <c r="AS46" s="77" t="str">
        <f t="shared" si="23"/>
        <v/>
      </c>
      <c r="AU46" s="104">
        <f t="shared" si="26"/>
        <v>0</v>
      </c>
      <c r="AV46" s="103"/>
    </row>
    <row r="47" spans="2:48" s="1" customFormat="1" ht="61.5" customHeight="1" outlineLevel="1" x14ac:dyDescent="0.25">
      <c r="B47" s="41">
        <f t="shared" si="25"/>
        <v>25</v>
      </c>
      <c r="C47" s="218"/>
      <c r="D47" s="218"/>
      <c r="E47" s="218"/>
      <c r="F47" s="218"/>
      <c r="G47" s="42"/>
      <c r="H47" s="43"/>
      <c r="I47" s="44"/>
      <c r="J47" s="45" t="str">
        <f t="shared" si="6"/>
        <v/>
      </c>
      <c r="K47" s="93"/>
      <c r="L47" s="152" t="str">
        <f t="shared" si="7"/>
        <v>No Quote</v>
      </c>
      <c r="M47" s="153"/>
      <c r="N47" s="44"/>
      <c r="O47" s="45" t="str">
        <f t="shared" si="8"/>
        <v/>
      </c>
      <c r="P47" s="92"/>
      <c r="Q47" s="152" t="str">
        <f t="shared" si="9"/>
        <v>No Quote</v>
      </c>
      <c r="R47" s="153"/>
      <c r="S47" s="44"/>
      <c r="T47" s="45" t="str">
        <f t="shared" si="10"/>
        <v/>
      </c>
      <c r="U47" s="92"/>
      <c r="V47" s="152" t="str">
        <f t="shared" si="11"/>
        <v>No Quote</v>
      </c>
      <c r="W47" s="153"/>
      <c r="X47" s="44"/>
      <c r="Y47" s="45" t="str">
        <f t="shared" si="12"/>
        <v/>
      </c>
      <c r="Z47" s="92"/>
      <c r="AA47" s="212" t="str">
        <f t="shared" si="13"/>
        <v>No Quote</v>
      </c>
      <c r="AB47" s="213"/>
      <c r="AC47" s="90"/>
      <c r="AD47" s="96"/>
      <c r="AE47" s="66" t="str">
        <f t="shared" si="14"/>
        <v/>
      </c>
      <c r="AF47" s="95"/>
      <c r="AG47" s="95"/>
      <c r="AH47" s="80" t="str">
        <f t="shared" si="15"/>
        <v>-</v>
      </c>
      <c r="AI47" s="80" t="str">
        <f t="shared" si="16"/>
        <v>-</v>
      </c>
      <c r="AJ47" s="80" t="str">
        <f t="shared" si="17"/>
        <v>-</v>
      </c>
      <c r="AK47" s="80" t="str">
        <f t="shared" si="18"/>
        <v>-</v>
      </c>
      <c r="AL47" s="81" t="str">
        <f t="shared" si="3"/>
        <v/>
      </c>
      <c r="AM47" s="77" t="str">
        <f t="shared" si="19"/>
        <v/>
      </c>
      <c r="AN47" s="75" t="str">
        <f t="shared" si="4"/>
        <v/>
      </c>
      <c r="AO47" s="74" t="str">
        <f t="shared" si="20"/>
        <v/>
      </c>
      <c r="AP47" s="77" t="str">
        <f t="shared" si="21"/>
        <v/>
      </c>
      <c r="AQ47" s="75" t="str">
        <f t="shared" si="5"/>
        <v/>
      </c>
      <c r="AR47" s="74" t="str">
        <f t="shared" si="22"/>
        <v/>
      </c>
      <c r="AS47" s="77" t="str">
        <f t="shared" si="23"/>
        <v/>
      </c>
      <c r="AU47" s="104">
        <f t="shared" si="26"/>
        <v>0</v>
      </c>
      <c r="AV47" s="103"/>
    </row>
    <row r="48" spans="2:48" s="1" customFormat="1" ht="61.5" customHeight="1" outlineLevel="1" x14ac:dyDescent="0.25">
      <c r="B48" s="41">
        <f t="shared" si="25"/>
        <v>26</v>
      </c>
      <c r="C48" s="218"/>
      <c r="D48" s="218"/>
      <c r="E48" s="218"/>
      <c r="F48" s="218"/>
      <c r="G48" s="42"/>
      <c r="H48" s="43"/>
      <c r="I48" s="44"/>
      <c r="J48" s="45" t="str">
        <f t="shared" si="6"/>
        <v/>
      </c>
      <c r="K48" s="93"/>
      <c r="L48" s="152" t="str">
        <f t="shared" si="7"/>
        <v>No Quote</v>
      </c>
      <c r="M48" s="153"/>
      <c r="N48" s="44"/>
      <c r="O48" s="45" t="str">
        <f t="shared" si="8"/>
        <v/>
      </c>
      <c r="P48" s="92"/>
      <c r="Q48" s="152" t="str">
        <f t="shared" si="9"/>
        <v>No Quote</v>
      </c>
      <c r="R48" s="153"/>
      <c r="S48" s="44"/>
      <c r="T48" s="45" t="str">
        <f t="shared" si="10"/>
        <v/>
      </c>
      <c r="U48" s="92"/>
      <c r="V48" s="152" t="str">
        <f t="shared" si="11"/>
        <v>No Quote</v>
      </c>
      <c r="W48" s="153"/>
      <c r="X48" s="44"/>
      <c r="Y48" s="45" t="str">
        <f t="shared" si="12"/>
        <v/>
      </c>
      <c r="Z48" s="92"/>
      <c r="AA48" s="212" t="str">
        <f t="shared" si="13"/>
        <v>No Quote</v>
      </c>
      <c r="AB48" s="213"/>
      <c r="AC48" s="90"/>
      <c r="AD48" s="96"/>
      <c r="AE48" s="66" t="str">
        <f t="shared" si="14"/>
        <v/>
      </c>
      <c r="AF48" s="95"/>
      <c r="AG48" s="95"/>
      <c r="AH48" s="80" t="str">
        <f t="shared" si="15"/>
        <v>-</v>
      </c>
      <c r="AI48" s="80" t="str">
        <f t="shared" si="16"/>
        <v>-</v>
      </c>
      <c r="AJ48" s="80" t="str">
        <f t="shared" si="17"/>
        <v>-</v>
      </c>
      <c r="AK48" s="80" t="str">
        <f t="shared" si="18"/>
        <v>-</v>
      </c>
      <c r="AL48" s="81" t="str">
        <f t="shared" si="3"/>
        <v/>
      </c>
      <c r="AM48" s="77" t="str">
        <f t="shared" si="19"/>
        <v/>
      </c>
      <c r="AN48" s="75" t="str">
        <f t="shared" si="4"/>
        <v/>
      </c>
      <c r="AO48" s="74" t="str">
        <f t="shared" si="20"/>
        <v/>
      </c>
      <c r="AP48" s="77" t="str">
        <f t="shared" si="21"/>
        <v/>
      </c>
      <c r="AQ48" s="75" t="str">
        <f t="shared" si="5"/>
        <v/>
      </c>
      <c r="AR48" s="74" t="str">
        <f t="shared" si="22"/>
        <v/>
      </c>
      <c r="AS48" s="77" t="str">
        <f t="shared" si="23"/>
        <v/>
      </c>
      <c r="AU48" s="104">
        <f t="shared" si="26"/>
        <v>0</v>
      </c>
      <c r="AV48" s="103"/>
    </row>
    <row r="49" spans="2:48" s="1" customFormat="1" ht="61.5" customHeight="1" outlineLevel="1" x14ac:dyDescent="0.25">
      <c r="B49" s="41">
        <f t="shared" si="25"/>
        <v>27</v>
      </c>
      <c r="C49" s="218"/>
      <c r="D49" s="218"/>
      <c r="E49" s="218"/>
      <c r="F49" s="218"/>
      <c r="G49" s="42"/>
      <c r="H49" s="43"/>
      <c r="I49" s="44"/>
      <c r="J49" s="45" t="str">
        <f t="shared" si="6"/>
        <v/>
      </c>
      <c r="K49" s="93"/>
      <c r="L49" s="152" t="str">
        <f t="shared" si="7"/>
        <v>No Quote</v>
      </c>
      <c r="M49" s="153"/>
      <c r="N49" s="44"/>
      <c r="O49" s="45" t="str">
        <f t="shared" si="8"/>
        <v/>
      </c>
      <c r="P49" s="92"/>
      <c r="Q49" s="152" t="str">
        <f t="shared" si="9"/>
        <v>No Quote</v>
      </c>
      <c r="R49" s="153"/>
      <c r="S49" s="44"/>
      <c r="T49" s="45" t="str">
        <f t="shared" si="10"/>
        <v/>
      </c>
      <c r="U49" s="92"/>
      <c r="V49" s="152" t="str">
        <f t="shared" si="11"/>
        <v>No Quote</v>
      </c>
      <c r="W49" s="153"/>
      <c r="X49" s="44"/>
      <c r="Y49" s="45" t="str">
        <f t="shared" si="12"/>
        <v/>
      </c>
      <c r="Z49" s="92"/>
      <c r="AA49" s="212" t="str">
        <f t="shared" si="13"/>
        <v>No Quote</v>
      </c>
      <c r="AB49" s="213"/>
      <c r="AC49" s="90"/>
      <c r="AD49" s="96"/>
      <c r="AE49" s="66" t="str">
        <f t="shared" si="14"/>
        <v/>
      </c>
      <c r="AF49" s="95"/>
      <c r="AG49" s="95"/>
      <c r="AH49" s="80" t="str">
        <f t="shared" si="15"/>
        <v>-</v>
      </c>
      <c r="AI49" s="80" t="str">
        <f t="shared" si="16"/>
        <v>-</v>
      </c>
      <c r="AJ49" s="80" t="str">
        <f t="shared" si="17"/>
        <v>-</v>
      </c>
      <c r="AK49" s="80" t="str">
        <f t="shared" si="18"/>
        <v>-</v>
      </c>
      <c r="AL49" s="81" t="str">
        <f t="shared" si="3"/>
        <v/>
      </c>
      <c r="AM49" s="77" t="str">
        <f t="shared" si="19"/>
        <v/>
      </c>
      <c r="AN49" s="75" t="str">
        <f t="shared" si="4"/>
        <v/>
      </c>
      <c r="AO49" s="74" t="str">
        <f t="shared" si="20"/>
        <v/>
      </c>
      <c r="AP49" s="77" t="str">
        <f t="shared" si="21"/>
        <v/>
      </c>
      <c r="AQ49" s="75" t="str">
        <f t="shared" si="5"/>
        <v/>
      </c>
      <c r="AR49" s="74" t="str">
        <f t="shared" si="22"/>
        <v/>
      </c>
      <c r="AS49" s="77" t="str">
        <f t="shared" si="23"/>
        <v/>
      </c>
      <c r="AU49" s="104">
        <f t="shared" si="26"/>
        <v>0</v>
      </c>
      <c r="AV49" s="103"/>
    </row>
    <row r="50" spans="2:48" s="1" customFormat="1" ht="61.5" customHeight="1" outlineLevel="1" x14ac:dyDescent="0.25">
      <c r="B50" s="41">
        <f t="shared" si="25"/>
        <v>28</v>
      </c>
      <c r="C50" s="218"/>
      <c r="D50" s="218"/>
      <c r="E50" s="218"/>
      <c r="F50" s="218"/>
      <c r="G50" s="42"/>
      <c r="H50" s="43"/>
      <c r="I50" s="44"/>
      <c r="J50" s="45" t="str">
        <f t="shared" si="6"/>
        <v/>
      </c>
      <c r="K50" s="93"/>
      <c r="L50" s="152" t="str">
        <f t="shared" si="7"/>
        <v>No Quote</v>
      </c>
      <c r="M50" s="153"/>
      <c r="N50" s="44"/>
      <c r="O50" s="45" t="str">
        <f t="shared" si="8"/>
        <v/>
      </c>
      <c r="P50" s="92"/>
      <c r="Q50" s="152" t="str">
        <f t="shared" si="9"/>
        <v>No Quote</v>
      </c>
      <c r="R50" s="153"/>
      <c r="S50" s="44"/>
      <c r="T50" s="45" t="str">
        <f t="shared" si="10"/>
        <v/>
      </c>
      <c r="U50" s="92"/>
      <c r="V50" s="152" t="str">
        <f t="shared" si="11"/>
        <v>No Quote</v>
      </c>
      <c r="W50" s="153"/>
      <c r="X50" s="44"/>
      <c r="Y50" s="45" t="str">
        <f t="shared" si="12"/>
        <v/>
      </c>
      <c r="Z50" s="92"/>
      <c r="AA50" s="212" t="str">
        <f t="shared" si="13"/>
        <v>No Quote</v>
      </c>
      <c r="AB50" s="213"/>
      <c r="AC50" s="90"/>
      <c r="AD50" s="96"/>
      <c r="AE50" s="66" t="str">
        <f t="shared" si="14"/>
        <v/>
      </c>
      <c r="AF50" s="95"/>
      <c r="AG50" s="95"/>
      <c r="AH50" s="80" t="str">
        <f t="shared" si="15"/>
        <v>-</v>
      </c>
      <c r="AI50" s="80" t="str">
        <f t="shared" si="16"/>
        <v>-</v>
      </c>
      <c r="AJ50" s="80" t="str">
        <f t="shared" si="17"/>
        <v>-</v>
      </c>
      <c r="AK50" s="80" t="str">
        <f t="shared" si="18"/>
        <v>-</v>
      </c>
      <c r="AL50" s="81" t="str">
        <f t="shared" si="3"/>
        <v/>
      </c>
      <c r="AM50" s="77" t="str">
        <f t="shared" si="19"/>
        <v/>
      </c>
      <c r="AN50" s="75" t="str">
        <f t="shared" si="4"/>
        <v/>
      </c>
      <c r="AO50" s="74" t="str">
        <f t="shared" si="20"/>
        <v/>
      </c>
      <c r="AP50" s="77" t="str">
        <f t="shared" si="21"/>
        <v/>
      </c>
      <c r="AQ50" s="75" t="str">
        <f t="shared" si="5"/>
        <v/>
      </c>
      <c r="AR50" s="74" t="str">
        <f t="shared" si="22"/>
        <v/>
      </c>
      <c r="AS50" s="77" t="str">
        <f t="shared" si="23"/>
        <v/>
      </c>
      <c r="AU50" s="104">
        <f t="shared" si="26"/>
        <v>0</v>
      </c>
      <c r="AV50" s="103"/>
    </row>
    <row r="51" spans="2:48" s="1" customFormat="1" ht="61.5" customHeight="1" outlineLevel="1" x14ac:dyDescent="0.25">
      <c r="B51" s="41">
        <f t="shared" si="25"/>
        <v>29</v>
      </c>
      <c r="C51" s="218"/>
      <c r="D51" s="218"/>
      <c r="E51" s="218"/>
      <c r="F51" s="218"/>
      <c r="G51" s="42"/>
      <c r="H51" s="43"/>
      <c r="I51" s="44"/>
      <c r="J51" s="45" t="str">
        <f t="shared" si="6"/>
        <v/>
      </c>
      <c r="K51" s="93"/>
      <c r="L51" s="152" t="str">
        <f t="shared" si="7"/>
        <v>No Quote</v>
      </c>
      <c r="M51" s="153"/>
      <c r="N51" s="44"/>
      <c r="O51" s="45" t="str">
        <f t="shared" si="8"/>
        <v/>
      </c>
      <c r="P51" s="92"/>
      <c r="Q51" s="152" t="str">
        <f t="shared" si="9"/>
        <v>No Quote</v>
      </c>
      <c r="R51" s="153"/>
      <c r="S51" s="44"/>
      <c r="T51" s="45" t="str">
        <f t="shared" si="10"/>
        <v/>
      </c>
      <c r="U51" s="92"/>
      <c r="V51" s="152" t="str">
        <f t="shared" si="11"/>
        <v>No Quote</v>
      </c>
      <c r="W51" s="153"/>
      <c r="X51" s="44"/>
      <c r="Y51" s="45" t="str">
        <f t="shared" si="12"/>
        <v/>
      </c>
      <c r="Z51" s="92"/>
      <c r="AA51" s="212" t="str">
        <f t="shared" si="13"/>
        <v>No Quote</v>
      </c>
      <c r="AB51" s="213"/>
      <c r="AC51" s="90"/>
      <c r="AD51" s="96"/>
      <c r="AE51" s="66" t="str">
        <f t="shared" si="14"/>
        <v/>
      </c>
      <c r="AF51" s="95"/>
      <c r="AG51" s="95"/>
      <c r="AH51" s="80" t="str">
        <f t="shared" si="15"/>
        <v>-</v>
      </c>
      <c r="AI51" s="80" t="str">
        <f t="shared" si="16"/>
        <v>-</v>
      </c>
      <c r="AJ51" s="80" t="str">
        <f t="shared" si="17"/>
        <v>-</v>
      </c>
      <c r="AK51" s="80" t="str">
        <f t="shared" si="18"/>
        <v>-</v>
      </c>
      <c r="AL51" s="81" t="str">
        <f t="shared" si="3"/>
        <v/>
      </c>
      <c r="AM51" s="77" t="str">
        <f t="shared" si="19"/>
        <v/>
      </c>
      <c r="AN51" s="75" t="str">
        <f t="shared" si="4"/>
        <v/>
      </c>
      <c r="AO51" s="74" t="str">
        <f t="shared" si="20"/>
        <v/>
      </c>
      <c r="AP51" s="77" t="str">
        <f t="shared" si="21"/>
        <v/>
      </c>
      <c r="AQ51" s="75" t="str">
        <f t="shared" si="5"/>
        <v/>
      </c>
      <c r="AR51" s="74" t="str">
        <f t="shared" si="22"/>
        <v/>
      </c>
      <c r="AS51" s="77" t="str">
        <f t="shared" si="23"/>
        <v/>
      </c>
      <c r="AU51" s="104">
        <f t="shared" si="26"/>
        <v>0</v>
      </c>
      <c r="AV51" s="103"/>
    </row>
    <row r="52" spans="2:48" s="47" customFormat="1" ht="35.1" customHeight="1" x14ac:dyDescent="0.25">
      <c r="B52" s="214" t="s">
        <v>18</v>
      </c>
      <c r="C52" s="215"/>
      <c r="D52" s="215"/>
      <c r="E52" s="215"/>
      <c r="F52" s="215"/>
      <c r="G52" s="158" t="s">
        <v>36</v>
      </c>
      <c r="H52" s="159"/>
      <c r="I52" s="144">
        <f t="shared" ref="I52" si="27">SUMIF(K23:K51,"&lt;&gt;x",J23:J51)</f>
        <v>0</v>
      </c>
      <c r="J52" s="145"/>
      <c r="K52" s="145"/>
      <c r="L52" s="145"/>
      <c r="M52" s="146"/>
      <c r="N52" s="144">
        <f t="shared" ref="N52" si="28">SUMIF(P23:P51,"&lt;&gt;x",O23:O51)</f>
        <v>0</v>
      </c>
      <c r="O52" s="145"/>
      <c r="P52" s="145"/>
      <c r="Q52" s="145"/>
      <c r="R52" s="146"/>
      <c r="S52" s="144">
        <f t="shared" ref="S52" si="29">SUMIF(U23:U51,"&lt;&gt;x",T23:T51)</f>
        <v>0</v>
      </c>
      <c r="T52" s="145"/>
      <c r="U52" s="145"/>
      <c r="V52" s="145"/>
      <c r="W52" s="146"/>
      <c r="X52" s="144">
        <f t="shared" ref="X52" si="30">SUMIF(Z23:Z51,"&lt;&gt;x",Y23:Y51)</f>
        <v>0</v>
      </c>
      <c r="Y52" s="145"/>
      <c r="Z52" s="145"/>
      <c r="AA52" s="145"/>
      <c r="AB52" s="157"/>
      <c r="AH52" s="116">
        <f>SUM(AH23:AH51)</f>
        <v>0</v>
      </c>
      <c r="AI52" s="116">
        <f t="shared" ref="AI52:AK52" si="31">SUM(AI23:AI51)</f>
        <v>0</v>
      </c>
      <c r="AJ52" s="116">
        <f t="shared" si="31"/>
        <v>0</v>
      </c>
      <c r="AK52" s="116">
        <f t="shared" si="31"/>
        <v>0</v>
      </c>
      <c r="AL52" s="81" t="str">
        <f t="shared" si="3"/>
        <v/>
      </c>
      <c r="AM52" s="77" t="str">
        <f t="shared" ref="AM52" si="32">IF(AL52=AH52,$AH$20,IF(AL52=AI52,$AI$20,IF(AL52=AJ52,$AJ$20,IF(AL52=AK52,$AK$20,""))))</f>
        <v/>
      </c>
      <c r="AN52" s="75">
        <f t="shared" si="4"/>
        <v>0</v>
      </c>
      <c r="AO52" s="74" t="str">
        <f t="shared" si="20"/>
        <v/>
      </c>
      <c r="AP52" s="77">
        <f t="shared" ref="AP52" si="33">IFERROR(IF(AN52="","",IF(AN52=AH52,$AH$20,IF(AN52=AI52,$AI$20,IF(AN52=AJ52,$AJ$20,IF(AN52=AK52,$AK$20,""))))),"")</f>
        <v>0</v>
      </c>
      <c r="AQ52" s="75">
        <f t="shared" si="5"/>
        <v>0</v>
      </c>
      <c r="AR52" s="74" t="str">
        <f t="shared" ref="AR52" si="34">IFERROR(IF((AQ52-$AL52)/$AL52&lt;0%,"",(AQ52-$AL52)/$AL52),"")</f>
        <v/>
      </c>
      <c r="AS52" s="77">
        <f t="shared" ref="AS52" si="35">IFERROR(IF(AQ52="","",IF(AQ52=AH52,$AH$20,IF(AQ52=AI52,$AI$20,IF(AQ52=AJ52,$AJ$20,IF(AQ52=AK52,$AK$20,""))))),"")</f>
        <v>0</v>
      </c>
      <c r="AU52" s="97"/>
      <c r="AV52" s="97"/>
    </row>
    <row r="53" spans="2:48" s="47" customFormat="1" ht="35.1" customHeight="1" outlineLevel="1" x14ac:dyDescent="0.25">
      <c r="B53" s="216"/>
      <c r="C53" s="217"/>
      <c r="D53" s="217"/>
      <c r="E53" s="217"/>
      <c r="F53" s="217"/>
      <c r="G53" s="158" t="s">
        <v>37</v>
      </c>
      <c r="H53" s="159"/>
      <c r="I53" s="144">
        <f>I52+(I52*11%)</f>
        <v>0</v>
      </c>
      <c r="J53" s="145"/>
      <c r="K53" s="145"/>
      <c r="L53" s="145"/>
      <c r="M53" s="146"/>
      <c r="N53" s="144">
        <f>N52+(N52*11%)</f>
        <v>0</v>
      </c>
      <c r="O53" s="145"/>
      <c r="P53" s="145"/>
      <c r="Q53" s="145"/>
      <c r="R53" s="146"/>
      <c r="S53" s="144">
        <f>S52+(S52*11%)</f>
        <v>0</v>
      </c>
      <c r="T53" s="145"/>
      <c r="U53" s="145"/>
      <c r="V53" s="145"/>
      <c r="W53" s="146"/>
      <c r="X53" s="144">
        <f>X52+(X52*11%)</f>
        <v>0</v>
      </c>
      <c r="Y53" s="145"/>
      <c r="Z53" s="145"/>
      <c r="AA53" s="145"/>
      <c r="AB53" s="157"/>
      <c r="AH53" s="22" t="s">
        <v>51</v>
      </c>
      <c r="AI53" s="11" t="str">
        <f t="shared" ref="AI53:AK53" si="36">IF(COUNTIF(AI23:AI51,"-")&gt;0,"No Full Item","Full Item")</f>
        <v>No Full Item</v>
      </c>
      <c r="AJ53" s="11" t="str">
        <f t="shared" si="36"/>
        <v>No Full Item</v>
      </c>
      <c r="AK53" s="11" t="str">
        <f t="shared" si="36"/>
        <v>No Full Item</v>
      </c>
      <c r="AL53" s="72"/>
      <c r="AM53" s="78"/>
      <c r="AO53" s="71"/>
      <c r="AP53" s="78"/>
      <c r="AS53" s="78"/>
      <c r="AU53" s="100"/>
    </row>
    <row r="54" spans="2:48" s="47" customFormat="1" ht="35.1" customHeight="1" x14ac:dyDescent="0.25">
      <c r="B54" s="216"/>
      <c r="C54" s="217"/>
      <c r="D54" s="217"/>
      <c r="E54" s="217"/>
      <c r="F54" s="217"/>
      <c r="G54" s="158" t="s">
        <v>38</v>
      </c>
      <c r="H54" s="159"/>
      <c r="I54" s="144"/>
      <c r="J54" s="145"/>
      <c r="K54" s="145"/>
      <c r="L54" s="145"/>
      <c r="M54" s="146"/>
      <c r="N54" s="144"/>
      <c r="O54" s="145"/>
      <c r="P54" s="145"/>
      <c r="Q54" s="145"/>
      <c r="R54" s="146"/>
      <c r="S54" s="144"/>
      <c r="T54" s="145"/>
      <c r="U54" s="145"/>
      <c r="V54" s="145"/>
      <c r="W54" s="146"/>
      <c r="X54" s="144"/>
      <c r="Y54" s="145"/>
      <c r="Z54" s="145"/>
      <c r="AA54" s="145"/>
      <c r="AB54" s="157"/>
      <c r="AL54" s="72"/>
      <c r="AM54" s="78"/>
      <c r="AO54" s="71"/>
      <c r="AP54" s="78"/>
      <c r="AS54" s="78"/>
      <c r="AU54" s="100"/>
    </row>
    <row r="55" spans="2:48" s="1" customFormat="1" ht="80.25" customHeight="1" x14ac:dyDescent="0.25">
      <c r="B55" s="208" t="s">
        <v>39</v>
      </c>
      <c r="C55" s="209"/>
      <c r="D55" s="209"/>
      <c r="E55" s="209"/>
      <c r="F55" s="209"/>
      <c r="G55" s="209"/>
      <c r="H55" s="210"/>
      <c r="I55" s="211"/>
      <c r="J55" s="195"/>
      <c r="K55" s="195"/>
      <c r="L55" s="195"/>
      <c r="M55" s="196"/>
      <c r="N55" s="194"/>
      <c r="O55" s="195"/>
      <c r="P55" s="195"/>
      <c r="Q55" s="195"/>
      <c r="R55" s="196"/>
      <c r="S55" s="194"/>
      <c r="T55" s="195"/>
      <c r="U55" s="195"/>
      <c r="V55" s="195"/>
      <c r="W55" s="196"/>
      <c r="X55" s="194"/>
      <c r="Y55" s="195"/>
      <c r="Z55" s="195"/>
      <c r="AA55" s="195"/>
      <c r="AB55" s="197"/>
      <c r="AL55" s="82"/>
      <c r="AM55" s="73"/>
      <c r="AO55" s="68"/>
      <c r="AP55" s="73"/>
      <c r="AS55" s="73"/>
      <c r="AU55" s="97"/>
    </row>
    <row r="56" spans="2:48" s="1" customFormat="1" ht="120" customHeight="1" x14ac:dyDescent="0.25">
      <c r="B56" s="198"/>
      <c r="C56" s="199"/>
      <c r="D56" s="199"/>
      <c r="E56" s="199"/>
      <c r="F56" s="199"/>
      <c r="G56" s="199"/>
      <c r="H56" s="199"/>
      <c r="I56" s="200" t="s">
        <v>40</v>
      </c>
      <c r="J56" s="201"/>
      <c r="K56" s="201"/>
      <c r="L56" s="201"/>
      <c r="M56" s="202"/>
      <c r="N56" s="200" t="s">
        <v>40</v>
      </c>
      <c r="O56" s="201"/>
      <c r="P56" s="201"/>
      <c r="Q56" s="201"/>
      <c r="R56" s="202"/>
      <c r="S56" s="200" t="s">
        <v>40</v>
      </c>
      <c r="T56" s="201"/>
      <c r="U56" s="201"/>
      <c r="V56" s="201"/>
      <c r="W56" s="202"/>
      <c r="X56" s="176" t="s">
        <v>40</v>
      </c>
      <c r="Y56" s="177"/>
      <c r="Z56" s="177"/>
      <c r="AA56" s="177"/>
      <c r="AB56" s="178"/>
      <c r="AL56" s="82"/>
      <c r="AM56" s="73"/>
      <c r="AO56" s="68"/>
      <c r="AP56" s="73"/>
      <c r="AS56" s="73"/>
      <c r="AU56" s="97"/>
    </row>
    <row r="57" spans="2:48" s="50" customFormat="1" ht="15" customHeight="1" x14ac:dyDescent="0.25">
      <c r="B57" s="179" t="s">
        <v>41</v>
      </c>
      <c r="C57" s="180"/>
      <c r="D57" s="180"/>
      <c r="E57" s="180"/>
      <c r="F57" s="180"/>
      <c r="G57" s="180"/>
      <c r="H57" s="181"/>
      <c r="I57" s="162" t="s">
        <v>42</v>
      </c>
      <c r="J57" s="163"/>
      <c r="K57" s="163"/>
      <c r="L57" s="163"/>
      <c r="M57" s="163"/>
      <c r="N57" s="163"/>
      <c r="O57" s="163"/>
      <c r="P57" s="163"/>
      <c r="Q57" s="163"/>
      <c r="R57" s="295"/>
      <c r="S57" s="162" t="s">
        <v>55</v>
      </c>
      <c r="T57" s="163"/>
      <c r="U57" s="163"/>
      <c r="V57" s="163"/>
      <c r="W57" s="295"/>
      <c r="X57" s="167" t="s">
        <v>43</v>
      </c>
      <c r="Y57" s="168"/>
      <c r="Z57" s="168"/>
      <c r="AA57" s="168"/>
      <c r="AB57" s="193"/>
      <c r="AL57" s="84"/>
      <c r="AM57" s="73"/>
      <c r="AN57" s="1"/>
      <c r="AO57" s="68"/>
      <c r="AP57" s="73"/>
      <c r="AS57" s="73"/>
      <c r="AU57" s="101"/>
    </row>
    <row r="58" spans="2:48" s="1" customFormat="1" ht="90" customHeight="1" x14ac:dyDescent="0.25">
      <c r="B58" s="186"/>
      <c r="C58" s="187"/>
      <c r="D58" s="187"/>
      <c r="E58" s="187"/>
      <c r="F58" s="187"/>
      <c r="G58" s="187"/>
      <c r="H58" s="188"/>
      <c r="I58" s="337"/>
      <c r="J58" s="338"/>
      <c r="K58" s="338"/>
      <c r="L58" s="338"/>
      <c r="M58" s="338"/>
      <c r="N58" s="338"/>
      <c r="O58" s="338"/>
      <c r="P58" s="338"/>
      <c r="Q58" s="338"/>
      <c r="R58" s="339"/>
      <c r="S58" s="164"/>
      <c r="T58" s="165"/>
      <c r="U58" s="165"/>
      <c r="V58" s="165"/>
      <c r="W58" s="165"/>
      <c r="X58" s="167"/>
      <c r="Y58" s="168"/>
      <c r="Z58" s="168"/>
      <c r="AA58" s="168"/>
      <c r="AB58" s="193"/>
      <c r="AL58" s="82"/>
      <c r="AM58" s="73"/>
      <c r="AO58" s="68"/>
      <c r="AP58" s="73"/>
      <c r="AS58" s="73"/>
      <c r="AU58" s="97"/>
    </row>
    <row r="59" spans="2:48" s="1" customFormat="1" ht="13.5" x14ac:dyDescent="0.25">
      <c r="B59" s="203" t="s">
        <v>51</v>
      </c>
      <c r="C59" s="204"/>
      <c r="D59" s="204"/>
      <c r="E59" s="204"/>
      <c r="F59" s="204"/>
      <c r="G59" s="204"/>
      <c r="H59" s="205"/>
      <c r="I59" s="340" t="s">
        <v>44</v>
      </c>
      <c r="J59" s="332"/>
      <c r="K59" s="332"/>
      <c r="L59" s="332"/>
      <c r="M59" s="332" t="s">
        <v>57</v>
      </c>
      <c r="N59" s="332"/>
      <c r="O59" s="332"/>
      <c r="P59" s="166" t="s">
        <v>46</v>
      </c>
      <c r="Q59" s="166"/>
      <c r="R59" s="298"/>
      <c r="S59" s="189" t="s">
        <v>53</v>
      </c>
      <c r="T59" s="190"/>
      <c r="U59" s="190"/>
      <c r="V59" s="190"/>
      <c r="W59" s="346"/>
      <c r="X59" s="206" t="str">
        <f>IF(OR($I$52&lt;200000000,$N$52&lt;200000000,$S$52&lt;200000000,$X$52&lt;200000000),"Mochammad Rusfandy","Mochammad Rusfandy")</f>
        <v>Mochammad Rusfandy</v>
      </c>
      <c r="Y59" s="166"/>
      <c r="Z59" s="166"/>
      <c r="AA59" s="166" t="str">
        <f>IF(OR($I$52="",$N$52="",$S$52="",$X$52=""),"",IF(OR($I$52&gt;200000000,$N$52&gt;200000000,$S$52&gt;200000000,$X$52&gt;200000000),"Heri Gunawan",""))</f>
        <v/>
      </c>
      <c r="AB59" s="182"/>
      <c r="AL59" s="82"/>
      <c r="AM59" s="73"/>
      <c r="AO59" s="68"/>
      <c r="AP59" s="73"/>
      <c r="AS59" s="73"/>
      <c r="AU59" s="97"/>
    </row>
    <row r="60" spans="2:48" s="1" customFormat="1" ht="13.5" x14ac:dyDescent="0.25">
      <c r="B60" s="51" t="s">
        <v>47</v>
      </c>
      <c r="C60" s="52"/>
      <c r="D60" s="183">
        <f ca="1">Y8</f>
        <v>46231</v>
      </c>
      <c r="E60" s="183"/>
      <c r="F60" s="183"/>
      <c r="G60" s="183"/>
      <c r="H60" s="184"/>
      <c r="I60" s="341" t="str">
        <f>IF(I59="","","Date:")</f>
        <v>Date:</v>
      </c>
      <c r="J60" s="336"/>
      <c r="K60" s="336"/>
      <c r="L60" s="336"/>
      <c r="M60" s="336" t="str">
        <f>IF(M59="","","Date:")</f>
        <v>Date:</v>
      </c>
      <c r="N60" s="336"/>
      <c r="O60" s="336"/>
      <c r="P60" s="170" t="str">
        <f t="shared" ref="P60" si="37">IF(P59="","","Date:")</f>
        <v>Date:</v>
      </c>
      <c r="Q60" s="170"/>
      <c r="R60" s="297"/>
      <c r="S60" s="191" t="s">
        <v>54</v>
      </c>
      <c r="T60" s="192"/>
      <c r="U60" s="192"/>
      <c r="V60" s="192"/>
      <c r="W60" s="315"/>
      <c r="X60" s="173" t="str">
        <f>IF(X59="","","Date:")</f>
        <v>Date:</v>
      </c>
      <c r="Y60" s="170"/>
      <c r="Z60" s="170"/>
      <c r="AA60" s="336" t="str">
        <f>IF(AA59="","","Date:")</f>
        <v/>
      </c>
      <c r="AB60" s="342"/>
      <c r="AL60" s="82"/>
      <c r="AM60" s="73"/>
      <c r="AO60" s="68"/>
      <c r="AP60" s="73"/>
      <c r="AS60" s="73"/>
      <c r="AU60" s="97"/>
    </row>
    <row r="61" spans="2:48" s="1" customFormat="1" ht="15.75" customHeight="1" thickBot="1" x14ac:dyDescent="0.3">
      <c r="B61" s="299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1"/>
      <c r="AL61" s="82"/>
      <c r="AM61" s="73"/>
      <c r="AO61" s="68"/>
      <c r="AP61" s="73"/>
      <c r="AS61" s="73"/>
      <c r="AU61" s="97"/>
    </row>
    <row r="62" spans="2:48" ht="17.25" hidden="1" thickTop="1" x14ac:dyDescent="0.25">
      <c r="L62" s="58"/>
      <c r="M62" s="58"/>
    </row>
    <row r="63" spans="2:48" ht="17.25" hidden="1" thickTop="1" x14ac:dyDescent="0.25">
      <c r="L63" s="58"/>
      <c r="M63" s="58"/>
    </row>
    <row r="64" spans="2:48" ht="17.25" hidden="1" thickTop="1" x14ac:dyDescent="0.25">
      <c r="J64" s="160"/>
      <c r="K64" s="161"/>
      <c r="L64" s="161"/>
      <c r="M64" s="161"/>
    </row>
    <row r="65" spans="4:13" ht="17.25" hidden="1" thickTop="1" x14ac:dyDescent="0.25">
      <c r="J65" s="160"/>
      <c r="K65" s="161"/>
      <c r="L65" s="161"/>
      <c r="M65" s="161"/>
    </row>
    <row r="66" spans="4:13" ht="17.25" hidden="1" thickTop="1" x14ac:dyDescent="0.25">
      <c r="J66" s="160"/>
      <c r="K66" s="161"/>
      <c r="L66" s="161"/>
      <c r="M66" s="161"/>
    </row>
    <row r="67" spans="4:13" ht="17.25" hidden="1" thickTop="1" x14ac:dyDescent="0.25">
      <c r="J67" s="160"/>
      <c r="K67" s="161"/>
      <c r="L67" s="161"/>
      <c r="M67" s="161"/>
    </row>
    <row r="68" spans="4:13" ht="17.25" hidden="1" thickTop="1" x14ac:dyDescent="0.25">
      <c r="J68" s="160"/>
      <c r="K68" s="161"/>
      <c r="L68" s="161"/>
      <c r="M68" s="161"/>
    </row>
    <row r="69" spans="4:13" ht="17.25" hidden="1" thickTop="1" x14ac:dyDescent="0.25">
      <c r="J69" s="161"/>
      <c r="K69" s="161"/>
      <c r="L69" s="161"/>
      <c r="M69" s="161"/>
    </row>
    <row r="70" spans="4:13" ht="17.25" hidden="1" thickTop="1" x14ac:dyDescent="0.25">
      <c r="L70" s="58"/>
      <c r="M70" s="58"/>
    </row>
    <row r="71" spans="4:13" ht="17.25" hidden="1" thickTop="1" x14ac:dyDescent="0.25">
      <c r="L71" s="171"/>
      <c r="M71" s="171"/>
    </row>
    <row r="74" spans="4:13" ht="17.25" hidden="1" thickTop="1" x14ac:dyDescent="0.25">
      <c r="D74" s="59"/>
      <c r="E74" s="59"/>
      <c r="F74" s="59"/>
      <c r="G74" s="59"/>
      <c r="H74" s="59"/>
      <c r="I74" s="59"/>
    </row>
    <row r="75" spans="4:13" ht="17.25" hidden="1" thickTop="1" x14ac:dyDescent="0.25">
      <c r="D75" s="59"/>
      <c r="E75" s="59"/>
      <c r="F75" s="59"/>
      <c r="G75" s="59"/>
      <c r="H75" s="59"/>
      <c r="I75" s="59"/>
    </row>
    <row r="76" spans="4:13" ht="17.25" hidden="1" thickTop="1" x14ac:dyDescent="0.25">
      <c r="D76" s="59"/>
      <c r="E76" s="59"/>
      <c r="F76" s="59"/>
      <c r="G76" s="59"/>
      <c r="H76" s="59"/>
      <c r="I76" s="59"/>
    </row>
    <row r="77" spans="4:13" ht="17.25" hidden="1" thickTop="1" x14ac:dyDescent="0.25">
      <c r="D77" s="59"/>
      <c r="E77" s="59"/>
      <c r="F77" s="59"/>
      <c r="G77" s="59"/>
      <c r="H77" s="59"/>
      <c r="I77" s="59"/>
    </row>
    <row r="78" spans="4:13" ht="17.25" hidden="1" thickTop="1" x14ac:dyDescent="0.25">
      <c r="D78" s="59"/>
      <c r="E78" s="59"/>
      <c r="F78" s="60"/>
      <c r="G78" s="59"/>
      <c r="H78" s="59"/>
      <c r="I78" s="59"/>
    </row>
    <row r="79" spans="4:13" ht="15" hidden="1" customHeight="1" x14ac:dyDescent="0.25">
      <c r="D79" s="59"/>
      <c r="E79" s="59"/>
      <c r="F79" s="172"/>
      <c r="G79" s="172"/>
      <c r="H79" s="172"/>
      <c r="I79" s="59"/>
    </row>
    <row r="80" spans="4:13" ht="15" hidden="1" customHeight="1" x14ac:dyDescent="0.25">
      <c r="D80" s="59"/>
      <c r="E80" s="59"/>
      <c r="F80" s="172"/>
      <c r="G80" s="172"/>
      <c r="H80" s="172"/>
      <c r="I80" s="61"/>
      <c r="J80" s="62"/>
    </row>
    <row r="81" spans="4:9" ht="17.25" hidden="1" thickTop="1" x14ac:dyDescent="0.25">
      <c r="D81" s="59"/>
      <c r="E81" s="59"/>
      <c r="F81" s="59"/>
      <c r="G81" s="59"/>
      <c r="H81" s="59"/>
      <c r="I81" s="59"/>
    </row>
    <row r="82" spans="4:9" ht="17.25" hidden="1" thickTop="1" x14ac:dyDescent="0.25">
      <c r="D82" s="59"/>
      <c r="E82" s="59"/>
      <c r="F82" s="59"/>
      <c r="G82" s="59"/>
      <c r="H82" s="59"/>
      <c r="I82" s="59"/>
    </row>
    <row r="83" spans="4:9" ht="17.25" hidden="1" thickTop="1" x14ac:dyDescent="0.25">
      <c r="D83" s="59"/>
      <c r="E83" s="59"/>
      <c r="F83" s="59"/>
      <c r="G83" s="59"/>
      <c r="H83" s="59"/>
      <c r="I83" s="63"/>
    </row>
    <row r="84" spans="4:9" ht="17.25" hidden="1" thickTop="1" x14ac:dyDescent="0.25">
      <c r="D84" s="59"/>
      <c r="E84" s="59"/>
      <c r="F84" s="59"/>
      <c r="G84" s="59"/>
      <c r="H84" s="59"/>
      <c r="I84" s="59"/>
    </row>
  </sheetData>
  <mergeCells count="287">
    <mergeCell ref="X59:Z59"/>
    <mergeCell ref="X60:Z60"/>
    <mergeCell ref="X56:AB56"/>
    <mergeCell ref="S54:W54"/>
    <mergeCell ref="X54:AB54"/>
    <mergeCell ref="B55:H55"/>
    <mergeCell ref="I55:M55"/>
    <mergeCell ref="B57:H57"/>
    <mergeCell ref="B58:H58"/>
    <mergeCell ref="N55:R55"/>
    <mergeCell ref="S55:W55"/>
    <mergeCell ref="X55:AB55"/>
    <mergeCell ref="B59:H59"/>
    <mergeCell ref="B56:H56"/>
    <mergeCell ref="I56:M56"/>
    <mergeCell ref="N56:R56"/>
    <mergeCell ref="S56:W56"/>
    <mergeCell ref="S59:W59"/>
    <mergeCell ref="S60:W60"/>
    <mergeCell ref="AA59:AB59"/>
    <mergeCell ref="S57:W57"/>
    <mergeCell ref="S58:W58"/>
    <mergeCell ref="P59:R59"/>
    <mergeCell ref="P60:R60"/>
    <mergeCell ref="L71:M71"/>
    <mergeCell ref="F79:H80"/>
    <mergeCell ref="J65:M65"/>
    <mergeCell ref="J66:M66"/>
    <mergeCell ref="J67:M67"/>
    <mergeCell ref="J68:M68"/>
    <mergeCell ref="J69:M69"/>
    <mergeCell ref="D60:H60"/>
    <mergeCell ref="J64:M64"/>
    <mergeCell ref="B61:AB61"/>
    <mergeCell ref="X52:AB52"/>
    <mergeCell ref="G53:H53"/>
    <mergeCell ref="I53:M53"/>
    <mergeCell ref="N53:R53"/>
    <mergeCell ref="S53:W53"/>
    <mergeCell ref="X53:AB53"/>
    <mergeCell ref="B52:F54"/>
    <mergeCell ref="G52:H52"/>
    <mergeCell ref="I52:M52"/>
    <mergeCell ref="N52:R52"/>
    <mergeCell ref="S52:W52"/>
    <mergeCell ref="G54:H54"/>
    <mergeCell ref="I54:M54"/>
    <mergeCell ref="N54:R54"/>
    <mergeCell ref="C51:F51"/>
    <mergeCell ref="L51:M51"/>
    <mergeCell ref="Q51:R51"/>
    <mergeCell ref="V51:W51"/>
    <mergeCell ref="AA51:AB51"/>
    <mergeCell ref="C50:F50"/>
    <mergeCell ref="L50:M50"/>
    <mergeCell ref="Q50:R50"/>
    <mergeCell ref="V50:W50"/>
    <mergeCell ref="AA50:AB50"/>
    <mergeCell ref="C49:F49"/>
    <mergeCell ref="L49:M49"/>
    <mergeCell ref="Q49:R49"/>
    <mergeCell ref="V49:W49"/>
    <mergeCell ref="AA49:AB49"/>
    <mergeCell ref="C48:F48"/>
    <mergeCell ref="L48:M48"/>
    <mergeCell ref="Q48:R48"/>
    <mergeCell ref="V48:W48"/>
    <mergeCell ref="AA48:AB48"/>
    <mergeCell ref="C47:F47"/>
    <mergeCell ref="L47:M47"/>
    <mergeCell ref="Q47:R47"/>
    <mergeCell ref="V47:W47"/>
    <mergeCell ref="AA47:AB47"/>
    <mergeCell ref="C46:F46"/>
    <mergeCell ref="L46:M46"/>
    <mergeCell ref="Q46:R46"/>
    <mergeCell ref="V46:W46"/>
    <mergeCell ref="AA46:AB46"/>
    <mergeCell ref="C45:F45"/>
    <mergeCell ref="L45:M45"/>
    <mergeCell ref="Q45:R45"/>
    <mergeCell ref="V45:W45"/>
    <mergeCell ref="AA45:AB45"/>
    <mergeCell ref="C44:F44"/>
    <mergeCell ref="L44:M44"/>
    <mergeCell ref="Q44:R44"/>
    <mergeCell ref="V44:W44"/>
    <mergeCell ref="AA44:AB44"/>
    <mergeCell ref="C43:F43"/>
    <mergeCell ref="L43:M43"/>
    <mergeCell ref="Q43:R43"/>
    <mergeCell ref="V43:W43"/>
    <mergeCell ref="AA43:AB43"/>
    <mergeCell ref="C42:F42"/>
    <mergeCell ref="L42:M42"/>
    <mergeCell ref="Q42:R42"/>
    <mergeCell ref="V42:W42"/>
    <mergeCell ref="AA42:AB42"/>
    <mergeCell ref="C41:F41"/>
    <mergeCell ref="L41:M41"/>
    <mergeCell ref="Q41:R41"/>
    <mergeCell ref="V41:W41"/>
    <mergeCell ref="AA41:AB41"/>
    <mergeCell ref="C40:F40"/>
    <mergeCell ref="L40:M40"/>
    <mergeCell ref="Q40:R40"/>
    <mergeCell ref="V40:W40"/>
    <mergeCell ref="AA40:AB40"/>
    <mergeCell ref="C39:F39"/>
    <mergeCell ref="L39:M39"/>
    <mergeCell ref="Q39:R39"/>
    <mergeCell ref="V39:W39"/>
    <mergeCell ref="AA39:AB39"/>
    <mergeCell ref="C38:F38"/>
    <mergeCell ref="L38:M38"/>
    <mergeCell ref="Q38:R38"/>
    <mergeCell ref="V38:W38"/>
    <mergeCell ref="AA38:AB38"/>
    <mergeCell ref="C37:F37"/>
    <mergeCell ref="L37:M37"/>
    <mergeCell ref="Q37:R37"/>
    <mergeCell ref="V37:W37"/>
    <mergeCell ref="AA37:AB37"/>
    <mergeCell ref="C36:F36"/>
    <mergeCell ref="L36:M36"/>
    <mergeCell ref="Q36:R36"/>
    <mergeCell ref="V36:W36"/>
    <mergeCell ref="AA36:AB36"/>
    <mergeCell ref="C35:F35"/>
    <mergeCell ref="L35:M35"/>
    <mergeCell ref="Q35:R35"/>
    <mergeCell ref="V35:W35"/>
    <mergeCell ref="AA35:AB35"/>
    <mergeCell ref="C34:F34"/>
    <mergeCell ref="L34:M34"/>
    <mergeCell ref="Q34:R34"/>
    <mergeCell ref="V34:W34"/>
    <mergeCell ref="AA34:AB34"/>
    <mergeCell ref="C33:F33"/>
    <mergeCell ref="L33:M33"/>
    <mergeCell ref="Q33:R33"/>
    <mergeCell ref="V33:W33"/>
    <mergeCell ref="AA33:AB33"/>
    <mergeCell ref="C32:F32"/>
    <mergeCell ref="L32:M32"/>
    <mergeCell ref="Q32:R32"/>
    <mergeCell ref="V32:W32"/>
    <mergeCell ref="AA32:AB32"/>
    <mergeCell ref="C31:F31"/>
    <mergeCell ref="L31:M31"/>
    <mergeCell ref="Q31:R31"/>
    <mergeCell ref="V31:W31"/>
    <mergeCell ref="AA31:AB31"/>
    <mergeCell ref="C30:F30"/>
    <mergeCell ref="L30:M30"/>
    <mergeCell ref="Q30:R30"/>
    <mergeCell ref="V30:W30"/>
    <mergeCell ref="AA30:AB30"/>
    <mergeCell ref="C29:F29"/>
    <mergeCell ref="L29:M29"/>
    <mergeCell ref="Q29:R29"/>
    <mergeCell ref="V29:W29"/>
    <mergeCell ref="AA29:AB29"/>
    <mergeCell ref="C24:F24"/>
    <mergeCell ref="L24:M24"/>
    <mergeCell ref="Q24:R24"/>
    <mergeCell ref="V24:W24"/>
    <mergeCell ref="AA24:AB24"/>
    <mergeCell ref="C28:F28"/>
    <mergeCell ref="L28:M28"/>
    <mergeCell ref="Q28:R28"/>
    <mergeCell ref="V28:W28"/>
    <mergeCell ref="AA28:AB28"/>
    <mergeCell ref="C27:F27"/>
    <mergeCell ref="L27:M27"/>
    <mergeCell ref="Q27:R27"/>
    <mergeCell ref="V27:W27"/>
    <mergeCell ref="AA27:AB27"/>
    <mergeCell ref="C26:F26"/>
    <mergeCell ref="L26:M26"/>
    <mergeCell ref="Q26:R26"/>
    <mergeCell ref="V26:W26"/>
    <mergeCell ref="AA26:AB26"/>
    <mergeCell ref="C25:F25"/>
    <mergeCell ref="L25:M25"/>
    <mergeCell ref="Q25:R25"/>
    <mergeCell ref="V25:W25"/>
    <mergeCell ref="AA25:AB25"/>
    <mergeCell ref="AQ22:AS22"/>
    <mergeCell ref="C23:F23"/>
    <mergeCell ref="L23:M23"/>
    <mergeCell ref="Q23:R23"/>
    <mergeCell ref="V23:W23"/>
    <mergeCell ref="AA23:AB23"/>
    <mergeCell ref="C22:F22"/>
    <mergeCell ref="L22:M22"/>
    <mergeCell ref="Q22:R22"/>
    <mergeCell ref="V22:W22"/>
    <mergeCell ref="AA22:AB22"/>
    <mergeCell ref="AI20:AI22"/>
    <mergeCell ref="AJ20:AJ22"/>
    <mergeCell ref="AK20:AK22"/>
    <mergeCell ref="G21:H21"/>
    <mergeCell ref="I21:M21"/>
    <mergeCell ref="N21:R21"/>
    <mergeCell ref="S21:W21"/>
    <mergeCell ref="AN22:AP22"/>
    <mergeCell ref="B19:F20"/>
    <mergeCell ref="AL19:AL22"/>
    <mergeCell ref="G20:H20"/>
    <mergeCell ref="I20:M20"/>
    <mergeCell ref="N20:R20"/>
    <mergeCell ref="S20:W20"/>
    <mergeCell ref="X20:AB20"/>
    <mergeCell ref="AH20:AH22"/>
    <mergeCell ref="G19:H19"/>
    <mergeCell ref="I19:M19"/>
    <mergeCell ref="N19:R19"/>
    <mergeCell ref="X21:AB21"/>
    <mergeCell ref="S19:W19"/>
    <mergeCell ref="X19:AB19"/>
    <mergeCell ref="Z18:AB18"/>
    <mergeCell ref="G18:H18"/>
    <mergeCell ref="G15:H15"/>
    <mergeCell ref="I15:M15"/>
    <mergeCell ref="N15:R15"/>
    <mergeCell ref="S15:W15"/>
    <mergeCell ref="G16:H16"/>
    <mergeCell ref="I16:M16"/>
    <mergeCell ref="X17:AB17"/>
    <mergeCell ref="N16:R16"/>
    <mergeCell ref="S16:W16"/>
    <mergeCell ref="I18:J18"/>
    <mergeCell ref="K18:M18"/>
    <mergeCell ref="N18:O18"/>
    <mergeCell ref="G17:H17"/>
    <mergeCell ref="I17:M17"/>
    <mergeCell ref="N17:R17"/>
    <mergeCell ref="S17:W17"/>
    <mergeCell ref="I57:R57"/>
    <mergeCell ref="AA60:AB60"/>
    <mergeCell ref="AU21:AV21"/>
    <mergeCell ref="AU22:AV22"/>
    <mergeCell ref="B4:F6"/>
    <mergeCell ref="G4:Z6"/>
    <mergeCell ref="B7:D7"/>
    <mergeCell ref="Y7:AB7"/>
    <mergeCell ref="B8:D8"/>
    <mergeCell ref="Y8:AB8"/>
    <mergeCell ref="N11:R11"/>
    <mergeCell ref="S11:W11"/>
    <mergeCell ref="X11:AB11"/>
    <mergeCell ref="B12:F12"/>
    <mergeCell ref="J12:M12"/>
    <mergeCell ref="O12:R12"/>
    <mergeCell ref="T12:W12"/>
    <mergeCell ref="Y12:AB12"/>
    <mergeCell ref="B9:D9"/>
    <mergeCell ref="B10:C10"/>
    <mergeCell ref="F10:H10"/>
    <mergeCell ref="B11:F11"/>
    <mergeCell ref="G11:H12"/>
    <mergeCell ref="F7:Q7"/>
    <mergeCell ref="B18:E18"/>
    <mergeCell ref="F8:Q8"/>
    <mergeCell ref="F9:Q9"/>
    <mergeCell ref="M59:O59"/>
    <mergeCell ref="M60:O60"/>
    <mergeCell ref="I58:R58"/>
    <mergeCell ref="X58:AB58"/>
    <mergeCell ref="I59:L59"/>
    <mergeCell ref="I60:L60"/>
    <mergeCell ref="X57:AB57"/>
    <mergeCell ref="I11:M11"/>
    <mergeCell ref="X13:AB14"/>
    <mergeCell ref="X15:AB15"/>
    <mergeCell ref="B13:F13"/>
    <mergeCell ref="G13:H14"/>
    <mergeCell ref="I13:M14"/>
    <mergeCell ref="N13:R14"/>
    <mergeCell ref="S13:W14"/>
    <mergeCell ref="B14:F16"/>
    <mergeCell ref="X16:AB16"/>
    <mergeCell ref="P18:R18"/>
    <mergeCell ref="S18:T18"/>
    <mergeCell ref="U18:W18"/>
    <mergeCell ref="X18:Y18"/>
  </mergeCells>
  <conditionalFormatting sqref="I23:M51">
    <cfRule type="expression" dxfId="23" priority="1" stopIfTrue="1">
      <formula>$L23="No Quote"</formula>
    </cfRule>
  </conditionalFormatting>
  <conditionalFormatting sqref="K18">
    <cfRule type="expression" dxfId="22" priority="12" stopIfTrue="1">
      <formula>$I$18&gt;0</formula>
    </cfRule>
  </conditionalFormatting>
  <conditionalFormatting sqref="N23:R51">
    <cfRule type="expression" dxfId="21" priority="20" stopIfTrue="1">
      <formula>$Q23="No Quote"</formula>
    </cfRule>
  </conditionalFormatting>
  <conditionalFormatting sqref="P18">
    <cfRule type="expression" dxfId="20" priority="15" stopIfTrue="1">
      <formula>$N$18&gt;0</formula>
    </cfRule>
  </conditionalFormatting>
  <conditionalFormatting sqref="S23:W51">
    <cfRule type="expression" dxfId="19" priority="19" stopIfTrue="1">
      <formula>$V23="No Quote"</formula>
    </cfRule>
  </conditionalFormatting>
  <conditionalFormatting sqref="U18">
    <cfRule type="expression" dxfId="18" priority="14" stopIfTrue="1">
      <formula>$S$18&gt;0</formula>
    </cfRule>
  </conditionalFormatting>
  <conditionalFormatting sqref="X23:AB51">
    <cfRule type="expression" dxfId="17" priority="18" stopIfTrue="1">
      <formula>$AA23="No Quote"</formula>
    </cfRule>
  </conditionalFormatting>
  <conditionalFormatting sqref="Z18">
    <cfRule type="expression" dxfId="16" priority="13" stopIfTrue="1">
      <formula>$X$18&gt;0</formula>
    </cfRule>
  </conditionalFormatting>
  <conditionalFormatting sqref="AE23:AF51">
    <cfRule type="expression" dxfId="15" priority="7" stopIfTrue="1">
      <formula>$AE23&gt;$AL23</formula>
    </cfRule>
  </conditionalFormatting>
  <conditionalFormatting sqref="AH23:AH51">
    <cfRule type="expression" dxfId="14" priority="6" stopIfTrue="1">
      <formula>$AH23=$AL23</formula>
    </cfRule>
  </conditionalFormatting>
  <conditionalFormatting sqref="AI23:AI51">
    <cfRule type="expression" dxfId="13" priority="2" stopIfTrue="1">
      <formula>$AI23=$AL23</formula>
    </cfRule>
  </conditionalFormatting>
  <conditionalFormatting sqref="AI24:AK51">
    <cfRule type="expression" dxfId="12" priority="4" stopIfTrue="1">
      <formula>$AA24=$AE24</formula>
    </cfRule>
  </conditionalFormatting>
  <conditionalFormatting sqref="AJ23:AJ51">
    <cfRule type="expression" dxfId="11" priority="3" stopIfTrue="1">
      <formula>$AJ23=$AL23</formula>
    </cfRule>
  </conditionalFormatting>
  <conditionalFormatting sqref="AK23:AK51">
    <cfRule type="expression" dxfId="10" priority="5" stopIfTrue="1">
      <formula>$AK23=$AL23</formula>
    </cfRule>
  </conditionalFormatting>
  <dataValidations count="3">
    <dataValidation type="list" allowBlank="1" showInputMessage="1" sqref="I20:AB20" xr:uid="{0A2C84BA-DA85-45FC-8E3C-2057436AC0E7}">
      <formula1>"Subject prior to sales"</formula1>
    </dataValidation>
    <dataValidation type="list" allowBlank="1" showInputMessage="1" sqref="I21:AB21" xr:uid="{D0071DAF-ED81-474E-BA28-5E6189945B5C}">
      <formula1>"MSW Tanjung, IBT Mekar Putih"</formula1>
    </dataValidation>
    <dataValidation type="list" allowBlank="1" sqref="M59:O59" xr:uid="{7816BCCF-ADC6-4D92-A90D-A3F24C0B0C0A}">
      <formula1>"Zulkifli Bastiandi, Teuku Syamsul Rizal, Ifit Prabowo"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47" fitToHeight="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EB25-A258-474E-A782-5244FC53C3EB}">
  <sheetPr codeName="Sheet14">
    <pageSetUpPr fitToPage="1"/>
  </sheetPr>
  <dimension ref="A1:AP85"/>
  <sheetViews>
    <sheetView showGridLines="0" view="pageBreakPreview" zoomScale="70" zoomScaleNormal="55" zoomScaleSheetLayoutView="70" workbookViewId="0">
      <selection activeCell="B57" sqref="B57:H57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1" width="10.7109375" style="4" customWidth="1"/>
    <col min="22" max="23" width="15.7109375" style="4" customWidth="1"/>
    <col min="24" max="31" width="15.7109375" style="4" customWidth="1" outlineLevel="1"/>
    <col min="32" max="32" width="15.7109375" style="59" customWidth="1" outlineLevel="1"/>
    <col min="33" max="33" width="22" style="58" customWidth="1" outlineLevel="1"/>
    <col min="34" max="34" width="12" style="4" customWidth="1" outlineLevel="1"/>
    <col min="35" max="35" width="4.7109375" style="69" customWidth="1" outlineLevel="1"/>
    <col min="36" max="36" width="22" style="58" customWidth="1" outlineLevel="1"/>
    <col min="37" max="37" width="9.7109375" style="4" customWidth="1" outlineLevel="1"/>
    <col min="38" max="38" width="4.7109375" style="4" customWidth="1" outlineLevel="1"/>
    <col min="39" max="39" width="22" style="58" customWidth="1" outlineLevel="1"/>
    <col min="40" max="40" width="9.28515625" customWidth="1"/>
    <col min="41" max="41" width="9.28515625" style="4" customWidth="1"/>
    <col min="42" max="42" width="20.7109375" style="5" customWidth="1"/>
    <col min="43" max="16384" width="9.28515625" style="4" hidden="1"/>
  </cols>
  <sheetData>
    <row r="1" spans="2:42" s="1" customFormat="1" ht="13.5" x14ac:dyDescent="0.25">
      <c r="D1" s="2"/>
      <c r="AF1" s="82"/>
      <c r="AG1" s="73"/>
      <c r="AI1" s="68"/>
      <c r="AJ1" s="73"/>
      <c r="AM1" s="73"/>
      <c r="AP1" s="3"/>
    </row>
    <row r="2" spans="2:42" s="1" customFormat="1" ht="13.5" x14ac:dyDescent="0.25">
      <c r="D2" s="2"/>
      <c r="AF2" s="82"/>
      <c r="AG2" s="73"/>
      <c r="AI2" s="68"/>
      <c r="AJ2" s="73"/>
      <c r="AM2" s="73"/>
      <c r="AP2" s="3"/>
    </row>
    <row r="3" spans="2:42" ht="17.25" thickBot="1" x14ac:dyDescent="0.3"/>
    <row r="4" spans="2:42" ht="20.100000000000001" customHeight="1" thickTop="1" x14ac:dyDescent="0.25">
      <c r="B4" s="272" t="s">
        <v>2</v>
      </c>
      <c r="C4" s="273"/>
      <c r="D4" s="273"/>
      <c r="E4" s="273"/>
      <c r="F4" s="273"/>
      <c r="G4" s="347" t="s">
        <v>3</v>
      </c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6"/>
      <c r="W4" s="7"/>
    </row>
    <row r="5" spans="2:42" ht="20.100000000000001" customHeight="1" x14ac:dyDescent="0.25">
      <c r="B5" s="274"/>
      <c r="C5" s="275"/>
      <c r="D5" s="275"/>
      <c r="E5" s="275"/>
      <c r="F5" s="275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8"/>
      <c r="W5" s="9"/>
    </row>
    <row r="6" spans="2:42" ht="20.100000000000001" customHeight="1" x14ac:dyDescent="0.25">
      <c r="B6" s="274"/>
      <c r="C6" s="275"/>
      <c r="D6" s="275"/>
      <c r="E6" s="275"/>
      <c r="F6" s="275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8"/>
      <c r="W6" s="9"/>
    </row>
    <row r="7" spans="2:42" s="12" customFormat="1" ht="15" customHeight="1" x14ac:dyDescent="0.25">
      <c r="B7" s="254" t="s">
        <v>4</v>
      </c>
      <c r="C7" s="255"/>
      <c r="D7" s="255"/>
      <c r="E7" s="11" t="s">
        <v>5</v>
      </c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T7" s="349" t="s">
        <v>52</v>
      </c>
      <c r="U7" s="349"/>
      <c r="V7" s="349"/>
      <c r="W7" s="350"/>
      <c r="AF7" s="83"/>
      <c r="AG7" s="76"/>
      <c r="AI7" s="70"/>
      <c r="AJ7" s="76"/>
      <c r="AM7" s="76"/>
      <c r="AP7" s="13"/>
    </row>
    <row r="8" spans="2:42" s="12" customFormat="1" ht="15" customHeight="1" x14ac:dyDescent="0.25">
      <c r="B8" s="254" t="s">
        <v>0</v>
      </c>
      <c r="C8" s="255"/>
      <c r="D8" s="255"/>
      <c r="E8" s="11" t="s">
        <v>5</v>
      </c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T8" s="256">
        <f ca="1">TODAY()</f>
        <v>46231</v>
      </c>
      <c r="U8" s="256"/>
      <c r="V8" s="256"/>
      <c r="W8" s="257"/>
      <c r="AF8" s="83"/>
      <c r="AG8" s="76"/>
      <c r="AI8" s="85"/>
      <c r="AJ8" s="76"/>
      <c r="AM8" s="76"/>
      <c r="AP8" s="13"/>
    </row>
    <row r="9" spans="2:42" s="12" customFormat="1" ht="15" customHeight="1" x14ac:dyDescent="0.25">
      <c r="B9" s="254" t="s">
        <v>7</v>
      </c>
      <c r="C9" s="255"/>
      <c r="D9" s="255"/>
      <c r="E9" s="11" t="s">
        <v>5</v>
      </c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S9" s="10"/>
      <c r="T9" s="118"/>
      <c r="U9" s="118"/>
      <c r="V9" s="118"/>
      <c r="W9" s="119"/>
      <c r="AF9" s="83"/>
      <c r="AG9" s="76"/>
      <c r="AI9" s="85"/>
      <c r="AJ9" s="76"/>
      <c r="AM9" s="76"/>
      <c r="AP9" s="13"/>
    </row>
    <row r="10" spans="2:42" ht="2.1" customHeight="1" thickBot="1" x14ac:dyDescent="0.3">
      <c r="B10" s="293"/>
      <c r="C10" s="294"/>
      <c r="D10" s="19"/>
      <c r="E10" s="19"/>
      <c r="F10" s="161"/>
      <c r="G10" s="161"/>
      <c r="H10" s="161"/>
      <c r="I10" s="20"/>
      <c r="W10" s="21"/>
    </row>
    <row r="11" spans="2:42" s="1" customFormat="1" ht="15" customHeight="1" thickTop="1" x14ac:dyDescent="0.25">
      <c r="B11" s="283" t="s">
        <v>8</v>
      </c>
      <c r="C11" s="284"/>
      <c r="D11" s="284"/>
      <c r="E11" s="284"/>
      <c r="F11" s="285"/>
      <c r="G11" s="286" t="s">
        <v>9</v>
      </c>
      <c r="H11" s="287"/>
      <c r="I11" s="251">
        <v>1</v>
      </c>
      <c r="J11" s="252"/>
      <c r="K11" s="252"/>
      <c r="L11" s="252"/>
      <c r="M11" s="252"/>
      <c r="N11" s="251">
        <f>I11+1</f>
        <v>2</v>
      </c>
      <c r="O11" s="252"/>
      <c r="P11" s="252"/>
      <c r="Q11" s="252"/>
      <c r="R11" s="253"/>
      <c r="S11" s="251">
        <f>N11+1</f>
        <v>3</v>
      </c>
      <c r="T11" s="252"/>
      <c r="U11" s="252"/>
      <c r="V11" s="252"/>
      <c r="W11" s="280"/>
      <c r="AF11" s="82"/>
      <c r="AG11" s="73"/>
      <c r="AI11" s="68"/>
      <c r="AJ11" s="73"/>
      <c r="AM11" s="73"/>
      <c r="AP11" s="3"/>
    </row>
    <row r="12" spans="2:42" s="1" customFormat="1" ht="60" customHeight="1" x14ac:dyDescent="0.25">
      <c r="B12" s="281"/>
      <c r="C12" s="135"/>
      <c r="D12" s="135"/>
      <c r="E12" s="135"/>
      <c r="F12" s="282"/>
      <c r="G12" s="288"/>
      <c r="H12" s="289"/>
      <c r="I12" s="22" t="s">
        <v>51</v>
      </c>
      <c r="J12" s="140"/>
      <c r="K12" s="140"/>
      <c r="L12" s="140"/>
      <c r="M12" s="147"/>
      <c r="N12" s="22"/>
      <c r="O12" s="140"/>
      <c r="P12" s="140"/>
      <c r="Q12" s="140"/>
      <c r="R12" s="147"/>
      <c r="S12" s="22"/>
      <c r="T12" s="140"/>
      <c r="U12" s="140"/>
      <c r="V12" s="140"/>
      <c r="W12" s="141"/>
      <c r="AC12" s="3"/>
      <c r="AD12" s="3"/>
      <c r="AF12" s="82"/>
      <c r="AG12" s="73"/>
      <c r="AI12" s="68"/>
      <c r="AJ12" s="73"/>
      <c r="AM12" s="73"/>
      <c r="AP12" s="3"/>
    </row>
    <row r="13" spans="2:42" s="1" customFormat="1" ht="15" customHeight="1" x14ac:dyDescent="0.25">
      <c r="B13" s="258" t="s">
        <v>10</v>
      </c>
      <c r="C13" s="259"/>
      <c r="D13" s="259"/>
      <c r="E13" s="259"/>
      <c r="F13" s="260"/>
      <c r="G13" s="261" t="s">
        <v>11</v>
      </c>
      <c r="H13" s="262"/>
      <c r="I13" s="128">
        <v>0</v>
      </c>
      <c r="J13" s="129"/>
      <c r="K13" s="129"/>
      <c r="L13" s="129"/>
      <c r="M13" s="148"/>
      <c r="N13" s="128">
        <v>0</v>
      </c>
      <c r="O13" s="129"/>
      <c r="P13" s="129"/>
      <c r="Q13" s="129"/>
      <c r="R13" s="148"/>
      <c r="S13" s="128">
        <v>0</v>
      </c>
      <c r="T13" s="129"/>
      <c r="U13" s="129"/>
      <c r="V13" s="129"/>
      <c r="W13" s="130"/>
      <c r="AC13" s="12"/>
      <c r="AD13" s="12"/>
      <c r="AE13" s="12"/>
      <c r="AF13" s="82"/>
      <c r="AG13" s="73"/>
      <c r="AI13" s="68"/>
      <c r="AJ13" s="73"/>
      <c r="AM13" s="73"/>
      <c r="AP13" s="3"/>
    </row>
    <row r="14" spans="2:42" s="1" customFormat="1" ht="36.75" customHeight="1" x14ac:dyDescent="0.25">
      <c r="B14" s="265"/>
      <c r="C14" s="266"/>
      <c r="D14" s="266"/>
      <c r="E14" s="266"/>
      <c r="F14" s="267"/>
      <c r="G14" s="263"/>
      <c r="H14" s="264"/>
      <c r="I14" s="131"/>
      <c r="J14" s="132"/>
      <c r="K14" s="132"/>
      <c r="L14" s="132"/>
      <c r="M14" s="149"/>
      <c r="N14" s="131"/>
      <c r="O14" s="132"/>
      <c r="P14" s="132"/>
      <c r="Q14" s="132"/>
      <c r="R14" s="149"/>
      <c r="S14" s="131"/>
      <c r="T14" s="132"/>
      <c r="U14" s="132"/>
      <c r="V14" s="132"/>
      <c r="W14" s="133"/>
      <c r="AC14" s="12"/>
      <c r="AD14" s="12"/>
      <c r="AE14" s="12"/>
      <c r="AF14" s="82"/>
      <c r="AG14" s="73"/>
      <c r="AI14" s="68"/>
      <c r="AJ14" s="73"/>
      <c r="AM14" s="73"/>
      <c r="AP14" s="3"/>
    </row>
    <row r="15" spans="2:42" s="1" customFormat="1" ht="15" customHeight="1" x14ac:dyDescent="0.25">
      <c r="B15" s="268"/>
      <c r="C15" s="266"/>
      <c r="D15" s="266"/>
      <c r="E15" s="266"/>
      <c r="F15" s="267"/>
      <c r="G15" s="263" t="s">
        <v>12</v>
      </c>
      <c r="H15" s="264"/>
      <c r="I15" s="134"/>
      <c r="J15" s="135"/>
      <c r="K15" s="135"/>
      <c r="L15" s="135"/>
      <c r="M15" s="150"/>
      <c r="N15" s="134"/>
      <c r="O15" s="135"/>
      <c r="P15" s="135"/>
      <c r="Q15" s="135"/>
      <c r="R15" s="150"/>
      <c r="S15" s="134"/>
      <c r="T15" s="135"/>
      <c r="U15" s="135"/>
      <c r="V15" s="135"/>
      <c r="W15" s="136"/>
      <c r="AC15" s="12"/>
      <c r="AD15" s="12"/>
      <c r="AE15" s="12"/>
      <c r="AF15" s="82"/>
      <c r="AG15" s="73"/>
      <c r="AI15" s="68"/>
      <c r="AJ15" s="73"/>
      <c r="AM15" s="73"/>
      <c r="AP15" s="3"/>
    </row>
    <row r="16" spans="2:42" s="1" customFormat="1" ht="45" customHeight="1" thickBot="1" x14ac:dyDescent="0.3">
      <c r="B16" s="269"/>
      <c r="C16" s="270"/>
      <c r="D16" s="270"/>
      <c r="E16" s="270"/>
      <c r="F16" s="271"/>
      <c r="G16" s="249" t="s">
        <v>13</v>
      </c>
      <c r="H16" s="250"/>
      <c r="I16" s="137" t="s">
        <v>51</v>
      </c>
      <c r="J16" s="138"/>
      <c r="K16" s="138"/>
      <c r="L16" s="138"/>
      <c r="M16" s="151"/>
      <c r="N16" s="137" t="s">
        <v>51</v>
      </c>
      <c r="O16" s="138"/>
      <c r="P16" s="138"/>
      <c r="Q16" s="138"/>
      <c r="R16" s="151"/>
      <c r="S16" s="137" t="s">
        <v>51</v>
      </c>
      <c r="T16" s="138"/>
      <c r="U16" s="138"/>
      <c r="V16" s="138"/>
      <c r="W16" s="139"/>
      <c r="AF16" s="82"/>
      <c r="AG16" s="73"/>
      <c r="AI16" s="68"/>
      <c r="AJ16" s="73"/>
      <c r="AM16" s="73"/>
      <c r="AP16" s="3"/>
    </row>
    <row r="17" spans="2:42" s="1" customFormat="1" ht="20.100000000000001" customHeight="1" x14ac:dyDescent="0.25">
      <c r="B17" s="23" t="s">
        <v>14</v>
      </c>
      <c r="F17" s="24"/>
      <c r="G17" s="248" t="s">
        <v>15</v>
      </c>
      <c r="H17" s="248"/>
      <c r="I17" s="239"/>
      <c r="J17" s="240"/>
      <c r="K17" s="240"/>
      <c r="L17" s="240"/>
      <c r="M17" s="247"/>
      <c r="N17" s="239"/>
      <c r="O17" s="240"/>
      <c r="P17" s="240"/>
      <c r="Q17" s="240"/>
      <c r="R17" s="247"/>
      <c r="S17" s="239"/>
      <c r="T17" s="240"/>
      <c r="U17" s="240"/>
      <c r="V17" s="240"/>
      <c r="W17" s="241"/>
      <c r="AF17" s="82"/>
      <c r="AG17" s="73"/>
      <c r="AI17" s="68"/>
      <c r="AJ17" s="73"/>
      <c r="AM17" s="73"/>
      <c r="AP17" s="3"/>
    </row>
    <row r="18" spans="2:42" s="1" customFormat="1" ht="20.100000000000001" customHeight="1" x14ac:dyDescent="0.25">
      <c r="B18" s="121"/>
      <c r="C18" s="122"/>
      <c r="D18" s="122"/>
      <c r="E18" s="122"/>
      <c r="F18" s="120"/>
      <c r="G18" s="237" t="s">
        <v>16</v>
      </c>
      <c r="H18" s="237"/>
      <c r="I18" s="242" t="str">
        <f>IF(I12="","",IF(I12="NV","","30"))</f>
        <v/>
      </c>
      <c r="J18" s="243"/>
      <c r="K18" s="244" t="str">
        <f>IFERROR(IF(I17+I18="","",I17+I18),"")</f>
        <v/>
      </c>
      <c r="L18" s="244"/>
      <c r="M18" s="245"/>
      <c r="N18" s="242" t="str">
        <f>IF(N12="","",IF(N12="NV","","30"))</f>
        <v/>
      </c>
      <c r="O18" s="243"/>
      <c r="P18" s="244" t="str">
        <f>IFERROR(IF(N17+N18="","",N17+N18),"")</f>
        <v/>
      </c>
      <c r="Q18" s="244"/>
      <c r="R18" s="245"/>
      <c r="S18" s="242" t="str">
        <f>IF(S12="","",IF(S12="NV","","30"))</f>
        <v/>
      </c>
      <c r="T18" s="243"/>
      <c r="U18" s="244" t="str">
        <f>IFERROR(IF(S17+S18="","",S17+S18),"")</f>
        <v/>
      </c>
      <c r="V18" s="244"/>
      <c r="W18" s="246"/>
      <c r="AF18" s="82"/>
      <c r="AG18" s="73"/>
      <c r="AI18" s="68"/>
      <c r="AJ18" s="73"/>
      <c r="AM18" s="73"/>
      <c r="AP18" s="3"/>
    </row>
    <row r="19" spans="2:42" s="1" customFormat="1" ht="20.100000000000001" customHeight="1" x14ac:dyDescent="0.25">
      <c r="B19" s="234">
        <f>D18*F18</f>
        <v>0</v>
      </c>
      <c r="C19" s="235"/>
      <c r="D19" s="235"/>
      <c r="E19" s="235"/>
      <c r="F19" s="236"/>
      <c r="G19" s="237" t="s">
        <v>17</v>
      </c>
      <c r="H19" s="237"/>
      <c r="I19" s="227" t="str">
        <f>IF(I12="NV","",IF(I12="","-","45 days"))</f>
        <v>-</v>
      </c>
      <c r="J19" s="124"/>
      <c r="K19" s="124"/>
      <c r="L19" s="124"/>
      <c r="M19" s="159"/>
      <c r="N19" s="227" t="str">
        <f>IF(N12="NV","",IF(N12="","-","45 days"))</f>
        <v>-</v>
      </c>
      <c r="O19" s="124"/>
      <c r="P19" s="124"/>
      <c r="Q19" s="124"/>
      <c r="R19" s="159"/>
      <c r="S19" s="227" t="str">
        <f>IF(S12="NV","",IF(S12="","-","45 days"))</f>
        <v>-</v>
      </c>
      <c r="T19" s="124"/>
      <c r="U19" s="124"/>
      <c r="V19" s="124"/>
      <c r="W19" s="228"/>
      <c r="AC19" s="25">
        <v>1</v>
      </c>
      <c r="AD19" s="25">
        <f>AC19+1</f>
        <v>2</v>
      </c>
      <c r="AE19" s="25">
        <f>AD19+1</f>
        <v>3</v>
      </c>
      <c r="AF19" s="125" t="s">
        <v>18</v>
      </c>
      <c r="AG19" s="73"/>
      <c r="AI19" s="68"/>
      <c r="AJ19" s="73"/>
      <c r="AM19" s="73"/>
      <c r="AP19" s="3"/>
    </row>
    <row r="20" spans="2:42" s="1" customFormat="1" ht="20.100000000000001" customHeight="1" x14ac:dyDescent="0.25">
      <c r="B20" s="234"/>
      <c r="C20" s="235"/>
      <c r="D20" s="235"/>
      <c r="E20" s="235"/>
      <c r="F20" s="236"/>
      <c r="G20" s="237" t="s">
        <v>20</v>
      </c>
      <c r="H20" s="237"/>
      <c r="I20" s="227" t="s">
        <v>50</v>
      </c>
      <c r="J20" s="124"/>
      <c r="K20" s="124"/>
      <c r="L20" s="124"/>
      <c r="M20" s="159"/>
      <c r="N20" s="227" t="s">
        <v>50</v>
      </c>
      <c r="O20" s="124"/>
      <c r="P20" s="124"/>
      <c r="Q20" s="124"/>
      <c r="R20" s="159"/>
      <c r="S20" s="227" t="s">
        <v>50</v>
      </c>
      <c r="T20" s="124"/>
      <c r="U20" s="124"/>
      <c r="V20" s="124"/>
      <c r="W20" s="228"/>
      <c r="AC20" s="223">
        <f>J12</f>
        <v>0</v>
      </c>
      <c r="AD20" s="223">
        <f>O12</f>
        <v>0</v>
      </c>
      <c r="AE20" s="223">
        <f>T12</f>
        <v>0</v>
      </c>
      <c r="AF20" s="126"/>
      <c r="AP20" s="3"/>
    </row>
    <row r="21" spans="2:42" s="1" customFormat="1" ht="20.100000000000001" customHeight="1" thickBot="1" x14ac:dyDescent="0.3">
      <c r="B21" s="26"/>
      <c r="C21" s="27"/>
      <c r="D21" s="27"/>
      <c r="E21" s="27"/>
      <c r="F21" s="28"/>
      <c r="G21" s="238" t="s">
        <v>21</v>
      </c>
      <c r="H21" s="238"/>
      <c r="I21" s="154" t="str">
        <f>IF(J12="","","MSW Tanjung")</f>
        <v/>
      </c>
      <c r="J21" s="155"/>
      <c r="K21" s="155"/>
      <c r="L21" s="155"/>
      <c r="M21" s="156"/>
      <c r="N21" s="154" t="str">
        <f>IF(O12="","","MSW Tanjung")</f>
        <v/>
      </c>
      <c r="O21" s="155"/>
      <c r="P21" s="155"/>
      <c r="Q21" s="155"/>
      <c r="R21" s="156"/>
      <c r="S21" s="154" t="str">
        <f>IF(T12="","","MSW Tanjung")</f>
        <v/>
      </c>
      <c r="T21" s="155"/>
      <c r="U21" s="155"/>
      <c r="V21" s="155"/>
      <c r="W21" s="222"/>
      <c r="X21" s="50"/>
      <c r="Y21" s="50"/>
      <c r="AC21" s="223"/>
      <c r="AD21" s="223"/>
      <c r="AE21" s="223"/>
      <c r="AF21" s="126"/>
      <c r="AG21" s="73"/>
      <c r="AI21" s="68"/>
      <c r="AJ21" s="73"/>
      <c r="AM21" s="73"/>
      <c r="AO21" s="123">
        <f>SUM(AO23:AO35)</f>
        <v>0</v>
      </c>
      <c r="AP21" s="124"/>
    </row>
    <row r="22" spans="2:42" s="40" customFormat="1" ht="15" customHeight="1" thickTop="1" x14ac:dyDescent="0.25">
      <c r="B22" s="29" t="s">
        <v>22</v>
      </c>
      <c r="C22" s="220" t="s">
        <v>23</v>
      </c>
      <c r="D22" s="220"/>
      <c r="E22" s="220"/>
      <c r="F22" s="220"/>
      <c r="G22" s="30" t="s">
        <v>24</v>
      </c>
      <c r="H22" s="31" t="s">
        <v>25</v>
      </c>
      <c r="I22" s="32" t="s">
        <v>26</v>
      </c>
      <c r="J22" s="30" t="s">
        <v>18</v>
      </c>
      <c r="K22" s="33" t="s">
        <v>27</v>
      </c>
      <c r="L22" s="231" t="s">
        <v>28</v>
      </c>
      <c r="M22" s="232"/>
      <c r="N22" s="36" t="s">
        <v>26</v>
      </c>
      <c r="O22" s="30" t="s">
        <v>18</v>
      </c>
      <c r="P22" s="35" t="s">
        <v>27</v>
      </c>
      <c r="Q22" s="220" t="s">
        <v>28</v>
      </c>
      <c r="R22" s="221"/>
      <c r="S22" s="37" t="s">
        <v>26</v>
      </c>
      <c r="T22" s="38" t="s">
        <v>18</v>
      </c>
      <c r="U22" s="39" t="s">
        <v>27</v>
      </c>
      <c r="V22" s="229" t="s">
        <v>28</v>
      </c>
      <c r="W22" s="230"/>
      <c r="X22" s="40" t="s">
        <v>29</v>
      </c>
      <c r="Y22" s="40" t="s">
        <v>0</v>
      </c>
      <c r="Z22" s="40" t="s">
        <v>30</v>
      </c>
      <c r="AA22" s="40" t="s">
        <v>31</v>
      </c>
      <c r="AB22" s="117" t="s">
        <v>1</v>
      </c>
      <c r="AC22" s="223"/>
      <c r="AD22" s="223"/>
      <c r="AE22" s="223"/>
      <c r="AF22" s="127"/>
      <c r="AG22" s="79" t="s">
        <v>32</v>
      </c>
      <c r="AH22" s="219" t="s">
        <v>33</v>
      </c>
      <c r="AI22" s="219"/>
      <c r="AJ22" s="219"/>
      <c r="AK22" s="219" t="s">
        <v>34</v>
      </c>
      <c r="AL22" s="219"/>
      <c r="AM22" s="219"/>
      <c r="AO22" s="142" t="s">
        <v>35</v>
      </c>
      <c r="AP22" s="143"/>
    </row>
    <row r="23" spans="2:42" s="1" customFormat="1" ht="61.5" customHeight="1" x14ac:dyDescent="0.25">
      <c r="B23" s="41">
        <v>1</v>
      </c>
      <c r="C23" s="218"/>
      <c r="D23" s="218"/>
      <c r="E23" s="218"/>
      <c r="F23" s="218"/>
      <c r="G23" s="42"/>
      <c r="H23" s="43"/>
      <c r="I23" s="44"/>
      <c r="J23" s="45" t="str">
        <f>IF($G23="","",$G23*I23)</f>
        <v/>
      </c>
      <c r="K23" s="93"/>
      <c r="L23" s="152" t="str">
        <f t="shared" ref="L23:L24" si="0">IF($I23="","No Quote",IF($K23="","","No Comply"))</f>
        <v>No Quote</v>
      </c>
      <c r="M23" s="153"/>
      <c r="N23" s="44"/>
      <c r="O23" s="45" t="str">
        <f>IF($G23="","",$G23*N23)</f>
        <v/>
      </c>
      <c r="P23" s="92"/>
      <c r="Q23" s="152" t="str">
        <f>IF($N23="","No Quote",IF($P23="","","No Comply"))</f>
        <v>No Quote</v>
      </c>
      <c r="R23" s="153"/>
      <c r="S23" s="44"/>
      <c r="T23" s="45" t="str">
        <f>IF($G23="","",$G23*S23)</f>
        <v/>
      </c>
      <c r="U23" s="92"/>
      <c r="V23" s="351" t="str">
        <f>IF($S23="","No Quote",IF($U23="","","No Comply"))</f>
        <v>No Quote</v>
      </c>
      <c r="W23" s="352"/>
      <c r="X23" s="90"/>
      <c r="Y23" s="96"/>
      <c r="Z23" s="66" t="str">
        <f>IF(X23="","",$X23*$G23)</f>
        <v/>
      </c>
      <c r="AA23" s="95"/>
      <c r="AB23" s="95"/>
      <c r="AC23" s="80" t="str">
        <f>IF(OR(K23="X",J23=""),"-",J23)</f>
        <v>-</v>
      </c>
      <c r="AD23" s="80" t="str">
        <f>IF(OR(P23="X",O23=""),"-",O23)</f>
        <v>-</v>
      </c>
      <c r="AE23" s="80" t="str">
        <f>IF(OR(U23="X",T23=""),"-",T23)</f>
        <v>-</v>
      </c>
      <c r="AF23" s="81" t="str">
        <f t="shared" ref="AF23:AF51" si="1">IFERROR(SMALL($AC23:$AE23,COUNTIF($AC23:$AE23,0)+1),"")</f>
        <v/>
      </c>
      <c r="AG23" s="77" t="str">
        <f>IF(AF23=AC23,$AC$20,IF(AF23=AD23,$AD$20,IF(AF23=AE23,$AE$20,"")))</f>
        <v/>
      </c>
      <c r="AH23" s="75" t="str">
        <f t="shared" ref="AH23:AH51" si="2">IFERROR(SMALL($AC23:$AE23,2),"")</f>
        <v/>
      </c>
      <c r="AI23" s="74" t="str">
        <f>IFERROR(IF(($AH23-$AF23)/$AF23&lt;0%,"",($AH23-$AF23)/$AF23),"")</f>
        <v/>
      </c>
      <c r="AJ23" s="77" t="str">
        <f>IFERROR(IF(AH23="","",IF(AH23=AC23,$AC$20,IF(AH23=AD23,$AD$20,IF(AH23=AE23,$AE$20,"")))),"")</f>
        <v/>
      </c>
      <c r="AK23" s="75" t="str">
        <f t="shared" ref="AK23:AK51" si="3">IFERROR(SMALL($AC23:$AE23,3),"")</f>
        <v/>
      </c>
      <c r="AL23" s="74" t="str">
        <f>IFERROR(IF((AK23-$AF23)/$AF23&lt;0%,"",(AK23-$AF23)/$AF23),"")</f>
        <v/>
      </c>
      <c r="AM23" s="77" t="str">
        <f>IFERROR(IF(AK23="","",IF(AK23=AC23,$AC$20,IF(AK23=AD23,$AD$20,IF(AK23=AE23,$AE$20,"")))),"")</f>
        <v/>
      </c>
      <c r="AO23" s="104">
        <f t="shared" ref="AO23:AO35" si="4">SUMIFS($AF$23:$AF$50,$AG$23:$AG$50,AP23)</f>
        <v>0</v>
      </c>
      <c r="AP23" s="105"/>
    </row>
    <row r="24" spans="2:42" s="1" customFormat="1" ht="61.5" customHeight="1" x14ac:dyDescent="0.25">
      <c r="B24" s="41">
        <f>B23+1</f>
        <v>2</v>
      </c>
      <c r="C24" s="218"/>
      <c r="D24" s="218"/>
      <c r="E24" s="218"/>
      <c r="F24" s="218"/>
      <c r="G24" s="42"/>
      <c r="H24" s="43"/>
      <c r="I24" s="44"/>
      <c r="J24" s="45" t="str">
        <f t="shared" ref="J24:J50" si="5">IF($G24="","",$G24*I24)</f>
        <v/>
      </c>
      <c r="K24" s="93"/>
      <c r="L24" s="152" t="str">
        <f t="shared" si="0"/>
        <v>No Quote</v>
      </c>
      <c r="M24" s="153"/>
      <c r="N24" s="44"/>
      <c r="O24" s="45" t="str">
        <f t="shared" ref="O24:O50" si="6">IF($G24="","",$G24*N24)</f>
        <v/>
      </c>
      <c r="P24" s="92"/>
      <c r="Q24" s="152" t="str">
        <f t="shared" ref="Q24" si="7">IF($N24="","No Quote",IF($P24="","","No Comply"))</f>
        <v>No Quote</v>
      </c>
      <c r="R24" s="153"/>
      <c r="S24" s="44"/>
      <c r="T24" s="45" t="str">
        <f t="shared" ref="T24:T50" si="8">IF($G24="","",$G24*S24)</f>
        <v/>
      </c>
      <c r="U24" s="92"/>
      <c r="V24" s="152" t="str">
        <f t="shared" ref="V24" si="9">IF($S24="","No Quote",IF($U24="","","No Comply"))</f>
        <v>No Quote</v>
      </c>
      <c r="W24" s="353"/>
      <c r="X24" s="90"/>
      <c r="Y24" s="96"/>
      <c r="Z24" s="66" t="str">
        <f t="shared" ref="Z24:Z50" si="10">IF(X24="","",$X24*$G24)</f>
        <v/>
      </c>
      <c r="AA24" s="95"/>
      <c r="AB24" s="95"/>
      <c r="AC24" s="80" t="str">
        <f t="shared" ref="AC24:AC50" si="11">IF(OR(K24="X",J24=""),"-",J24)</f>
        <v>-</v>
      </c>
      <c r="AD24" s="80" t="str">
        <f t="shared" ref="AD24:AD50" si="12">IF(OR(P24="X",O24=""),"-",O24)</f>
        <v>-</v>
      </c>
      <c r="AE24" s="80" t="str">
        <f t="shared" ref="AE24:AE50" si="13">IF(OR(U24="X",T24=""),"-",T24)</f>
        <v>-</v>
      </c>
      <c r="AF24" s="81" t="str">
        <f t="shared" si="1"/>
        <v/>
      </c>
      <c r="AG24" s="77" t="str">
        <f t="shared" ref="AG24:AG50" si="14">IF(AF24=AC24,$AC$20,IF(AF24=AD24,$AD$20,IF(AF24=AE24,$AE$20,"")))</f>
        <v/>
      </c>
      <c r="AH24" s="75" t="str">
        <f t="shared" si="2"/>
        <v/>
      </c>
      <c r="AI24" s="74" t="str">
        <f t="shared" ref="AI24:AI51" si="15">IFERROR(IF(($AH24-$AF24)/$AF24&lt;0%,"",($AH24-$AF24)/$AF24),"")</f>
        <v/>
      </c>
      <c r="AJ24" s="77" t="str">
        <f t="shared" ref="AJ24:AJ50" si="16">IFERROR(IF(AH24="","",IF(AH24=AC24,$AC$20,IF(AH24=AD24,$AD$20,IF(AH24=AE24,$AE$20,"")))),"")</f>
        <v/>
      </c>
      <c r="AK24" s="75" t="str">
        <f t="shared" si="3"/>
        <v/>
      </c>
      <c r="AL24" s="74" t="str">
        <f t="shared" ref="AL24:AL50" si="17">IFERROR(IF((AK24-$AF24)/$AF24&lt;0%,"",(AK24-$AF24)/$AF24),"")</f>
        <v/>
      </c>
      <c r="AM24" s="77" t="str">
        <f t="shared" ref="AM24:AM50" si="18">IFERROR(IF(AK24="","",IF(AK24=AC24,$AC$20,IF(AK24=AD24,$AD$20,IF(AK24=AE24,$AE$20,"")))),"")</f>
        <v/>
      </c>
      <c r="AO24" s="104">
        <f t="shared" si="4"/>
        <v>0</v>
      </c>
      <c r="AP24" s="106"/>
    </row>
    <row r="25" spans="2:42" s="1" customFormat="1" ht="61.5" customHeight="1" x14ac:dyDescent="0.25">
      <c r="B25" s="41">
        <f t="shared" ref="B25:B50" si="19">B24+1</f>
        <v>3</v>
      </c>
      <c r="C25" s="218"/>
      <c r="D25" s="218"/>
      <c r="E25" s="218"/>
      <c r="F25" s="218"/>
      <c r="G25" s="42"/>
      <c r="H25" s="43"/>
      <c r="I25" s="44"/>
      <c r="J25" s="45" t="str">
        <f t="shared" si="5"/>
        <v/>
      </c>
      <c r="K25" s="93"/>
      <c r="L25" s="152" t="str">
        <f t="shared" ref="L25:L26" si="20">IF($I25="","No Quote",IF($K25="","","No Comply"))</f>
        <v>No Quote</v>
      </c>
      <c r="M25" s="153"/>
      <c r="N25" s="44"/>
      <c r="O25" s="45" t="str">
        <f t="shared" si="6"/>
        <v/>
      </c>
      <c r="P25" s="92"/>
      <c r="Q25" s="152" t="str">
        <f t="shared" ref="Q25:Q26" si="21">IF($N25="","No Quote",IF($P25="","","No Comply"))</f>
        <v>No Quote</v>
      </c>
      <c r="R25" s="153"/>
      <c r="S25" s="44"/>
      <c r="T25" s="45" t="str">
        <f t="shared" si="8"/>
        <v/>
      </c>
      <c r="U25" s="92"/>
      <c r="V25" s="212" t="str">
        <f t="shared" ref="V25:V50" si="22">IF($S25="","No Quote",IF($U25="","","No Comply"))</f>
        <v>No Quote</v>
      </c>
      <c r="W25" s="213"/>
      <c r="X25" s="90"/>
      <c r="Y25" s="96"/>
      <c r="Z25" s="66" t="str">
        <f t="shared" si="10"/>
        <v/>
      </c>
      <c r="AA25" s="95"/>
      <c r="AB25" s="95"/>
      <c r="AC25" s="80" t="str">
        <f t="shared" si="11"/>
        <v>-</v>
      </c>
      <c r="AD25" s="80" t="str">
        <f t="shared" si="12"/>
        <v>-</v>
      </c>
      <c r="AE25" s="80" t="str">
        <f t="shared" si="13"/>
        <v>-</v>
      </c>
      <c r="AF25" s="81" t="str">
        <f t="shared" si="1"/>
        <v/>
      </c>
      <c r="AG25" s="77" t="str">
        <f t="shared" si="14"/>
        <v/>
      </c>
      <c r="AH25" s="75" t="str">
        <f t="shared" si="2"/>
        <v/>
      </c>
      <c r="AI25" s="74" t="str">
        <f t="shared" si="15"/>
        <v/>
      </c>
      <c r="AJ25" s="77" t="str">
        <f t="shared" si="16"/>
        <v/>
      </c>
      <c r="AK25" s="75" t="str">
        <f t="shared" si="3"/>
        <v/>
      </c>
      <c r="AL25" s="74" t="str">
        <f t="shared" si="17"/>
        <v/>
      </c>
      <c r="AM25" s="77" t="str">
        <f t="shared" si="18"/>
        <v/>
      </c>
      <c r="AO25" s="104">
        <f t="shared" si="4"/>
        <v>0</v>
      </c>
      <c r="AP25" s="106"/>
    </row>
    <row r="26" spans="2:42" s="1" customFormat="1" ht="61.5" customHeight="1" x14ac:dyDescent="0.25">
      <c r="B26" s="41">
        <f>B25+1</f>
        <v>4</v>
      </c>
      <c r="C26" s="218"/>
      <c r="D26" s="218"/>
      <c r="E26" s="218"/>
      <c r="F26" s="218"/>
      <c r="G26" s="42"/>
      <c r="H26" s="43"/>
      <c r="I26" s="44"/>
      <c r="J26" s="45" t="str">
        <f t="shared" si="5"/>
        <v/>
      </c>
      <c r="K26" s="93"/>
      <c r="L26" s="152" t="str">
        <f t="shared" si="20"/>
        <v>No Quote</v>
      </c>
      <c r="M26" s="153"/>
      <c r="N26" s="44"/>
      <c r="O26" s="45" t="str">
        <f t="shared" si="6"/>
        <v/>
      </c>
      <c r="P26" s="92"/>
      <c r="Q26" s="152" t="str">
        <f t="shared" si="21"/>
        <v>No Quote</v>
      </c>
      <c r="R26" s="153"/>
      <c r="S26" s="44"/>
      <c r="T26" s="45" t="str">
        <f t="shared" si="8"/>
        <v/>
      </c>
      <c r="U26" s="92"/>
      <c r="V26" s="212" t="str">
        <f t="shared" si="22"/>
        <v>No Quote</v>
      </c>
      <c r="W26" s="213"/>
      <c r="X26" s="90"/>
      <c r="Y26" s="96"/>
      <c r="Z26" s="66" t="str">
        <f t="shared" si="10"/>
        <v/>
      </c>
      <c r="AA26" s="95"/>
      <c r="AB26" s="95"/>
      <c r="AC26" s="80" t="str">
        <f t="shared" si="11"/>
        <v>-</v>
      </c>
      <c r="AD26" s="80" t="str">
        <f t="shared" si="12"/>
        <v>-</v>
      </c>
      <c r="AE26" s="80" t="str">
        <f t="shared" si="13"/>
        <v>-</v>
      </c>
      <c r="AF26" s="81" t="str">
        <f t="shared" si="1"/>
        <v/>
      </c>
      <c r="AG26" s="77" t="str">
        <f t="shared" si="14"/>
        <v/>
      </c>
      <c r="AH26" s="75" t="str">
        <f t="shared" si="2"/>
        <v/>
      </c>
      <c r="AI26" s="74" t="str">
        <f t="shared" si="15"/>
        <v/>
      </c>
      <c r="AJ26" s="77" t="str">
        <f t="shared" si="16"/>
        <v/>
      </c>
      <c r="AK26" s="75" t="str">
        <f t="shared" si="3"/>
        <v/>
      </c>
      <c r="AL26" s="74" t="str">
        <f t="shared" si="17"/>
        <v/>
      </c>
      <c r="AM26" s="77" t="str">
        <f t="shared" si="18"/>
        <v/>
      </c>
      <c r="AO26" s="104">
        <f t="shared" si="4"/>
        <v>0</v>
      </c>
      <c r="AP26" s="106"/>
    </row>
    <row r="27" spans="2:42" s="1" customFormat="1" ht="61.5" customHeight="1" outlineLevel="1" x14ac:dyDescent="0.25">
      <c r="B27" s="41">
        <f t="shared" si="19"/>
        <v>5</v>
      </c>
      <c r="C27" s="218"/>
      <c r="D27" s="218"/>
      <c r="E27" s="218"/>
      <c r="F27" s="218"/>
      <c r="G27" s="42"/>
      <c r="H27" s="43"/>
      <c r="I27" s="44"/>
      <c r="J27" s="45" t="str">
        <f t="shared" si="5"/>
        <v/>
      </c>
      <c r="K27" s="93"/>
      <c r="L27" s="152" t="str">
        <f t="shared" ref="L27:L50" si="23">IF($I27="","No Quote",IF($K27="","","No Comply"))</f>
        <v>No Quote</v>
      </c>
      <c r="M27" s="153"/>
      <c r="N27" s="44"/>
      <c r="O27" s="45" t="str">
        <f t="shared" si="6"/>
        <v/>
      </c>
      <c r="P27" s="92"/>
      <c r="Q27" s="152" t="str">
        <f t="shared" ref="Q27:Q50" si="24">IF($N27="","No Quote",IF($P27="","","No Comply"))</f>
        <v>No Quote</v>
      </c>
      <c r="R27" s="153"/>
      <c r="S27" s="44"/>
      <c r="T27" s="45" t="str">
        <f t="shared" si="8"/>
        <v/>
      </c>
      <c r="U27" s="92"/>
      <c r="V27" s="212" t="str">
        <f t="shared" si="22"/>
        <v>No Quote</v>
      </c>
      <c r="W27" s="213"/>
      <c r="X27" s="90"/>
      <c r="Y27" s="96"/>
      <c r="Z27" s="66" t="str">
        <f t="shared" si="10"/>
        <v/>
      </c>
      <c r="AA27" s="95"/>
      <c r="AB27" s="95"/>
      <c r="AC27" s="80" t="str">
        <f t="shared" si="11"/>
        <v>-</v>
      </c>
      <c r="AD27" s="80" t="str">
        <f t="shared" si="12"/>
        <v>-</v>
      </c>
      <c r="AE27" s="80" t="str">
        <f t="shared" si="13"/>
        <v>-</v>
      </c>
      <c r="AF27" s="81" t="str">
        <f t="shared" si="1"/>
        <v/>
      </c>
      <c r="AG27" s="77" t="str">
        <f t="shared" si="14"/>
        <v/>
      </c>
      <c r="AH27" s="75" t="str">
        <f t="shared" si="2"/>
        <v/>
      </c>
      <c r="AI27" s="74" t="str">
        <f t="shared" si="15"/>
        <v/>
      </c>
      <c r="AJ27" s="77" t="str">
        <f t="shared" si="16"/>
        <v/>
      </c>
      <c r="AK27" s="75" t="str">
        <f t="shared" si="3"/>
        <v/>
      </c>
      <c r="AL27" s="74" t="str">
        <f t="shared" si="17"/>
        <v/>
      </c>
      <c r="AM27" s="77" t="str">
        <f t="shared" si="18"/>
        <v/>
      </c>
      <c r="AO27" s="104">
        <f t="shared" si="4"/>
        <v>0</v>
      </c>
      <c r="AP27" s="106"/>
    </row>
    <row r="28" spans="2:42" s="1" customFormat="1" ht="61.5" customHeight="1" outlineLevel="1" x14ac:dyDescent="0.25">
      <c r="B28" s="41">
        <f t="shared" si="19"/>
        <v>6</v>
      </c>
      <c r="C28" s="218"/>
      <c r="D28" s="218"/>
      <c r="E28" s="218"/>
      <c r="F28" s="218"/>
      <c r="G28" s="42"/>
      <c r="H28" s="43"/>
      <c r="I28" s="44"/>
      <c r="J28" s="45" t="str">
        <f t="shared" si="5"/>
        <v/>
      </c>
      <c r="K28" s="93"/>
      <c r="L28" s="152" t="str">
        <f t="shared" si="23"/>
        <v>No Quote</v>
      </c>
      <c r="M28" s="153"/>
      <c r="N28" s="44"/>
      <c r="O28" s="45" t="str">
        <f t="shared" si="6"/>
        <v/>
      </c>
      <c r="P28" s="92"/>
      <c r="Q28" s="152" t="str">
        <f t="shared" si="24"/>
        <v>No Quote</v>
      </c>
      <c r="R28" s="153"/>
      <c r="S28" s="44"/>
      <c r="T28" s="45" t="str">
        <f t="shared" si="8"/>
        <v/>
      </c>
      <c r="U28" s="92"/>
      <c r="V28" s="212" t="str">
        <f t="shared" si="22"/>
        <v>No Quote</v>
      </c>
      <c r="W28" s="213"/>
      <c r="X28" s="90"/>
      <c r="Y28" s="96"/>
      <c r="Z28" s="66" t="str">
        <f t="shared" si="10"/>
        <v/>
      </c>
      <c r="AA28" s="95"/>
      <c r="AB28" s="95"/>
      <c r="AC28" s="80" t="str">
        <f t="shared" si="11"/>
        <v>-</v>
      </c>
      <c r="AD28" s="80" t="str">
        <f t="shared" si="12"/>
        <v>-</v>
      </c>
      <c r="AE28" s="80" t="str">
        <f t="shared" si="13"/>
        <v>-</v>
      </c>
      <c r="AF28" s="81" t="str">
        <f t="shared" si="1"/>
        <v/>
      </c>
      <c r="AG28" s="77" t="str">
        <f t="shared" si="14"/>
        <v/>
      </c>
      <c r="AH28" s="75" t="str">
        <f t="shared" si="2"/>
        <v/>
      </c>
      <c r="AI28" s="74" t="str">
        <f t="shared" si="15"/>
        <v/>
      </c>
      <c r="AJ28" s="77" t="str">
        <f t="shared" si="16"/>
        <v/>
      </c>
      <c r="AK28" s="75" t="str">
        <f t="shared" si="3"/>
        <v/>
      </c>
      <c r="AL28" s="74" t="str">
        <f t="shared" si="17"/>
        <v/>
      </c>
      <c r="AM28" s="77" t="str">
        <f t="shared" si="18"/>
        <v/>
      </c>
      <c r="AO28" s="104">
        <f t="shared" si="4"/>
        <v>0</v>
      </c>
      <c r="AP28" s="106"/>
    </row>
    <row r="29" spans="2:42" s="1" customFormat="1" ht="61.5" customHeight="1" outlineLevel="1" x14ac:dyDescent="0.25">
      <c r="B29" s="41">
        <f t="shared" si="19"/>
        <v>7</v>
      </c>
      <c r="C29" s="218"/>
      <c r="D29" s="218"/>
      <c r="E29" s="218"/>
      <c r="F29" s="218"/>
      <c r="G29" s="42"/>
      <c r="H29" s="43"/>
      <c r="I29" s="44"/>
      <c r="J29" s="45" t="str">
        <f t="shared" si="5"/>
        <v/>
      </c>
      <c r="K29" s="93"/>
      <c r="L29" s="152" t="str">
        <f t="shared" si="23"/>
        <v>No Quote</v>
      </c>
      <c r="M29" s="153"/>
      <c r="N29" s="44"/>
      <c r="O29" s="45" t="str">
        <f t="shared" si="6"/>
        <v/>
      </c>
      <c r="P29" s="92"/>
      <c r="Q29" s="152" t="str">
        <f t="shared" si="24"/>
        <v>No Quote</v>
      </c>
      <c r="R29" s="153"/>
      <c r="S29" s="44"/>
      <c r="T29" s="45" t="str">
        <f t="shared" si="8"/>
        <v/>
      </c>
      <c r="U29" s="92"/>
      <c r="V29" s="212" t="str">
        <f t="shared" si="22"/>
        <v>No Quote</v>
      </c>
      <c r="W29" s="213"/>
      <c r="X29" s="90"/>
      <c r="Y29" s="96"/>
      <c r="Z29" s="66" t="str">
        <f t="shared" si="10"/>
        <v/>
      </c>
      <c r="AA29" s="95"/>
      <c r="AB29" s="95"/>
      <c r="AC29" s="80" t="str">
        <f t="shared" si="11"/>
        <v>-</v>
      </c>
      <c r="AD29" s="80" t="str">
        <f t="shared" si="12"/>
        <v>-</v>
      </c>
      <c r="AE29" s="80" t="str">
        <f t="shared" si="13"/>
        <v>-</v>
      </c>
      <c r="AF29" s="81" t="str">
        <f t="shared" si="1"/>
        <v/>
      </c>
      <c r="AG29" s="77" t="str">
        <f t="shared" si="14"/>
        <v/>
      </c>
      <c r="AH29" s="75" t="str">
        <f t="shared" si="2"/>
        <v/>
      </c>
      <c r="AI29" s="74" t="str">
        <f t="shared" si="15"/>
        <v/>
      </c>
      <c r="AJ29" s="77" t="str">
        <f t="shared" si="16"/>
        <v/>
      </c>
      <c r="AK29" s="75" t="str">
        <f t="shared" si="3"/>
        <v/>
      </c>
      <c r="AL29" s="74" t="str">
        <f t="shared" si="17"/>
        <v/>
      </c>
      <c r="AM29" s="77" t="str">
        <f t="shared" si="18"/>
        <v/>
      </c>
      <c r="AO29" s="104">
        <f t="shared" si="4"/>
        <v>0</v>
      </c>
      <c r="AP29" s="106"/>
    </row>
    <row r="30" spans="2:42" s="1" customFormat="1" ht="61.5" customHeight="1" outlineLevel="1" x14ac:dyDescent="0.25">
      <c r="B30" s="41">
        <f t="shared" si="19"/>
        <v>8</v>
      </c>
      <c r="C30" s="218"/>
      <c r="D30" s="218"/>
      <c r="E30" s="218"/>
      <c r="F30" s="218"/>
      <c r="G30" s="42"/>
      <c r="H30" s="43"/>
      <c r="I30" s="44"/>
      <c r="J30" s="45" t="str">
        <f t="shared" si="5"/>
        <v/>
      </c>
      <c r="K30" s="93"/>
      <c r="L30" s="152" t="str">
        <f t="shared" si="23"/>
        <v>No Quote</v>
      </c>
      <c r="M30" s="153"/>
      <c r="N30" s="44"/>
      <c r="O30" s="45" t="str">
        <f t="shared" si="6"/>
        <v/>
      </c>
      <c r="P30" s="92"/>
      <c r="Q30" s="152" t="str">
        <f t="shared" si="24"/>
        <v>No Quote</v>
      </c>
      <c r="R30" s="153"/>
      <c r="S30" s="44"/>
      <c r="T30" s="45" t="str">
        <f t="shared" si="8"/>
        <v/>
      </c>
      <c r="U30" s="92"/>
      <c r="V30" s="212" t="str">
        <f t="shared" si="22"/>
        <v>No Quote</v>
      </c>
      <c r="W30" s="213"/>
      <c r="X30" s="90"/>
      <c r="Y30" s="96"/>
      <c r="Z30" s="66" t="str">
        <f t="shared" si="10"/>
        <v/>
      </c>
      <c r="AA30" s="95"/>
      <c r="AB30" s="95"/>
      <c r="AC30" s="80" t="str">
        <f t="shared" si="11"/>
        <v>-</v>
      </c>
      <c r="AD30" s="80" t="str">
        <f t="shared" si="12"/>
        <v>-</v>
      </c>
      <c r="AE30" s="80" t="str">
        <f t="shared" si="13"/>
        <v>-</v>
      </c>
      <c r="AF30" s="81" t="str">
        <f t="shared" si="1"/>
        <v/>
      </c>
      <c r="AG30" s="77" t="str">
        <f t="shared" si="14"/>
        <v/>
      </c>
      <c r="AH30" s="75" t="str">
        <f t="shared" si="2"/>
        <v/>
      </c>
      <c r="AI30" s="74" t="str">
        <f t="shared" si="15"/>
        <v/>
      </c>
      <c r="AJ30" s="77" t="str">
        <f t="shared" si="16"/>
        <v/>
      </c>
      <c r="AK30" s="75" t="str">
        <f t="shared" si="3"/>
        <v/>
      </c>
      <c r="AL30" s="74" t="str">
        <f t="shared" si="17"/>
        <v/>
      </c>
      <c r="AM30" s="77" t="str">
        <f t="shared" si="18"/>
        <v/>
      </c>
      <c r="AO30" s="104">
        <f t="shared" si="4"/>
        <v>0</v>
      </c>
      <c r="AP30" s="106"/>
    </row>
    <row r="31" spans="2:42" s="1" customFormat="1" ht="61.5" customHeight="1" outlineLevel="1" x14ac:dyDescent="0.25">
      <c r="B31" s="41">
        <f t="shared" si="19"/>
        <v>9</v>
      </c>
      <c r="C31" s="218"/>
      <c r="D31" s="218"/>
      <c r="E31" s="218"/>
      <c r="F31" s="218"/>
      <c r="G31" s="42"/>
      <c r="H31" s="43"/>
      <c r="I31" s="44"/>
      <c r="J31" s="45" t="str">
        <f t="shared" si="5"/>
        <v/>
      </c>
      <c r="K31" s="93"/>
      <c r="L31" s="152" t="str">
        <f t="shared" si="23"/>
        <v>No Quote</v>
      </c>
      <c r="M31" s="153"/>
      <c r="N31" s="44"/>
      <c r="O31" s="45" t="str">
        <f t="shared" si="6"/>
        <v/>
      </c>
      <c r="P31" s="92"/>
      <c r="Q31" s="152" t="str">
        <f t="shared" si="24"/>
        <v>No Quote</v>
      </c>
      <c r="R31" s="153"/>
      <c r="S31" s="44"/>
      <c r="T31" s="45" t="str">
        <f t="shared" si="8"/>
        <v/>
      </c>
      <c r="U31" s="92"/>
      <c r="V31" s="212" t="str">
        <f t="shared" si="22"/>
        <v>No Quote</v>
      </c>
      <c r="W31" s="213"/>
      <c r="X31" s="90"/>
      <c r="Y31" s="96"/>
      <c r="Z31" s="66" t="str">
        <f t="shared" si="10"/>
        <v/>
      </c>
      <c r="AA31" s="95"/>
      <c r="AB31" s="95"/>
      <c r="AC31" s="80" t="str">
        <f t="shared" si="11"/>
        <v>-</v>
      </c>
      <c r="AD31" s="80" t="str">
        <f t="shared" si="12"/>
        <v>-</v>
      </c>
      <c r="AE31" s="80" t="str">
        <f t="shared" si="13"/>
        <v>-</v>
      </c>
      <c r="AF31" s="81" t="str">
        <f t="shared" si="1"/>
        <v/>
      </c>
      <c r="AG31" s="77" t="str">
        <f t="shared" si="14"/>
        <v/>
      </c>
      <c r="AH31" s="75" t="str">
        <f t="shared" si="2"/>
        <v/>
      </c>
      <c r="AI31" s="74" t="str">
        <f t="shared" si="15"/>
        <v/>
      </c>
      <c r="AJ31" s="77" t="str">
        <f t="shared" si="16"/>
        <v/>
      </c>
      <c r="AK31" s="75" t="str">
        <f t="shared" si="3"/>
        <v/>
      </c>
      <c r="AL31" s="74" t="str">
        <f t="shared" si="17"/>
        <v/>
      </c>
      <c r="AM31" s="77" t="str">
        <f t="shared" si="18"/>
        <v/>
      </c>
      <c r="AO31" s="104">
        <f t="shared" si="4"/>
        <v>0</v>
      </c>
      <c r="AP31" s="106"/>
    </row>
    <row r="32" spans="2:42" s="1" customFormat="1" ht="61.5" customHeight="1" outlineLevel="1" x14ac:dyDescent="0.25">
      <c r="B32" s="41">
        <f t="shared" si="19"/>
        <v>10</v>
      </c>
      <c r="C32" s="218"/>
      <c r="D32" s="218"/>
      <c r="E32" s="218"/>
      <c r="F32" s="218"/>
      <c r="G32" s="42"/>
      <c r="H32" s="43"/>
      <c r="I32" s="44"/>
      <c r="J32" s="45" t="str">
        <f t="shared" si="5"/>
        <v/>
      </c>
      <c r="K32" s="93"/>
      <c r="L32" s="152" t="str">
        <f t="shared" si="23"/>
        <v>No Quote</v>
      </c>
      <c r="M32" s="153"/>
      <c r="N32" s="44"/>
      <c r="O32" s="45" t="str">
        <f t="shared" si="6"/>
        <v/>
      </c>
      <c r="P32" s="92"/>
      <c r="Q32" s="152" t="str">
        <f t="shared" si="24"/>
        <v>No Quote</v>
      </c>
      <c r="R32" s="153"/>
      <c r="S32" s="44"/>
      <c r="T32" s="45" t="str">
        <f t="shared" si="8"/>
        <v/>
      </c>
      <c r="U32" s="92"/>
      <c r="V32" s="212" t="str">
        <f t="shared" si="22"/>
        <v>No Quote</v>
      </c>
      <c r="W32" s="213"/>
      <c r="X32" s="90"/>
      <c r="Y32" s="96"/>
      <c r="Z32" s="66" t="str">
        <f t="shared" si="10"/>
        <v/>
      </c>
      <c r="AA32" s="95"/>
      <c r="AB32" s="95"/>
      <c r="AC32" s="80" t="str">
        <f t="shared" si="11"/>
        <v>-</v>
      </c>
      <c r="AD32" s="80" t="str">
        <f t="shared" si="12"/>
        <v>-</v>
      </c>
      <c r="AE32" s="80" t="str">
        <f t="shared" si="13"/>
        <v>-</v>
      </c>
      <c r="AF32" s="81" t="str">
        <f t="shared" si="1"/>
        <v/>
      </c>
      <c r="AG32" s="77" t="str">
        <f t="shared" si="14"/>
        <v/>
      </c>
      <c r="AH32" s="75" t="str">
        <f t="shared" si="2"/>
        <v/>
      </c>
      <c r="AI32" s="74" t="str">
        <f t="shared" si="15"/>
        <v/>
      </c>
      <c r="AJ32" s="77" t="str">
        <f t="shared" si="16"/>
        <v/>
      </c>
      <c r="AK32" s="75" t="str">
        <f t="shared" si="3"/>
        <v/>
      </c>
      <c r="AL32" s="74" t="str">
        <f t="shared" si="17"/>
        <v/>
      </c>
      <c r="AM32" s="77" t="str">
        <f t="shared" si="18"/>
        <v/>
      </c>
      <c r="AO32" s="104">
        <f t="shared" si="4"/>
        <v>0</v>
      </c>
      <c r="AP32" s="106"/>
    </row>
    <row r="33" spans="2:42" s="1" customFormat="1" ht="61.5" customHeight="1" outlineLevel="1" x14ac:dyDescent="0.25">
      <c r="B33" s="41">
        <f t="shared" si="19"/>
        <v>11</v>
      </c>
      <c r="C33" s="218"/>
      <c r="D33" s="218"/>
      <c r="E33" s="218"/>
      <c r="F33" s="218"/>
      <c r="G33" s="42"/>
      <c r="H33" s="43"/>
      <c r="I33" s="44"/>
      <c r="J33" s="45" t="str">
        <f t="shared" si="5"/>
        <v/>
      </c>
      <c r="K33" s="93"/>
      <c r="L33" s="152" t="str">
        <f t="shared" si="23"/>
        <v>No Quote</v>
      </c>
      <c r="M33" s="153"/>
      <c r="N33" s="44"/>
      <c r="O33" s="45" t="str">
        <f t="shared" si="6"/>
        <v/>
      </c>
      <c r="P33" s="92"/>
      <c r="Q33" s="152" t="str">
        <f t="shared" si="24"/>
        <v>No Quote</v>
      </c>
      <c r="R33" s="153"/>
      <c r="S33" s="44"/>
      <c r="T33" s="45" t="str">
        <f t="shared" si="8"/>
        <v/>
      </c>
      <c r="U33" s="92"/>
      <c r="V33" s="212" t="str">
        <f t="shared" si="22"/>
        <v>No Quote</v>
      </c>
      <c r="W33" s="213"/>
      <c r="X33" s="90"/>
      <c r="Y33" s="96"/>
      <c r="Z33" s="66" t="str">
        <f t="shared" si="10"/>
        <v/>
      </c>
      <c r="AA33" s="95"/>
      <c r="AB33" s="95"/>
      <c r="AC33" s="80" t="str">
        <f t="shared" si="11"/>
        <v>-</v>
      </c>
      <c r="AD33" s="80" t="str">
        <f t="shared" si="12"/>
        <v>-</v>
      </c>
      <c r="AE33" s="80" t="str">
        <f t="shared" si="13"/>
        <v>-</v>
      </c>
      <c r="AF33" s="81" t="str">
        <f t="shared" si="1"/>
        <v/>
      </c>
      <c r="AG33" s="77" t="str">
        <f t="shared" si="14"/>
        <v/>
      </c>
      <c r="AH33" s="75" t="str">
        <f t="shared" si="2"/>
        <v/>
      </c>
      <c r="AI33" s="74" t="str">
        <f t="shared" si="15"/>
        <v/>
      </c>
      <c r="AJ33" s="77" t="str">
        <f t="shared" si="16"/>
        <v/>
      </c>
      <c r="AK33" s="75" t="str">
        <f t="shared" si="3"/>
        <v/>
      </c>
      <c r="AL33" s="74" t="str">
        <f t="shared" si="17"/>
        <v/>
      </c>
      <c r="AM33" s="77" t="str">
        <f t="shared" si="18"/>
        <v/>
      </c>
      <c r="AO33" s="104">
        <f t="shared" si="4"/>
        <v>0</v>
      </c>
      <c r="AP33" s="106"/>
    </row>
    <row r="34" spans="2:42" s="1" customFormat="1" ht="61.5" customHeight="1" outlineLevel="1" x14ac:dyDescent="0.25">
      <c r="B34" s="41">
        <f t="shared" si="19"/>
        <v>12</v>
      </c>
      <c r="C34" s="218"/>
      <c r="D34" s="218"/>
      <c r="E34" s="218"/>
      <c r="F34" s="218"/>
      <c r="G34" s="42"/>
      <c r="H34" s="43"/>
      <c r="I34" s="44"/>
      <c r="J34" s="45" t="str">
        <f t="shared" si="5"/>
        <v/>
      </c>
      <c r="K34" s="93"/>
      <c r="L34" s="152" t="str">
        <f t="shared" si="23"/>
        <v>No Quote</v>
      </c>
      <c r="M34" s="153"/>
      <c r="N34" s="44"/>
      <c r="O34" s="45" t="str">
        <f t="shared" si="6"/>
        <v/>
      </c>
      <c r="P34" s="92"/>
      <c r="Q34" s="152" t="str">
        <f t="shared" si="24"/>
        <v>No Quote</v>
      </c>
      <c r="R34" s="153"/>
      <c r="S34" s="44"/>
      <c r="T34" s="45" t="str">
        <f t="shared" si="8"/>
        <v/>
      </c>
      <c r="U34" s="92"/>
      <c r="V34" s="212" t="str">
        <f t="shared" si="22"/>
        <v>No Quote</v>
      </c>
      <c r="W34" s="213"/>
      <c r="X34" s="90"/>
      <c r="Y34" s="96"/>
      <c r="Z34" s="66" t="str">
        <f t="shared" si="10"/>
        <v/>
      </c>
      <c r="AA34" s="95"/>
      <c r="AB34" s="95"/>
      <c r="AC34" s="80" t="str">
        <f t="shared" si="11"/>
        <v>-</v>
      </c>
      <c r="AD34" s="80" t="str">
        <f t="shared" si="12"/>
        <v>-</v>
      </c>
      <c r="AE34" s="80" t="str">
        <f t="shared" si="13"/>
        <v>-</v>
      </c>
      <c r="AF34" s="81" t="str">
        <f t="shared" si="1"/>
        <v/>
      </c>
      <c r="AG34" s="77" t="str">
        <f t="shared" si="14"/>
        <v/>
      </c>
      <c r="AH34" s="75" t="str">
        <f t="shared" si="2"/>
        <v/>
      </c>
      <c r="AI34" s="74" t="str">
        <f t="shared" si="15"/>
        <v/>
      </c>
      <c r="AJ34" s="77" t="str">
        <f t="shared" si="16"/>
        <v/>
      </c>
      <c r="AK34" s="75" t="str">
        <f t="shared" si="3"/>
        <v/>
      </c>
      <c r="AL34" s="74" t="str">
        <f t="shared" si="17"/>
        <v/>
      </c>
      <c r="AM34" s="77" t="str">
        <f t="shared" si="18"/>
        <v/>
      </c>
      <c r="AO34" s="104">
        <f t="shared" si="4"/>
        <v>0</v>
      </c>
      <c r="AP34" s="106"/>
    </row>
    <row r="35" spans="2:42" s="1" customFormat="1" ht="61.5" customHeight="1" outlineLevel="1" x14ac:dyDescent="0.25">
      <c r="B35" s="41">
        <f t="shared" si="19"/>
        <v>13</v>
      </c>
      <c r="C35" s="218"/>
      <c r="D35" s="218"/>
      <c r="E35" s="218"/>
      <c r="F35" s="218"/>
      <c r="G35" s="42"/>
      <c r="H35" s="43"/>
      <c r="I35" s="44"/>
      <c r="J35" s="45" t="str">
        <f t="shared" si="5"/>
        <v/>
      </c>
      <c r="K35" s="93"/>
      <c r="L35" s="152" t="str">
        <f t="shared" si="23"/>
        <v>No Quote</v>
      </c>
      <c r="M35" s="153"/>
      <c r="N35" s="44"/>
      <c r="O35" s="45" t="str">
        <f t="shared" si="6"/>
        <v/>
      </c>
      <c r="P35" s="92"/>
      <c r="Q35" s="152" t="str">
        <f t="shared" si="24"/>
        <v>No Quote</v>
      </c>
      <c r="R35" s="153"/>
      <c r="S35" s="44"/>
      <c r="T35" s="45" t="str">
        <f t="shared" si="8"/>
        <v/>
      </c>
      <c r="U35" s="92"/>
      <c r="V35" s="212" t="str">
        <f t="shared" si="22"/>
        <v>No Quote</v>
      </c>
      <c r="W35" s="213"/>
      <c r="X35" s="90"/>
      <c r="Y35" s="96"/>
      <c r="Z35" s="66" t="str">
        <f t="shared" si="10"/>
        <v/>
      </c>
      <c r="AA35" s="95"/>
      <c r="AB35" s="95"/>
      <c r="AC35" s="80" t="str">
        <f t="shared" si="11"/>
        <v>-</v>
      </c>
      <c r="AD35" s="80" t="str">
        <f t="shared" si="12"/>
        <v>-</v>
      </c>
      <c r="AE35" s="80" t="str">
        <f t="shared" si="13"/>
        <v>-</v>
      </c>
      <c r="AF35" s="81" t="str">
        <f t="shared" si="1"/>
        <v/>
      </c>
      <c r="AG35" s="77" t="str">
        <f t="shared" si="14"/>
        <v/>
      </c>
      <c r="AH35" s="75" t="str">
        <f t="shared" si="2"/>
        <v/>
      </c>
      <c r="AI35" s="74" t="str">
        <f t="shared" si="15"/>
        <v/>
      </c>
      <c r="AJ35" s="77" t="str">
        <f t="shared" si="16"/>
        <v/>
      </c>
      <c r="AK35" s="75" t="str">
        <f t="shared" si="3"/>
        <v/>
      </c>
      <c r="AL35" s="74" t="str">
        <f t="shared" si="17"/>
        <v/>
      </c>
      <c r="AM35" s="77" t="str">
        <f t="shared" si="18"/>
        <v/>
      </c>
      <c r="AO35" s="104">
        <f t="shared" si="4"/>
        <v>0</v>
      </c>
      <c r="AP35" s="106"/>
    </row>
    <row r="36" spans="2:42" s="1" customFormat="1" ht="61.5" customHeight="1" outlineLevel="1" x14ac:dyDescent="0.25">
      <c r="B36" s="41">
        <f t="shared" si="19"/>
        <v>14</v>
      </c>
      <c r="C36" s="218"/>
      <c r="D36" s="218"/>
      <c r="E36" s="218"/>
      <c r="F36" s="218"/>
      <c r="G36" s="42"/>
      <c r="H36" s="43"/>
      <c r="I36" s="44"/>
      <c r="J36" s="45" t="str">
        <f t="shared" si="5"/>
        <v/>
      </c>
      <c r="K36" s="93"/>
      <c r="L36" s="152" t="str">
        <f t="shared" si="23"/>
        <v>No Quote</v>
      </c>
      <c r="M36" s="153"/>
      <c r="N36" s="44"/>
      <c r="O36" s="45" t="str">
        <f t="shared" si="6"/>
        <v/>
      </c>
      <c r="P36" s="92"/>
      <c r="Q36" s="152" t="str">
        <f t="shared" si="24"/>
        <v>No Quote</v>
      </c>
      <c r="R36" s="153"/>
      <c r="S36" s="44"/>
      <c r="T36" s="45" t="str">
        <f t="shared" si="8"/>
        <v/>
      </c>
      <c r="U36" s="92"/>
      <c r="V36" s="212" t="str">
        <f t="shared" si="22"/>
        <v>No Quote</v>
      </c>
      <c r="W36" s="213"/>
      <c r="X36" s="90"/>
      <c r="Y36" s="96"/>
      <c r="Z36" s="66" t="str">
        <f t="shared" si="10"/>
        <v/>
      </c>
      <c r="AA36" s="95"/>
      <c r="AB36" s="95"/>
      <c r="AC36" s="80" t="str">
        <f t="shared" si="11"/>
        <v>-</v>
      </c>
      <c r="AD36" s="80" t="str">
        <f t="shared" si="12"/>
        <v>-</v>
      </c>
      <c r="AE36" s="80" t="str">
        <f t="shared" si="13"/>
        <v>-</v>
      </c>
      <c r="AF36" s="81" t="str">
        <f t="shared" si="1"/>
        <v/>
      </c>
      <c r="AG36" s="77" t="str">
        <f t="shared" si="14"/>
        <v/>
      </c>
      <c r="AH36" s="75" t="str">
        <f t="shared" si="2"/>
        <v/>
      </c>
      <c r="AI36" s="74" t="str">
        <f t="shared" si="15"/>
        <v/>
      </c>
      <c r="AJ36" s="77" t="str">
        <f t="shared" si="16"/>
        <v/>
      </c>
      <c r="AK36" s="75" t="str">
        <f t="shared" si="3"/>
        <v/>
      </c>
      <c r="AL36" s="74" t="str">
        <f t="shared" si="17"/>
        <v/>
      </c>
      <c r="AM36" s="77" t="str">
        <f t="shared" si="18"/>
        <v/>
      </c>
      <c r="AO36" s="104">
        <f t="shared" ref="AO36:AO50" si="25">SUMIFS($AF$23:$AF$50,$AG$23:$AG$50,AP36)</f>
        <v>0</v>
      </c>
      <c r="AP36" s="106"/>
    </row>
    <row r="37" spans="2:42" s="1" customFormat="1" ht="61.5" customHeight="1" outlineLevel="1" x14ac:dyDescent="0.25">
      <c r="B37" s="41">
        <f t="shared" si="19"/>
        <v>15</v>
      </c>
      <c r="C37" s="218"/>
      <c r="D37" s="218"/>
      <c r="E37" s="218"/>
      <c r="F37" s="218"/>
      <c r="G37" s="42"/>
      <c r="H37" s="43"/>
      <c r="I37" s="44"/>
      <c r="J37" s="45" t="str">
        <f t="shared" si="5"/>
        <v/>
      </c>
      <c r="K37" s="93"/>
      <c r="L37" s="152" t="str">
        <f t="shared" si="23"/>
        <v>No Quote</v>
      </c>
      <c r="M37" s="153"/>
      <c r="N37" s="44"/>
      <c r="O37" s="45" t="str">
        <f t="shared" si="6"/>
        <v/>
      </c>
      <c r="P37" s="92"/>
      <c r="Q37" s="152" t="str">
        <f t="shared" si="24"/>
        <v>No Quote</v>
      </c>
      <c r="R37" s="153"/>
      <c r="S37" s="44"/>
      <c r="T37" s="45" t="str">
        <f t="shared" si="8"/>
        <v/>
      </c>
      <c r="U37" s="92"/>
      <c r="V37" s="212" t="str">
        <f t="shared" si="22"/>
        <v>No Quote</v>
      </c>
      <c r="W37" s="213"/>
      <c r="X37" s="90"/>
      <c r="Y37" s="96"/>
      <c r="Z37" s="66" t="str">
        <f t="shared" si="10"/>
        <v/>
      </c>
      <c r="AA37" s="95"/>
      <c r="AB37" s="95"/>
      <c r="AC37" s="80" t="str">
        <f t="shared" si="11"/>
        <v>-</v>
      </c>
      <c r="AD37" s="80" t="str">
        <f t="shared" si="12"/>
        <v>-</v>
      </c>
      <c r="AE37" s="80" t="str">
        <f t="shared" si="13"/>
        <v>-</v>
      </c>
      <c r="AF37" s="81" t="str">
        <f t="shared" si="1"/>
        <v/>
      </c>
      <c r="AG37" s="77" t="str">
        <f t="shared" si="14"/>
        <v/>
      </c>
      <c r="AH37" s="75" t="str">
        <f t="shared" si="2"/>
        <v/>
      </c>
      <c r="AI37" s="74" t="str">
        <f t="shared" si="15"/>
        <v/>
      </c>
      <c r="AJ37" s="77" t="str">
        <f t="shared" si="16"/>
        <v/>
      </c>
      <c r="AK37" s="75" t="str">
        <f t="shared" si="3"/>
        <v/>
      </c>
      <c r="AL37" s="74" t="str">
        <f t="shared" si="17"/>
        <v/>
      </c>
      <c r="AM37" s="77" t="str">
        <f t="shared" si="18"/>
        <v/>
      </c>
      <c r="AO37" s="104">
        <f t="shared" si="25"/>
        <v>0</v>
      </c>
      <c r="AP37" s="106"/>
    </row>
    <row r="38" spans="2:42" s="1" customFormat="1" ht="61.5" customHeight="1" outlineLevel="1" x14ac:dyDescent="0.25">
      <c r="B38" s="41">
        <f t="shared" si="19"/>
        <v>16</v>
      </c>
      <c r="C38" s="218"/>
      <c r="D38" s="218"/>
      <c r="E38" s="218"/>
      <c r="F38" s="218"/>
      <c r="G38" s="42"/>
      <c r="H38" s="43"/>
      <c r="I38" s="44"/>
      <c r="J38" s="45" t="str">
        <f t="shared" si="5"/>
        <v/>
      </c>
      <c r="K38" s="93"/>
      <c r="L38" s="152" t="str">
        <f t="shared" si="23"/>
        <v>No Quote</v>
      </c>
      <c r="M38" s="153"/>
      <c r="N38" s="44"/>
      <c r="O38" s="45" t="str">
        <f t="shared" si="6"/>
        <v/>
      </c>
      <c r="P38" s="92"/>
      <c r="Q38" s="152" t="str">
        <f t="shared" si="24"/>
        <v>No Quote</v>
      </c>
      <c r="R38" s="153"/>
      <c r="S38" s="44"/>
      <c r="T38" s="45" t="str">
        <f t="shared" si="8"/>
        <v/>
      </c>
      <c r="U38" s="92"/>
      <c r="V38" s="212" t="str">
        <f t="shared" si="22"/>
        <v>No Quote</v>
      </c>
      <c r="W38" s="213"/>
      <c r="X38" s="90"/>
      <c r="Y38" s="96"/>
      <c r="Z38" s="66" t="str">
        <f t="shared" si="10"/>
        <v/>
      </c>
      <c r="AA38" s="95"/>
      <c r="AB38" s="95"/>
      <c r="AC38" s="80" t="str">
        <f t="shared" si="11"/>
        <v>-</v>
      </c>
      <c r="AD38" s="80" t="str">
        <f t="shared" si="12"/>
        <v>-</v>
      </c>
      <c r="AE38" s="80" t="str">
        <f t="shared" si="13"/>
        <v>-</v>
      </c>
      <c r="AF38" s="81" t="str">
        <f t="shared" si="1"/>
        <v/>
      </c>
      <c r="AG38" s="77" t="str">
        <f t="shared" si="14"/>
        <v/>
      </c>
      <c r="AH38" s="75" t="str">
        <f t="shared" si="2"/>
        <v/>
      </c>
      <c r="AI38" s="74" t="str">
        <f t="shared" si="15"/>
        <v/>
      </c>
      <c r="AJ38" s="77" t="str">
        <f t="shared" si="16"/>
        <v/>
      </c>
      <c r="AK38" s="75" t="str">
        <f t="shared" si="3"/>
        <v/>
      </c>
      <c r="AL38" s="74" t="str">
        <f t="shared" si="17"/>
        <v/>
      </c>
      <c r="AM38" s="77" t="str">
        <f t="shared" si="18"/>
        <v/>
      </c>
      <c r="AO38" s="104">
        <f t="shared" si="25"/>
        <v>0</v>
      </c>
      <c r="AP38" s="106"/>
    </row>
    <row r="39" spans="2:42" s="1" customFormat="1" ht="61.5" customHeight="1" outlineLevel="1" x14ac:dyDescent="0.25">
      <c r="B39" s="41">
        <f t="shared" si="19"/>
        <v>17</v>
      </c>
      <c r="C39" s="218"/>
      <c r="D39" s="218"/>
      <c r="E39" s="218"/>
      <c r="F39" s="218"/>
      <c r="G39" s="42"/>
      <c r="H39" s="43"/>
      <c r="I39" s="44"/>
      <c r="J39" s="45" t="str">
        <f t="shared" si="5"/>
        <v/>
      </c>
      <c r="K39" s="93"/>
      <c r="L39" s="152" t="str">
        <f t="shared" si="23"/>
        <v>No Quote</v>
      </c>
      <c r="M39" s="153"/>
      <c r="N39" s="44"/>
      <c r="O39" s="45" t="str">
        <f t="shared" si="6"/>
        <v/>
      </c>
      <c r="P39" s="92"/>
      <c r="Q39" s="152" t="str">
        <f t="shared" si="24"/>
        <v>No Quote</v>
      </c>
      <c r="R39" s="153"/>
      <c r="S39" s="44"/>
      <c r="T39" s="45" t="str">
        <f t="shared" si="8"/>
        <v/>
      </c>
      <c r="U39" s="92"/>
      <c r="V39" s="212" t="str">
        <f t="shared" si="22"/>
        <v>No Quote</v>
      </c>
      <c r="W39" s="213"/>
      <c r="X39" s="90"/>
      <c r="Y39" s="96"/>
      <c r="Z39" s="66" t="str">
        <f t="shared" si="10"/>
        <v/>
      </c>
      <c r="AA39" s="95"/>
      <c r="AB39" s="95"/>
      <c r="AC39" s="80" t="str">
        <f t="shared" si="11"/>
        <v>-</v>
      </c>
      <c r="AD39" s="80" t="str">
        <f t="shared" si="12"/>
        <v>-</v>
      </c>
      <c r="AE39" s="80" t="str">
        <f t="shared" si="13"/>
        <v>-</v>
      </c>
      <c r="AF39" s="81" t="str">
        <f t="shared" si="1"/>
        <v/>
      </c>
      <c r="AG39" s="77" t="str">
        <f t="shared" si="14"/>
        <v/>
      </c>
      <c r="AH39" s="75" t="str">
        <f t="shared" si="2"/>
        <v/>
      </c>
      <c r="AI39" s="74" t="str">
        <f t="shared" si="15"/>
        <v/>
      </c>
      <c r="AJ39" s="77" t="str">
        <f t="shared" si="16"/>
        <v/>
      </c>
      <c r="AK39" s="75" t="str">
        <f t="shared" si="3"/>
        <v/>
      </c>
      <c r="AL39" s="74" t="str">
        <f t="shared" si="17"/>
        <v/>
      </c>
      <c r="AM39" s="77" t="str">
        <f t="shared" si="18"/>
        <v/>
      </c>
      <c r="AO39" s="104">
        <f t="shared" si="25"/>
        <v>0</v>
      </c>
      <c r="AP39" s="106"/>
    </row>
    <row r="40" spans="2:42" s="1" customFormat="1" ht="61.5" customHeight="1" outlineLevel="1" x14ac:dyDescent="0.25">
      <c r="B40" s="41">
        <f t="shared" si="19"/>
        <v>18</v>
      </c>
      <c r="C40" s="218"/>
      <c r="D40" s="218"/>
      <c r="E40" s="218"/>
      <c r="F40" s="218"/>
      <c r="G40" s="42"/>
      <c r="H40" s="43"/>
      <c r="I40" s="44"/>
      <c r="J40" s="45" t="str">
        <f t="shared" si="5"/>
        <v/>
      </c>
      <c r="K40" s="93"/>
      <c r="L40" s="152" t="str">
        <f t="shared" si="23"/>
        <v>No Quote</v>
      </c>
      <c r="M40" s="153"/>
      <c r="N40" s="44"/>
      <c r="O40" s="45" t="str">
        <f t="shared" si="6"/>
        <v/>
      </c>
      <c r="P40" s="92"/>
      <c r="Q40" s="152" t="str">
        <f t="shared" si="24"/>
        <v>No Quote</v>
      </c>
      <c r="R40" s="153"/>
      <c r="S40" s="44"/>
      <c r="T40" s="45" t="str">
        <f t="shared" si="8"/>
        <v/>
      </c>
      <c r="U40" s="92"/>
      <c r="V40" s="212" t="str">
        <f t="shared" si="22"/>
        <v>No Quote</v>
      </c>
      <c r="W40" s="213"/>
      <c r="X40" s="90"/>
      <c r="Y40" s="96"/>
      <c r="Z40" s="66" t="str">
        <f t="shared" si="10"/>
        <v/>
      </c>
      <c r="AA40" s="95"/>
      <c r="AB40" s="95"/>
      <c r="AC40" s="80" t="str">
        <f t="shared" si="11"/>
        <v>-</v>
      </c>
      <c r="AD40" s="80" t="str">
        <f t="shared" si="12"/>
        <v>-</v>
      </c>
      <c r="AE40" s="80" t="str">
        <f t="shared" si="13"/>
        <v>-</v>
      </c>
      <c r="AF40" s="81" t="str">
        <f t="shared" si="1"/>
        <v/>
      </c>
      <c r="AG40" s="77" t="str">
        <f t="shared" si="14"/>
        <v/>
      </c>
      <c r="AH40" s="75" t="str">
        <f t="shared" si="2"/>
        <v/>
      </c>
      <c r="AI40" s="74" t="str">
        <f t="shared" si="15"/>
        <v/>
      </c>
      <c r="AJ40" s="77" t="str">
        <f t="shared" si="16"/>
        <v/>
      </c>
      <c r="AK40" s="75" t="str">
        <f t="shared" si="3"/>
        <v/>
      </c>
      <c r="AL40" s="74" t="str">
        <f t="shared" si="17"/>
        <v/>
      </c>
      <c r="AM40" s="77" t="str">
        <f t="shared" si="18"/>
        <v/>
      </c>
      <c r="AO40" s="104">
        <f t="shared" si="25"/>
        <v>0</v>
      </c>
      <c r="AP40" s="106"/>
    </row>
    <row r="41" spans="2:42" s="1" customFormat="1" ht="61.5" customHeight="1" outlineLevel="1" x14ac:dyDescent="0.25">
      <c r="B41" s="41">
        <f t="shared" si="19"/>
        <v>19</v>
      </c>
      <c r="C41" s="218"/>
      <c r="D41" s="218"/>
      <c r="E41" s="218"/>
      <c r="F41" s="218"/>
      <c r="G41" s="42"/>
      <c r="H41" s="43"/>
      <c r="I41" s="44"/>
      <c r="J41" s="45" t="str">
        <f t="shared" si="5"/>
        <v/>
      </c>
      <c r="K41" s="93"/>
      <c r="L41" s="152" t="str">
        <f t="shared" si="23"/>
        <v>No Quote</v>
      </c>
      <c r="M41" s="153"/>
      <c r="N41" s="44"/>
      <c r="O41" s="45" t="str">
        <f t="shared" si="6"/>
        <v/>
      </c>
      <c r="P41" s="92"/>
      <c r="Q41" s="152" t="str">
        <f t="shared" si="24"/>
        <v>No Quote</v>
      </c>
      <c r="R41" s="153"/>
      <c r="S41" s="44"/>
      <c r="T41" s="45" t="str">
        <f t="shared" si="8"/>
        <v/>
      </c>
      <c r="U41" s="92"/>
      <c r="V41" s="212" t="str">
        <f t="shared" si="22"/>
        <v>No Quote</v>
      </c>
      <c r="W41" s="213"/>
      <c r="X41" s="90"/>
      <c r="Y41" s="96"/>
      <c r="Z41" s="66" t="str">
        <f t="shared" si="10"/>
        <v/>
      </c>
      <c r="AA41" s="95"/>
      <c r="AB41" s="95"/>
      <c r="AC41" s="80" t="str">
        <f t="shared" si="11"/>
        <v>-</v>
      </c>
      <c r="AD41" s="80" t="str">
        <f t="shared" si="12"/>
        <v>-</v>
      </c>
      <c r="AE41" s="80" t="str">
        <f t="shared" si="13"/>
        <v>-</v>
      </c>
      <c r="AF41" s="81" t="str">
        <f t="shared" si="1"/>
        <v/>
      </c>
      <c r="AG41" s="77" t="str">
        <f t="shared" si="14"/>
        <v/>
      </c>
      <c r="AH41" s="75" t="str">
        <f t="shared" si="2"/>
        <v/>
      </c>
      <c r="AI41" s="74" t="str">
        <f t="shared" si="15"/>
        <v/>
      </c>
      <c r="AJ41" s="77" t="str">
        <f t="shared" si="16"/>
        <v/>
      </c>
      <c r="AK41" s="75" t="str">
        <f t="shared" si="3"/>
        <v/>
      </c>
      <c r="AL41" s="74" t="str">
        <f t="shared" si="17"/>
        <v/>
      </c>
      <c r="AM41" s="77" t="str">
        <f t="shared" si="18"/>
        <v/>
      </c>
      <c r="AO41" s="104">
        <f t="shared" si="25"/>
        <v>0</v>
      </c>
      <c r="AP41" s="106"/>
    </row>
    <row r="42" spans="2:42" s="1" customFormat="1" ht="61.5" customHeight="1" outlineLevel="1" x14ac:dyDescent="0.25">
      <c r="B42" s="41">
        <f t="shared" si="19"/>
        <v>20</v>
      </c>
      <c r="C42" s="218"/>
      <c r="D42" s="218"/>
      <c r="E42" s="218"/>
      <c r="F42" s="218"/>
      <c r="G42" s="42"/>
      <c r="H42" s="43"/>
      <c r="I42" s="44"/>
      <c r="J42" s="45" t="str">
        <f t="shared" si="5"/>
        <v/>
      </c>
      <c r="K42" s="93"/>
      <c r="L42" s="152" t="str">
        <f t="shared" si="23"/>
        <v>No Quote</v>
      </c>
      <c r="M42" s="153"/>
      <c r="N42" s="44"/>
      <c r="O42" s="45" t="str">
        <f t="shared" si="6"/>
        <v/>
      </c>
      <c r="P42" s="92"/>
      <c r="Q42" s="152" t="str">
        <f t="shared" si="24"/>
        <v>No Quote</v>
      </c>
      <c r="R42" s="153"/>
      <c r="S42" s="44"/>
      <c r="T42" s="45" t="str">
        <f t="shared" si="8"/>
        <v/>
      </c>
      <c r="U42" s="92"/>
      <c r="V42" s="212" t="str">
        <f t="shared" si="22"/>
        <v>No Quote</v>
      </c>
      <c r="W42" s="213"/>
      <c r="X42" s="90"/>
      <c r="Y42" s="96"/>
      <c r="Z42" s="66" t="str">
        <f t="shared" si="10"/>
        <v/>
      </c>
      <c r="AA42" s="95"/>
      <c r="AB42" s="95"/>
      <c r="AC42" s="80" t="str">
        <f t="shared" si="11"/>
        <v>-</v>
      </c>
      <c r="AD42" s="80" t="str">
        <f t="shared" si="12"/>
        <v>-</v>
      </c>
      <c r="AE42" s="80" t="str">
        <f t="shared" si="13"/>
        <v>-</v>
      </c>
      <c r="AF42" s="81" t="str">
        <f t="shared" si="1"/>
        <v/>
      </c>
      <c r="AG42" s="77" t="str">
        <f t="shared" si="14"/>
        <v/>
      </c>
      <c r="AH42" s="75" t="str">
        <f t="shared" si="2"/>
        <v/>
      </c>
      <c r="AI42" s="74" t="str">
        <f t="shared" si="15"/>
        <v/>
      </c>
      <c r="AJ42" s="77" t="str">
        <f t="shared" si="16"/>
        <v/>
      </c>
      <c r="AK42" s="75" t="str">
        <f t="shared" si="3"/>
        <v/>
      </c>
      <c r="AL42" s="74" t="str">
        <f t="shared" si="17"/>
        <v/>
      </c>
      <c r="AM42" s="77" t="str">
        <f t="shared" si="18"/>
        <v/>
      </c>
      <c r="AO42" s="104">
        <f t="shared" si="25"/>
        <v>0</v>
      </c>
      <c r="AP42" s="106"/>
    </row>
    <row r="43" spans="2:42" s="1" customFormat="1" ht="61.5" customHeight="1" outlineLevel="1" x14ac:dyDescent="0.25">
      <c r="B43" s="41">
        <f t="shared" si="19"/>
        <v>21</v>
      </c>
      <c r="C43" s="218"/>
      <c r="D43" s="218"/>
      <c r="E43" s="218"/>
      <c r="F43" s="218"/>
      <c r="G43" s="42"/>
      <c r="H43" s="43"/>
      <c r="I43" s="44"/>
      <c r="J43" s="45" t="str">
        <f t="shared" si="5"/>
        <v/>
      </c>
      <c r="K43" s="93"/>
      <c r="L43" s="152" t="str">
        <f t="shared" si="23"/>
        <v>No Quote</v>
      </c>
      <c r="M43" s="153"/>
      <c r="N43" s="44"/>
      <c r="O43" s="45" t="str">
        <f t="shared" si="6"/>
        <v/>
      </c>
      <c r="P43" s="92"/>
      <c r="Q43" s="152" t="str">
        <f t="shared" si="24"/>
        <v>No Quote</v>
      </c>
      <c r="R43" s="153"/>
      <c r="S43" s="44"/>
      <c r="T43" s="45" t="str">
        <f t="shared" si="8"/>
        <v/>
      </c>
      <c r="U43" s="92"/>
      <c r="V43" s="212" t="str">
        <f t="shared" si="22"/>
        <v>No Quote</v>
      </c>
      <c r="W43" s="213"/>
      <c r="X43" s="90"/>
      <c r="Y43" s="96"/>
      <c r="Z43" s="66" t="str">
        <f t="shared" si="10"/>
        <v/>
      </c>
      <c r="AA43" s="95"/>
      <c r="AB43" s="95"/>
      <c r="AC43" s="80" t="str">
        <f t="shared" si="11"/>
        <v>-</v>
      </c>
      <c r="AD43" s="80" t="str">
        <f t="shared" si="12"/>
        <v>-</v>
      </c>
      <c r="AE43" s="80" t="str">
        <f t="shared" si="13"/>
        <v>-</v>
      </c>
      <c r="AF43" s="81" t="str">
        <f t="shared" si="1"/>
        <v/>
      </c>
      <c r="AG43" s="77" t="str">
        <f t="shared" si="14"/>
        <v/>
      </c>
      <c r="AH43" s="75" t="str">
        <f t="shared" si="2"/>
        <v/>
      </c>
      <c r="AI43" s="74" t="str">
        <f t="shared" si="15"/>
        <v/>
      </c>
      <c r="AJ43" s="77" t="str">
        <f t="shared" si="16"/>
        <v/>
      </c>
      <c r="AK43" s="75" t="str">
        <f t="shared" si="3"/>
        <v/>
      </c>
      <c r="AL43" s="74" t="str">
        <f t="shared" si="17"/>
        <v/>
      </c>
      <c r="AM43" s="77" t="str">
        <f t="shared" si="18"/>
        <v/>
      </c>
      <c r="AO43" s="104">
        <f t="shared" si="25"/>
        <v>0</v>
      </c>
      <c r="AP43" s="106"/>
    </row>
    <row r="44" spans="2:42" s="1" customFormat="1" ht="61.5" customHeight="1" outlineLevel="1" x14ac:dyDescent="0.25">
      <c r="B44" s="41">
        <f t="shared" si="19"/>
        <v>22</v>
      </c>
      <c r="C44" s="218"/>
      <c r="D44" s="218"/>
      <c r="E44" s="218"/>
      <c r="F44" s="218"/>
      <c r="G44" s="42"/>
      <c r="H44" s="43"/>
      <c r="I44" s="44"/>
      <c r="J44" s="45" t="str">
        <f t="shared" si="5"/>
        <v/>
      </c>
      <c r="K44" s="93"/>
      <c r="L44" s="152" t="str">
        <f t="shared" si="23"/>
        <v>No Quote</v>
      </c>
      <c r="M44" s="153"/>
      <c r="N44" s="44"/>
      <c r="O44" s="45" t="str">
        <f t="shared" si="6"/>
        <v/>
      </c>
      <c r="P44" s="92"/>
      <c r="Q44" s="152" t="str">
        <f t="shared" si="24"/>
        <v>No Quote</v>
      </c>
      <c r="R44" s="153"/>
      <c r="S44" s="44"/>
      <c r="T44" s="45" t="str">
        <f t="shared" si="8"/>
        <v/>
      </c>
      <c r="U44" s="92"/>
      <c r="V44" s="212" t="str">
        <f t="shared" si="22"/>
        <v>No Quote</v>
      </c>
      <c r="W44" s="213"/>
      <c r="X44" s="90"/>
      <c r="Y44" s="96"/>
      <c r="Z44" s="66" t="str">
        <f t="shared" si="10"/>
        <v/>
      </c>
      <c r="AA44" s="95"/>
      <c r="AB44" s="95"/>
      <c r="AC44" s="80" t="str">
        <f t="shared" si="11"/>
        <v>-</v>
      </c>
      <c r="AD44" s="80" t="str">
        <f t="shared" si="12"/>
        <v>-</v>
      </c>
      <c r="AE44" s="80" t="str">
        <f t="shared" si="13"/>
        <v>-</v>
      </c>
      <c r="AF44" s="81" t="str">
        <f t="shared" si="1"/>
        <v/>
      </c>
      <c r="AG44" s="77" t="str">
        <f t="shared" si="14"/>
        <v/>
      </c>
      <c r="AH44" s="75" t="str">
        <f t="shared" si="2"/>
        <v/>
      </c>
      <c r="AI44" s="74" t="str">
        <f t="shared" si="15"/>
        <v/>
      </c>
      <c r="AJ44" s="77" t="str">
        <f t="shared" si="16"/>
        <v/>
      </c>
      <c r="AK44" s="75" t="str">
        <f t="shared" si="3"/>
        <v/>
      </c>
      <c r="AL44" s="74" t="str">
        <f t="shared" si="17"/>
        <v/>
      </c>
      <c r="AM44" s="77" t="str">
        <f t="shared" si="18"/>
        <v/>
      </c>
      <c r="AO44" s="104">
        <f t="shared" si="25"/>
        <v>0</v>
      </c>
      <c r="AP44" s="106"/>
    </row>
    <row r="45" spans="2:42" s="1" customFormat="1" ht="61.5" customHeight="1" outlineLevel="1" x14ac:dyDescent="0.25">
      <c r="B45" s="41">
        <f t="shared" si="19"/>
        <v>23</v>
      </c>
      <c r="C45" s="218"/>
      <c r="D45" s="218"/>
      <c r="E45" s="218"/>
      <c r="F45" s="218"/>
      <c r="G45" s="42"/>
      <c r="H45" s="43"/>
      <c r="I45" s="44"/>
      <c r="J45" s="45" t="str">
        <f t="shared" si="5"/>
        <v/>
      </c>
      <c r="K45" s="93"/>
      <c r="L45" s="152" t="str">
        <f t="shared" si="23"/>
        <v>No Quote</v>
      </c>
      <c r="M45" s="153"/>
      <c r="N45" s="44"/>
      <c r="O45" s="45" t="str">
        <f t="shared" si="6"/>
        <v/>
      </c>
      <c r="P45" s="92"/>
      <c r="Q45" s="152" t="str">
        <f t="shared" si="24"/>
        <v>No Quote</v>
      </c>
      <c r="R45" s="153"/>
      <c r="S45" s="44"/>
      <c r="T45" s="45" t="str">
        <f t="shared" si="8"/>
        <v/>
      </c>
      <c r="U45" s="92"/>
      <c r="V45" s="212" t="str">
        <f t="shared" si="22"/>
        <v>No Quote</v>
      </c>
      <c r="W45" s="213"/>
      <c r="X45" s="90"/>
      <c r="Y45" s="96"/>
      <c r="Z45" s="66" t="str">
        <f t="shared" si="10"/>
        <v/>
      </c>
      <c r="AA45" s="95"/>
      <c r="AB45" s="95"/>
      <c r="AC45" s="80" t="str">
        <f t="shared" si="11"/>
        <v>-</v>
      </c>
      <c r="AD45" s="80" t="str">
        <f t="shared" si="12"/>
        <v>-</v>
      </c>
      <c r="AE45" s="80" t="str">
        <f t="shared" si="13"/>
        <v>-</v>
      </c>
      <c r="AF45" s="81" t="str">
        <f t="shared" si="1"/>
        <v/>
      </c>
      <c r="AG45" s="77" t="str">
        <f t="shared" si="14"/>
        <v/>
      </c>
      <c r="AH45" s="75" t="str">
        <f t="shared" si="2"/>
        <v/>
      </c>
      <c r="AI45" s="74" t="str">
        <f t="shared" si="15"/>
        <v/>
      </c>
      <c r="AJ45" s="77" t="str">
        <f t="shared" si="16"/>
        <v/>
      </c>
      <c r="AK45" s="75" t="str">
        <f t="shared" si="3"/>
        <v/>
      </c>
      <c r="AL45" s="74" t="str">
        <f t="shared" si="17"/>
        <v/>
      </c>
      <c r="AM45" s="77" t="str">
        <f t="shared" si="18"/>
        <v/>
      </c>
      <c r="AO45" s="104">
        <f t="shared" si="25"/>
        <v>0</v>
      </c>
      <c r="AP45" s="106"/>
    </row>
    <row r="46" spans="2:42" s="1" customFormat="1" ht="61.5" customHeight="1" outlineLevel="1" x14ac:dyDescent="0.25">
      <c r="B46" s="41">
        <f t="shared" si="19"/>
        <v>24</v>
      </c>
      <c r="C46" s="218"/>
      <c r="D46" s="218"/>
      <c r="E46" s="218"/>
      <c r="F46" s="218"/>
      <c r="G46" s="42"/>
      <c r="H46" s="43"/>
      <c r="I46" s="44"/>
      <c r="J46" s="45" t="str">
        <f t="shared" si="5"/>
        <v/>
      </c>
      <c r="K46" s="93"/>
      <c r="L46" s="152" t="str">
        <f t="shared" si="23"/>
        <v>No Quote</v>
      </c>
      <c r="M46" s="153"/>
      <c r="N46" s="44"/>
      <c r="O46" s="45" t="str">
        <f t="shared" si="6"/>
        <v/>
      </c>
      <c r="P46" s="92"/>
      <c r="Q46" s="152" t="str">
        <f t="shared" si="24"/>
        <v>No Quote</v>
      </c>
      <c r="R46" s="153"/>
      <c r="S46" s="44"/>
      <c r="T46" s="45" t="str">
        <f t="shared" si="8"/>
        <v/>
      </c>
      <c r="U46" s="92"/>
      <c r="V46" s="212" t="str">
        <f t="shared" si="22"/>
        <v>No Quote</v>
      </c>
      <c r="W46" s="213"/>
      <c r="X46" s="90"/>
      <c r="Y46" s="96"/>
      <c r="Z46" s="66" t="str">
        <f t="shared" si="10"/>
        <v/>
      </c>
      <c r="AA46" s="95"/>
      <c r="AB46" s="95"/>
      <c r="AC46" s="80" t="str">
        <f t="shared" si="11"/>
        <v>-</v>
      </c>
      <c r="AD46" s="80" t="str">
        <f t="shared" si="12"/>
        <v>-</v>
      </c>
      <c r="AE46" s="80" t="str">
        <f t="shared" si="13"/>
        <v>-</v>
      </c>
      <c r="AF46" s="81" t="str">
        <f t="shared" si="1"/>
        <v/>
      </c>
      <c r="AG46" s="77" t="str">
        <f t="shared" si="14"/>
        <v/>
      </c>
      <c r="AH46" s="75" t="str">
        <f t="shared" si="2"/>
        <v/>
      </c>
      <c r="AI46" s="74" t="str">
        <f t="shared" si="15"/>
        <v/>
      </c>
      <c r="AJ46" s="77" t="str">
        <f t="shared" si="16"/>
        <v/>
      </c>
      <c r="AK46" s="75" t="str">
        <f t="shared" si="3"/>
        <v/>
      </c>
      <c r="AL46" s="74" t="str">
        <f t="shared" si="17"/>
        <v/>
      </c>
      <c r="AM46" s="77" t="str">
        <f t="shared" si="18"/>
        <v/>
      </c>
      <c r="AO46" s="104">
        <f t="shared" si="25"/>
        <v>0</v>
      </c>
      <c r="AP46" s="106"/>
    </row>
    <row r="47" spans="2:42" s="1" customFormat="1" ht="61.5" customHeight="1" outlineLevel="1" x14ac:dyDescent="0.25">
      <c r="B47" s="41">
        <f t="shared" si="19"/>
        <v>25</v>
      </c>
      <c r="C47" s="218"/>
      <c r="D47" s="218"/>
      <c r="E47" s="218"/>
      <c r="F47" s="218"/>
      <c r="G47" s="42"/>
      <c r="H47" s="43"/>
      <c r="I47" s="44"/>
      <c r="J47" s="45" t="str">
        <f t="shared" si="5"/>
        <v/>
      </c>
      <c r="K47" s="93"/>
      <c r="L47" s="152" t="str">
        <f t="shared" si="23"/>
        <v>No Quote</v>
      </c>
      <c r="M47" s="153"/>
      <c r="N47" s="44"/>
      <c r="O47" s="45" t="str">
        <f t="shared" si="6"/>
        <v/>
      </c>
      <c r="P47" s="92"/>
      <c r="Q47" s="152" t="str">
        <f t="shared" si="24"/>
        <v>No Quote</v>
      </c>
      <c r="R47" s="153"/>
      <c r="S47" s="44"/>
      <c r="T47" s="45" t="str">
        <f t="shared" si="8"/>
        <v/>
      </c>
      <c r="U47" s="92"/>
      <c r="V47" s="212" t="str">
        <f t="shared" si="22"/>
        <v>No Quote</v>
      </c>
      <c r="W47" s="213"/>
      <c r="X47" s="90"/>
      <c r="Y47" s="96"/>
      <c r="Z47" s="66" t="str">
        <f t="shared" si="10"/>
        <v/>
      </c>
      <c r="AA47" s="95"/>
      <c r="AB47" s="95"/>
      <c r="AC47" s="80" t="str">
        <f t="shared" si="11"/>
        <v>-</v>
      </c>
      <c r="AD47" s="80" t="str">
        <f t="shared" si="12"/>
        <v>-</v>
      </c>
      <c r="AE47" s="80" t="str">
        <f t="shared" si="13"/>
        <v>-</v>
      </c>
      <c r="AF47" s="81" t="str">
        <f t="shared" si="1"/>
        <v/>
      </c>
      <c r="AG47" s="77" t="str">
        <f t="shared" si="14"/>
        <v/>
      </c>
      <c r="AH47" s="75" t="str">
        <f t="shared" si="2"/>
        <v/>
      </c>
      <c r="AI47" s="74" t="str">
        <f t="shared" si="15"/>
        <v/>
      </c>
      <c r="AJ47" s="77" t="str">
        <f t="shared" si="16"/>
        <v/>
      </c>
      <c r="AK47" s="75" t="str">
        <f t="shared" si="3"/>
        <v/>
      </c>
      <c r="AL47" s="74" t="str">
        <f t="shared" si="17"/>
        <v/>
      </c>
      <c r="AM47" s="77" t="str">
        <f t="shared" si="18"/>
        <v/>
      </c>
      <c r="AO47" s="104">
        <f t="shared" si="25"/>
        <v>0</v>
      </c>
      <c r="AP47" s="106"/>
    </row>
    <row r="48" spans="2:42" s="1" customFormat="1" ht="61.5" customHeight="1" outlineLevel="1" x14ac:dyDescent="0.25">
      <c r="B48" s="41">
        <f t="shared" si="19"/>
        <v>26</v>
      </c>
      <c r="C48" s="218"/>
      <c r="D48" s="218"/>
      <c r="E48" s="218"/>
      <c r="F48" s="218"/>
      <c r="G48" s="42"/>
      <c r="H48" s="43"/>
      <c r="I48" s="44"/>
      <c r="J48" s="45" t="str">
        <f t="shared" si="5"/>
        <v/>
      </c>
      <c r="K48" s="93"/>
      <c r="L48" s="152" t="str">
        <f t="shared" si="23"/>
        <v>No Quote</v>
      </c>
      <c r="M48" s="153"/>
      <c r="N48" s="44"/>
      <c r="O48" s="45" t="str">
        <f t="shared" si="6"/>
        <v/>
      </c>
      <c r="P48" s="92"/>
      <c r="Q48" s="152" t="str">
        <f t="shared" si="24"/>
        <v>No Quote</v>
      </c>
      <c r="R48" s="153"/>
      <c r="S48" s="44"/>
      <c r="T48" s="45" t="str">
        <f t="shared" si="8"/>
        <v/>
      </c>
      <c r="U48" s="92"/>
      <c r="V48" s="212" t="str">
        <f t="shared" si="22"/>
        <v>No Quote</v>
      </c>
      <c r="W48" s="213"/>
      <c r="X48" s="90"/>
      <c r="Y48" s="96"/>
      <c r="Z48" s="66" t="str">
        <f t="shared" si="10"/>
        <v/>
      </c>
      <c r="AA48" s="95"/>
      <c r="AB48" s="95"/>
      <c r="AC48" s="80" t="str">
        <f t="shared" si="11"/>
        <v>-</v>
      </c>
      <c r="AD48" s="80" t="str">
        <f t="shared" si="12"/>
        <v>-</v>
      </c>
      <c r="AE48" s="80" t="str">
        <f t="shared" si="13"/>
        <v>-</v>
      </c>
      <c r="AF48" s="81" t="str">
        <f t="shared" si="1"/>
        <v/>
      </c>
      <c r="AG48" s="77" t="str">
        <f t="shared" si="14"/>
        <v/>
      </c>
      <c r="AH48" s="75" t="str">
        <f t="shared" si="2"/>
        <v/>
      </c>
      <c r="AI48" s="74" t="str">
        <f t="shared" si="15"/>
        <v/>
      </c>
      <c r="AJ48" s="77" t="str">
        <f t="shared" si="16"/>
        <v/>
      </c>
      <c r="AK48" s="75" t="str">
        <f t="shared" si="3"/>
        <v/>
      </c>
      <c r="AL48" s="74" t="str">
        <f t="shared" si="17"/>
        <v/>
      </c>
      <c r="AM48" s="77" t="str">
        <f t="shared" si="18"/>
        <v/>
      </c>
      <c r="AO48" s="104">
        <f t="shared" si="25"/>
        <v>0</v>
      </c>
      <c r="AP48" s="106"/>
    </row>
    <row r="49" spans="2:42" s="1" customFormat="1" ht="61.5" customHeight="1" outlineLevel="1" x14ac:dyDescent="0.25">
      <c r="B49" s="41">
        <f t="shared" si="19"/>
        <v>27</v>
      </c>
      <c r="C49" s="218"/>
      <c r="D49" s="218"/>
      <c r="E49" s="218"/>
      <c r="F49" s="218"/>
      <c r="G49" s="42"/>
      <c r="H49" s="43"/>
      <c r="I49" s="44"/>
      <c r="J49" s="45" t="str">
        <f t="shared" si="5"/>
        <v/>
      </c>
      <c r="K49" s="93"/>
      <c r="L49" s="152" t="str">
        <f t="shared" si="23"/>
        <v>No Quote</v>
      </c>
      <c r="M49" s="153"/>
      <c r="N49" s="44"/>
      <c r="O49" s="45" t="str">
        <f t="shared" si="6"/>
        <v/>
      </c>
      <c r="P49" s="92"/>
      <c r="Q49" s="152" t="str">
        <f t="shared" si="24"/>
        <v>No Quote</v>
      </c>
      <c r="R49" s="153"/>
      <c r="S49" s="44"/>
      <c r="T49" s="45" t="str">
        <f t="shared" si="8"/>
        <v/>
      </c>
      <c r="U49" s="92"/>
      <c r="V49" s="212" t="str">
        <f t="shared" si="22"/>
        <v>No Quote</v>
      </c>
      <c r="W49" s="213"/>
      <c r="X49" s="90"/>
      <c r="Y49" s="96"/>
      <c r="Z49" s="66" t="str">
        <f t="shared" si="10"/>
        <v/>
      </c>
      <c r="AA49" s="95"/>
      <c r="AB49" s="95"/>
      <c r="AC49" s="80" t="str">
        <f t="shared" si="11"/>
        <v>-</v>
      </c>
      <c r="AD49" s="80" t="str">
        <f t="shared" si="12"/>
        <v>-</v>
      </c>
      <c r="AE49" s="80" t="str">
        <f t="shared" si="13"/>
        <v>-</v>
      </c>
      <c r="AF49" s="81" t="str">
        <f t="shared" si="1"/>
        <v/>
      </c>
      <c r="AG49" s="77" t="str">
        <f t="shared" si="14"/>
        <v/>
      </c>
      <c r="AH49" s="75" t="str">
        <f t="shared" si="2"/>
        <v/>
      </c>
      <c r="AI49" s="74" t="str">
        <f t="shared" si="15"/>
        <v/>
      </c>
      <c r="AJ49" s="77" t="str">
        <f t="shared" si="16"/>
        <v/>
      </c>
      <c r="AK49" s="75" t="str">
        <f t="shared" si="3"/>
        <v/>
      </c>
      <c r="AL49" s="74" t="str">
        <f t="shared" si="17"/>
        <v/>
      </c>
      <c r="AM49" s="77" t="str">
        <f t="shared" si="18"/>
        <v/>
      </c>
      <c r="AO49" s="104">
        <f t="shared" si="25"/>
        <v>0</v>
      </c>
      <c r="AP49" s="106"/>
    </row>
    <row r="50" spans="2:42" s="1" customFormat="1" ht="61.5" customHeight="1" outlineLevel="1" x14ac:dyDescent="0.25">
      <c r="B50" s="41">
        <f t="shared" si="19"/>
        <v>28</v>
      </c>
      <c r="C50" s="218"/>
      <c r="D50" s="218"/>
      <c r="E50" s="218"/>
      <c r="F50" s="218"/>
      <c r="G50" s="42"/>
      <c r="H50" s="43"/>
      <c r="I50" s="44"/>
      <c r="J50" s="45" t="str">
        <f t="shared" si="5"/>
        <v/>
      </c>
      <c r="K50" s="93"/>
      <c r="L50" s="152" t="str">
        <f t="shared" si="23"/>
        <v>No Quote</v>
      </c>
      <c r="M50" s="153"/>
      <c r="N50" s="44"/>
      <c r="O50" s="45" t="str">
        <f t="shared" si="6"/>
        <v/>
      </c>
      <c r="P50" s="92"/>
      <c r="Q50" s="152" t="str">
        <f t="shared" si="24"/>
        <v>No Quote</v>
      </c>
      <c r="R50" s="153"/>
      <c r="S50" s="44"/>
      <c r="T50" s="45" t="str">
        <f t="shared" si="8"/>
        <v/>
      </c>
      <c r="U50" s="92"/>
      <c r="V50" s="212" t="str">
        <f t="shared" si="22"/>
        <v>No Quote</v>
      </c>
      <c r="W50" s="213"/>
      <c r="X50" s="90"/>
      <c r="Y50" s="96"/>
      <c r="Z50" s="66" t="str">
        <f t="shared" si="10"/>
        <v/>
      </c>
      <c r="AA50" s="95"/>
      <c r="AB50" s="95"/>
      <c r="AC50" s="80" t="str">
        <f t="shared" si="11"/>
        <v>-</v>
      </c>
      <c r="AD50" s="80" t="str">
        <f t="shared" si="12"/>
        <v>-</v>
      </c>
      <c r="AE50" s="80" t="str">
        <f t="shared" si="13"/>
        <v>-</v>
      </c>
      <c r="AF50" s="81" t="str">
        <f t="shared" si="1"/>
        <v/>
      </c>
      <c r="AG50" s="77" t="str">
        <f t="shared" si="14"/>
        <v/>
      </c>
      <c r="AH50" s="75" t="str">
        <f t="shared" si="2"/>
        <v/>
      </c>
      <c r="AI50" s="74" t="str">
        <f t="shared" si="15"/>
        <v/>
      </c>
      <c r="AJ50" s="77" t="str">
        <f t="shared" si="16"/>
        <v/>
      </c>
      <c r="AK50" s="75" t="str">
        <f t="shared" si="3"/>
        <v/>
      </c>
      <c r="AL50" s="74" t="str">
        <f t="shared" si="17"/>
        <v/>
      </c>
      <c r="AM50" s="77" t="str">
        <f t="shared" si="18"/>
        <v/>
      </c>
      <c r="AO50" s="104">
        <f t="shared" si="25"/>
        <v>0</v>
      </c>
      <c r="AP50" s="106"/>
    </row>
    <row r="51" spans="2:42" s="47" customFormat="1" ht="35.1" customHeight="1" x14ac:dyDescent="0.25">
      <c r="B51" s="214" t="s">
        <v>18</v>
      </c>
      <c r="C51" s="215"/>
      <c r="D51" s="215"/>
      <c r="E51" s="215"/>
      <c r="F51" s="215"/>
      <c r="G51" s="158" t="s">
        <v>36</v>
      </c>
      <c r="H51" s="159"/>
      <c r="I51" s="144">
        <f t="shared" ref="I51" si="26">SUMIF(K22:K50,"&lt;&gt;x",J22:J50)</f>
        <v>0</v>
      </c>
      <c r="J51" s="145"/>
      <c r="K51" s="145"/>
      <c r="L51" s="145"/>
      <c r="M51" s="146"/>
      <c r="N51" s="144">
        <f t="shared" ref="N51" si="27">SUMIF(P22:P50,"&lt;&gt;x",O22:O50)</f>
        <v>0</v>
      </c>
      <c r="O51" s="145"/>
      <c r="P51" s="145"/>
      <c r="Q51" s="145"/>
      <c r="R51" s="146"/>
      <c r="S51" s="144">
        <f t="shared" ref="S51" si="28">SUMIF(U22:U50,"&lt;&gt;x",T22:T50)</f>
        <v>0</v>
      </c>
      <c r="T51" s="145"/>
      <c r="U51" s="145"/>
      <c r="V51" s="145"/>
      <c r="W51" s="157"/>
      <c r="AC51" s="116">
        <f>SUM(AC23:AC50)</f>
        <v>0</v>
      </c>
      <c r="AD51" s="116">
        <f>SUM(AD23:AD50)</f>
        <v>0</v>
      </c>
      <c r="AE51" s="116">
        <f>SUM(AE23:AE50)</f>
        <v>0</v>
      </c>
      <c r="AF51" s="81" t="str">
        <f t="shared" si="1"/>
        <v/>
      </c>
      <c r="AG51" s="77" t="str">
        <f t="shared" ref="AG51" si="29">IF(AF51=AC51,$AC$20,IF(AF51=AD51,$AD$20,IF(AF51=AE51,$AE$20,"")))</f>
        <v/>
      </c>
      <c r="AH51" s="75">
        <f t="shared" si="2"/>
        <v>0</v>
      </c>
      <c r="AI51" s="74" t="str">
        <f t="shared" si="15"/>
        <v/>
      </c>
      <c r="AJ51" s="77">
        <f t="shared" ref="AJ51" si="30">IFERROR(IF(AH51="","",IF(AH51=AC51,$AC$20,IF(AH51=AD51,$AD$20,IF(AH51=AE51,$AE$20,"")))),"")</f>
        <v>0</v>
      </c>
      <c r="AK51" s="75">
        <f t="shared" si="3"/>
        <v>0</v>
      </c>
      <c r="AL51" s="74" t="str">
        <f t="shared" ref="AL51" si="31">IFERROR(IF((AK51-$AF51)/$AF51&lt;0%,"",(AK51-$AF51)/$AF51),"")</f>
        <v/>
      </c>
      <c r="AM51" s="77">
        <f t="shared" ref="AM51" si="32">IFERROR(IF(AK51="","",IF(AK51=AC51,$AC$20,IF(AK51=AD51,$AD$20,IF(AK51=AE51,$AE$20,"")))),"")</f>
        <v>0</v>
      </c>
      <c r="AP51" s="107"/>
    </row>
    <row r="52" spans="2:42" s="47" customFormat="1" ht="35.1" customHeight="1" outlineLevel="1" x14ac:dyDescent="0.25">
      <c r="B52" s="216"/>
      <c r="C52" s="217"/>
      <c r="D52" s="217"/>
      <c r="E52" s="217"/>
      <c r="F52" s="217"/>
      <c r="G52" s="158" t="s">
        <v>37</v>
      </c>
      <c r="H52" s="159"/>
      <c r="I52" s="144">
        <f>I51+(I51*11%)</f>
        <v>0</v>
      </c>
      <c r="J52" s="145"/>
      <c r="K52" s="145"/>
      <c r="L52" s="145"/>
      <c r="M52" s="146"/>
      <c r="N52" s="144">
        <f>N51+(N51*11%)</f>
        <v>0</v>
      </c>
      <c r="O52" s="145"/>
      <c r="P52" s="145"/>
      <c r="Q52" s="145"/>
      <c r="R52" s="146"/>
      <c r="S52" s="144">
        <f>S51+(S51*11%)</f>
        <v>0</v>
      </c>
      <c r="T52" s="145"/>
      <c r="U52" s="145"/>
      <c r="V52" s="145"/>
      <c r="W52" s="157"/>
      <c r="AC52" s="11" t="str">
        <f>IF(COUNTIF(AC23:AC50,"-")&gt;0,"No Full Item","Full Item")</f>
        <v>No Full Item</v>
      </c>
      <c r="AD52" s="11" t="str">
        <f>IF(COUNTIF(AD23:AD50,"-")&gt;0,"No Full Item","Full Item")</f>
        <v>No Full Item</v>
      </c>
      <c r="AE52" s="11" t="str">
        <f>IF(COUNTIF(AE23:AE50,"-")&gt;0,"No Full Item","Full Item")</f>
        <v>No Full Item</v>
      </c>
      <c r="AF52" s="72"/>
      <c r="AG52" s="78"/>
      <c r="AI52" s="71"/>
      <c r="AJ52" s="78"/>
      <c r="AM52" s="78"/>
      <c r="AP52" s="107"/>
    </row>
    <row r="53" spans="2:42" s="47" customFormat="1" ht="35.1" customHeight="1" x14ac:dyDescent="0.25">
      <c r="B53" s="216"/>
      <c r="C53" s="217"/>
      <c r="D53" s="217"/>
      <c r="E53" s="217"/>
      <c r="F53" s="217"/>
      <c r="G53" s="158" t="s">
        <v>38</v>
      </c>
      <c r="H53" s="159"/>
      <c r="I53" s="144"/>
      <c r="J53" s="145"/>
      <c r="K53" s="145"/>
      <c r="L53" s="145"/>
      <c r="M53" s="146"/>
      <c r="N53" s="144"/>
      <c r="O53" s="145"/>
      <c r="P53" s="145"/>
      <c r="Q53" s="145"/>
      <c r="R53" s="146"/>
      <c r="S53" s="144"/>
      <c r="T53" s="145"/>
      <c r="U53" s="145"/>
      <c r="V53" s="145"/>
      <c r="W53" s="157"/>
      <c r="AF53" s="72"/>
      <c r="AG53" s="78"/>
      <c r="AI53" s="71"/>
      <c r="AJ53" s="78"/>
      <c r="AM53" s="78"/>
      <c r="AP53" s="107"/>
    </row>
    <row r="54" spans="2:42" s="1" customFormat="1" ht="80.25" customHeight="1" x14ac:dyDescent="0.25">
      <c r="B54" s="358" t="s">
        <v>39</v>
      </c>
      <c r="C54" s="359"/>
      <c r="D54" s="359"/>
      <c r="E54" s="359"/>
      <c r="F54" s="359"/>
      <c r="G54" s="359"/>
      <c r="H54" s="360"/>
      <c r="I54" s="361"/>
      <c r="J54" s="313"/>
      <c r="K54" s="313"/>
      <c r="L54" s="313"/>
      <c r="M54" s="314"/>
      <c r="N54" s="312"/>
      <c r="O54" s="313"/>
      <c r="P54" s="313"/>
      <c r="Q54" s="313"/>
      <c r="R54" s="314"/>
      <c r="S54" s="354"/>
      <c r="T54" s="313"/>
      <c r="U54" s="313"/>
      <c r="V54" s="313"/>
      <c r="W54" s="355"/>
      <c r="AF54" s="82"/>
      <c r="AG54" s="73"/>
      <c r="AI54" s="68"/>
      <c r="AJ54" s="73"/>
      <c r="AM54" s="73"/>
      <c r="AP54" s="3"/>
    </row>
    <row r="55" spans="2:42" s="1" customFormat="1" ht="120" customHeight="1" x14ac:dyDescent="0.25">
      <c r="B55" s="198"/>
      <c r="C55" s="199"/>
      <c r="D55" s="199"/>
      <c r="E55" s="199"/>
      <c r="F55" s="199"/>
      <c r="G55" s="199"/>
      <c r="H55" s="199"/>
      <c r="I55" s="200" t="s">
        <v>40</v>
      </c>
      <c r="J55" s="201"/>
      <c r="K55" s="201"/>
      <c r="L55" s="201"/>
      <c r="M55" s="202"/>
      <c r="N55" s="200" t="s">
        <v>40</v>
      </c>
      <c r="O55" s="201"/>
      <c r="P55" s="201"/>
      <c r="Q55" s="201"/>
      <c r="R55" s="202"/>
      <c r="S55" s="176" t="s">
        <v>40</v>
      </c>
      <c r="T55" s="177"/>
      <c r="U55" s="177"/>
      <c r="V55" s="177"/>
      <c r="W55" s="178"/>
      <c r="AF55" s="82"/>
      <c r="AG55" s="73"/>
      <c r="AI55" s="68"/>
      <c r="AJ55" s="73"/>
      <c r="AM55" s="73"/>
      <c r="AP55" s="3"/>
    </row>
    <row r="56" spans="2:42" s="50" customFormat="1" ht="15" customHeight="1" x14ac:dyDescent="0.25">
      <c r="B56" s="179" t="s">
        <v>41</v>
      </c>
      <c r="C56" s="180"/>
      <c r="D56" s="180"/>
      <c r="E56" s="180"/>
      <c r="F56" s="180"/>
      <c r="G56" s="180"/>
      <c r="H56" s="181"/>
      <c r="I56" s="162" t="s">
        <v>42</v>
      </c>
      <c r="J56" s="163"/>
      <c r="K56" s="163"/>
      <c r="L56" s="163"/>
      <c r="M56" s="163"/>
      <c r="N56" s="163"/>
      <c r="O56" s="163"/>
      <c r="P56" s="295"/>
      <c r="Q56" s="64" t="s">
        <v>56</v>
      </c>
      <c r="R56" s="48"/>
      <c r="S56" s="64" t="s">
        <v>43</v>
      </c>
      <c r="T56" s="48"/>
      <c r="U56" s="48"/>
      <c r="V56" s="48"/>
      <c r="W56" s="49"/>
      <c r="AF56" s="84"/>
      <c r="AG56" s="73"/>
      <c r="AH56" s="1"/>
      <c r="AI56" s="68"/>
      <c r="AJ56" s="73"/>
      <c r="AM56" s="73"/>
      <c r="AP56" s="108"/>
    </row>
    <row r="57" spans="2:42" s="1" customFormat="1" ht="90" customHeight="1" x14ac:dyDescent="0.25">
      <c r="B57" s="186"/>
      <c r="C57" s="187"/>
      <c r="D57" s="187"/>
      <c r="E57" s="187"/>
      <c r="F57" s="187"/>
      <c r="G57" s="187"/>
      <c r="H57" s="188"/>
      <c r="I57" s="164"/>
      <c r="J57" s="165"/>
      <c r="K57" s="165"/>
      <c r="L57" s="165"/>
      <c r="M57" s="165"/>
      <c r="N57" s="165"/>
      <c r="O57" s="165"/>
      <c r="P57" s="296"/>
      <c r="Q57" s="167"/>
      <c r="R57" s="169"/>
      <c r="S57" s="167"/>
      <c r="T57" s="168"/>
      <c r="U57" s="168"/>
      <c r="V57" s="168"/>
      <c r="W57" s="193"/>
      <c r="AF57" s="82"/>
      <c r="AG57" s="73"/>
      <c r="AI57" s="68"/>
      <c r="AJ57" s="73"/>
      <c r="AM57" s="73"/>
      <c r="AP57" s="3"/>
    </row>
    <row r="58" spans="2:42" s="1" customFormat="1" ht="13.5" x14ac:dyDescent="0.25">
      <c r="B58" s="203" t="s">
        <v>51</v>
      </c>
      <c r="C58" s="204"/>
      <c r="D58" s="204"/>
      <c r="E58" s="204"/>
      <c r="F58" s="204"/>
      <c r="G58" s="204"/>
      <c r="H58" s="205"/>
      <c r="I58" s="340" t="s">
        <v>44</v>
      </c>
      <c r="J58" s="332"/>
      <c r="K58" s="332"/>
      <c r="L58" s="332" t="s">
        <v>45</v>
      </c>
      <c r="M58" s="332"/>
      <c r="N58" s="166" t="s">
        <v>46</v>
      </c>
      <c r="O58" s="166"/>
      <c r="P58" s="298"/>
      <c r="Q58" s="340" t="s">
        <v>53</v>
      </c>
      <c r="R58" s="356"/>
      <c r="S58" s="206" t="str">
        <f>IF(OR($S$51&lt;200000000,$N$51&lt;200000000,$I$51&lt;200000000),"Mochammad Rusfandy","Mochammad Rusfandy")</f>
        <v>Mochammad Rusfandy</v>
      </c>
      <c r="T58" s="166"/>
      <c r="U58" s="166"/>
      <c r="V58" s="166" t="str">
        <f>IF(OR(I51="",N51="",S51=""),"",IF(OR($S$51&gt;200000000,$N$51&gt;200000000,$I$51&gt;200000000),"Heri Gunawan",""))</f>
        <v/>
      </c>
      <c r="W58" s="182"/>
      <c r="AF58" s="82"/>
      <c r="AG58" s="73"/>
      <c r="AI58" s="68"/>
      <c r="AJ58" s="73"/>
      <c r="AM58" s="73"/>
      <c r="AP58" s="3"/>
    </row>
    <row r="59" spans="2:42" s="1" customFormat="1" ht="13.5" x14ac:dyDescent="0.25">
      <c r="B59" s="51" t="s">
        <v>47</v>
      </c>
      <c r="C59" s="52"/>
      <c r="D59" s="183">
        <f ca="1">T8</f>
        <v>46231</v>
      </c>
      <c r="E59" s="183"/>
      <c r="F59" s="183"/>
      <c r="G59" s="183"/>
      <c r="H59" s="184"/>
      <c r="I59" s="341" t="str">
        <f>IF(I58="","","Date:")</f>
        <v>Date:</v>
      </c>
      <c r="J59" s="336"/>
      <c r="K59" s="336"/>
      <c r="L59" s="336" t="str">
        <f>IF(L58="","","Date:")</f>
        <v>Date:</v>
      </c>
      <c r="M59" s="336"/>
      <c r="N59" s="170" t="str">
        <f>IF(N58="","","Date:")</f>
        <v>Date:</v>
      </c>
      <c r="O59" s="170"/>
      <c r="P59" s="297"/>
      <c r="Q59" s="341" t="s">
        <v>54</v>
      </c>
      <c r="R59" s="357"/>
      <c r="S59" s="173" t="str">
        <f>IF(S58="","","Date:")</f>
        <v>Date:</v>
      </c>
      <c r="T59" s="170"/>
      <c r="U59" s="170"/>
      <c r="V59" s="170" t="str">
        <f>IF(V58="","","Date:")</f>
        <v/>
      </c>
      <c r="W59" s="174"/>
      <c r="AF59" s="82"/>
      <c r="AG59" s="73"/>
      <c r="AI59" s="68"/>
      <c r="AJ59" s="73"/>
      <c r="AM59" s="73"/>
      <c r="AP59" s="3"/>
    </row>
    <row r="60" spans="2:42" s="1" customFormat="1" ht="15.75" customHeight="1" thickBot="1" x14ac:dyDescent="0.3">
      <c r="B60" s="299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1"/>
      <c r="AF60" s="82"/>
      <c r="AG60" s="73"/>
      <c r="AI60" s="68"/>
      <c r="AJ60" s="73"/>
      <c r="AM60" s="73"/>
      <c r="AP60" s="3"/>
    </row>
    <row r="61" spans="2:42" ht="17.25" thickTop="1" x14ac:dyDescent="0.25">
      <c r="L61" s="58"/>
      <c r="M61" s="58"/>
    </row>
    <row r="62" spans="2:42" hidden="1" x14ac:dyDescent="0.25">
      <c r="L62" s="58"/>
      <c r="M62" s="58"/>
    </row>
    <row r="63" spans="2:42" hidden="1" x14ac:dyDescent="0.25">
      <c r="J63" s="160"/>
      <c r="K63" s="161"/>
      <c r="L63" s="161"/>
      <c r="M63" s="161"/>
    </row>
    <row r="64" spans="2:42" hidden="1" x14ac:dyDescent="0.25">
      <c r="J64" s="160"/>
      <c r="K64" s="161"/>
      <c r="L64" s="161"/>
      <c r="M64" s="161"/>
    </row>
    <row r="65" spans="4:13" hidden="1" x14ac:dyDescent="0.25">
      <c r="J65" s="160"/>
      <c r="K65" s="161"/>
      <c r="L65" s="161"/>
      <c r="M65" s="161"/>
    </row>
    <row r="66" spans="4:13" hidden="1" x14ac:dyDescent="0.25">
      <c r="J66" s="160"/>
      <c r="K66" s="161"/>
      <c r="L66" s="161"/>
      <c r="M66" s="161"/>
    </row>
    <row r="67" spans="4:13" hidden="1" x14ac:dyDescent="0.25">
      <c r="J67" s="160"/>
      <c r="K67" s="161"/>
      <c r="L67" s="161"/>
      <c r="M67" s="161"/>
    </row>
    <row r="68" spans="4:13" hidden="1" x14ac:dyDescent="0.25">
      <c r="J68" s="161"/>
      <c r="K68" s="161"/>
      <c r="L68" s="161"/>
      <c r="M68" s="161"/>
    </row>
    <row r="69" spans="4:13" hidden="1" x14ac:dyDescent="0.25">
      <c r="L69" s="58"/>
      <c r="M69" s="58"/>
    </row>
    <row r="70" spans="4:13" hidden="1" x14ac:dyDescent="0.25">
      <c r="L70" s="171"/>
      <c r="M70" s="171"/>
    </row>
    <row r="73" spans="4:13" hidden="1" x14ac:dyDescent="0.25">
      <c r="D73" s="59"/>
      <c r="E73" s="59"/>
      <c r="F73" s="59"/>
      <c r="G73" s="59"/>
      <c r="H73" s="59"/>
      <c r="I73" s="59"/>
    </row>
    <row r="74" spans="4:13" hidden="1" x14ac:dyDescent="0.25">
      <c r="D74" s="59"/>
      <c r="E74" s="59"/>
      <c r="F74" s="59"/>
      <c r="G74" s="59"/>
      <c r="H74" s="59"/>
      <c r="I74" s="59"/>
    </row>
    <row r="75" spans="4:13" hidden="1" x14ac:dyDescent="0.25">
      <c r="D75" s="59"/>
      <c r="E75" s="59"/>
      <c r="F75" s="59"/>
      <c r="G75" s="59"/>
      <c r="H75" s="59"/>
      <c r="I75" s="59"/>
    </row>
    <row r="76" spans="4:13" hidden="1" x14ac:dyDescent="0.25">
      <c r="D76" s="59"/>
      <c r="E76" s="59"/>
      <c r="F76" s="59"/>
      <c r="G76" s="59"/>
      <c r="H76" s="59"/>
      <c r="I76" s="59"/>
    </row>
    <row r="77" spans="4:13" hidden="1" x14ac:dyDescent="0.25">
      <c r="D77" s="59"/>
      <c r="E77" s="59"/>
      <c r="F77" s="60"/>
      <c r="G77" s="59"/>
      <c r="H77" s="59"/>
      <c r="I77" s="59"/>
    </row>
    <row r="78" spans="4:13" ht="15" hidden="1" customHeight="1" x14ac:dyDescent="0.25">
      <c r="D78" s="59"/>
      <c r="E78" s="59"/>
      <c r="F78" s="172"/>
      <c r="G78" s="172"/>
      <c r="H78" s="172"/>
      <c r="I78" s="59"/>
    </row>
    <row r="79" spans="4:13" ht="15" hidden="1" customHeight="1" x14ac:dyDescent="0.25">
      <c r="D79" s="59"/>
      <c r="E79" s="59"/>
      <c r="F79" s="172"/>
      <c r="G79" s="172"/>
      <c r="H79" s="172"/>
      <c r="I79" s="61"/>
      <c r="J79" s="62"/>
    </row>
    <row r="80" spans="4:13" hidden="1" x14ac:dyDescent="0.25">
      <c r="D80" s="59"/>
      <c r="E80" s="59"/>
      <c r="F80" s="59"/>
      <c r="G80" s="59"/>
      <c r="H80" s="59"/>
      <c r="I80" s="59"/>
    </row>
    <row r="81" spans="4:9" hidden="1" x14ac:dyDescent="0.25">
      <c r="D81" s="59"/>
      <c r="E81" s="59"/>
      <c r="F81" s="59"/>
      <c r="G81" s="59"/>
      <c r="H81" s="59"/>
      <c r="I81" s="59"/>
    </row>
    <row r="82" spans="4:9" hidden="1" x14ac:dyDescent="0.25">
      <c r="D82" s="59"/>
      <c r="E82" s="59"/>
      <c r="F82" s="59"/>
      <c r="G82" s="59"/>
      <c r="H82" s="59"/>
      <c r="I82" s="63"/>
    </row>
    <row r="83" spans="4:9" hidden="1" x14ac:dyDescent="0.25">
      <c r="D83" s="59"/>
      <c r="E83" s="59"/>
      <c r="F83" s="59"/>
      <c r="G83" s="59"/>
      <c r="H83" s="59"/>
      <c r="I83" s="59"/>
    </row>
    <row r="84" spans="4:9" x14ac:dyDescent="0.25"/>
    <row r="85" spans="4:9" x14ac:dyDescent="0.25"/>
  </sheetData>
  <mergeCells count="234">
    <mergeCell ref="L70:M70"/>
    <mergeCell ref="F78:H79"/>
    <mergeCell ref="J63:M63"/>
    <mergeCell ref="J64:M64"/>
    <mergeCell ref="J65:M65"/>
    <mergeCell ref="J66:M66"/>
    <mergeCell ref="J67:M67"/>
    <mergeCell ref="J68:M68"/>
    <mergeCell ref="B51:F53"/>
    <mergeCell ref="G51:H51"/>
    <mergeCell ref="I51:M51"/>
    <mergeCell ref="G52:H52"/>
    <mergeCell ref="I52:M52"/>
    <mergeCell ref="B54:H54"/>
    <mergeCell ref="I54:M54"/>
    <mergeCell ref="B55:H55"/>
    <mergeCell ref="I55:M55"/>
    <mergeCell ref="G53:H53"/>
    <mergeCell ref="I53:M53"/>
    <mergeCell ref="B56:H56"/>
    <mergeCell ref="B57:H57"/>
    <mergeCell ref="B58:H58"/>
    <mergeCell ref="D59:H59"/>
    <mergeCell ref="L58:M58"/>
    <mergeCell ref="C49:F49"/>
    <mergeCell ref="L49:M49"/>
    <mergeCell ref="Q49:R49"/>
    <mergeCell ref="V49:W49"/>
    <mergeCell ref="C50:F50"/>
    <mergeCell ref="L50:M50"/>
    <mergeCell ref="Q50:R50"/>
    <mergeCell ref="V50:W50"/>
    <mergeCell ref="S59:U59"/>
    <mergeCell ref="N51:R51"/>
    <mergeCell ref="S51:W51"/>
    <mergeCell ref="N52:R52"/>
    <mergeCell ref="S58:U58"/>
    <mergeCell ref="N54:R54"/>
    <mergeCell ref="S54:W54"/>
    <mergeCell ref="N55:R55"/>
    <mergeCell ref="S55:W55"/>
    <mergeCell ref="S52:W52"/>
    <mergeCell ref="N53:R53"/>
    <mergeCell ref="S53:W53"/>
    <mergeCell ref="Q58:R58"/>
    <mergeCell ref="Q59:R59"/>
    <mergeCell ref="V58:W58"/>
    <mergeCell ref="V59:W59"/>
    <mergeCell ref="C47:F47"/>
    <mergeCell ref="L47:M47"/>
    <mergeCell ref="Q47:R47"/>
    <mergeCell ref="V47:W47"/>
    <mergeCell ref="C48:F48"/>
    <mergeCell ref="L48:M48"/>
    <mergeCell ref="Q48:R48"/>
    <mergeCell ref="V48:W48"/>
    <mergeCell ref="C45:F45"/>
    <mergeCell ref="L45:M45"/>
    <mergeCell ref="Q45:R45"/>
    <mergeCell ref="V45:W45"/>
    <mergeCell ref="C46:F46"/>
    <mergeCell ref="L46:M46"/>
    <mergeCell ref="Q46:R46"/>
    <mergeCell ref="V46:W46"/>
    <mergeCell ref="C43:F43"/>
    <mergeCell ref="L43:M43"/>
    <mergeCell ref="Q43:R43"/>
    <mergeCell ref="V43:W43"/>
    <mergeCell ref="C44:F44"/>
    <mergeCell ref="L44:M44"/>
    <mergeCell ref="Q44:R44"/>
    <mergeCell ref="V44:W44"/>
    <mergeCell ref="C41:F41"/>
    <mergeCell ref="L41:M41"/>
    <mergeCell ref="Q41:R41"/>
    <mergeCell ref="V41:W41"/>
    <mergeCell ref="C42:F42"/>
    <mergeCell ref="L42:M42"/>
    <mergeCell ref="Q42:R42"/>
    <mergeCell ref="V42:W42"/>
    <mergeCell ref="C39:F39"/>
    <mergeCell ref="L39:M39"/>
    <mergeCell ref="Q39:R39"/>
    <mergeCell ref="V39:W39"/>
    <mergeCell ref="C40:F40"/>
    <mergeCell ref="L40:M40"/>
    <mergeCell ref="Q40:R40"/>
    <mergeCell ref="V40:W40"/>
    <mergeCell ref="C37:F37"/>
    <mergeCell ref="L37:M37"/>
    <mergeCell ref="Q37:R37"/>
    <mergeCell ref="V37:W37"/>
    <mergeCell ref="C38:F38"/>
    <mergeCell ref="L38:M38"/>
    <mergeCell ref="Q38:R38"/>
    <mergeCell ref="V38:W38"/>
    <mergeCell ref="C35:F35"/>
    <mergeCell ref="L35:M35"/>
    <mergeCell ref="Q35:R35"/>
    <mergeCell ref="V35:W35"/>
    <mergeCell ref="C36:F36"/>
    <mergeCell ref="L36:M36"/>
    <mergeCell ref="Q36:R36"/>
    <mergeCell ref="V36:W36"/>
    <mergeCell ref="C33:F33"/>
    <mergeCell ref="L33:M33"/>
    <mergeCell ref="Q33:R33"/>
    <mergeCell ref="V33:W33"/>
    <mergeCell ref="C34:F34"/>
    <mergeCell ref="L34:M34"/>
    <mergeCell ref="Q34:R34"/>
    <mergeCell ref="V34:W34"/>
    <mergeCell ref="C31:F31"/>
    <mergeCell ref="L31:M31"/>
    <mergeCell ref="Q31:R31"/>
    <mergeCell ref="V31:W31"/>
    <mergeCell ref="C32:F32"/>
    <mergeCell ref="L32:M32"/>
    <mergeCell ref="Q32:R32"/>
    <mergeCell ref="V32:W32"/>
    <mergeCell ref="C29:F29"/>
    <mergeCell ref="L29:M29"/>
    <mergeCell ref="Q29:R29"/>
    <mergeCell ref="V29:W29"/>
    <mergeCell ref="C30:F30"/>
    <mergeCell ref="L30:M30"/>
    <mergeCell ref="Q30:R30"/>
    <mergeCell ref="V30:W30"/>
    <mergeCell ref="C27:F27"/>
    <mergeCell ref="L27:M27"/>
    <mergeCell ref="Q27:R27"/>
    <mergeCell ref="V27:W27"/>
    <mergeCell ref="C28:F28"/>
    <mergeCell ref="L28:M28"/>
    <mergeCell ref="Q28:R28"/>
    <mergeCell ref="V28:W28"/>
    <mergeCell ref="C25:F25"/>
    <mergeCell ref="L25:M25"/>
    <mergeCell ref="Q25:R25"/>
    <mergeCell ref="V25:W25"/>
    <mergeCell ref="C26:F26"/>
    <mergeCell ref="L26:M26"/>
    <mergeCell ref="Q26:R26"/>
    <mergeCell ref="V26:W26"/>
    <mergeCell ref="C24:F24"/>
    <mergeCell ref="L23:M23"/>
    <mergeCell ref="L24:M24"/>
    <mergeCell ref="Q23:R23"/>
    <mergeCell ref="Q24:R24"/>
    <mergeCell ref="V23:W23"/>
    <mergeCell ref="V24:W24"/>
    <mergeCell ref="AH22:AJ22"/>
    <mergeCell ref="AK22:AM22"/>
    <mergeCell ref="C23:F23"/>
    <mergeCell ref="G21:H21"/>
    <mergeCell ref="I21:M21"/>
    <mergeCell ref="N21:R21"/>
    <mergeCell ref="S21:W21"/>
    <mergeCell ref="C22:F22"/>
    <mergeCell ref="L22:M22"/>
    <mergeCell ref="Q22:R22"/>
    <mergeCell ref="V22:W22"/>
    <mergeCell ref="AF19:AF22"/>
    <mergeCell ref="G20:H20"/>
    <mergeCell ref="I20:M20"/>
    <mergeCell ref="N20:R20"/>
    <mergeCell ref="S20:W20"/>
    <mergeCell ref="AC20:AC22"/>
    <mergeCell ref="AD20:AD22"/>
    <mergeCell ref="AE20:AE22"/>
    <mergeCell ref="U18:W18"/>
    <mergeCell ref="B19:F20"/>
    <mergeCell ref="G19:H19"/>
    <mergeCell ref="I19:M19"/>
    <mergeCell ref="N19:R19"/>
    <mergeCell ref="S19:W19"/>
    <mergeCell ref="G17:H17"/>
    <mergeCell ref="I17:M17"/>
    <mergeCell ref="N17:R17"/>
    <mergeCell ref="S17:W17"/>
    <mergeCell ref="G18:H18"/>
    <mergeCell ref="I18:J18"/>
    <mergeCell ref="K18:M18"/>
    <mergeCell ref="N18:O18"/>
    <mergeCell ref="P18:R18"/>
    <mergeCell ref="B18:E18"/>
    <mergeCell ref="B60:W60"/>
    <mergeCell ref="I56:P56"/>
    <mergeCell ref="I58:K58"/>
    <mergeCell ref="I59:K59"/>
    <mergeCell ref="AO21:AP21"/>
    <mergeCell ref="AO22:AP22"/>
    <mergeCell ref="B4:F6"/>
    <mergeCell ref="G4:U6"/>
    <mergeCell ref="B7:D7"/>
    <mergeCell ref="T7:W7"/>
    <mergeCell ref="B8:D8"/>
    <mergeCell ref="T8:W8"/>
    <mergeCell ref="N11:R11"/>
    <mergeCell ref="S11:W11"/>
    <mergeCell ref="B12:F12"/>
    <mergeCell ref="J12:M12"/>
    <mergeCell ref="O12:R12"/>
    <mergeCell ref="T12:W12"/>
    <mergeCell ref="B9:D9"/>
    <mergeCell ref="B10:C10"/>
    <mergeCell ref="F10:H10"/>
    <mergeCell ref="B11:F11"/>
    <mergeCell ref="G11:H12"/>
    <mergeCell ref="I11:M11"/>
    <mergeCell ref="F7:Q7"/>
    <mergeCell ref="F8:Q8"/>
    <mergeCell ref="F9:Q9"/>
    <mergeCell ref="L59:M59"/>
    <mergeCell ref="N58:P58"/>
    <mergeCell ref="N59:P59"/>
    <mergeCell ref="I57:P57"/>
    <mergeCell ref="Q57:R57"/>
    <mergeCell ref="S57:W57"/>
    <mergeCell ref="S13:W14"/>
    <mergeCell ref="S15:W15"/>
    <mergeCell ref="S16:W16"/>
    <mergeCell ref="G16:H16"/>
    <mergeCell ref="I16:M16"/>
    <mergeCell ref="N16:R16"/>
    <mergeCell ref="B13:F13"/>
    <mergeCell ref="G13:H14"/>
    <mergeCell ref="I13:M14"/>
    <mergeCell ref="N13:R14"/>
    <mergeCell ref="B14:F16"/>
    <mergeCell ref="G15:H15"/>
    <mergeCell ref="I15:M15"/>
    <mergeCell ref="N15:R15"/>
    <mergeCell ref="S18:T18"/>
  </mergeCells>
  <conditionalFormatting sqref="I23:M50">
    <cfRule type="expression" dxfId="9" priority="4" stopIfTrue="1">
      <formula>$L23="No Quote"</formula>
    </cfRule>
  </conditionalFormatting>
  <conditionalFormatting sqref="K18">
    <cfRule type="expression" dxfId="8" priority="11" stopIfTrue="1">
      <formula>$I$18&gt;0</formula>
    </cfRule>
  </conditionalFormatting>
  <conditionalFormatting sqref="N23:R50">
    <cfRule type="expression" dxfId="7" priority="3" stopIfTrue="1">
      <formula>$Q23="No Quote"</formula>
    </cfRule>
  </conditionalFormatting>
  <conditionalFormatting sqref="P18">
    <cfRule type="expression" dxfId="6" priority="14" stopIfTrue="1">
      <formula>$N$18&gt;0</formula>
    </cfRule>
  </conditionalFormatting>
  <conditionalFormatting sqref="S23:W50">
    <cfRule type="expression" dxfId="5" priority="2" stopIfTrue="1">
      <formula>$V23="No Quote"</formula>
    </cfRule>
  </conditionalFormatting>
  <conditionalFormatting sqref="U18">
    <cfRule type="expression" dxfId="4" priority="12" stopIfTrue="1">
      <formula>$S$18&gt;0</formula>
    </cfRule>
  </conditionalFormatting>
  <conditionalFormatting sqref="Z23:AA50">
    <cfRule type="expression" dxfId="3" priority="8" stopIfTrue="1">
      <formula>$Z23&gt;$AF23</formula>
    </cfRule>
  </conditionalFormatting>
  <conditionalFormatting sqref="AC23:AC50">
    <cfRule type="expression" dxfId="2" priority="165" stopIfTrue="1">
      <formula>$AC23=$AF23</formula>
    </cfRule>
  </conditionalFormatting>
  <conditionalFormatting sqref="AD23:AD50">
    <cfRule type="expression" dxfId="1" priority="5" stopIfTrue="1">
      <formula>$AD23=$AF23</formula>
    </cfRule>
  </conditionalFormatting>
  <conditionalFormatting sqref="AE23:AE50">
    <cfRule type="expression" dxfId="0" priority="6" stopIfTrue="1">
      <formula>$AE23=$AF23</formula>
    </cfRule>
  </conditionalFormatting>
  <dataValidations disablePrompts="1" count="4">
    <dataValidation type="list" allowBlank="1" sqref="L58" xr:uid="{0C234A18-08B4-4252-95B9-242F67E42DCD}">
      <formula1>"Zulkifli Bastiandi, Teuku Syamsul Rizal, Ifit Prabowo"</formula1>
    </dataValidation>
    <dataValidation allowBlank="1" sqref="N58" xr:uid="{417848B9-4C5E-4A15-8B8C-8394596DB5C4}"/>
    <dataValidation type="list" allowBlank="1" showInputMessage="1" sqref="I20:W20" xr:uid="{CE72BF19-5E8B-4CA8-858E-9EF37525B7BD}">
      <formula1>"Subject prior to sales"</formula1>
    </dataValidation>
    <dataValidation type="list" allowBlank="1" showInputMessage="1" sqref="I21:W21" xr:uid="{ED5DE7C8-46BB-4275-BBE2-F02F61E47138}">
      <formula1>"MSW Tanjung, IBT Mekar Putih"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8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6B79ED-603F-4DDF-B4B0-230A3D899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10V</vt:lpstr>
      <vt:lpstr>9V</vt:lpstr>
      <vt:lpstr>8V</vt:lpstr>
      <vt:lpstr>7V</vt:lpstr>
      <vt:lpstr>6V</vt:lpstr>
      <vt:lpstr>5V</vt:lpstr>
      <vt:lpstr>4V</vt:lpstr>
      <vt:lpstr>3V</vt:lpstr>
      <vt:lpstr>'10V'!Print_Area</vt:lpstr>
      <vt:lpstr>'3V'!Print_Area</vt:lpstr>
      <vt:lpstr>'4V'!Print_Area</vt:lpstr>
      <vt:lpstr>'5V'!Print_Area</vt:lpstr>
      <vt:lpstr>'6V'!Print_Area</vt:lpstr>
      <vt:lpstr>'7V'!Print_Area</vt:lpstr>
      <vt:lpstr>'8V'!Print_Area</vt:lpstr>
      <vt:lpstr>'9V'!Print_Area</vt:lpstr>
      <vt:lpstr>'3V'!Print_Titles</vt:lpstr>
      <vt:lpstr>'4V'!Print_Titles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R. Haposan Tampubolon</dc:creator>
  <cp:keywords/>
  <dc:description/>
  <cp:lastModifiedBy>R. Haposan Tampubolon</cp:lastModifiedBy>
  <cp:revision/>
  <cp:lastPrinted>2026-05-18T02:12:51Z</cp:lastPrinted>
  <dcterms:created xsi:type="dcterms:W3CDTF">2017-11-03T04:20:53Z</dcterms:created>
  <dcterms:modified xsi:type="dcterms:W3CDTF">2026-07-28T06:29:09Z</dcterms:modified>
  <cp:category/>
  <cp:contentStatus/>
</cp:coreProperties>
</file>